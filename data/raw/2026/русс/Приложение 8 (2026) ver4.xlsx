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0" windowWidth="12810" windowHeight="14490" tabRatio="439" firstSheet="2" activeTab="2"/>
  </bookViews>
  <sheets>
    <sheet name="COM" sheetId="15" state="hidden" r:id="rId1"/>
    <sheet name="СОМ (без формул)" sheetId="13" state="hidden" r:id="rId2"/>
    <sheet name="Приложение 8" sheetId="16" r:id="rId3"/>
    <sheet name="СОМ(без формул до десятых) 24" sheetId="18" state="hidden" r:id="rId4"/>
  </sheets>
  <definedNames>
    <definedName name="_xlnm._FilterDatabase" localSheetId="0" hidden="1">COM!$A$7:$S$459</definedName>
    <definedName name="_xlnm._FilterDatabase" localSheetId="2" hidden="1">'Приложение 8'!$A$7:$K$397</definedName>
    <definedName name="_xlnm._FilterDatabase" localSheetId="1" hidden="1">'СОМ (без формул)'!$A$7:$S$458</definedName>
    <definedName name="_xlnm.Print_Titles" localSheetId="2">'Приложение 8'!$5:$6</definedName>
    <definedName name="_xlnm.Print_Area" localSheetId="2">'Приложение 8'!$A$1:$K$408</definedName>
  </definedNames>
  <calcPr calcId="144525"/>
</workbook>
</file>

<file path=xl/calcChain.xml><?xml version="1.0" encoding="utf-8"?>
<calcChain xmlns="http://schemas.openxmlformats.org/spreadsheetml/2006/main">
  <c r="Q59" i="15" l="1"/>
  <c r="Q414" i="15"/>
  <c r="Q412" i="15"/>
  <c r="Q469" i="15"/>
  <c r="U469" i="18" l="1"/>
  <c r="X447" i="18"/>
  <c r="X438" i="18"/>
  <c r="X430" i="18"/>
  <c r="X419" i="18"/>
  <c r="X418" i="18"/>
  <c r="X417" i="18"/>
  <c r="X357" i="18"/>
  <c r="X304" i="18"/>
  <c r="X159" i="18"/>
  <c r="X158" i="18"/>
  <c r="X157" i="18"/>
  <c r="X156" i="18"/>
  <c r="X155" i="18"/>
  <c r="X135" i="18"/>
  <c r="X134" i="18"/>
  <c r="X133" i="18"/>
  <c r="X132" i="18"/>
  <c r="X131" i="18"/>
  <c r="X126" i="18"/>
  <c r="X125" i="18"/>
  <c r="X124" i="18"/>
  <c r="X123" i="18"/>
  <c r="X94" i="18"/>
  <c r="X93" i="18"/>
  <c r="X77" i="18"/>
  <c r="X76" i="18"/>
  <c r="X75" i="18"/>
  <c r="X74" i="18"/>
  <c r="X73" i="18"/>
  <c r="X68" i="18"/>
  <c r="X67" i="18"/>
  <c r="X38" i="18"/>
  <c r="X37" i="18"/>
  <c r="X36" i="18"/>
  <c r="X34" i="18"/>
  <c r="S250" i="15" l="1"/>
  <c r="R250" i="15"/>
  <c r="Q250" i="15"/>
  <c r="P250" i="15"/>
  <c r="O250" i="15"/>
  <c r="N250" i="15"/>
  <c r="M250" i="15"/>
  <c r="L250" i="15"/>
  <c r="K250" i="15"/>
  <c r="J250" i="15"/>
  <c r="I250" i="15"/>
  <c r="H250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M249" i="18" l="1"/>
  <c r="Q249" i="18"/>
  <c r="L249" i="18"/>
  <c r="N249" i="18"/>
  <c r="U249" i="18"/>
  <c r="V249" i="18"/>
  <c r="L250" i="18"/>
  <c r="P250" i="18"/>
  <c r="R250" i="18"/>
  <c r="S250" i="18"/>
  <c r="U250" i="18"/>
  <c r="P249" i="18"/>
  <c r="S249" i="18"/>
  <c r="T249" i="18"/>
  <c r="T250" i="18"/>
  <c r="V250" i="18"/>
  <c r="O249" i="18"/>
  <c r="R249" i="18"/>
  <c r="W249" i="18"/>
  <c r="M250" i="18"/>
  <c r="N250" i="18"/>
  <c r="O250" i="18"/>
  <c r="Q250" i="18"/>
  <c r="W250" i="18"/>
  <c r="Q468" i="15"/>
  <c r="Q466" i="15"/>
  <c r="Q463" i="15"/>
  <c r="I468" i="15" l="1"/>
  <c r="M468" i="18"/>
  <c r="H465" i="15"/>
  <c r="L465" i="18"/>
  <c r="P465" i="18"/>
  <c r="L465" i="15"/>
  <c r="S468" i="18"/>
  <c r="O468" i="15"/>
  <c r="Q465" i="18"/>
  <c r="M465" i="15"/>
  <c r="T468" i="18"/>
  <c r="P468" i="15"/>
  <c r="W466" i="18"/>
  <c r="S466" i="15"/>
  <c r="W468" i="18"/>
  <c r="S468" i="15"/>
  <c r="T463" i="18"/>
  <c r="P463" i="15"/>
  <c r="R468" i="18"/>
  <c r="N468" i="15"/>
  <c r="T465" i="18"/>
  <c r="P465" i="15"/>
  <c r="M469" i="18"/>
  <c r="M465" i="18"/>
  <c r="N469" i="18"/>
  <c r="J469" i="15"/>
  <c r="H462" i="15"/>
  <c r="L462" i="18"/>
  <c r="H466" i="15"/>
  <c r="L466" i="18"/>
  <c r="O468" i="18"/>
  <c r="K468" i="15"/>
  <c r="V468" i="18"/>
  <c r="R468" i="15"/>
  <c r="O465" i="18"/>
  <c r="K465" i="15"/>
  <c r="N466" i="18"/>
  <c r="J466" i="15"/>
  <c r="O466" i="18"/>
  <c r="K466" i="15"/>
  <c r="R469" i="18"/>
  <c r="N469" i="15"/>
  <c r="N468" i="18"/>
  <c r="J468" i="15"/>
  <c r="R465" i="18"/>
  <c r="N465" i="15"/>
  <c r="O462" i="18"/>
  <c r="K462" i="15"/>
  <c r="R462" i="18"/>
  <c r="N462" i="15"/>
  <c r="Q469" i="18"/>
  <c r="M469" i="15"/>
  <c r="V462" i="18"/>
  <c r="R462" i="15"/>
  <c r="P466" i="18"/>
  <c r="L466" i="15"/>
  <c r="S469" i="18"/>
  <c r="O469" i="15"/>
  <c r="P468" i="18"/>
  <c r="L468" i="15"/>
  <c r="R463" i="18"/>
  <c r="N463" i="15"/>
  <c r="N465" i="18"/>
  <c r="J465" i="15"/>
  <c r="W465" i="18"/>
  <c r="S465" i="15"/>
  <c r="T462" i="18"/>
  <c r="P462" i="15"/>
  <c r="V469" i="18"/>
  <c r="R469" i="15"/>
  <c r="H463" i="15"/>
  <c r="L463" i="18"/>
  <c r="W469" i="18"/>
  <c r="S469" i="15"/>
  <c r="S463" i="18"/>
  <c r="O463" i="15"/>
  <c r="V463" i="18"/>
  <c r="R463" i="15"/>
  <c r="I462" i="15"/>
  <c r="M462" i="18"/>
  <c r="H469" i="15"/>
  <c r="L469" i="18"/>
  <c r="P469" i="18"/>
  <c r="L469" i="15"/>
  <c r="Q466" i="18"/>
  <c r="M466" i="15"/>
  <c r="S466" i="18"/>
  <c r="O466" i="15"/>
  <c r="N463" i="18"/>
  <c r="J463" i="15"/>
  <c r="T466" i="18"/>
  <c r="P466" i="15"/>
  <c r="H468" i="15"/>
  <c r="L468" i="18"/>
  <c r="W463" i="18"/>
  <c r="S463" i="15"/>
  <c r="S465" i="18"/>
  <c r="O465" i="15"/>
  <c r="V465" i="18"/>
  <c r="R465" i="15"/>
  <c r="I466" i="15"/>
  <c r="M466" i="18"/>
  <c r="W462" i="18"/>
  <c r="S462" i="15"/>
  <c r="R466" i="18"/>
  <c r="N466" i="15"/>
  <c r="U466" i="18"/>
  <c r="Q463" i="18"/>
  <c r="M463" i="15"/>
  <c r="U463" i="18"/>
  <c r="Q470" i="15"/>
  <c r="U468" i="18"/>
  <c r="N462" i="18"/>
  <c r="J462" i="15"/>
  <c r="P462" i="18"/>
  <c r="L462" i="15"/>
  <c r="S462" i="18"/>
  <c r="O462" i="15"/>
  <c r="T469" i="18"/>
  <c r="P469" i="15"/>
  <c r="I463" i="15"/>
  <c r="M463" i="18"/>
  <c r="P463" i="18"/>
  <c r="L463" i="15"/>
  <c r="V466" i="18"/>
  <c r="R466" i="15"/>
  <c r="I469" i="15"/>
  <c r="I465" i="15"/>
  <c r="U144" i="13"/>
  <c r="V129" i="13"/>
  <c r="W470" i="18" l="1"/>
  <c r="S470" i="15"/>
  <c r="P470" i="18"/>
  <c r="L470" i="15"/>
  <c r="H470" i="15"/>
  <c r="L470" i="18"/>
  <c r="H467" i="15"/>
  <c r="L467" i="18"/>
  <c r="W467" i="18"/>
  <c r="S467" i="15"/>
  <c r="V467" i="18"/>
  <c r="R467" i="15"/>
  <c r="S467" i="18"/>
  <c r="O467" i="15"/>
  <c r="U470" i="18"/>
  <c r="T470" i="18"/>
  <c r="P470" i="15"/>
  <c r="I470" i="15"/>
  <c r="M470" i="18"/>
  <c r="S470" i="18"/>
  <c r="O470" i="15"/>
  <c r="R470" i="18"/>
  <c r="N470" i="15"/>
  <c r="T467" i="18"/>
  <c r="P467" i="15"/>
  <c r="I467" i="15"/>
  <c r="M467" i="18"/>
  <c r="N470" i="18"/>
  <c r="J470" i="15"/>
  <c r="N467" i="18"/>
  <c r="J467" i="15"/>
  <c r="R467" i="18"/>
  <c r="N467" i="15"/>
  <c r="Q467" i="18"/>
  <c r="M467" i="15"/>
  <c r="O467" i="18"/>
  <c r="K467" i="15"/>
  <c r="P467" i="18"/>
  <c r="L467" i="15"/>
  <c r="V470" i="18"/>
  <c r="R470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S90" i="18" l="1"/>
  <c r="U90" i="18"/>
  <c r="S88" i="18"/>
  <c r="N91" i="18"/>
  <c r="W90" i="18"/>
  <c r="T88" i="18"/>
  <c r="M91" i="18"/>
  <c r="T118" i="18"/>
  <c r="M89" i="18"/>
  <c r="R90" i="18"/>
  <c r="T90" i="18"/>
  <c r="V90" i="18"/>
  <c r="L91" i="18"/>
  <c r="V88" i="18"/>
  <c r="W120" i="18"/>
  <c r="L89" i="18"/>
  <c r="U118" i="18"/>
  <c r="W118" i="18"/>
  <c r="P121" i="18"/>
  <c r="U91" i="18"/>
  <c r="R89" i="18"/>
  <c r="O87" i="18"/>
  <c r="T89" i="18"/>
  <c r="S119" i="18"/>
  <c r="T119" i="18"/>
  <c r="T122" i="18"/>
  <c r="Q120" i="18"/>
  <c r="R120" i="18"/>
  <c r="R88" i="18"/>
  <c r="L121" i="18"/>
  <c r="O118" i="18"/>
  <c r="P118" i="18"/>
  <c r="Q118" i="18"/>
  <c r="O91" i="18"/>
  <c r="N121" i="18"/>
  <c r="N89" i="18"/>
  <c r="M119" i="18"/>
  <c r="V91" i="18"/>
  <c r="T121" i="18"/>
  <c r="L118" i="18"/>
  <c r="M118" i="18"/>
  <c r="W122" i="18"/>
  <c r="U120" i="18"/>
  <c r="U88" i="18"/>
  <c r="V120" i="18"/>
  <c r="M121" i="18"/>
  <c r="R91" i="18"/>
  <c r="L87" i="18"/>
  <c r="M87" i="18"/>
  <c r="N119" i="18"/>
  <c r="R121" i="18"/>
  <c r="W91" i="18"/>
  <c r="P87" i="18"/>
  <c r="U89" i="18"/>
  <c r="V121" i="18"/>
  <c r="W89" i="18"/>
  <c r="T87" i="18"/>
  <c r="U119" i="18"/>
  <c r="N122" i="18"/>
  <c r="N90" i="18"/>
  <c r="W119" i="18"/>
  <c r="W87" i="18"/>
  <c r="O90" i="18"/>
  <c r="L120" i="18"/>
  <c r="P122" i="18"/>
  <c r="O120" i="18"/>
  <c r="O88" i="18"/>
  <c r="P120" i="18"/>
  <c r="P88" i="18"/>
  <c r="N118" i="18"/>
  <c r="T120" i="18"/>
  <c r="R118" i="18"/>
  <c r="S118" i="18"/>
  <c r="W88" i="18"/>
  <c r="P91" i="18"/>
  <c r="V118" i="18"/>
  <c r="O89" i="18"/>
  <c r="L119" i="18"/>
  <c r="P89" i="18"/>
  <c r="Q121" i="18"/>
  <c r="N87" i="18"/>
  <c r="S121" i="18"/>
  <c r="S89" i="18"/>
  <c r="Q87" i="18"/>
  <c r="R119" i="18"/>
  <c r="V89" i="18"/>
  <c r="W121" i="18"/>
  <c r="L122" i="18"/>
  <c r="L90" i="18"/>
  <c r="M122" i="18"/>
  <c r="M90" i="18"/>
  <c r="V87" i="18"/>
  <c r="L88" i="18"/>
  <c r="P90" i="18"/>
  <c r="M120" i="18"/>
  <c r="Q122" i="18"/>
  <c r="N88" i="18"/>
  <c r="S122" i="18"/>
  <c r="U122" i="18"/>
  <c r="Q88" i="18"/>
  <c r="V122" i="18"/>
  <c r="S120" i="18"/>
  <c r="Q91" i="18"/>
  <c r="O121" i="18"/>
  <c r="S91" i="18"/>
  <c r="T91" i="18"/>
  <c r="Q89" i="18"/>
  <c r="O119" i="18"/>
  <c r="P119" i="18"/>
  <c r="Q119" i="18"/>
  <c r="U121" i="18"/>
  <c r="R87" i="18"/>
  <c r="S87" i="18"/>
  <c r="U87" i="18"/>
  <c r="V119" i="18"/>
  <c r="O122" i="18"/>
  <c r="M88" i="18"/>
  <c r="Q90" i="18"/>
  <c r="N120" i="18"/>
  <c r="R122" i="18"/>
  <c r="S59" i="15"/>
  <c r="X118" i="18" l="1"/>
  <c r="X120" i="18"/>
  <c r="X87" i="18"/>
  <c r="X91" i="18"/>
  <c r="X121" i="18"/>
  <c r="W59" i="18"/>
  <c r="X119" i="18"/>
  <c r="X89" i="18"/>
  <c r="X122" i="18"/>
  <c r="H433" i="15"/>
  <c r="S454" i="15"/>
  <c r="R454" i="15"/>
  <c r="Q454" i="15"/>
  <c r="P454" i="15"/>
  <c r="O454" i="15"/>
  <c r="N454" i="15"/>
  <c r="M454" i="15"/>
  <c r="L454" i="15"/>
  <c r="K454" i="15"/>
  <c r="J454" i="15"/>
  <c r="I454" i="15"/>
  <c r="H454" i="15"/>
  <c r="S453" i="15"/>
  <c r="R453" i="15"/>
  <c r="Q453" i="15"/>
  <c r="P453" i="15"/>
  <c r="O453" i="15"/>
  <c r="N453" i="15"/>
  <c r="M453" i="15"/>
  <c r="L453" i="15"/>
  <c r="K453" i="15"/>
  <c r="J453" i="15"/>
  <c r="I453" i="15"/>
  <c r="H453" i="15"/>
  <c r="S452" i="15"/>
  <c r="R452" i="15"/>
  <c r="Q452" i="15"/>
  <c r="P452" i="15"/>
  <c r="O452" i="15"/>
  <c r="N452" i="15"/>
  <c r="M452" i="15"/>
  <c r="L452" i="15"/>
  <c r="K452" i="15"/>
  <c r="J452" i="15"/>
  <c r="I452" i="15"/>
  <c r="H452" i="15"/>
  <c r="S451" i="15"/>
  <c r="R451" i="15"/>
  <c r="Q451" i="15"/>
  <c r="P451" i="15"/>
  <c r="O451" i="15"/>
  <c r="N451" i="15"/>
  <c r="M451" i="15"/>
  <c r="L451" i="15"/>
  <c r="K451" i="15"/>
  <c r="J451" i="15"/>
  <c r="I451" i="15"/>
  <c r="H451" i="15"/>
  <c r="S450" i="15"/>
  <c r="R450" i="15"/>
  <c r="Q450" i="15"/>
  <c r="P450" i="15"/>
  <c r="O450" i="15"/>
  <c r="N450" i="15"/>
  <c r="M450" i="15"/>
  <c r="L450" i="15"/>
  <c r="K450" i="15"/>
  <c r="J450" i="15"/>
  <c r="I450" i="15"/>
  <c r="H450" i="15"/>
  <c r="S442" i="15"/>
  <c r="R442" i="15"/>
  <c r="Q442" i="15"/>
  <c r="P442" i="15"/>
  <c r="O442" i="15"/>
  <c r="N442" i="15"/>
  <c r="M442" i="15"/>
  <c r="L442" i="15"/>
  <c r="K442" i="15"/>
  <c r="J442" i="15"/>
  <c r="I442" i="15"/>
  <c r="H442" i="15"/>
  <c r="S441" i="15"/>
  <c r="R441" i="15"/>
  <c r="Q441" i="15"/>
  <c r="P441" i="15"/>
  <c r="O441" i="15"/>
  <c r="N441" i="15"/>
  <c r="M441" i="15"/>
  <c r="L441" i="15"/>
  <c r="K441" i="15"/>
  <c r="J441" i="15"/>
  <c r="I441" i="15"/>
  <c r="H441" i="15"/>
  <c r="S433" i="15"/>
  <c r="R433" i="15"/>
  <c r="Q433" i="15"/>
  <c r="P433" i="15"/>
  <c r="O433" i="15"/>
  <c r="N433" i="15"/>
  <c r="M433" i="15"/>
  <c r="L433" i="15"/>
  <c r="K433" i="15"/>
  <c r="J433" i="15"/>
  <c r="I433" i="15"/>
  <c r="S425" i="15"/>
  <c r="R425" i="15"/>
  <c r="Q425" i="15"/>
  <c r="P425" i="15"/>
  <c r="O425" i="15"/>
  <c r="N425" i="15"/>
  <c r="M425" i="15"/>
  <c r="L425" i="15"/>
  <c r="K425" i="15"/>
  <c r="J425" i="15"/>
  <c r="I425" i="15"/>
  <c r="H425" i="15"/>
  <c r="S424" i="15"/>
  <c r="R424" i="15"/>
  <c r="Q424" i="15"/>
  <c r="P424" i="15"/>
  <c r="O424" i="15"/>
  <c r="N424" i="15"/>
  <c r="M424" i="15"/>
  <c r="L424" i="15"/>
  <c r="K424" i="15"/>
  <c r="J424" i="15"/>
  <c r="I424" i="15"/>
  <c r="H424" i="15"/>
  <c r="S423" i="15"/>
  <c r="R423" i="15"/>
  <c r="Q423" i="15"/>
  <c r="P423" i="15"/>
  <c r="O423" i="15"/>
  <c r="N423" i="15"/>
  <c r="M423" i="15"/>
  <c r="L423" i="15"/>
  <c r="K423" i="15"/>
  <c r="J423" i="15"/>
  <c r="I423" i="15"/>
  <c r="H423" i="15"/>
  <c r="S422" i="15"/>
  <c r="R422" i="15"/>
  <c r="Q422" i="15"/>
  <c r="P422" i="15"/>
  <c r="O422" i="15"/>
  <c r="N422" i="15"/>
  <c r="M422" i="15"/>
  <c r="L422" i="15"/>
  <c r="K422" i="15"/>
  <c r="J422" i="15"/>
  <c r="I422" i="15"/>
  <c r="H422" i="15"/>
  <c r="S414" i="15"/>
  <c r="R414" i="15"/>
  <c r="P414" i="15"/>
  <c r="O414" i="15"/>
  <c r="N414" i="15"/>
  <c r="M414" i="15"/>
  <c r="L414" i="15"/>
  <c r="K414" i="15"/>
  <c r="J414" i="15"/>
  <c r="I414" i="15"/>
  <c r="H414" i="15"/>
  <c r="S413" i="15"/>
  <c r="R413" i="15"/>
  <c r="Q413" i="15"/>
  <c r="P413" i="15"/>
  <c r="O413" i="15"/>
  <c r="N413" i="15"/>
  <c r="M413" i="15"/>
  <c r="L413" i="15"/>
  <c r="K413" i="15"/>
  <c r="J413" i="15"/>
  <c r="I413" i="15"/>
  <c r="H413" i="15"/>
  <c r="S412" i="15"/>
  <c r="R412" i="15"/>
  <c r="P412" i="15"/>
  <c r="O412" i="15"/>
  <c r="N412" i="15"/>
  <c r="M412" i="15"/>
  <c r="L412" i="15"/>
  <c r="K412" i="15"/>
  <c r="J412" i="15"/>
  <c r="I412" i="15"/>
  <c r="H412" i="15"/>
  <c r="S411" i="15"/>
  <c r="R411" i="15"/>
  <c r="Q411" i="15"/>
  <c r="P411" i="15"/>
  <c r="O411" i="15"/>
  <c r="N411" i="15"/>
  <c r="M411" i="15"/>
  <c r="L411" i="15"/>
  <c r="K411" i="15"/>
  <c r="J411" i="15"/>
  <c r="I411" i="15"/>
  <c r="H411" i="15"/>
  <c r="S410" i="15"/>
  <c r="R410" i="15"/>
  <c r="Q410" i="15"/>
  <c r="P410" i="15"/>
  <c r="O410" i="15"/>
  <c r="N410" i="15"/>
  <c r="M410" i="15"/>
  <c r="L410" i="15"/>
  <c r="K410" i="15"/>
  <c r="J410" i="15"/>
  <c r="I410" i="15"/>
  <c r="H410" i="15"/>
  <c r="S409" i="15"/>
  <c r="R409" i="15"/>
  <c r="Q409" i="15"/>
  <c r="P409" i="15"/>
  <c r="O409" i="15"/>
  <c r="N409" i="15"/>
  <c r="M409" i="15"/>
  <c r="L409" i="15"/>
  <c r="K409" i="15"/>
  <c r="J409" i="15"/>
  <c r="I409" i="15"/>
  <c r="H409" i="15"/>
  <c r="S408" i="15"/>
  <c r="R408" i="15"/>
  <c r="Q408" i="15"/>
  <c r="P408" i="15"/>
  <c r="O408" i="15"/>
  <c r="N408" i="15"/>
  <c r="M408" i="15"/>
  <c r="L408" i="15"/>
  <c r="K408" i="15"/>
  <c r="J408" i="15"/>
  <c r="I408" i="15"/>
  <c r="H408" i="15"/>
  <c r="S407" i="15"/>
  <c r="R407" i="15"/>
  <c r="Q407" i="15"/>
  <c r="P407" i="15"/>
  <c r="O407" i="15"/>
  <c r="N407" i="15"/>
  <c r="M407" i="15"/>
  <c r="L407" i="15"/>
  <c r="K407" i="15"/>
  <c r="J407" i="15"/>
  <c r="I407" i="15"/>
  <c r="H407" i="15"/>
  <c r="S406" i="15"/>
  <c r="R406" i="15"/>
  <c r="Q406" i="15"/>
  <c r="P406" i="15"/>
  <c r="O406" i="15"/>
  <c r="N406" i="15"/>
  <c r="M406" i="15"/>
  <c r="L406" i="15"/>
  <c r="K406" i="15"/>
  <c r="J406" i="15"/>
  <c r="I406" i="15"/>
  <c r="H406" i="15"/>
  <c r="S405" i="15"/>
  <c r="R405" i="15"/>
  <c r="Q405" i="15"/>
  <c r="P405" i="15"/>
  <c r="O405" i="15"/>
  <c r="N405" i="15"/>
  <c r="M405" i="15"/>
  <c r="L405" i="15"/>
  <c r="K405" i="15"/>
  <c r="J405" i="15"/>
  <c r="I405" i="15"/>
  <c r="H405" i="15"/>
  <c r="S404" i="15"/>
  <c r="R404" i="15"/>
  <c r="Q404" i="15"/>
  <c r="P404" i="15"/>
  <c r="O404" i="15"/>
  <c r="N404" i="15"/>
  <c r="M404" i="15"/>
  <c r="L404" i="15"/>
  <c r="K404" i="15"/>
  <c r="J404" i="15"/>
  <c r="I404" i="15"/>
  <c r="H404" i="15"/>
  <c r="S403" i="15"/>
  <c r="R403" i="15"/>
  <c r="Q403" i="15"/>
  <c r="P403" i="15"/>
  <c r="O403" i="15"/>
  <c r="N403" i="15"/>
  <c r="M403" i="15"/>
  <c r="L403" i="15"/>
  <c r="K403" i="15"/>
  <c r="J403" i="15"/>
  <c r="I403" i="15"/>
  <c r="H403" i="15"/>
  <c r="S402" i="15"/>
  <c r="R402" i="15"/>
  <c r="Q402" i="15"/>
  <c r="P402" i="15"/>
  <c r="O402" i="15"/>
  <c r="N402" i="15"/>
  <c r="M402" i="15"/>
  <c r="L402" i="15"/>
  <c r="K402" i="15"/>
  <c r="J402" i="15"/>
  <c r="I402" i="15"/>
  <c r="H402" i="15"/>
  <c r="S401" i="15"/>
  <c r="R401" i="15"/>
  <c r="Q401" i="15"/>
  <c r="P401" i="15"/>
  <c r="O401" i="15"/>
  <c r="N401" i="15"/>
  <c r="M401" i="15"/>
  <c r="L401" i="15"/>
  <c r="K401" i="15"/>
  <c r="J401" i="15"/>
  <c r="I401" i="15"/>
  <c r="H401" i="15"/>
  <c r="S400" i="15"/>
  <c r="R400" i="15"/>
  <c r="Q400" i="15"/>
  <c r="P400" i="15"/>
  <c r="O400" i="15"/>
  <c r="N400" i="15"/>
  <c r="M400" i="15"/>
  <c r="L400" i="15"/>
  <c r="K400" i="15"/>
  <c r="J400" i="15"/>
  <c r="I400" i="15"/>
  <c r="H400" i="15"/>
  <c r="S399" i="15"/>
  <c r="R399" i="15"/>
  <c r="Q399" i="15"/>
  <c r="P399" i="15"/>
  <c r="O399" i="15"/>
  <c r="N399" i="15"/>
  <c r="M399" i="15"/>
  <c r="L399" i="15"/>
  <c r="K399" i="15"/>
  <c r="J399" i="15"/>
  <c r="I399" i="15"/>
  <c r="H399" i="15"/>
  <c r="S398" i="15"/>
  <c r="R398" i="15"/>
  <c r="Q398" i="15"/>
  <c r="P398" i="15"/>
  <c r="O398" i="15"/>
  <c r="N398" i="15"/>
  <c r="M398" i="15"/>
  <c r="L398" i="15"/>
  <c r="K398" i="15"/>
  <c r="J398" i="15"/>
  <c r="I398" i="15"/>
  <c r="H398" i="15"/>
  <c r="S397" i="15"/>
  <c r="R397" i="15"/>
  <c r="Q397" i="15"/>
  <c r="P397" i="15"/>
  <c r="O397" i="15"/>
  <c r="N397" i="15"/>
  <c r="M397" i="15"/>
  <c r="L397" i="15"/>
  <c r="K397" i="15"/>
  <c r="J397" i="15"/>
  <c r="I397" i="15"/>
  <c r="H397" i="15"/>
  <c r="S396" i="15"/>
  <c r="R396" i="15"/>
  <c r="Q396" i="15"/>
  <c r="P396" i="15"/>
  <c r="O396" i="15"/>
  <c r="N396" i="15"/>
  <c r="M396" i="15"/>
  <c r="L396" i="15"/>
  <c r="K396" i="15"/>
  <c r="J396" i="15"/>
  <c r="I396" i="15"/>
  <c r="H396" i="15"/>
  <c r="S395" i="15"/>
  <c r="R395" i="15"/>
  <c r="Q395" i="15"/>
  <c r="P395" i="15"/>
  <c r="O395" i="15"/>
  <c r="N395" i="15"/>
  <c r="M395" i="15"/>
  <c r="L395" i="15"/>
  <c r="K395" i="15"/>
  <c r="J395" i="15"/>
  <c r="I395" i="15"/>
  <c r="H395" i="15"/>
  <c r="S394" i="15"/>
  <c r="R394" i="15"/>
  <c r="Q394" i="15"/>
  <c r="P394" i="15"/>
  <c r="O394" i="15"/>
  <c r="N394" i="15"/>
  <c r="M394" i="15"/>
  <c r="L394" i="15"/>
  <c r="K394" i="15"/>
  <c r="J394" i="15"/>
  <c r="I394" i="15"/>
  <c r="H394" i="15"/>
  <c r="S393" i="15"/>
  <c r="R393" i="15"/>
  <c r="Q393" i="15"/>
  <c r="P393" i="15"/>
  <c r="O393" i="15"/>
  <c r="N393" i="15"/>
  <c r="M393" i="15"/>
  <c r="L393" i="15"/>
  <c r="K393" i="15"/>
  <c r="J393" i="15"/>
  <c r="I393" i="15"/>
  <c r="H393" i="15"/>
  <c r="S392" i="15"/>
  <c r="R392" i="15"/>
  <c r="Q392" i="15"/>
  <c r="P392" i="15"/>
  <c r="O392" i="15"/>
  <c r="N392" i="15"/>
  <c r="M392" i="15"/>
  <c r="L392" i="15"/>
  <c r="K392" i="15"/>
  <c r="J392" i="15"/>
  <c r="I392" i="15"/>
  <c r="H392" i="15"/>
  <c r="S391" i="15"/>
  <c r="R391" i="15"/>
  <c r="Q391" i="15"/>
  <c r="P391" i="15"/>
  <c r="O391" i="15"/>
  <c r="N391" i="15"/>
  <c r="M391" i="15"/>
  <c r="L391" i="15"/>
  <c r="K391" i="15"/>
  <c r="J391" i="15"/>
  <c r="I391" i="15"/>
  <c r="H391" i="15"/>
  <c r="S390" i="15"/>
  <c r="R390" i="15"/>
  <c r="Q390" i="15"/>
  <c r="P390" i="15"/>
  <c r="O390" i="15"/>
  <c r="N390" i="15"/>
  <c r="M390" i="15"/>
  <c r="L390" i="15"/>
  <c r="K390" i="15"/>
  <c r="J390" i="15"/>
  <c r="I390" i="15"/>
  <c r="H390" i="15"/>
  <c r="S389" i="15"/>
  <c r="R389" i="15"/>
  <c r="Q389" i="15"/>
  <c r="P389" i="15"/>
  <c r="O389" i="15"/>
  <c r="N389" i="15"/>
  <c r="M389" i="15"/>
  <c r="L389" i="15"/>
  <c r="K389" i="15"/>
  <c r="J389" i="15"/>
  <c r="I389" i="15"/>
  <c r="H389" i="15"/>
  <c r="S388" i="15"/>
  <c r="R388" i="15"/>
  <c r="Q388" i="15"/>
  <c r="P388" i="15"/>
  <c r="O388" i="15"/>
  <c r="N388" i="15"/>
  <c r="M388" i="15"/>
  <c r="L388" i="15"/>
  <c r="K388" i="15"/>
  <c r="J388" i="15"/>
  <c r="I388" i="15"/>
  <c r="H388" i="15"/>
  <c r="S387" i="15"/>
  <c r="R387" i="15"/>
  <c r="Q387" i="15"/>
  <c r="P387" i="15"/>
  <c r="O387" i="15"/>
  <c r="N387" i="15"/>
  <c r="M387" i="15"/>
  <c r="L387" i="15"/>
  <c r="K387" i="15"/>
  <c r="J387" i="15"/>
  <c r="I387" i="15"/>
  <c r="H387" i="15"/>
  <c r="S386" i="15"/>
  <c r="R386" i="15"/>
  <c r="Q386" i="15"/>
  <c r="P386" i="15"/>
  <c r="O386" i="15"/>
  <c r="N386" i="15"/>
  <c r="M386" i="15"/>
  <c r="L386" i="15"/>
  <c r="K386" i="15"/>
  <c r="J386" i="15"/>
  <c r="I386" i="15"/>
  <c r="H386" i="15"/>
  <c r="S385" i="15"/>
  <c r="R385" i="15"/>
  <c r="Q385" i="15"/>
  <c r="P385" i="15"/>
  <c r="O385" i="15"/>
  <c r="N385" i="15"/>
  <c r="M385" i="15"/>
  <c r="L385" i="15"/>
  <c r="K385" i="15"/>
  <c r="J385" i="15"/>
  <c r="I385" i="15"/>
  <c r="H385" i="15"/>
  <c r="S384" i="15"/>
  <c r="R384" i="15"/>
  <c r="Q384" i="15"/>
  <c r="P384" i="15"/>
  <c r="O384" i="15"/>
  <c r="N384" i="15"/>
  <c r="M384" i="15"/>
  <c r="L384" i="15"/>
  <c r="K384" i="15"/>
  <c r="J384" i="15"/>
  <c r="I384" i="15"/>
  <c r="H384" i="15"/>
  <c r="S383" i="15"/>
  <c r="R383" i="15"/>
  <c r="Q383" i="15"/>
  <c r="P383" i="15"/>
  <c r="O383" i="15"/>
  <c r="N383" i="15"/>
  <c r="M383" i="15"/>
  <c r="L383" i="15"/>
  <c r="K383" i="15"/>
  <c r="J383" i="15"/>
  <c r="I383" i="15"/>
  <c r="H383" i="15"/>
  <c r="S382" i="15"/>
  <c r="R382" i="15"/>
  <c r="Q382" i="15"/>
  <c r="P382" i="15"/>
  <c r="O382" i="15"/>
  <c r="N382" i="15"/>
  <c r="M382" i="15"/>
  <c r="L382" i="15"/>
  <c r="K382" i="15"/>
  <c r="J382" i="15"/>
  <c r="I382" i="15"/>
  <c r="H382" i="15"/>
  <c r="S381" i="15"/>
  <c r="R381" i="15"/>
  <c r="Q381" i="15"/>
  <c r="P381" i="15"/>
  <c r="O381" i="15"/>
  <c r="N381" i="15"/>
  <c r="M381" i="15"/>
  <c r="L381" i="15"/>
  <c r="K381" i="15"/>
  <c r="J381" i="15"/>
  <c r="I381" i="15"/>
  <c r="H381" i="15"/>
  <c r="S380" i="15"/>
  <c r="R380" i="15"/>
  <c r="Q380" i="15"/>
  <c r="P380" i="15"/>
  <c r="O380" i="15"/>
  <c r="N380" i="15"/>
  <c r="M380" i="15"/>
  <c r="L380" i="15"/>
  <c r="K380" i="15"/>
  <c r="J380" i="15"/>
  <c r="I380" i="15"/>
  <c r="H380" i="15"/>
  <c r="S379" i="15"/>
  <c r="R379" i="15"/>
  <c r="Q379" i="15"/>
  <c r="P379" i="15"/>
  <c r="O379" i="15"/>
  <c r="N379" i="15"/>
  <c r="M379" i="15"/>
  <c r="L379" i="15"/>
  <c r="K379" i="15"/>
  <c r="J379" i="15"/>
  <c r="I379" i="15"/>
  <c r="H379" i="15"/>
  <c r="S378" i="15"/>
  <c r="R378" i="15"/>
  <c r="Q378" i="15"/>
  <c r="P378" i="15"/>
  <c r="O378" i="15"/>
  <c r="N378" i="15"/>
  <c r="M378" i="15"/>
  <c r="L378" i="15"/>
  <c r="K378" i="15"/>
  <c r="J378" i="15"/>
  <c r="I378" i="15"/>
  <c r="H378" i="15"/>
  <c r="S377" i="15"/>
  <c r="R377" i="15"/>
  <c r="Q377" i="15"/>
  <c r="P377" i="15"/>
  <c r="O377" i="15"/>
  <c r="N377" i="15"/>
  <c r="M377" i="15"/>
  <c r="L377" i="15"/>
  <c r="K377" i="15"/>
  <c r="J377" i="15"/>
  <c r="I377" i="15"/>
  <c r="H377" i="15"/>
  <c r="S376" i="15"/>
  <c r="R376" i="15"/>
  <c r="Q376" i="15"/>
  <c r="P376" i="15"/>
  <c r="O376" i="15"/>
  <c r="N376" i="15"/>
  <c r="M376" i="15"/>
  <c r="L376" i="15"/>
  <c r="K376" i="15"/>
  <c r="J376" i="15"/>
  <c r="I376" i="15"/>
  <c r="H376" i="15"/>
  <c r="S375" i="15"/>
  <c r="R375" i="15"/>
  <c r="Q375" i="15"/>
  <c r="P375" i="15"/>
  <c r="O375" i="15"/>
  <c r="N375" i="15"/>
  <c r="M375" i="15"/>
  <c r="L375" i="15"/>
  <c r="K375" i="15"/>
  <c r="J375" i="15"/>
  <c r="I375" i="15"/>
  <c r="H375" i="15"/>
  <c r="S374" i="15"/>
  <c r="R374" i="15"/>
  <c r="Q374" i="15"/>
  <c r="P374" i="15"/>
  <c r="O374" i="15"/>
  <c r="N374" i="15"/>
  <c r="M374" i="15"/>
  <c r="L374" i="15"/>
  <c r="K374" i="15"/>
  <c r="J374" i="15"/>
  <c r="I374" i="15"/>
  <c r="H374" i="15"/>
  <c r="S373" i="15"/>
  <c r="R373" i="15"/>
  <c r="Q373" i="15"/>
  <c r="P373" i="15"/>
  <c r="O373" i="15"/>
  <c r="N373" i="15"/>
  <c r="M373" i="15"/>
  <c r="L373" i="15"/>
  <c r="K373" i="15"/>
  <c r="J373" i="15"/>
  <c r="I373" i="15"/>
  <c r="H373" i="15"/>
  <c r="S372" i="15"/>
  <c r="R372" i="15"/>
  <c r="Q372" i="15"/>
  <c r="P372" i="15"/>
  <c r="O372" i="15"/>
  <c r="N372" i="15"/>
  <c r="M372" i="15"/>
  <c r="L372" i="15"/>
  <c r="K372" i="15"/>
  <c r="J372" i="15"/>
  <c r="I372" i="15"/>
  <c r="H372" i="15"/>
  <c r="S371" i="15"/>
  <c r="R371" i="15"/>
  <c r="Q371" i="15"/>
  <c r="P371" i="15"/>
  <c r="O371" i="15"/>
  <c r="N371" i="15"/>
  <c r="M371" i="15"/>
  <c r="L371" i="15"/>
  <c r="K371" i="15"/>
  <c r="J371" i="15"/>
  <c r="I371" i="15"/>
  <c r="H371" i="15"/>
  <c r="S370" i="15"/>
  <c r="R370" i="15"/>
  <c r="Q370" i="15"/>
  <c r="P370" i="15"/>
  <c r="O370" i="15"/>
  <c r="N370" i="15"/>
  <c r="M370" i="15"/>
  <c r="L370" i="15"/>
  <c r="K370" i="15"/>
  <c r="J370" i="15"/>
  <c r="I370" i="15"/>
  <c r="H370" i="15"/>
  <c r="S369" i="15"/>
  <c r="R369" i="15"/>
  <c r="Q369" i="15"/>
  <c r="P369" i="15"/>
  <c r="O369" i="15"/>
  <c r="N369" i="15"/>
  <c r="M369" i="15"/>
  <c r="L369" i="15"/>
  <c r="K369" i="15"/>
  <c r="J369" i="15"/>
  <c r="I369" i="15"/>
  <c r="H369" i="15"/>
  <c r="S368" i="15"/>
  <c r="R368" i="15"/>
  <c r="Q368" i="15"/>
  <c r="P368" i="15"/>
  <c r="O368" i="15"/>
  <c r="N368" i="15"/>
  <c r="M368" i="15"/>
  <c r="L368" i="15"/>
  <c r="K368" i="15"/>
  <c r="J368" i="15"/>
  <c r="I368" i="15"/>
  <c r="H368" i="15"/>
  <c r="S367" i="15"/>
  <c r="R367" i="15"/>
  <c r="Q367" i="15"/>
  <c r="P367" i="15"/>
  <c r="O367" i="15"/>
  <c r="N367" i="15"/>
  <c r="M367" i="15"/>
  <c r="L367" i="15"/>
  <c r="K367" i="15"/>
  <c r="J367" i="15"/>
  <c r="I367" i="15"/>
  <c r="H367" i="15"/>
  <c r="S366" i="15"/>
  <c r="R366" i="15"/>
  <c r="Q366" i="15"/>
  <c r="P366" i="15"/>
  <c r="O366" i="15"/>
  <c r="N366" i="15"/>
  <c r="M366" i="15"/>
  <c r="L366" i="15"/>
  <c r="K366" i="15"/>
  <c r="J366" i="15"/>
  <c r="I366" i="15"/>
  <c r="H366" i="15"/>
  <c r="S365" i="15"/>
  <c r="R365" i="15"/>
  <c r="Q365" i="15"/>
  <c r="P365" i="15"/>
  <c r="O365" i="15"/>
  <c r="N365" i="15"/>
  <c r="M365" i="15"/>
  <c r="L365" i="15"/>
  <c r="K365" i="15"/>
  <c r="J365" i="15"/>
  <c r="I365" i="15"/>
  <c r="H365" i="15"/>
  <c r="S364" i="15"/>
  <c r="R364" i="15"/>
  <c r="Q364" i="15"/>
  <c r="P364" i="15"/>
  <c r="O364" i="15"/>
  <c r="N364" i="15"/>
  <c r="M364" i="15"/>
  <c r="L364" i="15"/>
  <c r="K364" i="15"/>
  <c r="J364" i="15"/>
  <c r="I364" i="15"/>
  <c r="H364" i="15"/>
  <c r="S363" i="15"/>
  <c r="R363" i="15"/>
  <c r="Q363" i="15"/>
  <c r="P363" i="15"/>
  <c r="O363" i="15"/>
  <c r="N363" i="15"/>
  <c r="M363" i="15"/>
  <c r="L363" i="15"/>
  <c r="K363" i="15"/>
  <c r="J363" i="15"/>
  <c r="I363" i="15"/>
  <c r="H363" i="15"/>
  <c r="S362" i="15"/>
  <c r="R362" i="15"/>
  <c r="Q362" i="15"/>
  <c r="P362" i="15"/>
  <c r="O362" i="15"/>
  <c r="N362" i="15"/>
  <c r="M362" i="15"/>
  <c r="L362" i="15"/>
  <c r="K362" i="15"/>
  <c r="J362" i="15"/>
  <c r="I362" i="15"/>
  <c r="H362" i="15"/>
  <c r="S361" i="15"/>
  <c r="R361" i="15"/>
  <c r="Q361" i="15"/>
  <c r="P361" i="15"/>
  <c r="O361" i="15"/>
  <c r="N361" i="15"/>
  <c r="M361" i="15"/>
  <c r="L361" i="15"/>
  <c r="K361" i="15"/>
  <c r="J361" i="15"/>
  <c r="I361" i="15"/>
  <c r="H361" i="15"/>
  <c r="S360" i="15"/>
  <c r="R360" i="15"/>
  <c r="Q360" i="15"/>
  <c r="P360" i="15"/>
  <c r="O360" i="15"/>
  <c r="N360" i="15"/>
  <c r="M360" i="15"/>
  <c r="L360" i="15"/>
  <c r="K360" i="15"/>
  <c r="J360" i="15"/>
  <c r="I360" i="15"/>
  <c r="H360" i="15"/>
  <c r="S352" i="15"/>
  <c r="R352" i="15"/>
  <c r="Q352" i="15"/>
  <c r="P352" i="15"/>
  <c r="O352" i="15"/>
  <c r="N352" i="15"/>
  <c r="M352" i="15"/>
  <c r="L352" i="15"/>
  <c r="K352" i="15"/>
  <c r="J352" i="15"/>
  <c r="I352" i="15"/>
  <c r="H352" i="15"/>
  <c r="S351" i="15"/>
  <c r="R351" i="15"/>
  <c r="Q351" i="15"/>
  <c r="P351" i="15"/>
  <c r="O351" i="15"/>
  <c r="N351" i="15"/>
  <c r="M351" i="15"/>
  <c r="L351" i="15"/>
  <c r="K351" i="15"/>
  <c r="J351" i="15"/>
  <c r="I351" i="15"/>
  <c r="H351" i="15"/>
  <c r="S350" i="15"/>
  <c r="R350" i="15"/>
  <c r="Q350" i="15"/>
  <c r="P350" i="15"/>
  <c r="O350" i="15"/>
  <c r="N350" i="15"/>
  <c r="M350" i="15"/>
  <c r="L350" i="15"/>
  <c r="K350" i="15"/>
  <c r="J350" i="15"/>
  <c r="I350" i="15"/>
  <c r="H350" i="15"/>
  <c r="S349" i="15"/>
  <c r="R349" i="15"/>
  <c r="Q349" i="15"/>
  <c r="P349" i="15"/>
  <c r="O349" i="15"/>
  <c r="N349" i="15"/>
  <c r="M349" i="15"/>
  <c r="L349" i="15"/>
  <c r="K349" i="15"/>
  <c r="J349" i="15"/>
  <c r="I349" i="15"/>
  <c r="H349" i="15"/>
  <c r="S348" i="15"/>
  <c r="R348" i="15"/>
  <c r="Q348" i="15"/>
  <c r="P348" i="15"/>
  <c r="O348" i="15"/>
  <c r="N348" i="15"/>
  <c r="M348" i="15"/>
  <c r="L348" i="15"/>
  <c r="K348" i="15"/>
  <c r="J348" i="15"/>
  <c r="I348" i="15"/>
  <c r="H348" i="15"/>
  <c r="S347" i="15"/>
  <c r="R347" i="15"/>
  <c r="Q347" i="15"/>
  <c r="P347" i="15"/>
  <c r="O347" i="15"/>
  <c r="N347" i="15"/>
  <c r="M347" i="15"/>
  <c r="L347" i="15"/>
  <c r="K347" i="15"/>
  <c r="J347" i="15"/>
  <c r="I347" i="15"/>
  <c r="H347" i="15"/>
  <c r="S346" i="15"/>
  <c r="R346" i="15"/>
  <c r="Q346" i="15"/>
  <c r="P346" i="15"/>
  <c r="O346" i="15"/>
  <c r="N346" i="15"/>
  <c r="M346" i="15"/>
  <c r="L346" i="15"/>
  <c r="K346" i="15"/>
  <c r="J346" i="15"/>
  <c r="I346" i="15"/>
  <c r="H346" i="15"/>
  <c r="S345" i="15"/>
  <c r="R345" i="15"/>
  <c r="Q345" i="15"/>
  <c r="P345" i="15"/>
  <c r="O345" i="15"/>
  <c r="N345" i="15"/>
  <c r="M345" i="15"/>
  <c r="L345" i="15"/>
  <c r="J345" i="15"/>
  <c r="I345" i="15"/>
  <c r="H345" i="15"/>
  <c r="S344" i="15"/>
  <c r="R344" i="15"/>
  <c r="Q344" i="15"/>
  <c r="P344" i="15"/>
  <c r="O344" i="15"/>
  <c r="N344" i="15"/>
  <c r="M344" i="15"/>
  <c r="L344" i="15"/>
  <c r="K344" i="15"/>
  <c r="J344" i="15"/>
  <c r="I344" i="15"/>
  <c r="H344" i="15"/>
  <c r="S343" i="15"/>
  <c r="R343" i="15"/>
  <c r="Q343" i="15"/>
  <c r="P343" i="15"/>
  <c r="O343" i="15"/>
  <c r="N343" i="15"/>
  <c r="L343" i="15"/>
  <c r="K343" i="15"/>
  <c r="J343" i="15"/>
  <c r="I343" i="15"/>
  <c r="H343" i="15"/>
  <c r="S342" i="15"/>
  <c r="R342" i="15"/>
  <c r="Q342" i="15"/>
  <c r="P342" i="15"/>
  <c r="O342" i="15"/>
  <c r="N342" i="15"/>
  <c r="M342" i="15"/>
  <c r="L342" i="15"/>
  <c r="K342" i="15"/>
  <c r="J342" i="15"/>
  <c r="I342" i="15"/>
  <c r="H342" i="15"/>
  <c r="S341" i="15"/>
  <c r="R341" i="15"/>
  <c r="Q341" i="15"/>
  <c r="P341" i="15"/>
  <c r="O341" i="15"/>
  <c r="N341" i="15"/>
  <c r="M341" i="15"/>
  <c r="L341" i="15"/>
  <c r="K341" i="15"/>
  <c r="J341" i="15"/>
  <c r="I341" i="15"/>
  <c r="H341" i="15"/>
  <c r="S340" i="15"/>
  <c r="R340" i="15"/>
  <c r="Q340" i="15"/>
  <c r="P340" i="15"/>
  <c r="O340" i="15"/>
  <c r="N340" i="15"/>
  <c r="M340" i="15"/>
  <c r="L340" i="15"/>
  <c r="K340" i="15"/>
  <c r="J340" i="15"/>
  <c r="I340" i="15"/>
  <c r="H340" i="15"/>
  <c r="S332" i="15"/>
  <c r="R332" i="15"/>
  <c r="Q332" i="15"/>
  <c r="P332" i="15"/>
  <c r="O332" i="15"/>
  <c r="N332" i="15"/>
  <c r="M332" i="15"/>
  <c r="L332" i="15"/>
  <c r="K332" i="15"/>
  <c r="J332" i="15"/>
  <c r="I332" i="15"/>
  <c r="H332" i="15"/>
  <c r="S331" i="15"/>
  <c r="R331" i="15"/>
  <c r="Q331" i="15"/>
  <c r="P331" i="15"/>
  <c r="O331" i="15"/>
  <c r="N331" i="15"/>
  <c r="M331" i="15"/>
  <c r="L331" i="15"/>
  <c r="K331" i="15"/>
  <c r="J331" i="15"/>
  <c r="I331" i="15"/>
  <c r="H331" i="15"/>
  <c r="S330" i="15"/>
  <c r="R330" i="15"/>
  <c r="Q330" i="15"/>
  <c r="P330" i="15"/>
  <c r="O330" i="15"/>
  <c r="N330" i="15"/>
  <c r="M330" i="15"/>
  <c r="L330" i="15"/>
  <c r="K330" i="15"/>
  <c r="J330" i="15"/>
  <c r="I330" i="15"/>
  <c r="H330" i="15"/>
  <c r="S329" i="15"/>
  <c r="R329" i="15"/>
  <c r="Q329" i="15"/>
  <c r="P329" i="15"/>
  <c r="O329" i="15"/>
  <c r="N329" i="15"/>
  <c r="M329" i="15"/>
  <c r="L329" i="15"/>
  <c r="K329" i="15"/>
  <c r="J329" i="15"/>
  <c r="I329" i="15"/>
  <c r="H329" i="15"/>
  <c r="S328" i="15"/>
  <c r="R328" i="15"/>
  <c r="Q328" i="15"/>
  <c r="P328" i="15"/>
  <c r="O328" i="15"/>
  <c r="N328" i="15"/>
  <c r="M328" i="15"/>
  <c r="L328" i="15"/>
  <c r="K328" i="15"/>
  <c r="J328" i="15"/>
  <c r="I328" i="15"/>
  <c r="H328" i="15"/>
  <c r="S327" i="15"/>
  <c r="R327" i="15"/>
  <c r="Q327" i="15"/>
  <c r="P327" i="15"/>
  <c r="O327" i="15"/>
  <c r="N327" i="15"/>
  <c r="M327" i="15"/>
  <c r="L327" i="15"/>
  <c r="K327" i="15"/>
  <c r="J327" i="15"/>
  <c r="I327" i="15"/>
  <c r="H327" i="15"/>
  <c r="S326" i="15"/>
  <c r="R326" i="15"/>
  <c r="Q326" i="15"/>
  <c r="P326" i="15"/>
  <c r="O326" i="15"/>
  <c r="N326" i="15"/>
  <c r="M326" i="15"/>
  <c r="L326" i="15"/>
  <c r="K326" i="15"/>
  <c r="J326" i="15"/>
  <c r="I326" i="15"/>
  <c r="H326" i="15"/>
  <c r="S325" i="15"/>
  <c r="R325" i="15"/>
  <c r="Q325" i="15"/>
  <c r="P325" i="15"/>
  <c r="O325" i="15"/>
  <c r="N325" i="15"/>
  <c r="M325" i="15"/>
  <c r="L325" i="15"/>
  <c r="K325" i="15"/>
  <c r="J325" i="15"/>
  <c r="I325" i="15"/>
  <c r="H325" i="15"/>
  <c r="S324" i="15"/>
  <c r="R324" i="15"/>
  <c r="Q324" i="15"/>
  <c r="P324" i="15"/>
  <c r="O324" i="15"/>
  <c r="N324" i="15"/>
  <c r="M324" i="15"/>
  <c r="L324" i="15"/>
  <c r="K324" i="15"/>
  <c r="J324" i="15"/>
  <c r="I324" i="15"/>
  <c r="H324" i="15"/>
  <c r="S323" i="15"/>
  <c r="R323" i="15"/>
  <c r="Q323" i="15"/>
  <c r="P323" i="15"/>
  <c r="O323" i="15"/>
  <c r="N323" i="15"/>
  <c r="M323" i="15"/>
  <c r="L323" i="15"/>
  <c r="K323" i="15"/>
  <c r="J323" i="15"/>
  <c r="I323" i="15"/>
  <c r="H323" i="15"/>
  <c r="S322" i="15"/>
  <c r="R322" i="15"/>
  <c r="Q322" i="15"/>
  <c r="P322" i="15"/>
  <c r="O322" i="15"/>
  <c r="N322" i="15"/>
  <c r="M322" i="15"/>
  <c r="L322" i="15"/>
  <c r="K322" i="15"/>
  <c r="J322" i="15"/>
  <c r="I322" i="15"/>
  <c r="H322" i="15"/>
  <c r="S321" i="15"/>
  <c r="R321" i="15"/>
  <c r="Q321" i="15"/>
  <c r="P321" i="15"/>
  <c r="O321" i="15"/>
  <c r="N321" i="15"/>
  <c r="M321" i="15"/>
  <c r="L321" i="15"/>
  <c r="K321" i="15"/>
  <c r="J321" i="15"/>
  <c r="I321" i="15"/>
  <c r="H321" i="15"/>
  <c r="S320" i="15"/>
  <c r="R320" i="15"/>
  <c r="Q320" i="15"/>
  <c r="P320" i="15"/>
  <c r="O320" i="15"/>
  <c r="N320" i="15"/>
  <c r="M320" i="15"/>
  <c r="L320" i="15"/>
  <c r="K320" i="15"/>
  <c r="J320" i="15"/>
  <c r="I320" i="15"/>
  <c r="H320" i="15"/>
  <c r="S319" i="15"/>
  <c r="R319" i="15"/>
  <c r="Q319" i="15"/>
  <c r="P319" i="15"/>
  <c r="O319" i="15"/>
  <c r="N319" i="15"/>
  <c r="M319" i="15"/>
  <c r="L319" i="15"/>
  <c r="K319" i="15"/>
  <c r="J319" i="15"/>
  <c r="I319" i="15"/>
  <c r="H319" i="15"/>
  <c r="S318" i="15"/>
  <c r="R318" i="15"/>
  <c r="Q318" i="15"/>
  <c r="P318" i="15"/>
  <c r="O318" i="15"/>
  <c r="N318" i="15"/>
  <c r="M318" i="15"/>
  <c r="L318" i="15"/>
  <c r="K318" i="15"/>
  <c r="J318" i="15"/>
  <c r="I318" i="15"/>
  <c r="H318" i="15"/>
  <c r="S317" i="15"/>
  <c r="R317" i="15"/>
  <c r="Q317" i="15"/>
  <c r="P317" i="15"/>
  <c r="O317" i="15"/>
  <c r="N317" i="15"/>
  <c r="M317" i="15"/>
  <c r="L317" i="15"/>
  <c r="K317" i="15"/>
  <c r="J317" i="15"/>
  <c r="I317" i="15"/>
  <c r="H317" i="15"/>
  <c r="S316" i="15"/>
  <c r="R316" i="15"/>
  <c r="Q316" i="15"/>
  <c r="P316" i="15"/>
  <c r="O316" i="15"/>
  <c r="N316" i="15"/>
  <c r="M316" i="15"/>
  <c r="L316" i="15"/>
  <c r="K316" i="15"/>
  <c r="J316" i="15"/>
  <c r="I316" i="15"/>
  <c r="H316" i="15"/>
  <c r="S315" i="15"/>
  <c r="R315" i="15"/>
  <c r="Q315" i="15"/>
  <c r="P315" i="15"/>
  <c r="O315" i="15"/>
  <c r="N315" i="15"/>
  <c r="M315" i="15"/>
  <c r="L315" i="15"/>
  <c r="K315" i="15"/>
  <c r="J315" i="15"/>
  <c r="I315" i="15"/>
  <c r="H315" i="15"/>
  <c r="S314" i="15"/>
  <c r="R314" i="15"/>
  <c r="Q314" i="15"/>
  <c r="P314" i="15"/>
  <c r="O314" i="15"/>
  <c r="N314" i="15"/>
  <c r="M314" i="15"/>
  <c r="L314" i="15"/>
  <c r="K314" i="15"/>
  <c r="J314" i="15"/>
  <c r="I314" i="15"/>
  <c r="H314" i="15"/>
  <c r="S313" i="15"/>
  <c r="R313" i="15"/>
  <c r="Q313" i="15"/>
  <c r="P313" i="15"/>
  <c r="O313" i="15"/>
  <c r="N313" i="15"/>
  <c r="M313" i="15"/>
  <c r="L313" i="15"/>
  <c r="K313" i="15"/>
  <c r="J313" i="15"/>
  <c r="I313" i="15"/>
  <c r="H313" i="15"/>
  <c r="S312" i="15"/>
  <c r="R312" i="15"/>
  <c r="Q312" i="15"/>
  <c r="P312" i="15"/>
  <c r="O312" i="15"/>
  <c r="N312" i="15"/>
  <c r="M312" i="15"/>
  <c r="L312" i="15"/>
  <c r="K312" i="15"/>
  <c r="J312" i="15"/>
  <c r="I312" i="15"/>
  <c r="H312" i="15"/>
  <c r="S311" i="15"/>
  <c r="R311" i="15"/>
  <c r="Q311" i="15"/>
  <c r="P311" i="15"/>
  <c r="O311" i="15"/>
  <c r="N311" i="15"/>
  <c r="M311" i="15"/>
  <c r="L311" i="15"/>
  <c r="K311" i="15"/>
  <c r="J311" i="15"/>
  <c r="I311" i="15"/>
  <c r="H311" i="15"/>
  <c r="S310" i="15"/>
  <c r="R310" i="15"/>
  <c r="Q310" i="15"/>
  <c r="P310" i="15"/>
  <c r="O310" i="15"/>
  <c r="N310" i="15"/>
  <c r="M310" i="15"/>
  <c r="L310" i="15"/>
  <c r="K310" i="15"/>
  <c r="J310" i="15"/>
  <c r="I310" i="15"/>
  <c r="H310" i="15"/>
  <c r="S309" i="15"/>
  <c r="R309" i="15"/>
  <c r="Q309" i="15"/>
  <c r="P309" i="15"/>
  <c r="O309" i="15"/>
  <c r="N309" i="15"/>
  <c r="M309" i="15"/>
  <c r="L309" i="15"/>
  <c r="K309" i="15"/>
  <c r="J309" i="15"/>
  <c r="I309" i="15"/>
  <c r="H309" i="15"/>
  <c r="S308" i="15"/>
  <c r="R308" i="15"/>
  <c r="Q308" i="15"/>
  <c r="P308" i="15"/>
  <c r="O308" i="15"/>
  <c r="N308" i="15"/>
  <c r="M308" i="15"/>
  <c r="L308" i="15"/>
  <c r="K308" i="15"/>
  <c r="J308" i="15"/>
  <c r="I308" i="15"/>
  <c r="H308" i="15"/>
  <c r="S307" i="15"/>
  <c r="R307" i="15"/>
  <c r="Q307" i="15"/>
  <c r="P307" i="15"/>
  <c r="O307" i="15"/>
  <c r="N307" i="15"/>
  <c r="M307" i="15"/>
  <c r="L307" i="15"/>
  <c r="K307" i="15"/>
  <c r="J307" i="15"/>
  <c r="I307" i="15"/>
  <c r="H307" i="15"/>
  <c r="S299" i="15"/>
  <c r="R299" i="15"/>
  <c r="Q299" i="15"/>
  <c r="P299" i="15"/>
  <c r="O299" i="15"/>
  <c r="N299" i="15"/>
  <c r="M299" i="15"/>
  <c r="L299" i="15"/>
  <c r="K299" i="15"/>
  <c r="J299" i="15"/>
  <c r="I299" i="15"/>
  <c r="H299" i="15"/>
  <c r="S298" i="15"/>
  <c r="R298" i="15"/>
  <c r="Q298" i="15"/>
  <c r="P298" i="15"/>
  <c r="O298" i="15"/>
  <c r="N298" i="15"/>
  <c r="M298" i="15"/>
  <c r="L298" i="15"/>
  <c r="K298" i="15"/>
  <c r="J298" i="15"/>
  <c r="I298" i="15"/>
  <c r="H298" i="15"/>
  <c r="S297" i="15"/>
  <c r="R297" i="15"/>
  <c r="Q297" i="15"/>
  <c r="P297" i="15"/>
  <c r="O297" i="15"/>
  <c r="N297" i="15"/>
  <c r="M297" i="15"/>
  <c r="L297" i="15"/>
  <c r="K297" i="15"/>
  <c r="J297" i="15"/>
  <c r="I297" i="15"/>
  <c r="H297" i="15"/>
  <c r="S296" i="15"/>
  <c r="R296" i="15"/>
  <c r="Q296" i="15"/>
  <c r="P296" i="15"/>
  <c r="O296" i="15"/>
  <c r="N296" i="15"/>
  <c r="M296" i="15"/>
  <c r="L296" i="15"/>
  <c r="K296" i="15"/>
  <c r="J296" i="15"/>
  <c r="I296" i="15"/>
  <c r="H296" i="15"/>
  <c r="S295" i="15"/>
  <c r="R295" i="15"/>
  <c r="Q295" i="15"/>
  <c r="P295" i="15"/>
  <c r="O295" i="15"/>
  <c r="N295" i="15"/>
  <c r="M295" i="15"/>
  <c r="L295" i="15"/>
  <c r="K295" i="15"/>
  <c r="J295" i="15"/>
  <c r="I295" i="15"/>
  <c r="H295" i="15"/>
  <c r="S294" i="15"/>
  <c r="R294" i="15"/>
  <c r="Q294" i="15"/>
  <c r="P294" i="15"/>
  <c r="O294" i="15"/>
  <c r="N294" i="15"/>
  <c r="M294" i="15"/>
  <c r="L294" i="15"/>
  <c r="K294" i="15"/>
  <c r="J294" i="15"/>
  <c r="I294" i="15"/>
  <c r="H294" i="15"/>
  <c r="S293" i="15"/>
  <c r="R293" i="15"/>
  <c r="Q293" i="15"/>
  <c r="P293" i="15"/>
  <c r="O293" i="15"/>
  <c r="N293" i="15"/>
  <c r="M293" i="15"/>
  <c r="L293" i="15"/>
  <c r="K293" i="15"/>
  <c r="J293" i="15"/>
  <c r="I293" i="15"/>
  <c r="H293" i="15"/>
  <c r="S292" i="15"/>
  <c r="R292" i="15"/>
  <c r="Q292" i="15"/>
  <c r="P292" i="15"/>
  <c r="O292" i="15"/>
  <c r="N292" i="15"/>
  <c r="M292" i="15"/>
  <c r="L292" i="15"/>
  <c r="K292" i="15"/>
  <c r="J292" i="15"/>
  <c r="I292" i="15"/>
  <c r="H292" i="15"/>
  <c r="S291" i="15"/>
  <c r="R291" i="15"/>
  <c r="Q291" i="15"/>
  <c r="P291" i="15"/>
  <c r="O291" i="15"/>
  <c r="N291" i="15"/>
  <c r="M291" i="15"/>
  <c r="L291" i="15"/>
  <c r="K291" i="15"/>
  <c r="J291" i="15"/>
  <c r="I291" i="15"/>
  <c r="H291" i="15"/>
  <c r="S290" i="15"/>
  <c r="R290" i="15"/>
  <c r="Q290" i="15"/>
  <c r="P290" i="15"/>
  <c r="O290" i="15"/>
  <c r="N290" i="15"/>
  <c r="M290" i="15"/>
  <c r="L290" i="15"/>
  <c r="K290" i="15"/>
  <c r="J290" i="15"/>
  <c r="I290" i="15"/>
  <c r="H290" i="15"/>
  <c r="S289" i="15"/>
  <c r="R289" i="15"/>
  <c r="Q289" i="15"/>
  <c r="P289" i="15"/>
  <c r="O289" i="15"/>
  <c r="N289" i="15"/>
  <c r="M289" i="15"/>
  <c r="L289" i="15"/>
  <c r="K289" i="15"/>
  <c r="J289" i="15"/>
  <c r="I289" i="15"/>
  <c r="H289" i="15"/>
  <c r="S288" i="15"/>
  <c r="R288" i="15"/>
  <c r="Q288" i="15"/>
  <c r="P288" i="15"/>
  <c r="O288" i="15"/>
  <c r="N288" i="15"/>
  <c r="M288" i="15"/>
  <c r="L288" i="15"/>
  <c r="K288" i="15"/>
  <c r="J288" i="15"/>
  <c r="I288" i="15"/>
  <c r="H288" i="15"/>
  <c r="S287" i="15"/>
  <c r="R287" i="15"/>
  <c r="Q287" i="15"/>
  <c r="P287" i="15"/>
  <c r="O287" i="15"/>
  <c r="N287" i="15"/>
  <c r="M287" i="15"/>
  <c r="L287" i="15"/>
  <c r="K287" i="15"/>
  <c r="J287" i="15"/>
  <c r="I287" i="15"/>
  <c r="H287" i="15"/>
  <c r="S286" i="15"/>
  <c r="R286" i="15"/>
  <c r="Q286" i="15"/>
  <c r="P286" i="15"/>
  <c r="O286" i="15"/>
  <c r="N286" i="15"/>
  <c r="M286" i="15"/>
  <c r="L286" i="15"/>
  <c r="K286" i="15"/>
  <c r="J286" i="15"/>
  <c r="I286" i="15"/>
  <c r="H286" i="15"/>
  <c r="S285" i="15"/>
  <c r="R285" i="15"/>
  <c r="Q285" i="15"/>
  <c r="P285" i="15"/>
  <c r="O285" i="15"/>
  <c r="N285" i="15"/>
  <c r="M285" i="15"/>
  <c r="L285" i="15"/>
  <c r="K285" i="15"/>
  <c r="J285" i="15"/>
  <c r="I285" i="15"/>
  <c r="H285" i="15"/>
  <c r="S284" i="15"/>
  <c r="R284" i="15"/>
  <c r="Q284" i="15"/>
  <c r="P284" i="15"/>
  <c r="O284" i="15"/>
  <c r="N284" i="15"/>
  <c r="M284" i="15"/>
  <c r="L284" i="15"/>
  <c r="K284" i="15"/>
  <c r="J284" i="15"/>
  <c r="I284" i="15"/>
  <c r="H284" i="15"/>
  <c r="S283" i="15"/>
  <c r="R283" i="15"/>
  <c r="Q283" i="15"/>
  <c r="P283" i="15"/>
  <c r="O283" i="15"/>
  <c r="N283" i="15"/>
  <c r="M283" i="15"/>
  <c r="L283" i="15"/>
  <c r="K283" i="15"/>
  <c r="J283" i="15"/>
  <c r="I283" i="15"/>
  <c r="H283" i="15"/>
  <c r="S282" i="15"/>
  <c r="R282" i="15"/>
  <c r="Q282" i="15"/>
  <c r="P282" i="15"/>
  <c r="O282" i="15"/>
  <c r="N282" i="15"/>
  <c r="M282" i="15"/>
  <c r="L282" i="15"/>
  <c r="K282" i="15"/>
  <c r="J282" i="15"/>
  <c r="I282" i="15"/>
  <c r="H282" i="15"/>
  <c r="S281" i="15"/>
  <c r="R281" i="15"/>
  <c r="Q281" i="15"/>
  <c r="P281" i="15"/>
  <c r="O281" i="15"/>
  <c r="N281" i="15"/>
  <c r="M281" i="15"/>
  <c r="L281" i="15"/>
  <c r="K281" i="15"/>
  <c r="J281" i="15"/>
  <c r="I281" i="15"/>
  <c r="H281" i="15"/>
  <c r="S280" i="15"/>
  <c r="R280" i="15"/>
  <c r="Q280" i="15"/>
  <c r="P280" i="15"/>
  <c r="O280" i="15"/>
  <c r="N280" i="15"/>
  <c r="M280" i="15"/>
  <c r="L280" i="15"/>
  <c r="K280" i="15"/>
  <c r="J280" i="15"/>
  <c r="I280" i="15"/>
  <c r="H280" i="15"/>
  <c r="S279" i="15"/>
  <c r="R279" i="15"/>
  <c r="Q279" i="15"/>
  <c r="P279" i="15"/>
  <c r="O279" i="15"/>
  <c r="N279" i="15"/>
  <c r="M279" i="15"/>
  <c r="L279" i="15"/>
  <c r="K279" i="15"/>
  <c r="J279" i="15"/>
  <c r="I279" i="15"/>
  <c r="H279" i="15"/>
  <c r="S278" i="15"/>
  <c r="R278" i="15"/>
  <c r="Q278" i="15"/>
  <c r="P278" i="15"/>
  <c r="O278" i="15"/>
  <c r="N278" i="15"/>
  <c r="M278" i="15"/>
  <c r="L278" i="15"/>
  <c r="K278" i="15"/>
  <c r="J278" i="15"/>
  <c r="I278" i="15"/>
  <c r="H278" i="15"/>
  <c r="S277" i="15"/>
  <c r="R277" i="15"/>
  <c r="Q277" i="15"/>
  <c r="P277" i="15"/>
  <c r="O277" i="15"/>
  <c r="N277" i="15"/>
  <c r="M277" i="15"/>
  <c r="L277" i="15"/>
  <c r="K277" i="15"/>
  <c r="J277" i="15"/>
  <c r="I277" i="15"/>
  <c r="H277" i="15"/>
  <c r="S276" i="15"/>
  <c r="R276" i="15"/>
  <c r="Q276" i="15"/>
  <c r="P276" i="15"/>
  <c r="O276" i="15"/>
  <c r="N276" i="15"/>
  <c r="M276" i="15"/>
  <c r="L276" i="15"/>
  <c r="K276" i="15"/>
  <c r="J276" i="15"/>
  <c r="I276" i="15"/>
  <c r="H276" i="15"/>
  <c r="S275" i="15"/>
  <c r="R275" i="15"/>
  <c r="Q275" i="15"/>
  <c r="P275" i="15"/>
  <c r="O275" i="15"/>
  <c r="N275" i="15"/>
  <c r="M275" i="15"/>
  <c r="L275" i="15"/>
  <c r="K275" i="15"/>
  <c r="J275" i="15"/>
  <c r="I275" i="15"/>
  <c r="H275" i="15"/>
  <c r="S274" i="15"/>
  <c r="R274" i="15"/>
  <c r="Q274" i="15"/>
  <c r="P274" i="15"/>
  <c r="O274" i="15"/>
  <c r="N274" i="15"/>
  <c r="M274" i="15"/>
  <c r="L274" i="15"/>
  <c r="K274" i="15"/>
  <c r="J274" i="15"/>
  <c r="I274" i="15"/>
  <c r="H274" i="15"/>
  <c r="S273" i="15"/>
  <c r="R273" i="15"/>
  <c r="Q273" i="15"/>
  <c r="P273" i="15"/>
  <c r="O273" i="15"/>
  <c r="N273" i="15"/>
  <c r="M273" i="15"/>
  <c r="L273" i="15"/>
  <c r="K273" i="15"/>
  <c r="J273" i="15"/>
  <c r="I273" i="15"/>
  <c r="H273" i="15"/>
  <c r="S272" i="15"/>
  <c r="R272" i="15"/>
  <c r="Q272" i="15"/>
  <c r="P272" i="15"/>
  <c r="O272" i="15"/>
  <c r="N272" i="15"/>
  <c r="M272" i="15"/>
  <c r="L272" i="15"/>
  <c r="K272" i="15"/>
  <c r="J272" i="15"/>
  <c r="I272" i="15"/>
  <c r="H272" i="15"/>
  <c r="S271" i="15"/>
  <c r="R271" i="15"/>
  <c r="Q271" i="15"/>
  <c r="P271" i="15"/>
  <c r="O271" i="15"/>
  <c r="N271" i="15"/>
  <c r="M271" i="15"/>
  <c r="L271" i="15"/>
  <c r="K271" i="15"/>
  <c r="J271" i="15"/>
  <c r="I271" i="15"/>
  <c r="H271" i="15"/>
  <c r="S270" i="15"/>
  <c r="R270" i="15"/>
  <c r="Q270" i="15"/>
  <c r="P270" i="15"/>
  <c r="O270" i="15"/>
  <c r="N270" i="15"/>
  <c r="M270" i="15"/>
  <c r="L270" i="15"/>
  <c r="K270" i="15"/>
  <c r="J270" i="15"/>
  <c r="I270" i="15"/>
  <c r="H270" i="15"/>
  <c r="S269" i="15"/>
  <c r="R269" i="15"/>
  <c r="Q269" i="15"/>
  <c r="P269" i="15"/>
  <c r="O269" i="15"/>
  <c r="N269" i="15"/>
  <c r="M269" i="15"/>
  <c r="L269" i="15"/>
  <c r="K269" i="15"/>
  <c r="J269" i="15"/>
  <c r="I269" i="15"/>
  <c r="H269" i="15"/>
  <c r="S268" i="15"/>
  <c r="R268" i="15"/>
  <c r="Q268" i="15"/>
  <c r="P268" i="15"/>
  <c r="O268" i="15"/>
  <c r="N268" i="15"/>
  <c r="M268" i="15"/>
  <c r="L268" i="15"/>
  <c r="K268" i="15"/>
  <c r="J268" i="15"/>
  <c r="I268" i="15"/>
  <c r="H268" i="15"/>
  <c r="S267" i="15"/>
  <c r="R267" i="15"/>
  <c r="Q267" i="15"/>
  <c r="P267" i="15"/>
  <c r="O267" i="15"/>
  <c r="N267" i="15"/>
  <c r="M267" i="15"/>
  <c r="L267" i="15"/>
  <c r="K267" i="15"/>
  <c r="J267" i="15"/>
  <c r="I267" i="15"/>
  <c r="H267" i="15"/>
  <c r="S266" i="15"/>
  <c r="R266" i="15"/>
  <c r="Q266" i="15"/>
  <c r="P266" i="15"/>
  <c r="O266" i="15"/>
  <c r="N266" i="15"/>
  <c r="M266" i="15"/>
  <c r="L266" i="15"/>
  <c r="K266" i="15"/>
  <c r="J266" i="15"/>
  <c r="I266" i="15"/>
  <c r="H266" i="15"/>
  <c r="S265" i="15"/>
  <c r="R265" i="15"/>
  <c r="Q265" i="15"/>
  <c r="P265" i="15"/>
  <c r="O265" i="15"/>
  <c r="N265" i="15"/>
  <c r="M265" i="15"/>
  <c r="L265" i="15"/>
  <c r="K265" i="15"/>
  <c r="J265" i="15"/>
  <c r="I265" i="15"/>
  <c r="H265" i="15"/>
  <c r="S264" i="15"/>
  <c r="R264" i="15"/>
  <c r="Q264" i="15"/>
  <c r="P264" i="15"/>
  <c r="O264" i="15"/>
  <c r="N264" i="15"/>
  <c r="M264" i="15"/>
  <c r="L264" i="15"/>
  <c r="K264" i="15"/>
  <c r="J264" i="15"/>
  <c r="I264" i="15"/>
  <c r="H264" i="15"/>
  <c r="S263" i="15"/>
  <c r="R263" i="15"/>
  <c r="Q263" i="15"/>
  <c r="P263" i="15"/>
  <c r="O263" i="15"/>
  <c r="N263" i="15"/>
  <c r="M263" i="15"/>
  <c r="L263" i="15"/>
  <c r="K263" i="15"/>
  <c r="J263" i="15"/>
  <c r="I263" i="15"/>
  <c r="H263" i="15"/>
  <c r="S262" i="15"/>
  <c r="R262" i="15"/>
  <c r="Q262" i="15"/>
  <c r="P262" i="15"/>
  <c r="O262" i="15"/>
  <c r="N262" i="15"/>
  <c r="M262" i="15"/>
  <c r="L262" i="15"/>
  <c r="K262" i="15"/>
  <c r="J262" i="15"/>
  <c r="I262" i="15"/>
  <c r="H262" i="15"/>
  <c r="S261" i="15"/>
  <c r="R261" i="15"/>
  <c r="Q261" i="15"/>
  <c r="P261" i="15"/>
  <c r="O261" i="15"/>
  <c r="N261" i="15"/>
  <c r="M261" i="15"/>
  <c r="L261" i="15"/>
  <c r="K261" i="15"/>
  <c r="J261" i="15"/>
  <c r="I261" i="15"/>
  <c r="H261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S242" i="15"/>
  <c r="R242" i="15"/>
  <c r="Q242" i="15"/>
  <c r="P242" i="15"/>
  <c r="O242" i="15"/>
  <c r="N242" i="15"/>
  <c r="M242" i="15"/>
  <c r="L242" i="15"/>
  <c r="K242" i="15"/>
  <c r="J242" i="15"/>
  <c r="I242" i="15"/>
  <c r="H242" i="15"/>
  <c r="S241" i="15"/>
  <c r="R241" i="15"/>
  <c r="Q241" i="15"/>
  <c r="P241" i="15"/>
  <c r="O241" i="15"/>
  <c r="N241" i="15"/>
  <c r="M241" i="15"/>
  <c r="L241" i="15"/>
  <c r="K241" i="15"/>
  <c r="J241" i="15"/>
  <c r="I241" i="15"/>
  <c r="H241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S233" i="15"/>
  <c r="R233" i="15"/>
  <c r="Q233" i="15"/>
  <c r="P233" i="15"/>
  <c r="O233" i="15"/>
  <c r="N233" i="15"/>
  <c r="M233" i="15"/>
  <c r="L233" i="15"/>
  <c r="K233" i="15"/>
  <c r="J233" i="15"/>
  <c r="I233" i="15"/>
  <c r="H233" i="15"/>
  <c r="S232" i="15"/>
  <c r="R232" i="15"/>
  <c r="Q232" i="15"/>
  <c r="P232" i="15"/>
  <c r="O232" i="15"/>
  <c r="N232" i="15"/>
  <c r="M232" i="15"/>
  <c r="L232" i="15"/>
  <c r="K232" i="15"/>
  <c r="J232" i="15"/>
  <c r="I232" i="15"/>
  <c r="H232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S223" i="15"/>
  <c r="R223" i="15"/>
  <c r="Q223" i="15"/>
  <c r="P223" i="15"/>
  <c r="O223" i="15"/>
  <c r="N223" i="15"/>
  <c r="M223" i="15"/>
  <c r="L223" i="15"/>
  <c r="K223" i="15"/>
  <c r="J223" i="15"/>
  <c r="I223" i="15"/>
  <c r="H223" i="15"/>
  <c r="S222" i="15"/>
  <c r="R222" i="15"/>
  <c r="Q222" i="15"/>
  <c r="P222" i="15"/>
  <c r="O222" i="15"/>
  <c r="N222" i="15"/>
  <c r="M222" i="15"/>
  <c r="L222" i="15"/>
  <c r="K222" i="15"/>
  <c r="J222" i="15"/>
  <c r="I222" i="15"/>
  <c r="H222" i="15"/>
  <c r="S221" i="15"/>
  <c r="R221" i="15"/>
  <c r="Q221" i="15"/>
  <c r="P221" i="15"/>
  <c r="O221" i="15"/>
  <c r="N221" i="15"/>
  <c r="M221" i="15"/>
  <c r="L221" i="15"/>
  <c r="K221" i="15"/>
  <c r="J221" i="15"/>
  <c r="I221" i="15"/>
  <c r="H221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S216" i="15"/>
  <c r="R216" i="15"/>
  <c r="Q216" i="15"/>
  <c r="P216" i="15"/>
  <c r="O216" i="15"/>
  <c r="N216" i="15"/>
  <c r="M216" i="15"/>
  <c r="L216" i="15"/>
  <c r="K216" i="15"/>
  <c r="J216" i="15"/>
  <c r="I216" i="15"/>
  <c r="H216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S204" i="15"/>
  <c r="R204" i="15"/>
  <c r="Q204" i="15"/>
  <c r="P204" i="15"/>
  <c r="O204" i="15"/>
  <c r="N204" i="15"/>
  <c r="M204" i="15"/>
  <c r="L204" i="15"/>
  <c r="K204" i="15"/>
  <c r="J204" i="15"/>
  <c r="I204" i="15"/>
  <c r="H204" i="15"/>
  <c r="S203" i="15"/>
  <c r="R203" i="15"/>
  <c r="Q203" i="15"/>
  <c r="P203" i="15"/>
  <c r="O203" i="15"/>
  <c r="N203" i="15"/>
  <c r="M203" i="15"/>
  <c r="L203" i="15"/>
  <c r="K203" i="15"/>
  <c r="J203" i="15"/>
  <c r="I203" i="15"/>
  <c r="H203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S199" i="15"/>
  <c r="R199" i="15"/>
  <c r="Q199" i="15"/>
  <c r="P199" i="15"/>
  <c r="O199" i="15"/>
  <c r="N199" i="15"/>
  <c r="M199" i="15"/>
  <c r="L199" i="15"/>
  <c r="K199" i="15"/>
  <c r="J199" i="15"/>
  <c r="I199" i="15"/>
  <c r="H199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S187" i="15"/>
  <c r="R187" i="15"/>
  <c r="Q187" i="15"/>
  <c r="P187" i="15"/>
  <c r="O187" i="15"/>
  <c r="N187" i="15"/>
  <c r="M187" i="15"/>
  <c r="L187" i="15"/>
  <c r="K187" i="15"/>
  <c r="J187" i="15"/>
  <c r="I187" i="15"/>
  <c r="H187" i="15"/>
  <c r="S186" i="15"/>
  <c r="R186" i="15"/>
  <c r="Q186" i="15"/>
  <c r="P186" i="15"/>
  <c r="O186" i="15"/>
  <c r="N186" i="15"/>
  <c r="M186" i="15"/>
  <c r="L186" i="15"/>
  <c r="K186" i="15"/>
  <c r="J186" i="15"/>
  <c r="I186" i="15"/>
  <c r="H186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S181" i="15"/>
  <c r="R181" i="15"/>
  <c r="Q181" i="15"/>
  <c r="P181" i="15"/>
  <c r="O181" i="15"/>
  <c r="N181" i="15"/>
  <c r="M181" i="15"/>
  <c r="L181" i="15"/>
  <c r="K181" i="15"/>
  <c r="J181" i="15"/>
  <c r="I181" i="15"/>
  <c r="H181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S171" i="15"/>
  <c r="R171" i="15"/>
  <c r="Q171" i="15"/>
  <c r="P171" i="15"/>
  <c r="O171" i="15"/>
  <c r="N171" i="15"/>
  <c r="M171" i="15"/>
  <c r="L171" i="15"/>
  <c r="K171" i="15"/>
  <c r="J171" i="15"/>
  <c r="I171" i="15"/>
  <c r="H171" i="15"/>
  <c r="S170" i="15"/>
  <c r="R170" i="15"/>
  <c r="Q170" i="15"/>
  <c r="P170" i="15"/>
  <c r="O170" i="15"/>
  <c r="N170" i="15"/>
  <c r="M170" i="15"/>
  <c r="L170" i="15"/>
  <c r="K170" i="15"/>
  <c r="J170" i="15"/>
  <c r="I170" i="15"/>
  <c r="H170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S97" i="15"/>
  <c r="R97" i="15"/>
  <c r="Q97" i="15"/>
  <c r="Q96" i="15" s="1"/>
  <c r="P97" i="15"/>
  <c r="O97" i="15"/>
  <c r="N97" i="15"/>
  <c r="M97" i="15"/>
  <c r="L97" i="15"/>
  <c r="K97" i="15"/>
  <c r="J97" i="15"/>
  <c r="I97" i="15"/>
  <c r="H97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S80" i="15"/>
  <c r="R80" i="15"/>
  <c r="Q80" i="15"/>
  <c r="Q79" i="15" s="1"/>
  <c r="P80" i="15"/>
  <c r="O80" i="15"/>
  <c r="N80" i="15"/>
  <c r="M80" i="15"/>
  <c r="L80" i="15"/>
  <c r="K80" i="15"/>
  <c r="J80" i="15"/>
  <c r="I80" i="15"/>
  <c r="H80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S71" i="15"/>
  <c r="R71" i="15"/>
  <c r="Q71" i="15"/>
  <c r="Q70" i="15" s="1"/>
  <c r="P71" i="15"/>
  <c r="O71" i="15"/>
  <c r="N71" i="15"/>
  <c r="M71" i="15"/>
  <c r="L71" i="15"/>
  <c r="K71" i="15"/>
  <c r="J71" i="15"/>
  <c r="I71" i="15"/>
  <c r="H71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R59" i="15"/>
  <c r="P59" i="15"/>
  <c r="O59" i="15"/>
  <c r="N59" i="15"/>
  <c r="M59" i="15"/>
  <c r="L59" i="15"/>
  <c r="K59" i="15"/>
  <c r="J59" i="15"/>
  <c r="I59" i="15"/>
  <c r="H59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S29" i="15"/>
  <c r="R29" i="15"/>
  <c r="P29" i="15"/>
  <c r="O29" i="15"/>
  <c r="N29" i="15"/>
  <c r="M29" i="15"/>
  <c r="L29" i="15"/>
  <c r="K29" i="15"/>
  <c r="J29" i="15"/>
  <c r="I29" i="15"/>
  <c r="H29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S9" i="15"/>
  <c r="R9" i="15"/>
  <c r="Q9" i="15"/>
  <c r="P9" i="15"/>
  <c r="O9" i="15"/>
  <c r="N9" i="15"/>
  <c r="M9" i="15"/>
  <c r="L9" i="15"/>
  <c r="K9" i="15"/>
  <c r="J9" i="15"/>
  <c r="I9" i="15"/>
  <c r="H9" i="15"/>
  <c r="T447" i="15"/>
  <c r="T438" i="15"/>
  <c r="T430" i="15"/>
  <c r="T419" i="15"/>
  <c r="T418" i="15"/>
  <c r="T417" i="15"/>
  <c r="T357" i="15"/>
  <c r="T304" i="15"/>
  <c r="T159" i="15"/>
  <c r="T158" i="15"/>
  <c r="T157" i="15"/>
  <c r="T156" i="15"/>
  <c r="T155" i="15"/>
  <c r="T135" i="15"/>
  <c r="T134" i="15"/>
  <c r="T133" i="15"/>
  <c r="T132" i="15"/>
  <c r="T131" i="15"/>
  <c r="T126" i="15"/>
  <c r="T125" i="15"/>
  <c r="T124" i="15"/>
  <c r="T123" i="15"/>
  <c r="T122" i="15"/>
  <c r="T94" i="15"/>
  <c r="T93" i="15"/>
  <c r="T91" i="15"/>
  <c r="T87" i="15"/>
  <c r="T77" i="15"/>
  <c r="T76" i="15"/>
  <c r="T75" i="15"/>
  <c r="T74" i="15"/>
  <c r="T73" i="15"/>
  <c r="T68" i="15"/>
  <c r="T67" i="15"/>
  <c r="T38" i="15"/>
  <c r="T37" i="15"/>
  <c r="T36" i="15"/>
  <c r="T34" i="15"/>
  <c r="Q40" i="15" l="1"/>
  <c r="Q137" i="15"/>
  <c r="O81" i="18"/>
  <c r="W309" i="18"/>
  <c r="P130" i="18"/>
  <c r="M450" i="18"/>
  <c r="M198" i="18"/>
  <c r="R20" i="18"/>
  <c r="V29" i="18"/>
  <c r="V43" i="18"/>
  <c r="N53" i="18"/>
  <c r="S62" i="18"/>
  <c r="S100" i="18"/>
  <c r="W109" i="18"/>
  <c r="O130" i="18"/>
  <c r="W148" i="18"/>
  <c r="O165" i="18"/>
  <c r="S174" i="18"/>
  <c r="S188" i="18"/>
  <c r="S195" i="18"/>
  <c r="W204" i="18"/>
  <c r="O214" i="18"/>
  <c r="S223" i="18"/>
  <c r="S230" i="18"/>
  <c r="O235" i="18"/>
  <c r="S237" i="18"/>
  <c r="W246" i="18"/>
  <c r="S258" i="18"/>
  <c r="S265" i="18"/>
  <c r="O270" i="18"/>
  <c r="S279" i="18"/>
  <c r="W288" i="18"/>
  <c r="S307" i="18"/>
  <c r="O347" i="18"/>
  <c r="T454" i="18"/>
  <c r="O11" i="18"/>
  <c r="O18" i="18"/>
  <c r="S20" i="18"/>
  <c r="O25" i="18"/>
  <c r="O32" i="18"/>
  <c r="S41" i="18"/>
  <c r="O46" i="18"/>
  <c r="S48" i="18"/>
  <c r="W57" i="18"/>
  <c r="P60" i="18"/>
  <c r="T62" i="18"/>
  <c r="L72" i="18"/>
  <c r="P81" i="18"/>
  <c r="L86" i="18"/>
  <c r="T100" i="18"/>
  <c r="T107" i="18"/>
  <c r="L110" i="18"/>
  <c r="P112" i="18"/>
  <c r="T114" i="18"/>
  <c r="L117" i="18"/>
  <c r="T139" i="18"/>
  <c r="L142" i="18"/>
  <c r="P144" i="18"/>
  <c r="T146" i="18"/>
  <c r="L149" i="18"/>
  <c r="P151" i="18"/>
  <c r="T153" i="18"/>
  <c r="L163" i="18"/>
  <c r="P172" i="18"/>
  <c r="T174" i="18"/>
  <c r="L177" i="18"/>
  <c r="P179" i="18"/>
  <c r="T181" i="18"/>
  <c r="L184" i="18"/>
  <c r="P186" i="18"/>
  <c r="T188" i="18"/>
  <c r="L191" i="18"/>
  <c r="P193" i="18"/>
  <c r="T195" i="18"/>
  <c r="L198" i="18"/>
  <c r="P200" i="18"/>
  <c r="T202" i="18"/>
  <c r="L205" i="18"/>
  <c r="T209" i="18"/>
  <c r="L212" i="18"/>
  <c r="P214" i="18"/>
  <c r="T216" i="18"/>
  <c r="L219" i="18"/>
  <c r="P221" i="18"/>
  <c r="T223" i="18"/>
  <c r="L226" i="18"/>
  <c r="P228" i="18"/>
  <c r="T230" i="18"/>
  <c r="L233" i="18"/>
  <c r="P235" i="18"/>
  <c r="T237" i="18"/>
  <c r="L240" i="18"/>
  <c r="P242" i="18"/>
  <c r="T244" i="18"/>
  <c r="L247" i="18"/>
  <c r="P256" i="18"/>
  <c r="T258" i="18"/>
  <c r="L261" i="18"/>
  <c r="P270" i="18"/>
  <c r="T272" i="18"/>
  <c r="L275" i="18"/>
  <c r="P277" i="18"/>
  <c r="T279" i="18"/>
  <c r="L282" i="18"/>
  <c r="P284" i="18"/>
  <c r="T286" i="18"/>
  <c r="L289" i="18"/>
  <c r="P291" i="18"/>
  <c r="T293" i="18"/>
  <c r="L296" i="18"/>
  <c r="P298" i="18"/>
  <c r="T307" i="18"/>
  <c r="L310" i="18"/>
  <c r="P312" i="18"/>
  <c r="T314" i="18"/>
  <c r="L317" i="18"/>
  <c r="P319" i="18"/>
  <c r="T321" i="18"/>
  <c r="L324" i="18"/>
  <c r="P326" i="18"/>
  <c r="T328" i="18"/>
  <c r="L331" i="18"/>
  <c r="P340" i="18"/>
  <c r="T342" i="18"/>
  <c r="L345" i="18"/>
  <c r="P347" i="18"/>
  <c r="T349" i="18"/>
  <c r="L352" i="18"/>
  <c r="P361" i="18"/>
  <c r="T363" i="18"/>
  <c r="L366" i="18"/>
  <c r="P368" i="18"/>
  <c r="T370" i="18"/>
  <c r="L373" i="18"/>
  <c r="P375" i="18"/>
  <c r="T377" i="18"/>
  <c r="L380" i="18"/>
  <c r="P382" i="18"/>
  <c r="T384" i="18"/>
  <c r="L387" i="18"/>
  <c r="P389" i="18"/>
  <c r="T391" i="18"/>
  <c r="L394" i="18"/>
  <c r="P396" i="18"/>
  <c r="T398" i="18"/>
  <c r="L401" i="18"/>
  <c r="P403" i="18"/>
  <c r="T405" i="18"/>
  <c r="L408" i="18"/>
  <c r="P410" i="18"/>
  <c r="T412" i="18"/>
  <c r="L422" i="18"/>
  <c r="P424" i="18"/>
  <c r="Q432" i="15"/>
  <c r="Q431" i="15" s="1"/>
  <c r="U433" i="18"/>
  <c r="U432" i="18" s="1"/>
  <c r="U431" i="18" s="1"/>
  <c r="Q452" i="18"/>
  <c r="U454" i="18"/>
  <c r="L9" i="18"/>
  <c r="P11" i="18"/>
  <c r="T13" i="18"/>
  <c r="L16" i="18"/>
  <c r="P18" i="18"/>
  <c r="T20" i="18"/>
  <c r="L23" i="18"/>
  <c r="P25" i="18"/>
  <c r="T27" i="18"/>
  <c r="L30" i="18"/>
  <c r="P32" i="18"/>
  <c r="T41" i="18"/>
  <c r="L44" i="18"/>
  <c r="P46" i="18"/>
  <c r="T48" i="18"/>
  <c r="L51" i="18"/>
  <c r="P53" i="18"/>
  <c r="T55" i="18"/>
  <c r="L58" i="18"/>
  <c r="Q60" i="18"/>
  <c r="U62" i="18"/>
  <c r="M72" i="18"/>
  <c r="Q81" i="18"/>
  <c r="U83" i="18"/>
  <c r="M86" i="18"/>
  <c r="Q98" i="18"/>
  <c r="U100" i="18"/>
  <c r="M103" i="18"/>
  <c r="Q105" i="18"/>
  <c r="U107" i="18"/>
  <c r="M110" i="18"/>
  <c r="Q112" i="18"/>
  <c r="U114" i="18"/>
  <c r="M117" i="18"/>
  <c r="Q130" i="18"/>
  <c r="U139" i="18"/>
  <c r="M142" i="18"/>
  <c r="Q144" i="18"/>
  <c r="U146" i="18"/>
  <c r="M149" i="18"/>
  <c r="Q151" i="18"/>
  <c r="U153" i="18"/>
  <c r="M163" i="18"/>
  <c r="Q165" i="18"/>
  <c r="U167" i="18"/>
  <c r="M170" i="18"/>
  <c r="Q172" i="18"/>
  <c r="U174" i="18"/>
  <c r="M177" i="18"/>
  <c r="Q179" i="18"/>
  <c r="U181" i="18"/>
  <c r="M184" i="18"/>
  <c r="Q186" i="18"/>
  <c r="U188" i="18"/>
  <c r="M191" i="18"/>
  <c r="Q193" i="18"/>
  <c r="U195" i="18"/>
  <c r="Q200" i="18"/>
  <c r="U202" i="18"/>
  <c r="M205" i="18"/>
  <c r="Q207" i="18"/>
  <c r="U209" i="18"/>
  <c r="M212" i="18"/>
  <c r="Q214" i="18"/>
  <c r="U216" i="18"/>
  <c r="M219" i="18"/>
  <c r="Q221" i="18"/>
  <c r="U223" i="18"/>
  <c r="M226" i="18"/>
  <c r="Q228" i="18"/>
  <c r="U230" i="18"/>
  <c r="M233" i="18"/>
  <c r="Q235" i="18"/>
  <c r="U237" i="18"/>
  <c r="M240" i="18"/>
  <c r="Q242" i="18"/>
  <c r="U244" i="18"/>
  <c r="M247" i="18"/>
  <c r="Q256" i="18"/>
  <c r="U258" i="18"/>
  <c r="M261" i="18"/>
  <c r="Q263" i="18"/>
  <c r="U265" i="18"/>
  <c r="M268" i="18"/>
  <c r="Q270" i="18"/>
  <c r="U272" i="18"/>
  <c r="M275" i="18"/>
  <c r="Q277" i="18"/>
  <c r="U279" i="18"/>
  <c r="M282" i="18"/>
  <c r="Q284" i="18"/>
  <c r="U286" i="18"/>
  <c r="M289" i="18"/>
  <c r="Q291" i="18"/>
  <c r="U293" i="18"/>
  <c r="M296" i="18"/>
  <c r="Q298" i="18"/>
  <c r="U307" i="18"/>
  <c r="M310" i="18"/>
  <c r="Q312" i="18"/>
  <c r="U314" i="18"/>
  <c r="M317" i="18"/>
  <c r="Q319" i="18"/>
  <c r="U321" i="18"/>
  <c r="M324" i="18"/>
  <c r="Q326" i="18"/>
  <c r="U328" i="18"/>
  <c r="M331" i="18"/>
  <c r="Q340" i="18"/>
  <c r="U342" i="18"/>
  <c r="M345" i="18"/>
  <c r="Q347" i="18"/>
  <c r="U349" i="18"/>
  <c r="M352" i="18"/>
  <c r="Q361" i="18"/>
  <c r="U363" i="18"/>
  <c r="M366" i="18"/>
  <c r="Q368" i="18"/>
  <c r="U370" i="18"/>
  <c r="M373" i="18"/>
  <c r="Q375" i="18"/>
  <c r="U377" i="18"/>
  <c r="M380" i="18"/>
  <c r="Q382" i="18"/>
  <c r="U384" i="18"/>
  <c r="M387" i="18"/>
  <c r="Q389" i="18"/>
  <c r="U391" i="18"/>
  <c r="M394" i="18"/>
  <c r="Q396" i="18"/>
  <c r="U398" i="18"/>
  <c r="M401" i="18"/>
  <c r="Q403" i="18"/>
  <c r="U405" i="18"/>
  <c r="M408" i="18"/>
  <c r="Q410" i="18"/>
  <c r="U412" i="18"/>
  <c r="M422" i="18"/>
  <c r="Q424" i="18"/>
  <c r="R432" i="15"/>
  <c r="R431" i="15" s="1"/>
  <c r="V433" i="18"/>
  <c r="V432" i="18" s="1"/>
  <c r="V431" i="18" s="1"/>
  <c r="N450" i="18"/>
  <c r="R452" i="18"/>
  <c r="V454" i="18"/>
  <c r="M9" i="18"/>
  <c r="Q11" i="18"/>
  <c r="U13" i="18"/>
  <c r="M16" i="18"/>
  <c r="Q18" i="18"/>
  <c r="U20" i="18"/>
  <c r="M23" i="18"/>
  <c r="Q25" i="18"/>
  <c r="U27" i="18"/>
  <c r="M30" i="18"/>
  <c r="Q32" i="18"/>
  <c r="U41" i="18"/>
  <c r="M44" i="18"/>
  <c r="Q46" i="18"/>
  <c r="U48" i="18"/>
  <c r="M51" i="18"/>
  <c r="Q53" i="18"/>
  <c r="U55" i="18"/>
  <c r="M58" i="18"/>
  <c r="R60" i="18"/>
  <c r="V62" i="18"/>
  <c r="N72" i="18"/>
  <c r="R81" i="18"/>
  <c r="V83" i="18"/>
  <c r="N86" i="18"/>
  <c r="R98" i="18"/>
  <c r="V100" i="18"/>
  <c r="N103" i="18"/>
  <c r="R112" i="18"/>
  <c r="R55" i="18"/>
  <c r="O403" i="18"/>
  <c r="S139" i="18"/>
  <c r="O410" i="18"/>
  <c r="W43" i="18"/>
  <c r="P207" i="18"/>
  <c r="M14" i="18"/>
  <c r="U53" i="18"/>
  <c r="N108" i="18"/>
  <c r="R142" i="18"/>
  <c r="V165" i="18"/>
  <c r="R177" i="18"/>
  <c r="V186" i="18"/>
  <c r="N189" i="18"/>
  <c r="R198" i="18"/>
  <c r="N203" i="18"/>
  <c r="R205" i="18"/>
  <c r="V207" i="18"/>
  <c r="N210" i="18"/>
  <c r="V214" i="18"/>
  <c r="R219" i="18"/>
  <c r="N224" i="18"/>
  <c r="R226" i="18"/>
  <c r="V235" i="18"/>
  <c r="N238" i="18"/>
  <c r="R240" i="18"/>
  <c r="V242" i="18"/>
  <c r="N245" i="18"/>
  <c r="R247" i="18"/>
  <c r="V256" i="18"/>
  <c r="N259" i="18"/>
  <c r="R261" i="18"/>
  <c r="V263" i="18"/>
  <c r="N266" i="18"/>
  <c r="R268" i="18"/>
  <c r="V270" i="18"/>
  <c r="N273" i="18"/>
  <c r="R275" i="18"/>
  <c r="V277" i="18"/>
  <c r="N280" i="18"/>
  <c r="R282" i="18"/>
  <c r="V284" i="18"/>
  <c r="N287" i="18"/>
  <c r="R289" i="18"/>
  <c r="V291" i="18"/>
  <c r="N294" i="18"/>
  <c r="R296" i="18"/>
  <c r="V298" i="18"/>
  <c r="N308" i="18"/>
  <c r="R310" i="18"/>
  <c r="V312" i="18"/>
  <c r="N315" i="18"/>
  <c r="R317" i="18"/>
  <c r="V319" i="18"/>
  <c r="N322" i="18"/>
  <c r="R324" i="18"/>
  <c r="V326" i="18"/>
  <c r="N329" i="18"/>
  <c r="R331" i="18"/>
  <c r="V340" i="18"/>
  <c r="N343" i="18"/>
  <c r="R345" i="18"/>
  <c r="V347" i="18"/>
  <c r="N350" i="18"/>
  <c r="R394" i="18"/>
  <c r="R422" i="18"/>
  <c r="O186" i="18"/>
  <c r="O424" i="18"/>
  <c r="W116" i="18"/>
  <c r="W407" i="18"/>
  <c r="V98" i="18"/>
  <c r="V221" i="18"/>
  <c r="W176" i="18"/>
  <c r="W414" i="18"/>
  <c r="T83" i="18"/>
  <c r="Q30" i="18"/>
  <c r="V200" i="18"/>
  <c r="W85" i="18"/>
  <c r="S412" i="18"/>
  <c r="M49" i="18"/>
  <c r="R212" i="18"/>
  <c r="N11" i="18"/>
  <c r="V15" i="18"/>
  <c r="V22" i="18"/>
  <c r="N32" i="18"/>
  <c r="V50" i="18"/>
  <c r="W71" i="18"/>
  <c r="S107" i="18"/>
  <c r="W141" i="18"/>
  <c r="O151" i="18"/>
  <c r="S167" i="18"/>
  <c r="S181" i="18"/>
  <c r="O193" i="18"/>
  <c r="S202" i="18"/>
  <c r="W211" i="18"/>
  <c r="O221" i="18"/>
  <c r="W232" i="18"/>
  <c r="W239" i="18"/>
  <c r="O256" i="18"/>
  <c r="W267" i="18"/>
  <c r="W274" i="18"/>
  <c r="W281" i="18"/>
  <c r="O291" i="18"/>
  <c r="O298" i="18"/>
  <c r="W316" i="18"/>
  <c r="W323" i="18"/>
  <c r="S328" i="18"/>
  <c r="W344" i="18"/>
  <c r="O361" i="18"/>
  <c r="O375" i="18"/>
  <c r="W386" i="18"/>
  <c r="O396" i="18"/>
  <c r="L450" i="18"/>
  <c r="S13" i="18"/>
  <c r="S27" i="18"/>
  <c r="S55" i="18"/>
  <c r="P105" i="18"/>
  <c r="T167" i="18"/>
  <c r="T265" i="18"/>
  <c r="Q16" i="18"/>
  <c r="Q23" i="18"/>
  <c r="U32" i="18"/>
  <c r="U46" i="18"/>
  <c r="M56" i="18"/>
  <c r="R72" i="18"/>
  <c r="R103" i="18"/>
  <c r="V112" i="18"/>
  <c r="N140" i="18"/>
  <c r="N154" i="18"/>
  <c r="R170" i="18"/>
  <c r="N182" i="18"/>
  <c r="N196" i="18"/>
  <c r="N231" i="18"/>
  <c r="N18" i="18"/>
  <c r="N25" i="18"/>
  <c r="R41" i="18"/>
  <c r="R48" i="18"/>
  <c r="O60" i="18"/>
  <c r="S83" i="18"/>
  <c r="O105" i="18"/>
  <c r="O112" i="18"/>
  <c r="O144" i="18"/>
  <c r="S153" i="18"/>
  <c r="O172" i="18"/>
  <c r="W183" i="18"/>
  <c r="W197" i="18"/>
  <c r="S209" i="18"/>
  <c r="W218" i="18"/>
  <c r="O228" i="18"/>
  <c r="S244" i="18"/>
  <c r="O263" i="18"/>
  <c r="O277" i="18"/>
  <c r="S286" i="18"/>
  <c r="S293" i="18"/>
  <c r="O312" i="18"/>
  <c r="S321" i="18"/>
  <c r="W330" i="18"/>
  <c r="S342" i="18"/>
  <c r="W351" i="18"/>
  <c r="W365" i="18"/>
  <c r="W372" i="18"/>
  <c r="S384" i="18"/>
  <c r="S398" i="18"/>
  <c r="P452" i="18"/>
  <c r="W22" i="18"/>
  <c r="O53" i="18"/>
  <c r="L103" i="18"/>
  <c r="L170" i="18"/>
  <c r="P263" i="18"/>
  <c r="Q9" i="18"/>
  <c r="M21" i="18"/>
  <c r="M28" i="18"/>
  <c r="Q44" i="18"/>
  <c r="Q58" i="18"/>
  <c r="N63" i="18"/>
  <c r="N84" i="18"/>
  <c r="R86" i="18"/>
  <c r="V105" i="18"/>
  <c r="N115" i="18"/>
  <c r="R128" i="15"/>
  <c r="R127" i="15" s="1"/>
  <c r="V130" i="18"/>
  <c r="N147" i="18"/>
  <c r="R149" i="18"/>
  <c r="R163" i="18"/>
  <c r="N168" i="18"/>
  <c r="V172" i="18"/>
  <c r="V179" i="18"/>
  <c r="R191" i="18"/>
  <c r="R233" i="18"/>
  <c r="W102" i="18"/>
  <c r="S405" i="18"/>
  <c r="V60" i="18"/>
  <c r="N217" i="18"/>
  <c r="R13" i="18"/>
  <c r="R27" i="18"/>
  <c r="N46" i="18"/>
  <c r="V57" i="18"/>
  <c r="O98" i="18"/>
  <c r="S114" i="18"/>
  <c r="S146" i="18"/>
  <c r="W162" i="18"/>
  <c r="W169" i="18"/>
  <c r="O179" i="18"/>
  <c r="W190" i="18"/>
  <c r="O200" i="18"/>
  <c r="O207" i="18"/>
  <c r="S216" i="18"/>
  <c r="W225" i="18"/>
  <c r="O242" i="18"/>
  <c r="W260" i="18"/>
  <c r="S272" i="18"/>
  <c r="O284" i="18"/>
  <c r="W295" i="18"/>
  <c r="S314" i="18"/>
  <c r="O319" i="18"/>
  <c r="O326" i="18"/>
  <c r="O340" i="18"/>
  <c r="S349" i="18"/>
  <c r="S363" i="18"/>
  <c r="O368" i="18"/>
  <c r="S370" i="18"/>
  <c r="S377" i="18"/>
  <c r="W379" i="18"/>
  <c r="O382" i="18"/>
  <c r="O389" i="18"/>
  <c r="S391" i="18"/>
  <c r="W393" i="18"/>
  <c r="W400" i="18"/>
  <c r="P432" i="15"/>
  <c r="P431" i="15" s="1"/>
  <c r="T433" i="18"/>
  <c r="T432" i="18" s="1"/>
  <c r="T431" i="18" s="1"/>
  <c r="W15" i="18"/>
  <c r="W29" i="18"/>
  <c r="W50" i="18"/>
  <c r="P98" i="18"/>
  <c r="P165" i="18"/>
  <c r="L268" i="18"/>
  <c r="U11" i="18"/>
  <c r="U18" i="18"/>
  <c r="U25" i="18"/>
  <c r="M42" i="18"/>
  <c r="Q51" i="18"/>
  <c r="V81" i="18"/>
  <c r="N101" i="18"/>
  <c r="R110" i="18"/>
  <c r="R117" i="18"/>
  <c r="V144" i="18"/>
  <c r="V151" i="18"/>
  <c r="N175" i="18"/>
  <c r="R184" i="18"/>
  <c r="V193" i="18"/>
  <c r="V228" i="18"/>
  <c r="V405" i="18"/>
  <c r="W167" i="18"/>
  <c r="S424" i="18"/>
  <c r="R105" i="18"/>
  <c r="V107" i="18"/>
  <c r="N110" i="18"/>
  <c r="V114" i="18"/>
  <c r="N117" i="18"/>
  <c r="R130" i="18"/>
  <c r="V139" i="18"/>
  <c r="N142" i="18"/>
  <c r="R144" i="18"/>
  <c r="V146" i="18"/>
  <c r="N149" i="18"/>
  <c r="R151" i="18"/>
  <c r="V153" i="18"/>
  <c r="N163" i="18"/>
  <c r="R165" i="18"/>
  <c r="V167" i="18"/>
  <c r="N170" i="18"/>
  <c r="R172" i="18"/>
  <c r="V174" i="18"/>
  <c r="N177" i="18"/>
  <c r="R179" i="18"/>
  <c r="V181" i="18"/>
  <c r="N184" i="18"/>
  <c r="R186" i="18"/>
  <c r="V188" i="18"/>
  <c r="N191" i="18"/>
  <c r="R193" i="18"/>
  <c r="V195" i="18"/>
  <c r="N198" i="18"/>
  <c r="R200" i="18"/>
  <c r="V202" i="18"/>
  <c r="N205" i="18"/>
  <c r="R207" i="18"/>
  <c r="V209" i="18"/>
  <c r="N212" i="18"/>
  <c r="R214" i="18"/>
  <c r="V216" i="18"/>
  <c r="N219" i="18"/>
  <c r="R221" i="18"/>
  <c r="V223" i="18"/>
  <c r="N226" i="18"/>
  <c r="R228" i="18"/>
  <c r="V230" i="18"/>
  <c r="N233" i="18"/>
  <c r="R235" i="18"/>
  <c r="V237" i="18"/>
  <c r="N240" i="18"/>
  <c r="R242" i="18"/>
  <c r="V244" i="18"/>
  <c r="N247" i="18"/>
  <c r="R256" i="18"/>
  <c r="V258" i="18"/>
  <c r="N261" i="18"/>
  <c r="R263" i="18"/>
  <c r="V265" i="18"/>
  <c r="N268" i="18"/>
  <c r="R270" i="18"/>
  <c r="V272" i="18"/>
  <c r="N275" i="18"/>
  <c r="R277" i="18"/>
  <c r="V279" i="18"/>
  <c r="N282" i="18"/>
  <c r="R284" i="18"/>
  <c r="V286" i="18"/>
  <c r="N289" i="18"/>
  <c r="R291" i="18"/>
  <c r="V293" i="18"/>
  <c r="N296" i="18"/>
  <c r="R298" i="18"/>
  <c r="V307" i="18"/>
  <c r="N310" i="18"/>
  <c r="R312" i="18"/>
  <c r="V314" i="18"/>
  <c r="N317" i="18"/>
  <c r="R319" i="18"/>
  <c r="V321" i="18"/>
  <c r="N324" i="18"/>
  <c r="R326" i="18"/>
  <c r="V328" i="18"/>
  <c r="N331" i="18"/>
  <c r="R340" i="18"/>
  <c r="V342" i="18"/>
  <c r="N345" i="18"/>
  <c r="R347" i="18"/>
  <c r="V349" i="18"/>
  <c r="N352" i="18"/>
  <c r="R361" i="18"/>
  <c r="V363" i="18"/>
  <c r="N366" i="18"/>
  <c r="R368" i="18"/>
  <c r="V370" i="18"/>
  <c r="N373" i="18"/>
  <c r="R375" i="18"/>
  <c r="V377" i="18"/>
  <c r="N380" i="18"/>
  <c r="R382" i="18"/>
  <c r="V384" i="18"/>
  <c r="N387" i="18"/>
  <c r="R389" i="18"/>
  <c r="V391" i="18"/>
  <c r="N394" i="18"/>
  <c r="R396" i="18"/>
  <c r="V398" i="18"/>
  <c r="N401" i="18"/>
  <c r="R403" i="18"/>
  <c r="N408" i="18"/>
  <c r="R410" i="18"/>
  <c r="V412" i="18"/>
  <c r="N422" i="18"/>
  <c r="R424" i="18"/>
  <c r="S432" i="15"/>
  <c r="S431" i="15" s="1"/>
  <c r="W433" i="18"/>
  <c r="W432" i="18" s="1"/>
  <c r="W431" i="18" s="1"/>
  <c r="O450" i="18"/>
  <c r="S452" i="18"/>
  <c r="W454" i="18"/>
  <c r="N9" i="18"/>
  <c r="R11" i="18"/>
  <c r="V13" i="18"/>
  <c r="N16" i="18"/>
  <c r="R18" i="18"/>
  <c r="V20" i="18"/>
  <c r="N23" i="18"/>
  <c r="R25" i="18"/>
  <c r="V27" i="18"/>
  <c r="N30" i="18"/>
  <c r="R32" i="18"/>
  <c r="V41" i="18"/>
  <c r="N44" i="18"/>
  <c r="R46" i="18"/>
  <c r="V48" i="18"/>
  <c r="N51" i="18"/>
  <c r="R53" i="18"/>
  <c r="V55" i="18"/>
  <c r="N58" i="18"/>
  <c r="S60" i="18"/>
  <c r="W62" i="18"/>
  <c r="O72" i="18"/>
  <c r="S81" i="18"/>
  <c r="W83" i="18"/>
  <c r="O86" i="18"/>
  <c r="S98" i="18"/>
  <c r="W100" i="18"/>
  <c r="O103" i="18"/>
  <c r="S105" i="18"/>
  <c r="W107" i="18"/>
  <c r="O110" i="18"/>
  <c r="S112" i="18"/>
  <c r="W114" i="18"/>
  <c r="O117" i="18"/>
  <c r="S130" i="18"/>
  <c r="W139" i="18"/>
  <c r="O142" i="18"/>
  <c r="S144" i="18"/>
  <c r="W146" i="18"/>
  <c r="O149" i="18"/>
  <c r="S151" i="18"/>
  <c r="W153" i="18"/>
  <c r="O163" i="18"/>
  <c r="S165" i="18"/>
  <c r="O170" i="18"/>
  <c r="S172" i="18"/>
  <c r="W174" i="18"/>
  <c r="O177" i="18"/>
  <c r="S179" i="18"/>
  <c r="W181" i="18"/>
  <c r="O184" i="18"/>
  <c r="S186" i="18"/>
  <c r="W188" i="18"/>
  <c r="O191" i="18"/>
  <c r="S193" i="18"/>
  <c r="W195" i="18"/>
  <c r="O198" i="18"/>
  <c r="S200" i="18"/>
  <c r="W202" i="18"/>
  <c r="O205" i="18"/>
  <c r="S207" i="18"/>
  <c r="W209" i="18"/>
  <c r="O212" i="18"/>
  <c r="S214" i="18"/>
  <c r="W216" i="18"/>
  <c r="O219" i="18"/>
  <c r="S221" i="18"/>
  <c r="W223" i="18"/>
  <c r="O226" i="18"/>
  <c r="S228" i="18"/>
  <c r="W230" i="18"/>
  <c r="O233" i="18"/>
  <c r="S235" i="18"/>
  <c r="W237" i="18"/>
  <c r="O240" i="18"/>
  <c r="S242" i="18"/>
  <c r="W244" i="18"/>
  <c r="O247" i="18"/>
  <c r="S256" i="18"/>
  <c r="W258" i="18"/>
  <c r="O261" i="18"/>
  <c r="S263" i="18"/>
  <c r="W265" i="18"/>
  <c r="O268" i="18"/>
  <c r="S270" i="18"/>
  <c r="W272" i="18"/>
  <c r="O275" i="18"/>
  <c r="S277" i="18"/>
  <c r="W279" i="18"/>
  <c r="O282" i="18"/>
  <c r="S284" i="18"/>
  <c r="W286" i="18"/>
  <c r="O289" i="18"/>
  <c r="S291" i="18"/>
  <c r="W293" i="18"/>
  <c r="O296" i="18"/>
  <c r="S298" i="18"/>
  <c r="W307" i="18"/>
  <c r="O310" i="18"/>
  <c r="S312" i="18"/>
  <c r="W314" i="18"/>
  <c r="O317" i="18"/>
  <c r="S319" i="18"/>
  <c r="W321" i="18"/>
  <c r="O324" i="18"/>
  <c r="S326" i="18"/>
  <c r="W328" i="18"/>
  <c r="O331" i="18"/>
  <c r="S340" i="18"/>
  <c r="W342" i="18"/>
  <c r="S347" i="18"/>
  <c r="W349" i="18"/>
  <c r="O352" i="18"/>
  <c r="S361" i="18"/>
  <c r="W363" i="18"/>
  <c r="O366" i="18"/>
  <c r="S368" i="18"/>
  <c r="W370" i="18"/>
  <c r="O373" i="18"/>
  <c r="S375" i="18"/>
  <c r="W377" i="18"/>
  <c r="O380" i="18"/>
  <c r="S382" i="18"/>
  <c r="W384" i="18"/>
  <c r="O387" i="18"/>
  <c r="S389" i="18"/>
  <c r="W391" i="18"/>
  <c r="O394" i="18"/>
  <c r="S396" i="18"/>
  <c r="W398" i="18"/>
  <c r="O401" i="18"/>
  <c r="S403" i="18"/>
  <c r="W405" i="18"/>
  <c r="O408" i="18"/>
  <c r="S410" i="18"/>
  <c r="W412" i="18"/>
  <c r="O422" i="18"/>
  <c r="L441" i="18"/>
  <c r="P450" i="18"/>
  <c r="T452" i="18"/>
  <c r="L433" i="18"/>
  <c r="L432" i="18" s="1"/>
  <c r="L431" i="18" s="1"/>
  <c r="O9" i="18"/>
  <c r="S11" i="18"/>
  <c r="W13" i="18"/>
  <c r="O16" i="18"/>
  <c r="S18" i="18"/>
  <c r="W20" i="18"/>
  <c r="O23" i="18"/>
  <c r="S25" i="18"/>
  <c r="W27" i="18"/>
  <c r="O30" i="18"/>
  <c r="S32" i="18"/>
  <c r="W41" i="18"/>
  <c r="O44" i="18"/>
  <c r="S46" i="18"/>
  <c r="W48" i="18"/>
  <c r="O51" i="18"/>
  <c r="S53" i="18"/>
  <c r="W55" i="18"/>
  <c r="O58" i="18"/>
  <c r="T60" i="18"/>
  <c r="L63" i="18"/>
  <c r="P72" i="18"/>
  <c r="T81" i="18"/>
  <c r="L84" i="18"/>
  <c r="P86" i="18"/>
  <c r="T98" i="18"/>
  <c r="L101" i="18"/>
  <c r="P103" i="18"/>
  <c r="T105" i="18"/>
  <c r="L108" i="18"/>
  <c r="P110" i="18"/>
  <c r="T112" i="18"/>
  <c r="L115" i="18"/>
  <c r="P117" i="18"/>
  <c r="T130" i="18"/>
  <c r="L140" i="18"/>
  <c r="P142" i="18"/>
  <c r="T144" i="18"/>
  <c r="L147" i="18"/>
  <c r="P149" i="18"/>
  <c r="T151" i="18"/>
  <c r="L154" i="18"/>
  <c r="P163" i="18"/>
  <c r="T165" i="18"/>
  <c r="L168" i="18"/>
  <c r="P170" i="18"/>
  <c r="T172" i="18"/>
  <c r="L175" i="18"/>
  <c r="P177" i="18"/>
  <c r="T179" i="18"/>
  <c r="L182" i="18"/>
  <c r="P184" i="18"/>
  <c r="T186" i="18"/>
  <c r="L189" i="18"/>
  <c r="P191" i="18"/>
  <c r="T193" i="18"/>
  <c r="L196" i="18"/>
  <c r="P198" i="18"/>
  <c r="T200" i="18"/>
  <c r="L203" i="18"/>
  <c r="P205" i="18"/>
  <c r="T207" i="18"/>
  <c r="L210" i="18"/>
  <c r="P212" i="18"/>
  <c r="T214" i="18"/>
  <c r="L217" i="18"/>
  <c r="P219" i="18"/>
  <c r="T221" i="18"/>
  <c r="L224" i="18"/>
  <c r="P226" i="18"/>
  <c r="T228" i="18"/>
  <c r="L231" i="18"/>
  <c r="P233" i="18"/>
  <c r="T235" i="18"/>
  <c r="L238" i="18"/>
  <c r="P240" i="18"/>
  <c r="T242" i="18"/>
  <c r="L245" i="18"/>
  <c r="P247" i="18"/>
  <c r="T256" i="18"/>
  <c r="L259" i="18"/>
  <c r="P261" i="18"/>
  <c r="T263" i="18"/>
  <c r="L266" i="18"/>
  <c r="P268" i="18"/>
  <c r="T270" i="18"/>
  <c r="L273" i="18"/>
  <c r="P275" i="18"/>
  <c r="T277" i="18"/>
  <c r="L280" i="18"/>
  <c r="P282" i="18"/>
  <c r="T284" i="18"/>
  <c r="L287" i="18"/>
  <c r="P289" i="18"/>
  <c r="T291" i="18"/>
  <c r="L294" i="18"/>
  <c r="P296" i="18"/>
  <c r="T298" i="18"/>
  <c r="L308" i="18"/>
  <c r="P310" i="18"/>
  <c r="T312" i="18"/>
  <c r="L315" i="18"/>
  <c r="P317" i="18"/>
  <c r="T319" i="18"/>
  <c r="L322" i="18"/>
  <c r="P324" i="18"/>
  <c r="T326" i="18"/>
  <c r="L329" i="18"/>
  <c r="P331" i="18"/>
  <c r="T340" i="18"/>
  <c r="L343" i="18"/>
  <c r="P345" i="18"/>
  <c r="T347" i="18"/>
  <c r="L350" i="18"/>
  <c r="P352" i="18"/>
  <c r="T361" i="18"/>
  <c r="L364" i="18"/>
  <c r="P366" i="18"/>
  <c r="T368" i="18"/>
  <c r="L371" i="18"/>
  <c r="P373" i="18"/>
  <c r="T375" i="18"/>
  <c r="L378" i="18"/>
  <c r="P380" i="18"/>
  <c r="T382" i="18"/>
  <c r="L385" i="18"/>
  <c r="P387" i="18"/>
  <c r="T389" i="18"/>
  <c r="L392" i="18"/>
  <c r="P394" i="18"/>
  <c r="T396" i="18"/>
  <c r="L399" i="18"/>
  <c r="P401" i="18"/>
  <c r="T403" i="18"/>
  <c r="L406" i="18"/>
  <c r="P408" i="18"/>
  <c r="T410" i="18"/>
  <c r="L413" i="18"/>
  <c r="P422" i="18"/>
  <c r="T424" i="18"/>
  <c r="M441" i="18"/>
  <c r="Q450" i="18"/>
  <c r="U452" i="18"/>
  <c r="P9" i="18"/>
  <c r="T11" i="18"/>
  <c r="L14" i="18"/>
  <c r="P16" i="18"/>
  <c r="T18" i="18"/>
  <c r="L21" i="18"/>
  <c r="P23" i="18"/>
  <c r="T25" i="18"/>
  <c r="L28" i="18"/>
  <c r="P30" i="18"/>
  <c r="T32" i="18"/>
  <c r="L42" i="18"/>
  <c r="P44" i="18"/>
  <c r="T46" i="18"/>
  <c r="L49" i="18"/>
  <c r="P51" i="18"/>
  <c r="T53" i="18"/>
  <c r="L56" i="18"/>
  <c r="P58" i="18"/>
  <c r="U60" i="18"/>
  <c r="M63" i="18"/>
  <c r="Q72" i="18"/>
  <c r="U81" i="18"/>
  <c r="M84" i="18"/>
  <c r="Q86" i="18"/>
  <c r="U98" i="18"/>
  <c r="M101" i="18"/>
  <c r="Q103" i="18"/>
  <c r="U105" i="18"/>
  <c r="M108" i="18"/>
  <c r="Q110" i="18"/>
  <c r="U112" i="18"/>
  <c r="M115" i="18"/>
  <c r="Q117" i="18"/>
  <c r="U130" i="18"/>
  <c r="M140" i="18"/>
  <c r="Q142" i="18"/>
  <c r="U144" i="18"/>
  <c r="M147" i="18"/>
  <c r="Q149" i="18"/>
  <c r="U151" i="18"/>
  <c r="M154" i="18"/>
  <c r="Q163" i="18"/>
  <c r="U165" i="18"/>
  <c r="M168" i="18"/>
  <c r="Q170" i="18"/>
  <c r="U172" i="18"/>
  <c r="M175" i="18"/>
  <c r="Q177" i="18"/>
  <c r="U179" i="18"/>
  <c r="M182" i="18"/>
  <c r="Q184" i="18"/>
  <c r="U186" i="18"/>
  <c r="M189" i="18"/>
  <c r="Q191" i="18"/>
  <c r="U193" i="18"/>
  <c r="M196" i="18"/>
  <c r="Q198" i="18"/>
  <c r="U200" i="18"/>
  <c r="M203" i="18"/>
  <c r="Q205" i="18"/>
  <c r="U207" i="18"/>
  <c r="M210" i="18"/>
  <c r="Q212" i="18"/>
  <c r="U214" i="18"/>
  <c r="M217" i="18"/>
  <c r="Q219" i="18"/>
  <c r="U221" i="18"/>
  <c r="M224" i="18"/>
  <c r="Q226" i="18"/>
  <c r="U228" i="18"/>
  <c r="M231" i="18"/>
  <c r="Q233" i="18"/>
  <c r="U235" i="18"/>
  <c r="M238" i="18"/>
  <c r="Q240" i="18"/>
  <c r="U242" i="18"/>
  <c r="M245" i="18"/>
  <c r="Q247" i="18"/>
  <c r="U256" i="18"/>
  <c r="M259" i="18"/>
  <c r="Q261" i="18"/>
  <c r="U263" i="18"/>
  <c r="M266" i="18"/>
  <c r="Q268" i="18"/>
  <c r="U270" i="18"/>
  <c r="M273" i="18"/>
  <c r="Q275" i="18"/>
  <c r="U277" i="18"/>
  <c r="M280" i="18"/>
  <c r="Q282" i="18"/>
  <c r="U284" i="18"/>
  <c r="M287" i="18"/>
  <c r="Q289" i="18"/>
  <c r="U291" i="18"/>
  <c r="M294" i="18"/>
  <c r="Q296" i="18"/>
  <c r="U298" i="18"/>
  <c r="M308" i="18"/>
  <c r="Q310" i="18"/>
  <c r="U312" i="18"/>
  <c r="M315" i="18"/>
  <c r="Q317" i="18"/>
  <c r="U319" i="18"/>
  <c r="M322" i="18"/>
  <c r="Q324" i="18"/>
  <c r="U326" i="18"/>
  <c r="M329" i="18"/>
  <c r="V11" i="18"/>
  <c r="R16" i="18"/>
  <c r="N21" i="18"/>
  <c r="V25" i="18"/>
  <c r="R30" i="18"/>
  <c r="N42" i="18"/>
  <c r="V46" i="18"/>
  <c r="R51" i="18"/>
  <c r="N56" i="18"/>
  <c r="W60" i="18"/>
  <c r="S72" i="18"/>
  <c r="O84" i="18"/>
  <c r="W98" i="18"/>
  <c r="S103" i="18"/>
  <c r="O108" i="18"/>
  <c r="W112" i="18"/>
  <c r="S117" i="18"/>
  <c r="O140" i="18"/>
  <c r="W144" i="18"/>
  <c r="S149" i="18"/>
  <c r="O154" i="18"/>
  <c r="W165" i="18"/>
  <c r="S170" i="18"/>
  <c r="O175" i="18"/>
  <c r="W179" i="18"/>
  <c r="O182" i="18"/>
  <c r="W186" i="18"/>
  <c r="S191" i="18"/>
  <c r="W193" i="18"/>
  <c r="S198" i="18"/>
  <c r="W200" i="18"/>
  <c r="O203" i="18"/>
  <c r="S205" i="18"/>
  <c r="O210" i="18"/>
  <c r="S212" i="18"/>
  <c r="W214" i="18"/>
  <c r="O217" i="18"/>
  <c r="S219" i="18"/>
  <c r="O224" i="18"/>
  <c r="S226" i="18"/>
  <c r="W228" i="18"/>
  <c r="O231" i="18"/>
  <c r="S233" i="18"/>
  <c r="W235" i="18"/>
  <c r="O238" i="18"/>
  <c r="S240" i="18"/>
  <c r="W242" i="18"/>
  <c r="O245" i="18"/>
  <c r="S247" i="18"/>
  <c r="W256" i="18"/>
  <c r="O259" i="18"/>
  <c r="S261" i="18"/>
  <c r="O266" i="18"/>
  <c r="W452" i="18"/>
  <c r="R9" i="18"/>
  <c r="N14" i="18"/>
  <c r="V18" i="18"/>
  <c r="R23" i="18"/>
  <c r="N28" i="18"/>
  <c r="V32" i="18"/>
  <c r="R44" i="18"/>
  <c r="N49" i="18"/>
  <c r="V53" i="18"/>
  <c r="R58" i="18"/>
  <c r="O63" i="18"/>
  <c r="W81" i="18"/>
  <c r="S86" i="18"/>
  <c r="O101" i="18"/>
  <c r="W105" i="18"/>
  <c r="S110" i="18"/>
  <c r="O115" i="18"/>
  <c r="W130" i="18"/>
  <c r="S142" i="18"/>
  <c r="O147" i="18"/>
  <c r="W151" i="18"/>
  <c r="S163" i="18"/>
  <c r="O168" i="18"/>
  <c r="W172" i="18"/>
  <c r="S177" i="18"/>
  <c r="S184" i="18"/>
  <c r="O189" i="18"/>
  <c r="O196" i="18"/>
  <c r="W207" i="18"/>
  <c r="W221" i="18"/>
  <c r="W263" i="18"/>
  <c r="N173" i="18"/>
  <c r="S441" i="18"/>
  <c r="W72" i="18"/>
  <c r="O194" i="18"/>
  <c r="S280" i="18"/>
  <c r="W9" i="18"/>
  <c r="O12" i="18"/>
  <c r="S14" i="18"/>
  <c r="W16" i="18"/>
  <c r="O19" i="18"/>
  <c r="S21" i="18"/>
  <c r="W23" i="18"/>
  <c r="O26" i="18"/>
  <c r="S28" i="18"/>
  <c r="W30" i="18"/>
  <c r="O33" i="18"/>
  <c r="S42" i="18"/>
  <c r="W44" i="18"/>
  <c r="O47" i="18"/>
  <c r="S49" i="18"/>
  <c r="W51" i="18"/>
  <c r="O54" i="18"/>
  <c r="S56" i="18"/>
  <c r="W58" i="18"/>
  <c r="P61" i="18"/>
  <c r="T63" i="18"/>
  <c r="L80" i="18"/>
  <c r="P82" i="18"/>
  <c r="T84" i="18"/>
  <c r="L97" i="18"/>
  <c r="P99" i="18"/>
  <c r="T101" i="18"/>
  <c r="L104" i="18"/>
  <c r="P106" i="18"/>
  <c r="T108" i="18"/>
  <c r="L111" i="18"/>
  <c r="P113" i="18"/>
  <c r="T115" i="18"/>
  <c r="L129" i="18"/>
  <c r="P138" i="18"/>
  <c r="T140" i="18"/>
  <c r="L143" i="18"/>
  <c r="P145" i="18"/>
  <c r="T147" i="18"/>
  <c r="L150" i="18"/>
  <c r="P152" i="18"/>
  <c r="T154" i="18"/>
  <c r="L164" i="18"/>
  <c r="P166" i="18"/>
  <c r="T168" i="18"/>
  <c r="L171" i="18"/>
  <c r="P173" i="18"/>
  <c r="T175" i="18"/>
  <c r="L178" i="18"/>
  <c r="P180" i="18"/>
  <c r="T182" i="18"/>
  <c r="L185" i="18"/>
  <c r="P187" i="18"/>
  <c r="T189" i="18"/>
  <c r="L192" i="18"/>
  <c r="P194" i="18"/>
  <c r="T196" i="18"/>
  <c r="L199" i="18"/>
  <c r="P201" i="18"/>
  <c r="T203" i="18"/>
  <c r="L206" i="18"/>
  <c r="P208" i="18"/>
  <c r="T210" i="18"/>
  <c r="L213" i="18"/>
  <c r="P215" i="18"/>
  <c r="T217" i="18"/>
  <c r="L220" i="18"/>
  <c r="P222" i="18"/>
  <c r="T224" i="18"/>
  <c r="L227" i="18"/>
  <c r="P229" i="18"/>
  <c r="T231" i="18"/>
  <c r="L234" i="18"/>
  <c r="P236" i="18"/>
  <c r="T238" i="18"/>
  <c r="L241" i="18"/>
  <c r="P243" i="18"/>
  <c r="T245" i="18"/>
  <c r="L248" i="18"/>
  <c r="P257" i="18"/>
  <c r="T259" i="18"/>
  <c r="L262" i="18"/>
  <c r="P264" i="18"/>
  <c r="T266" i="18"/>
  <c r="L269" i="18"/>
  <c r="P271" i="18"/>
  <c r="T273" i="18"/>
  <c r="L276" i="18"/>
  <c r="P278" i="18"/>
  <c r="T280" i="18"/>
  <c r="L283" i="18"/>
  <c r="P285" i="18"/>
  <c r="T287" i="18"/>
  <c r="L290" i="18"/>
  <c r="P292" i="18"/>
  <c r="T294" i="18"/>
  <c r="L297" i="18"/>
  <c r="P299" i="18"/>
  <c r="T308" i="18"/>
  <c r="L311" i="18"/>
  <c r="P313" i="18"/>
  <c r="T315" i="18"/>
  <c r="L318" i="18"/>
  <c r="P320" i="18"/>
  <c r="T322" i="18"/>
  <c r="L325" i="18"/>
  <c r="P327" i="18"/>
  <c r="T329" i="18"/>
  <c r="L332" i="18"/>
  <c r="P341" i="18"/>
  <c r="T343" i="18"/>
  <c r="L346" i="18"/>
  <c r="P348" i="18"/>
  <c r="T350" i="18"/>
  <c r="L360" i="18"/>
  <c r="P362" i="18"/>
  <c r="T364" i="18"/>
  <c r="L367" i="18"/>
  <c r="P369" i="18"/>
  <c r="T371" i="18"/>
  <c r="L374" i="18"/>
  <c r="P376" i="18"/>
  <c r="T378" i="18"/>
  <c r="L381" i="18"/>
  <c r="P383" i="18"/>
  <c r="T385" i="18"/>
  <c r="L388" i="18"/>
  <c r="P390" i="18"/>
  <c r="T392" i="18"/>
  <c r="L395" i="18"/>
  <c r="P397" i="18"/>
  <c r="T399" i="18"/>
  <c r="L402" i="18"/>
  <c r="P404" i="18"/>
  <c r="T406" i="18"/>
  <c r="L409" i="18"/>
  <c r="P411" i="18"/>
  <c r="T413" i="18"/>
  <c r="L423" i="18"/>
  <c r="P425" i="18"/>
  <c r="U441" i="18"/>
  <c r="M451" i="18"/>
  <c r="Q453" i="18"/>
  <c r="V226" i="18"/>
  <c r="W110" i="18"/>
  <c r="W310" i="18"/>
  <c r="U154" i="18"/>
  <c r="M423" i="18"/>
  <c r="Q26" i="18"/>
  <c r="R61" i="18"/>
  <c r="W14" i="18"/>
  <c r="W28" i="18"/>
  <c r="O45" i="18"/>
  <c r="W49" i="18"/>
  <c r="O52" i="18"/>
  <c r="S54" i="18"/>
  <c r="W56" i="18"/>
  <c r="O59" i="18"/>
  <c r="T61" i="18"/>
  <c r="L71" i="18"/>
  <c r="P80" i="18"/>
  <c r="T82" i="18"/>
  <c r="L85" i="18"/>
  <c r="P97" i="18"/>
  <c r="T99" i="18"/>
  <c r="L102" i="18"/>
  <c r="P104" i="18"/>
  <c r="T106" i="18"/>
  <c r="L109" i="18"/>
  <c r="P111" i="18"/>
  <c r="T113" i="18"/>
  <c r="L116" i="18"/>
  <c r="P129" i="18"/>
  <c r="T138" i="18"/>
  <c r="N61" i="18"/>
  <c r="R266" i="18"/>
  <c r="R49" i="18"/>
  <c r="W422" i="18"/>
  <c r="P47" i="18"/>
  <c r="U231" i="18"/>
  <c r="Q425" i="18"/>
  <c r="S19" i="18"/>
  <c r="R273" i="18"/>
  <c r="N33" i="18"/>
  <c r="O425" i="18"/>
  <c r="T56" i="18"/>
  <c r="U203" i="18"/>
  <c r="M290" i="18"/>
  <c r="V441" i="18"/>
  <c r="S47" i="18"/>
  <c r="U33" i="18"/>
  <c r="R97" i="18"/>
  <c r="N148" i="18"/>
  <c r="R171" i="18"/>
  <c r="R185" i="18"/>
  <c r="V194" i="18"/>
  <c r="V201" i="18"/>
  <c r="R206" i="18"/>
  <c r="V208" i="18"/>
  <c r="N211" i="18"/>
  <c r="R213" i="18"/>
  <c r="V215" i="18"/>
  <c r="V222" i="18"/>
  <c r="R227" i="18"/>
  <c r="V229" i="18"/>
  <c r="N232" i="18"/>
  <c r="R234" i="18"/>
  <c r="V236" i="18"/>
  <c r="N239" i="18"/>
  <c r="R241" i="18"/>
  <c r="V243" i="18"/>
  <c r="N246" i="18"/>
  <c r="R248" i="18"/>
  <c r="R262" i="18"/>
  <c r="V264" i="18"/>
  <c r="N267" i="18"/>
  <c r="R269" i="18"/>
  <c r="V271" i="18"/>
  <c r="R276" i="18"/>
  <c r="V278" i="18"/>
  <c r="N281" i="18"/>
  <c r="R283" i="18"/>
  <c r="V285" i="18"/>
  <c r="N288" i="18"/>
  <c r="R290" i="18"/>
  <c r="V292" i="18"/>
  <c r="N295" i="18"/>
  <c r="R297" i="18"/>
  <c r="V299" i="18"/>
  <c r="N309" i="18"/>
  <c r="V313" i="18"/>
  <c r="N316" i="18"/>
  <c r="R318" i="18"/>
  <c r="V320" i="18"/>
  <c r="N323" i="18"/>
  <c r="R325" i="18"/>
  <c r="V327" i="18"/>
  <c r="N330" i="18"/>
  <c r="R332" i="18"/>
  <c r="V341" i="18"/>
  <c r="N344" i="18"/>
  <c r="R346" i="18"/>
  <c r="V348" i="18"/>
  <c r="N351" i="18"/>
  <c r="R360" i="18"/>
  <c r="V362" i="18"/>
  <c r="N365" i="18"/>
  <c r="R367" i="18"/>
  <c r="V369" i="18"/>
  <c r="N372" i="18"/>
  <c r="N379" i="18"/>
  <c r="R381" i="18"/>
  <c r="V383" i="18"/>
  <c r="N386" i="18"/>
  <c r="R388" i="18"/>
  <c r="V390" i="18"/>
  <c r="N393" i="18"/>
  <c r="R395" i="18"/>
  <c r="V397" i="18"/>
  <c r="R423" i="18"/>
  <c r="V425" i="18"/>
  <c r="O442" i="18"/>
  <c r="S451" i="18"/>
  <c r="N364" i="18"/>
  <c r="N371" i="18"/>
  <c r="N378" i="18"/>
  <c r="N385" i="18"/>
  <c r="N392" i="18"/>
  <c r="R401" i="18"/>
  <c r="V410" i="18"/>
  <c r="O441" i="18"/>
  <c r="Q14" i="18"/>
  <c r="Q21" i="18"/>
  <c r="Q28" i="18"/>
  <c r="Q42" i="18"/>
  <c r="Q49" i="18"/>
  <c r="Q56" i="18"/>
  <c r="R70" i="15"/>
  <c r="R69" i="15" s="1"/>
  <c r="V72" i="18"/>
  <c r="N99" i="18"/>
  <c r="N106" i="18"/>
  <c r="N113" i="18"/>
  <c r="N138" i="18"/>
  <c r="N145" i="18"/>
  <c r="N152" i="18"/>
  <c r="R168" i="18"/>
  <c r="R175" i="18"/>
  <c r="V184" i="18"/>
  <c r="V191" i="18"/>
  <c r="V198" i="18"/>
  <c r="R203" i="18"/>
  <c r="R210" i="18"/>
  <c r="R217" i="18"/>
  <c r="N222" i="18"/>
  <c r="V233" i="18"/>
  <c r="N243" i="18"/>
  <c r="R259" i="18"/>
  <c r="V268" i="18"/>
  <c r="R280" i="18"/>
  <c r="V289" i="18"/>
  <c r="V296" i="18"/>
  <c r="V310" i="18"/>
  <c r="N320" i="18"/>
  <c r="N327" i="18"/>
  <c r="N341" i="18"/>
  <c r="N348" i="18"/>
  <c r="N362" i="18"/>
  <c r="N369" i="18"/>
  <c r="N376" i="18"/>
  <c r="R385" i="18"/>
  <c r="R392" i="18"/>
  <c r="N397" i="18"/>
  <c r="V401" i="18"/>
  <c r="V408" i="18"/>
  <c r="V422" i="18"/>
  <c r="O453" i="18"/>
  <c r="V9" i="18"/>
  <c r="V16" i="18"/>
  <c r="V23" i="18"/>
  <c r="V30" i="18"/>
  <c r="R42" i="18"/>
  <c r="V51" i="18"/>
  <c r="N54" i="18"/>
  <c r="S63" i="18"/>
  <c r="O82" i="18"/>
  <c r="O99" i="18"/>
  <c r="S101" i="18"/>
  <c r="S108" i="18"/>
  <c r="O113" i="18"/>
  <c r="W117" i="18"/>
  <c r="O138" i="18"/>
  <c r="O145" i="18"/>
  <c r="S147" i="18"/>
  <c r="W149" i="18"/>
  <c r="W163" i="18"/>
  <c r="O166" i="18"/>
  <c r="S168" i="18"/>
  <c r="S175" i="18"/>
  <c r="S182" i="18"/>
  <c r="W191" i="18"/>
  <c r="O201" i="18"/>
  <c r="O208" i="18"/>
  <c r="O215" i="18"/>
  <c r="O222" i="18"/>
  <c r="O229" i="18"/>
  <c r="O236" i="18"/>
  <c r="O243" i="18"/>
  <c r="O257" i="18"/>
  <c r="O264" i="18"/>
  <c r="O271" i="18"/>
  <c r="O278" i="18"/>
  <c r="S287" i="18"/>
  <c r="S294" i="18"/>
  <c r="S308" i="18"/>
  <c r="W317" i="18"/>
  <c r="W324" i="18"/>
  <c r="S329" i="18"/>
  <c r="O341" i="18"/>
  <c r="W345" i="18"/>
  <c r="S350" i="18"/>
  <c r="O362" i="18"/>
  <c r="W366" i="18"/>
  <c r="W373" i="18"/>
  <c r="S378" i="18"/>
  <c r="O383" i="18"/>
  <c r="W387" i="18"/>
  <c r="S392" i="18"/>
  <c r="O397" i="18"/>
  <c r="S399" i="18"/>
  <c r="S406" i="18"/>
  <c r="S413" i="18"/>
  <c r="L451" i="18"/>
  <c r="L10" i="18"/>
  <c r="P19" i="18"/>
  <c r="P26" i="18"/>
  <c r="P33" i="18"/>
  <c r="T49" i="18"/>
  <c r="P54" i="18"/>
  <c r="U63" i="18"/>
  <c r="U84" i="18"/>
  <c r="Q99" i="18"/>
  <c r="Q106" i="18"/>
  <c r="Q113" i="18"/>
  <c r="M129" i="18"/>
  <c r="U147" i="18"/>
  <c r="M164" i="18"/>
  <c r="M171" i="18"/>
  <c r="M178" i="18"/>
  <c r="M185" i="18"/>
  <c r="M192" i="18"/>
  <c r="U196" i="18"/>
  <c r="Q201" i="18"/>
  <c r="U210" i="18"/>
  <c r="Q215" i="18"/>
  <c r="Q222" i="18"/>
  <c r="U224" i="18"/>
  <c r="M234" i="18"/>
  <c r="U245" i="18"/>
  <c r="M262" i="18"/>
  <c r="U273" i="18"/>
  <c r="Q285" i="18"/>
  <c r="U294" i="18"/>
  <c r="U308" i="18"/>
  <c r="Q313" i="18"/>
  <c r="U322" i="18"/>
  <c r="M332" i="18"/>
  <c r="U350" i="18"/>
  <c r="M367" i="18"/>
  <c r="Q383" i="18"/>
  <c r="M395" i="18"/>
  <c r="M402" i="18"/>
  <c r="M409" i="18"/>
  <c r="N451" i="18"/>
  <c r="M10" i="18"/>
  <c r="M17" i="18"/>
  <c r="M24" i="18"/>
  <c r="Q33" i="18"/>
  <c r="Q47" i="18"/>
  <c r="Q54" i="18"/>
  <c r="V63" i="18"/>
  <c r="V84" i="18"/>
  <c r="V101" i="18"/>
  <c r="V108" i="18"/>
  <c r="N129" i="18"/>
  <c r="N143" i="18"/>
  <c r="N150" i="18"/>
  <c r="R166" i="18"/>
  <c r="R173" i="18"/>
  <c r="R180" i="18"/>
  <c r="R187" i="18"/>
  <c r="R194" i="18"/>
  <c r="R201" i="18"/>
  <c r="R208" i="18"/>
  <c r="R215" i="18"/>
  <c r="W21" i="18"/>
  <c r="S33" i="18"/>
  <c r="U12" i="18"/>
  <c r="U19" i="18"/>
  <c r="Q24" i="18"/>
  <c r="Q31" i="18"/>
  <c r="U47" i="18"/>
  <c r="U54" i="18"/>
  <c r="Q59" i="18"/>
  <c r="N71" i="18"/>
  <c r="V99" i="18"/>
  <c r="V106" i="18"/>
  <c r="N116" i="18"/>
  <c r="N141" i="18"/>
  <c r="V152" i="18"/>
  <c r="R164" i="18"/>
  <c r="V173" i="18"/>
  <c r="V180" i="18"/>
  <c r="N190" i="18"/>
  <c r="N197" i="18"/>
  <c r="N218" i="18"/>
  <c r="V257" i="18"/>
  <c r="V376" i="18"/>
  <c r="R352" i="18"/>
  <c r="V368" i="18"/>
  <c r="V375" i="18"/>
  <c r="V382" i="18"/>
  <c r="R387" i="18"/>
  <c r="V396" i="18"/>
  <c r="N406" i="18"/>
  <c r="S450" i="18"/>
  <c r="M12" i="18"/>
  <c r="M19" i="18"/>
  <c r="M26" i="18"/>
  <c r="M33" i="18"/>
  <c r="M47" i="18"/>
  <c r="M54" i="18"/>
  <c r="R63" i="18"/>
  <c r="R84" i="18"/>
  <c r="R101" i="18"/>
  <c r="R108" i="18"/>
  <c r="R115" i="18"/>
  <c r="R140" i="18"/>
  <c r="R147" i="18"/>
  <c r="R154" i="18"/>
  <c r="N166" i="18"/>
  <c r="V177" i="18"/>
  <c r="R182" i="18"/>
  <c r="R189" i="18"/>
  <c r="R196" i="18"/>
  <c r="V205" i="18"/>
  <c r="V212" i="18"/>
  <c r="V219" i="18"/>
  <c r="N229" i="18"/>
  <c r="R238" i="18"/>
  <c r="R245" i="18"/>
  <c r="N257" i="18"/>
  <c r="N264" i="18"/>
  <c r="V275" i="18"/>
  <c r="V282" i="18"/>
  <c r="N292" i="18"/>
  <c r="N299" i="18"/>
  <c r="R315" i="18"/>
  <c r="V324" i="18"/>
  <c r="V331" i="18"/>
  <c r="V345" i="18"/>
  <c r="V352" i="18"/>
  <c r="V366" i="18"/>
  <c r="V373" i="18"/>
  <c r="R378" i="18"/>
  <c r="N383" i="18"/>
  <c r="V387" i="18"/>
  <c r="V394" i="18"/>
  <c r="R399" i="18"/>
  <c r="R406" i="18"/>
  <c r="N411" i="18"/>
  <c r="R413" i="18"/>
  <c r="N425" i="18"/>
  <c r="W450" i="18"/>
  <c r="N12" i="18"/>
  <c r="N19" i="18"/>
  <c r="R28" i="18"/>
  <c r="N47" i="18"/>
  <c r="O61" i="18"/>
  <c r="W86" i="18"/>
  <c r="W103" i="18"/>
  <c r="S115" i="18"/>
  <c r="W142" i="18"/>
  <c r="O152" i="18"/>
  <c r="W170" i="18"/>
  <c r="W177" i="18"/>
  <c r="O187" i="18"/>
  <c r="S196" i="18"/>
  <c r="S203" i="18"/>
  <c r="S210" i="18"/>
  <c r="S217" i="18"/>
  <c r="S224" i="18"/>
  <c r="S231" i="18"/>
  <c r="W240" i="18"/>
  <c r="W247" i="18"/>
  <c r="W261" i="18"/>
  <c r="W268" i="18"/>
  <c r="W275" i="18"/>
  <c r="O285" i="18"/>
  <c r="O292" i="18"/>
  <c r="O299" i="18"/>
  <c r="S315" i="18"/>
  <c r="S322" i="18"/>
  <c r="W331" i="18"/>
  <c r="O348" i="18"/>
  <c r="S364" i="18"/>
  <c r="O376" i="18"/>
  <c r="S385" i="18"/>
  <c r="W394" i="18"/>
  <c r="O404" i="18"/>
  <c r="O411" i="18"/>
  <c r="T441" i="18"/>
  <c r="T14" i="18"/>
  <c r="L24" i="18"/>
  <c r="L31" i="18"/>
  <c r="L45" i="18"/>
  <c r="L59" i="18"/>
  <c r="M80" i="18"/>
  <c r="M97" i="18"/>
  <c r="M104" i="18"/>
  <c r="M111" i="18"/>
  <c r="Q138" i="18"/>
  <c r="M150" i="18"/>
  <c r="Q166" i="18"/>
  <c r="Q173" i="18"/>
  <c r="Q180" i="18"/>
  <c r="Q187" i="18"/>
  <c r="Q194" i="18"/>
  <c r="M206" i="18"/>
  <c r="M213" i="18"/>
  <c r="M220" i="18"/>
  <c r="M227" i="18"/>
  <c r="Q236" i="18"/>
  <c r="Q243" i="18"/>
  <c r="M248" i="18"/>
  <c r="U259" i="18"/>
  <c r="Q264" i="18"/>
  <c r="U266" i="18"/>
  <c r="Q271" i="18"/>
  <c r="M276" i="18"/>
  <c r="Q278" i="18"/>
  <c r="M283" i="18"/>
  <c r="U287" i="18"/>
  <c r="M297" i="18"/>
  <c r="M311" i="18"/>
  <c r="M318" i="18"/>
  <c r="M325" i="18"/>
  <c r="U329" i="18"/>
  <c r="Q341" i="18"/>
  <c r="M346" i="18"/>
  <c r="Q348" i="18"/>
  <c r="M360" i="18"/>
  <c r="U364" i="18"/>
  <c r="Q369" i="18"/>
  <c r="U371" i="18"/>
  <c r="M374" i="18"/>
  <c r="U378" i="18"/>
  <c r="M381" i="18"/>
  <c r="U385" i="18"/>
  <c r="Q390" i="18"/>
  <c r="U392" i="18"/>
  <c r="U399" i="18"/>
  <c r="U406" i="18"/>
  <c r="U413" i="18"/>
  <c r="U14" i="18"/>
  <c r="U21" i="18"/>
  <c r="M31" i="18"/>
  <c r="U42" i="18"/>
  <c r="U49" i="18"/>
  <c r="U56" i="18"/>
  <c r="N80" i="18"/>
  <c r="N97" i="18"/>
  <c r="N104" i="18"/>
  <c r="N111" i="18"/>
  <c r="V115" i="18"/>
  <c r="V140" i="18"/>
  <c r="V147" i="18"/>
  <c r="V154" i="18"/>
  <c r="V168" i="18"/>
  <c r="V175" i="18"/>
  <c r="V182" i="18"/>
  <c r="V189" i="18"/>
  <c r="V196" i="18"/>
  <c r="V203" i="18"/>
  <c r="V210" i="18"/>
  <c r="O10" i="18"/>
  <c r="O17" i="18"/>
  <c r="S26" i="18"/>
  <c r="O31" i="18"/>
  <c r="Q10" i="18"/>
  <c r="Q17" i="18"/>
  <c r="U26" i="18"/>
  <c r="M43" i="18"/>
  <c r="M50" i="18"/>
  <c r="M57" i="18"/>
  <c r="R80" i="18"/>
  <c r="N102" i="18"/>
  <c r="R111" i="18"/>
  <c r="V138" i="18"/>
  <c r="R143" i="18"/>
  <c r="R150" i="18"/>
  <c r="V166" i="18"/>
  <c r="N176" i="18"/>
  <c r="N183" i="18"/>
  <c r="R192" i="18"/>
  <c r="N204" i="18"/>
  <c r="R220" i="18"/>
  <c r="N260" i="18"/>
  <c r="R374" i="18"/>
  <c r="R287" i="18"/>
  <c r="R56" i="18"/>
  <c r="S371" i="18"/>
  <c r="L17" i="18"/>
  <c r="U238" i="18"/>
  <c r="N85" i="18"/>
  <c r="N274" i="18"/>
  <c r="M405" i="18"/>
  <c r="V361" i="18"/>
  <c r="R366" i="18"/>
  <c r="R373" i="18"/>
  <c r="R380" i="18"/>
  <c r="V389" i="18"/>
  <c r="N399" i="18"/>
  <c r="V403" i="18"/>
  <c r="R408" i="18"/>
  <c r="N413" i="18"/>
  <c r="V424" i="18"/>
  <c r="U9" i="18"/>
  <c r="U16" i="18"/>
  <c r="U23" i="18"/>
  <c r="U30" i="18"/>
  <c r="U44" i="18"/>
  <c r="U51" i="18"/>
  <c r="U58" i="18"/>
  <c r="N82" i="18"/>
  <c r="V86" i="18"/>
  <c r="V103" i="18"/>
  <c r="V110" i="18"/>
  <c r="V117" i="18"/>
  <c r="V142" i="18"/>
  <c r="V149" i="18"/>
  <c r="V163" i="18"/>
  <c r="V170" i="18"/>
  <c r="N180" i="18"/>
  <c r="N187" i="18"/>
  <c r="N194" i="18"/>
  <c r="N201" i="18"/>
  <c r="N208" i="18"/>
  <c r="N215" i="18"/>
  <c r="R224" i="18"/>
  <c r="R231" i="18"/>
  <c r="N236" i="18"/>
  <c r="V240" i="18"/>
  <c r="V247" i="18"/>
  <c r="V261" i="18"/>
  <c r="N271" i="18"/>
  <c r="N278" i="18"/>
  <c r="N285" i="18"/>
  <c r="R294" i="18"/>
  <c r="R308" i="18"/>
  <c r="N313" i="18"/>
  <c r="V317" i="18"/>
  <c r="R322" i="18"/>
  <c r="R329" i="18"/>
  <c r="R343" i="18"/>
  <c r="R350" i="18"/>
  <c r="R364" i="18"/>
  <c r="R371" i="18"/>
  <c r="V380" i="18"/>
  <c r="N390" i="18"/>
  <c r="N404" i="18"/>
  <c r="R14" i="18"/>
  <c r="R21" i="18"/>
  <c r="N26" i="18"/>
  <c r="V44" i="18"/>
  <c r="V58" i="18"/>
  <c r="S84" i="18"/>
  <c r="O106" i="18"/>
  <c r="S140" i="18"/>
  <c r="S154" i="18"/>
  <c r="O173" i="18"/>
  <c r="O180" i="18"/>
  <c r="W184" i="18"/>
  <c r="S189" i="18"/>
  <c r="W198" i="18"/>
  <c r="W205" i="18"/>
  <c r="W212" i="18"/>
  <c r="W219" i="18"/>
  <c r="W226" i="18"/>
  <c r="W233" i="18"/>
  <c r="S238" i="18"/>
  <c r="S245" i="18"/>
  <c r="S259" i="18"/>
  <c r="S266" i="18"/>
  <c r="S273" i="18"/>
  <c r="W282" i="18"/>
  <c r="W289" i="18"/>
  <c r="W296" i="18"/>
  <c r="O313" i="18"/>
  <c r="O320" i="18"/>
  <c r="O327" i="18"/>
  <c r="S343" i="18"/>
  <c r="W352" i="18"/>
  <c r="O369" i="18"/>
  <c r="W380" i="18"/>
  <c r="O390" i="18"/>
  <c r="W401" i="18"/>
  <c r="W408" i="18"/>
  <c r="P453" i="18"/>
  <c r="P12" i="18"/>
  <c r="T21" i="18"/>
  <c r="T28" i="18"/>
  <c r="T42" i="18"/>
  <c r="L52" i="18"/>
  <c r="Q61" i="18"/>
  <c r="Q82" i="18"/>
  <c r="U101" i="18"/>
  <c r="U108" i="18"/>
  <c r="U115" i="18"/>
  <c r="U140" i="18"/>
  <c r="M143" i="18"/>
  <c r="Q145" i="18"/>
  <c r="Q152" i="18"/>
  <c r="U168" i="18"/>
  <c r="U175" i="18"/>
  <c r="U182" i="18"/>
  <c r="U189" i="18"/>
  <c r="M199" i="18"/>
  <c r="Q208" i="18"/>
  <c r="U217" i="18"/>
  <c r="Q229" i="18"/>
  <c r="M241" i="18"/>
  <c r="Q257" i="18"/>
  <c r="M269" i="18"/>
  <c r="U280" i="18"/>
  <c r="Q292" i="18"/>
  <c r="Q299" i="18"/>
  <c r="U315" i="18"/>
  <c r="Q320" i="18"/>
  <c r="Q327" i="18"/>
  <c r="U343" i="18"/>
  <c r="Q362" i="18"/>
  <c r="Q376" i="18"/>
  <c r="M388" i="18"/>
  <c r="Q397" i="18"/>
  <c r="Q404" i="18"/>
  <c r="Q411" i="18"/>
  <c r="R453" i="18"/>
  <c r="Q12" i="18"/>
  <c r="Q19" i="18"/>
  <c r="U28" i="18"/>
  <c r="M45" i="18"/>
  <c r="M52" i="18"/>
  <c r="M59" i="18"/>
  <c r="R82" i="18"/>
  <c r="R99" i="18"/>
  <c r="R106" i="18"/>
  <c r="R113" i="18"/>
  <c r="R138" i="18"/>
  <c r="R145" i="18"/>
  <c r="R152" i="18"/>
  <c r="N164" i="18"/>
  <c r="N171" i="18"/>
  <c r="N178" i="18"/>
  <c r="N185" i="18"/>
  <c r="N192" i="18"/>
  <c r="N199" i="18"/>
  <c r="N206" i="18"/>
  <c r="N213" i="18"/>
  <c r="S12" i="18"/>
  <c r="O24" i="18"/>
  <c r="W42" i="18"/>
  <c r="M15" i="18"/>
  <c r="M22" i="18"/>
  <c r="M29" i="18"/>
  <c r="Q45" i="18"/>
  <c r="Q52" i="18"/>
  <c r="V61" i="18"/>
  <c r="V82" i="18"/>
  <c r="R104" i="18"/>
  <c r="N109" i="18"/>
  <c r="V113" i="18"/>
  <c r="N128" i="15"/>
  <c r="N127" i="15" s="1"/>
  <c r="R129" i="18"/>
  <c r="V145" i="18"/>
  <c r="N162" i="18"/>
  <c r="N169" i="18"/>
  <c r="R178" i="18"/>
  <c r="V187" i="18"/>
  <c r="R199" i="18"/>
  <c r="N225" i="18"/>
  <c r="R311" i="18"/>
  <c r="Q331" i="18"/>
  <c r="U340" i="18"/>
  <c r="M343" i="18"/>
  <c r="Q345" i="18"/>
  <c r="U347" i="18"/>
  <c r="M350" i="18"/>
  <c r="Q352" i="18"/>
  <c r="U361" i="18"/>
  <c r="M364" i="18"/>
  <c r="Q366" i="18"/>
  <c r="U368" i="18"/>
  <c r="M371" i="18"/>
  <c r="Q373" i="18"/>
  <c r="U375" i="18"/>
  <c r="M378" i="18"/>
  <c r="Q380" i="18"/>
  <c r="U382" i="18"/>
  <c r="M385" i="18"/>
  <c r="Q387" i="18"/>
  <c r="U389" i="18"/>
  <c r="M392" i="18"/>
  <c r="Q394" i="18"/>
  <c r="U396" i="18"/>
  <c r="M399" i="18"/>
  <c r="Q401" i="18"/>
  <c r="U403" i="18"/>
  <c r="M406" i="18"/>
  <c r="Q408" i="18"/>
  <c r="U410" i="18"/>
  <c r="M413" i="18"/>
  <c r="Q422" i="18"/>
  <c r="U424" i="18"/>
  <c r="N441" i="18"/>
  <c r="R450" i="18"/>
  <c r="V452" i="18"/>
  <c r="S268" i="18"/>
  <c r="W270" i="18"/>
  <c r="O273" i="18"/>
  <c r="S275" i="18"/>
  <c r="W277" i="18"/>
  <c r="O280" i="18"/>
  <c r="S282" i="18"/>
  <c r="W284" i="18"/>
  <c r="O287" i="18"/>
  <c r="S289" i="18"/>
  <c r="W291" i="18"/>
  <c r="O294" i="18"/>
  <c r="S296" i="18"/>
  <c r="W298" i="18"/>
  <c r="O308" i="18"/>
  <c r="S310" i="18"/>
  <c r="W312" i="18"/>
  <c r="O315" i="18"/>
  <c r="S317" i="18"/>
  <c r="W319" i="18"/>
  <c r="O322" i="18"/>
  <c r="S324" i="18"/>
  <c r="W326" i="18"/>
  <c r="O329" i="18"/>
  <c r="S331" i="18"/>
  <c r="W340" i="18"/>
  <c r="O343" i="18"/>
  <c r="S345" i="18"/>
  <c r="W347" i="18"/>
  <c r="O350" i="18"/>
  <c r="S352" i="18"/>
  <c r="W361" i="18"/>
  <c r="O364" i="18"/>
  <c r="S366" i="18"/>
  <c r="W368" i="18"/>
  <c r="O371" i="18"/>
  <c r="S373" i="18"/>
  <c r="W375" i="18"/>
  <c r="O378" i="18"/>
  <c r="S380" i="18"/>
  <c r="W382" i="18"/>
  <c r="O385" i="18"/>
  <c r="S387" i="18"/>
  <c r="W389" i="18"/>
  <c r="O392" i="18"/>
  <c r="S394" i="18"/>
  <c r="W396" i="18"/>
  <c r="O399" i="18"/>
  <c r="S401" i="18"/>
  <c r="W403" i="18"/>
  <c r="O406" i="18"/>
  <c r="S408" i="18"/>
  <c r="W410" i="18"/>
  <c r="O413" i="18"/>
  <c r="S422" i="18"/>
  <c r="W424" i="18"/>
  <c r="P441" i="18"/>
  <c r="T450" i="18"/>
  <c r="L453" i="18"/>
  <c r="S9" i="18"/>
  <c r="W11" i="18"/>
  <c r="O14" i="18"/>
  <c r="S16" i="18"/>
  <c r="W18" i="18"/>
  <c r="O21" i="18"/>
  <c r="S23" i="18"/>
  <c r="W25" i="18"/>
  <c r="O28" i="18"/>
  <c r="S30" i="18"/>
  <c r="W32" i="18"/>
  <c r="O42" i="18"/>
  <c r="S44" i="18"/>
  <c r="W46" i="18"/>
  <c r="O49" i="18"/>
  <c r="S51" i="18"/>
  <c r="W53" i="18"/>
  <c r="O56" i="18"/>
  <c r="S58" i="18"/>
  <c r="L61" i="18"/>
  <c r="P63" i="18"/>
  <c r="P70" i="15"/>
  <c r="P69" i="15" s="1"/>
  <c r="T72" i="18"/>
  <c r="L82" i="18"/>
  <c r="P84" i="18"/>
  <c r="T86" i="18"/>
  <c r="L99" i="18"/>
  <c r="P101" i="18"/>
  <c r="T103" i="18"/>
  <c r="L106" i="18"/>
  <c r="P108" i="18"/>
  <c r="T110" i="18"/>
  <c r="L113" i="18"/>
  <c r="P115" i="18"/>
  <c r="T117" i="18"/>
  <c r="L138" i="18"/>
  <c r="P140" i="18"/>
  <c r="T142" i="18"/>
  <c r="L145" i="18"/>
  <c r="P147" i="18"/>
  <c r="T149" i="18"/>
  <c r="L152" i="18"/>
  <c r="P154" i="18"/>
  <c r="T163" i="18"/>
  <c r="L166" i="18"/>
  <c r="P168" i="18"/>
  <c r="T170" i="18"/>
  <c r="L173" i="18"/>
  <c r="P175" i="18"/>
  <c r="T177" i="18"/>
  <c r="L180" i="18"/>
  <c r="P182" i="18"/>
  <c r="T184" i="18"/>
  <c r="L187" i="18"/>
  <c r="P189" i="18"/>
  <c r="T191" i="18"/>
  <c r="L194" i="18"/>
  <c r="P196" i="18"/>
  <c r="T198" i="18"/>
  <c r="L201" i="18"/>
  <c r="P203" i="18"/>
  <c r="T205" i="18"/>
  <c r="L208" i="18"/>
  <c r="P210" i="18"/>
  <c r="T212" i="18"/>
  <c r="L215" i="18"/>
  <c r="P217" i="18"/>
  <c r="T219" i="18"/>
  <c r="L222" i="18"/>
  <c r="P224" i="18"/>
  <c r="T226" i="18"/>
  <c r="L229" i="18"/>
  <c r="P231" i="18"/>
  <c r="T233" i="18"/>
  <c r="L236" i="18"/>
  <c r="P238" i="18"/>
  <c r="T240" i="18"/>
  <c r="L243" i="18"/>
  <c r="P245" i="18"/>
  <c r="T247" i="18"/>
  <c r="L257" i="18"/>
  <c r="P259" i="18"/>
  <c r="T261" i="18"/>
  <c r="L264" i="18"/>
  <c r="P266" i="18"/>
  <c r="T268" i="18"/>
  <c r="L271" i="18"/>
  <c r="P273" i="18"/>
  <c r="T275" i="18"/>
  <c r="L278" i="18"/>
  <c r="P280" i="18"/>
  <c r="T282" i="18"/>
  <c r="L285" i="18"/>
  <c r="P287" i="18"/>
  <c r="T289" i="18"/>
  <c r="L292" i="18"/>
  <c r="P294" i="18"/>
  <c r="T296" i="18"/>
  <c r="L299" i="18"/>
  <c r="P308" i="18"/>
  <c r="T310" i="18"/>
  <c r="L313" i="18"/>
  <c r="P315" i="18"/>
  <c r="T317" i="18"/>
  <c r="L320" i="18"/>
  <c r="P322" i="18"/>
  <c r="T324" i="18"/>
  <c r="L327" i="18"/>
  <c r="P329" i="18"/>
  <c r="T331" i="18"/>
  <c r="L341" i="18"/>
  <c r="P343" i="18"/>
  <c r="T345" i="18"/>
  <c r="L348" i="18"/>
  <c r="P350" i="18"/>
  <c r="T352" i="18"/>
  <c r="L362" i="18"/>
  <c r="P364" i="18"/>
  <c r="T366" i="18"/>
  <c r="L369" i="18"/>
  <c r="P371" i="18"/>
  <c r="T373" i="18"/>
  <c r="L376" i="18"/>
  <c r="P378" i="18"/>
  <c r="T380" i="18"/>
  <c r="L383" i="18"/>
  <c r="P385" i="18"/>
  <c r="T387" i="18"/>
  <c r="L390" i="18"/>
  <c r="P392" i="18"/>
  <c r="T394" i="18"/>
  <c r="L397" i="18"/>
  <c r="P399" i="18"/>
  <c r="T401" i="18"/>
  <c r="L404" i="18"/>
  <c r="P406" i="18"/>
  <c r="T408" i="18"/>
  <c r="L411" i="18"/>
  <c r="P413" i="18"/>
  <c r="T422" i="18"/>
  <c r="L425" i="18"/>
  <c r="Q441" i="18"/>
  <c r="U450" i="18"/>
  <c r="M453" i="18"/>
  <c r="T9" i="18"/>
  <c r="L12" i="18"/>
  <c r="P14" i="18"/>
  <c r="T16" i="18"/>
  <c r="L19" i="18"/>
  <c r="P21" i="18"/>
  <c r="T23" i="18"/>
  <c r="L26" i="18"/>
  <c r="P28" i="18"/>
  <c r="T30" i="18"/>
  <c r="L33" i="18"/>
  <c r="P42" i="18"/>
  <c r="T44" i="18"/>
  <c r="L47" i="18"/>
  <c r="P49" i="18"/>
  <c r="T51" i="18"/>
  <c r="L54" i="18"/>
  <c r="P56" i="18"/>
  <c r="T58" i="18"/>
  <c r="M61" i="18"/>
  <c r="Q63" i="18"/>
  <c r="Q69" i="15"/>
  <c r="U72" i="18"/>
  <c r="M82" i="18"/>
  <c r="Q84" i="18"/>
  <c r="U86" i="18"/>
  <c r="M99" i="18"/>
  <c r="Q101" i="18"/>
  <c r="U103" i="18"/>
  <c r="M106" i="18"/>
  <c r="Q108" i="18"/>
  <c r="U110" i="18"/>
  <c r="M113" i="18"/>
  <c r="Q115" i="18"/>
  <c r="U117" i="18"/>
  <c r="M138" i="18"/>
  <c r="Q140" i="18"/>
  <c r="U142" i="18"/>
  <c r="M145" i="18"/>
  <c r="Q147" i="18"/>
  <c r="U149" i="18"/>
  <c r="M152" i="18"/>
  <c r="Q154" i="18"/>
  <c r="U163" i="18"/>
  <c r="M166" i="18"/>
  <c r="Q168" i="18"/>
  <c r="U170" i="18"/>
  <c r="M173" i="18"/>
  <c r="Q175" i="18"/>
  <c r="U177" i="18"/>
  <c r="M180" i="18"/>
  <c r="Q182" i="18"/>
  <c r="U184" i="18"/>
  <c r="M187" i="18"/>
  <c r="Q189" i="18"/>
  <c r="U191" i="18"/>
  <c r="M194" i="18"/>
  <c r="Q196" i="18"/>
  <c r="U198" i="18"/>
  <c r="M201" i="18"/>
  <c r="Q203" i="18"/>
  <c r="U205" i="18"/>
  <c r="M208" i="18"/>
  <c r="Q210" i="18"/>
  <c r="U212" i="18"/>
  <c r="M215" i="18"/>
  <c r="Q217" i="18"/>
  <c r="U219" i="18"/>
  <c r="M222" i="18"/>
  <c r="Q224" i="18"/>
  <c r="U226" i="18"/>
  <c r="M229" i="18"/>
  <c r="Q231" i="18"/>
  <c r="U233" i="18"/>
  <c r="M236" i="18"/>
  <c r="Q238" i="18"/>
  <c r="U240" i="18"/>
  <c r="M243" i="18"/>
  <c r="Q245" i="18"/>
  <c r="U247" i="18"/>
  <c r="M257" i="18"/>
  <c r="Q259" i="18"/>
  <c r="U261" i="18"/>
  <c r="M264" i="18"/>
  <c r="Q266" i="18"/>
  <c r="U268" i="18"/>
  <c r="M271" i="18"/>
  <c r="Q273" i="18"/>
  <c r="U275" i="18"/>
  <c r="M278" i="18"/>
  <c r="Q280" i="18"/>
  <c r="U282" i="18"/>
  <c r="M285" i="18"/>
  <c r="Q287" i="18"/>
  <c r="U289" i="18"/>
  <c r="M292" i="18"/>
  <c r="Q294" i="18"/>
  <c r="U296" i="18"/>
  <c r="M299" i="18"/>
  <c r="Q308" i="18"/>
  <c r="U310" i="18"/>
  <c r="M313" i="18"/>
  <c r="Q315" i="18"/>
  <c r="U317" i="18"/>
  <c r="M320" i="18"/>
  <c r="Q322" i="18"/>
  <c r="U324" i="18"/>
  <c r="M327" i="18"/>
  <c r="Q329" i="18"/>
  <c r="U331" i="18"/>
  <c r="M341" i="18"/>
  <c r="U345" i="18"/>
  <c r="M348" i="18"/>
  <c r="Q350" i="18"/>
  <c r="U352" i="18"/>
  <c r="M362" i="18"/>
  <c r="Q364" i="18"/>
  <c r="U366" i="18"/>
  <c r="M369" i="18"/>
  <c r="Q371" i="18"/>
  <c r="U373" i="18"/>
  <c r="M376" i="18"/>
  <c r="Q378" i="18"/>
  <c r="U380" i="18"/>
  <c r="M383" i="18"/>
  <c r="Q385" i="18"/>
  <c r="U387" i="18"/>
  <c r="M390" i="18"/>
  <c r="Q392" i="18"/>
  <c r="U394" i="18"/>
  <c r="M397" i="18"/>
  <c r="Q399" i="18"/>
  <c r="U401" i="18"/>
  <c r="M404" i="18"/>
  <c r="Q406" i="18"/>
  <c r="U408" i="18"/>
  <c r="M411" i="18"/>
  <c r="Q413" i="18"/>
  <c r="U422" i="18"/>
  <c r="M425" i="18"/>
  <c r="N440" i="15"/>
  <c r="N439" i="15" s="1"/>
  <c r="R441" i="18"/>
  <c r="V450" i="18"/>
  <c r="N453" i="18"/>
  <c r="V217" i="18"/>
  <c r="N220" i="18"/>
  <c r="R222" i="18"/>
  <c r="V224" i="18"/>
  <c r="N227" i="18"/>
  <c r="R229" i="18"/>
  <c r="V231" i="18"/>
  <c r="N234" i="18"/>
  <c r="R236" i="18"/>
  <c r="V238" i="18"/>
  <c r="N241" i="18"/>
  <c r="R243" i="18"/>
  <c r="V245" i="18"/>
  <c r="N248" i="18"/>
  <c r="R257" i="18"/>
  <c r="V259" i="18"/>
  <c r="N262" i="18"/>
  <c r="R264" i="18"/>
  <c r="V266" i="18"/>
  <c r="N269" i="18"/>
  <c r="R271" i="18"/>
  <c r="V273" i="18"/>
  <c r="N276" i="18"/>
  <c r="R278" i="18"/>
  <c r="V280" i="18"/>
  <c r="N283" i="18"/>
  <c r="R285" i="18"/>
  <c r="V287" i="18"/>
  <c r="N290" i="18"/>
  <c r="R292" i="18"/>
  <c r="V294" i="18"/>
  <c r="N297" i="18"/>
  <c r="R299" i="18"/>
  <c r="V308" i="18"/>
  <c r="N311" i="18"/>
  <c r="R313" i="18"/>
  <c r="V315" i="18"/>
  <c r="N318" i="18"/>
  <c r="R320" i="18"/>
  <c r="V322" i="18"/>
  <c r="N325" i="18"/>
  <c r="R327" i="18"/>
  <c r="V329" i="18"/>
  <c r="N332" i="18"/>
  <c r="R341" i="18"/>
  <c r="V343" i="18"/>
  <c r="N346" i="18"/>
  <c r="R348" i="18"/>
  <c r="V350" i="18"/>
  <c r="N360" i="18"/>
  <c r="R362" i="18"/>
  <c r="V364" i="18"/>
  <c r="N367" i="18"/>
  <c r="R369" i="18"/>
  <c r="V371" i="18"/>
  <c r="N374" i="18"/>
  <c r="R376" i="18"/>
  <c r="V378" i="18"/>
  <c r="N381" i="18"/>
  <c r="R383" i="18"/>
  <c r="V385" i="18"/>
  <c r="N388" i="18"/>
  <c r="R390" i="18"/>
  <c r="V392" i="18"/>
  <c r="N395" i="18"/>
  <c r="R397" i="18"/>
  <c r="V399" i="18"/>
  <c r="N402" i="18"/>
  <c r="R404" i="18"/>
  <c r="V406" i="18"/>
  <c r="N409" i="18"/>
  <c r="R411" i="18"/>
  <c r="V413" i="18"/>
  <c r="N423" i="18"/>
  <c r="R425" i="18"/>
  <c r="W441" i="18"/>
  <c r="O451" i="18"/>
  <c r="S453" i="18"/>
  <c r="N10" i="18"/>
  <c r="R12" i="18"/>
  <c r="V14" i="18"/>
  <c r="N17" i="18"/>
  <c r="R19" i="18"/>
  <c r="V21" i="18"/>
  <c r="N24" i="18"/>
  <c r="R26" i="18"/>
  <c r="V28" i="18"/>
  <c r="N31" i="18"/>
  <c r="R33" i="18"/>
  <c r="V42" i="18"/>
  <c r="N45" i="18"/>
  <c r="R47" i="18"/>
  <c r="V49" i="18"/>
  <c r="N52" i="18"/>
  <c r="R54" i="18"/>
  <c r="V56" i="18"/>
  <c r="N59" i="18"/>
  <c r="S61" i="18"/>
  <c r="W63" i="18"/>
  <c r="O80" i="18"/>
  <c r="S82" i="18"/>
  <c r="W84" i="18"/>
  <c r="O97" i="18"/>
  <c r="S99" i="18"/>
  <c r="W101" i="18"/>
  <c r="O104" i="18"/>
  <c r="S106" i="18"/>
  <c r="W108" i="18"/>
  <c r="O111" i="18"/>
  <c r="S113" i="18"/>
  <c r="W115" i="18"/>
  <c r="O129" i="18"/>
  <c r="S138" i="18"/>
  <c r="W140" i="18"/>
  <c r="O143" i="18"/>
  <c r="S145" i="18"/>
  <c r="W147" i="18"/>
  <c r="O150" i="18"/>
  <c r="S152" i="18"/>
  <c r="W154" i="18"/>
  <c r="O164" i="18"/>
  <c r="S166" i="18"/>
  <c r="W168" i="18"/>
  <c r="O171" i="18"/>
  <c r="S173" i="18"/>
  <c r="W175" i="18"/>
  <c r="O178" i="18"/>
  <c r="S180" i="18"/>
  <c r="W182" i="18"/>
  <c r="O185" i="18"/>
  <c r="S187" i="18"/>
  <c r="W189" i="18"/>
  <c r="O192" i="18"/>
  <c r="S194" i="18"/>
  <c r="W196" i="18"/>
  <c r="O199" i="18"/>
  <c r="S201" i="18"/>
  <c r="W203" i="18"/>
  <c r="O206" i="18"/>
  <c r="S208" i="18"/>
  <c r="W210" i="18"/>
  <c r="O213" i="18"/>
  <c r="S215" i="18"/>
  <c r="W217" i="18"/>
  <c r="O220" i="18"/>
  <c r="S222" i="18"/>
  <c r="W224" i="18"/>
  <c r="O227" i="18"/>
  <c r="S229" i="18"/>
  <c r="W231" i="18"/>
  <c r="O234" i="18"/>
  <c r="S236" i="18"/>
  <c r="W238" i="18"/>
  <c r="O241" i="18"/>
  <c r="S243" i="18"/>
  <c r="W245" i="18"/>
  <c r="O248" i="18"/>
  <c r="S257" i="18"/>
  <c r="W259" i="18"/>
  <c r="O262" i="18"/>
  <c r="S264" i="18"/>
  <c r="W266" i="18"/>
  <c r="O269" i="18"/>
  <c r="S271" i="18"/>
  <c r="W273" i="18"/>
  <c r="O276" i="18"/>
  <c r="S278" i="18"/>
  <c r="W280" i="18"/>
  <c r="O283" i="18"/>
  <c r="S285" i="18"/>
  <c r="W287" i="18"/>
  <c r="O290" i="18"/>
  <c r="S292" i="18"/>
  <c r="W294" i="18"/>
  <c r="O297" i="18"/>
  <c r="S299" i="18"/>
  <c r="W308" i="18"/>
  <c r="O311" i="18"/>
  <c r="S313" i="18"/>
  <c r="W315" i="18"/>
  <c r="O318" i="18"/>
  <c r="S320" i="18"/>
  <c r="W322" i="18"/>
  <c r="O325" i="18"/>
  <c r="S327" i="18"/>
  <c r="W329" i="18"/>
  <c r="O332" i="18"/>
  <c r="S341" i="18"/>
  <c r="W343" i="18"/>
  <c r="O346" i="18"/>
  <c r="S348" i="18"/>
  <c r="W350" i="18"/>
  <c r="O360" i="18"/>
  <c r="S362" i="18"/>
  <c r="W364" i="18"/>
  <c r="O367" i="18"/>
  <c r="S369" i="18"/>
  <c r="W371" i="18"/>
  <c r="O374" i="18"/>
  <c r="S376" i="18"/>
  <c r="W378" i="18"/>
  <c r="O381" i="18"/>
  <c r="S383" i="18"/>
  <c r="W385" i="18"/>
  <c r="O388" i="18"/>
  <c r="S390" i="18"/>
  <c r="W392" i="18"/>
  <c r="O395" i="18"/>
  <c r="S397" i="18"/>
  <c r="W399" i="18"/>
  <c r="O402" i="18"/>
  <c r="S404" i="18"/>
  <c r="W406" i="18"/>
  <c r="O409" i="18"/>
  <c r="S411" i="18"/>
  <c r="W413" i="18"/>
  <c r="O423" i="18"/>
  <c r="S425" i="18"/>
  <c r="L442" i="18"/>
  <c r="P451" i="18"/>
  <c r="T453" i="18"/>
  <c r="L141" i="18"/>
  <c r="P143" i="18"/>
  <c r="T145" i="18"/>
  <c r="L148" i="18"/>
  <c r="P150" i="18"/>
  <c r="T152" i="18"/>
  <c r="L162" i="18"/>
  <c r="P164" i="18"/>
  <c r="T166" i="18"/>
  <c r="L169" i="18"/>
  <c r="P171" i="18"/>
  <c r="T173" i="18"/>
  <c r="L176" i="18"/>
  <c r="P178" i="18"/>
  <c r="T180" i="18"/>
  <c r="L183" i="18"/>
  <c r="P185" i="18"/>
  <c r="T187" i="18"/>
  <c r="L190" i="18"/>
  <c r="P192" i="18"/>
  <c r="T194" i="18"/>
  <c r="L197" i="18"/>
  <c r="P199" i="18"/>
  <c r="T201" i="18"/>
  <c r="L204" i="18"/>
  <c r="P206" i="18"/>
  <c r="T208" i="18"/>
  <c r="L211" i="18"/>
  <c r="P213" i="18"/>
  <c r="T215" i="18"/>
  <c r="L218" i="18"/>
  <c r="P220" i="18"/>
  <c r="T222" i="18"/>
  <c r="L225" i="18"/>
  <c r="P227" i="18"/>
  <c r="T229" i="18"/>
  <c r="L232" i="18"/>
  <c r="P234" i="18"/>
  <c r="T236" i="18"/>
  <c r="L239" i="18"/>
  <c r="P241" i="18"/>
  <c r="T243" i="18"/>
  <c r="L246" i="18"/>
  <c r="P248" i="18"/>
  <c r="T257" i="18"/>
  <c r="L260" i="18"/>
  <c r="P262" i="18"/>
  <c r="T264" i="18"/>
  <c r="L267" i="18"/>
  <c r="P269" i="18"/>
  <c r="T271" i="18"/>
  <c r="L274" i="18"/>
  <c r="P276" i="18"/>
  <c r="T278" i="18"/>
  <c r="L281" i="18"/>
  <c r="P283" i="18"/>
  <c r="T285" i="18"/>
  <c r="L288" i="18"/>
  <c r="P290" i="18"/>
  <c r="T292" i="18"/>
  <c r="L295" i="18"/>
  <c r="P297" i="18"/>
  <c r="T299" i="18"/>
  <c r="L309" i="18"/>
  <c r="P311" i="18"/>
  <c r="T313" i="18"/>
  <c r="L316" i="18"/>
  <c r="P318" i="18"/>
  <c r="T320" i="18"/>
  <c r="L323" i="18"/>
  <c r="P325" i="18"/>
  <c r="T327" i="18"/>
  <c r="L330" i="18"/>
  <c r="P332" i="18"/>
  <c r="T341" i="18"/>
  <c r="L344" i="18"/>
  <c r="P346" i="18"/>
  <c r="T348" i="18"/>
  <c r="L351" i="18"/>
  <c r="P360" i="18"/>
  <c r="T362" i="18"/>
  <c r="L365" i="18"/>
  <c r="P367" i="18"/>
  <c r="T369" i="18"/>
  <c r="L372" i="18"/>
  <c r="P374" i="18"/>
  <c r="T376" i="18"/>
  <c r="L379" i="18"/>
  <c r="P381" i="18"/>
  <c r="T383" i="18"/>
  <c r="L386" i="18"/>
  <c r="P388" i="18"/>
  <c r="T390" i="18"/>
  <c r="L393" i="18"/>
  <c r="P395" i="18"/>
  <c r="T397" i="18"/>
  <c r="L400" i="18"/>
  <c r="P402" i="18"/>
  <c r="T404" i="18"/>
  <c r="L407" i="18"/>
  <c r="P409" i="18"/>
  <c r="T411" i="18"/>
  <c r="L414" i="18"/>
  <c r="P423" i="18"/>
  <c r="T425" i="18"/>
  <c r="M442" i="18"/>
  <c r="Q451" i="18"/>
  <c r="U453" i="18"/>
  <c r="P10" i="18"/>
  <c r="T12" i="18"/>
  <c r="L15" i="18"/>
  <c r="P17" i="18"/>
  <c r="T19" i="18"/>
  <c r="L22" i="18"/>
  <c r="P24" i="18"/>
  <c r="T26" i="18"/>
  <c r="L29" i="18"/>
  <c r="P31" i="18"/>
  <c r="T33" i="18"/>
  <c r="L43" i="18"/>
  <c r="P45" i="18"/>
  <c r="T47" i="18"/>
  <c r="L50" i="18"/>
  <c r="P52" i="18"/>
  <c r="T54" i="18"/>
  <c r="L57" i="18"/>
  <c r="P59" i="18"/>
  <c r="U61" i="18"/>
  <c r="M71" i="18"/>
  <c r="Q80" i="18"/>
  <c r="U82" i="18"/>
  <c r="M85" i="18"/>
  <c r="Q97" i="18"/>
  <c r="U99" i="18"/>
  <c r="M102" i="18"/>
  <c r="Q104" i="18"/>
  <c r="U106" i="18"/>
  <c r="M109" i="18"/>
  <c r="Q111" i="18"/>
  <c r="U113" i="18"/>
  <c r="M116" i="18"/>
  <c r="Q129" i="18"/>
  <c r="U138" i="18"/>
  <c r="M141" i="18"/>
  <c r="Q143" i="18"/>
  <c r="U145" i="18"/>
  <c r="M148" i="18"/>
  <c r="Q150" i="18"/>
  <c r="U152" i="18"/>
  <c r="M162" i="18"/>
  <c r="Q164" i="18"/>
  <c r="U166" i="18"/>
  <c r="M169" i="18"/>
  <c r="Q171" i="18"/>
  <c r="U173" i="18"/>
  <c r="M176" i="18"/>
  <c r="Q178" i="18"/>
  <c r="U180" i="18"/>
  <c r="M183" i="18"/>
  <c r="Q185" i="18"/>
  <c r="U187" i="18"/>
  <c r="M190" i="18"/>
  <c r="Q192" i="18"/>
  <c r="U194" i="18"/>
  <c r="M197" i="18"/>
  <c r="Q199" i="18"/>
  <c r="U201" i="18"/>
  <c r="M204" i="18"/>
  <c r="Q206" i="18"/>
  <c r="U208" i="18"/>
  <c r="M211" i="18"/>
  <c r="Q213" i="18"/>
  <c r="U215" i="18"/>
  <c r="M218" i="18"/>
  <c r="Q220" i="18"/>
  <c r="U222" i="18"/>
  <c r="M225" i="18"/>
  <c r="Q227" i="18"/>
  <c r="U229" i="18"/>
  <c r="M232" i="18"/>
  <c r="Q234" i="18"/>
  <c r="U236" i="18"/>
  <c r="M239" i="18"/>
  <c r="Q241" i="18"/>
  <c r="U243" i="18"/>
  <c r="M246" i="18"/>
  <c r="Q248" i="18"/>
  <c r="U257" i="18"/>
  <c r="M260" i="18"/>
  <c r="Q262" i="18"/>
  <c r="U264" i="18"/>
  <c r="M267" i="18"/>
  <c r="Q269" i="18"/>
  <c r="U271" i="18"/>
  <c r="M274" i="18"/>
  <c r="Q276" i="18"/>
  <c r="U278" i="18"/>
  <c r="M281" i="18"/>
  <c r="Q283" i="18"/>
  <c r="U285" i="18"/>
  <c r="M288" i="18"/>
  <c r="Q290" i="18"/>
  <c r="U292" i="18"/>
  <c r="M295" i="18"/>
  <c r="Q297" i="18"/>
  <c r="U299" i="18"/>
  <c r="M309" i="18"/>
  <c r="Q311" i="18"/>
  <c r="U313" i="18"/>
  <c r="M316" i="18"/>
  <c r="Q318" i="18"/>
  <c r="U320" i="18"/>
  <c r="M323" i="18"/>
  <c r="Q325" i="18"/>
  <c r="U327" i="18"/>
  <c r="M330" i="18"/>
  <c r="Q332" i="18"/>
  <c r="U341" i="18"/>
  <c r="M344" i="18"/>
  <c r="Q346" i="18"/>
  <c r="U348" i="18"/>
  <c r="M351" i="18"/>
  <c r="Q360" i="18"/>
  <c r="U362" i="18"/>
  <c r="M365" i="18"/>
  <c r="Q367" i="18"/>
  <c r="U369" i="18"/>
  <c r="M372" i="18"/>
  <c r="Q374" i="18"/>
  <c r="U376" i="18"/>
  <c r="M379" i="18"/>
  <c r="Q381" i="18"/>
  <c r="U383" i="18"/>
  <c r="M386" i="18"/>
  <c r="Q388" i="18"/>
  <c r="U390" i="18"/>
  <c r="M393" i="18"/>
  <c r="Q395" i="18"/>
  <c r="U397" i="18"/>
  <c r="M400" i="18"/>
  <c r="Q402" i="18"/>
  <c r="U404" i="18"/>
  <c r="M407" i="18"/>
  <c r="Q409" i="18"/>
  <c r="U411" i="18"/>
  <c r="M414" i="18"/>
  <c r="Q423" i="18"/>
  <c r="U425" i="18"/>
  <c r="N442" i="18"/>
  <c r="R451" i="18"/>
  <c r="V453" i="18"/>
  <c r="V26" i="18"/>
  <c r="O148" i="18"/>
  <c r="W194" i="18"/>
  <c r="S206" i="18"/>
  <c r="O211" i="18"/>
  <c r="S213" i="18"/>
  <c r="W215" i="18"/>
  <c r="O218" i="18"/>
  <c r="S220" i="18"/>
  <c r="W222" i="18"/>
  <c r="O225" i="18"/>
  <c r="W229" i="18"/>
  <c r="O232" i="18"/>
  <c r="S234" i="18"/>
  <c r="W236" i="18"/>
  <c r="O239" i="18"/>
  <c r="S241" i="18"/>
  <c r="W243" i="18"/>
  <c r="O246" i="18"/>
  <c r="S248" i="18"/>
  <c r="W257" i="18"/>
  <c r="O260" i="18"/>
  <c r="S262" i="18"/>
  <c r="W264" i="18"/>
  <c r="O267" i="18"/>
  <c r="S269" i="18"/>
  <c r="W271" i="18"/>
  <c r="O274" i="18"/>
  <c r="S276" i="18"/>
  <c r="W278" i="18"/>
  <c r="O281" i="18"/>
  <c r="S283" i="18"/>
  <c r="W285" i="18"/>
  <c r="O288" i="18"/>
  <c r="S290" i="18"/>
  <c r="W292" i="18"/>
  <c r="O295" i="18"/>
  <c r="S297" i="18"/>
  <c r="W299" i="18"/>
  <c r="O309" i="18"/>
  <c r="S311" i="18"/>
  <c r="W313" i="18"/>
  <c r="O316" i="18"/>
  <c r="S318" i="18"/>
  <c r="W320" i="18"/>
  <c r="O323" i="18"/>
  <c r="S325" i="18"/>
  <c r="W327" i="18"/>
  <c r="O330" i="18"/>
  <c r="S332" i="18"/>
  <c r="W341" i="18"/>
  <c r="O344" i="18"/>
  <c r="S346" i="18"/>
  <c r="W348" i="18"/>
  <c r="O351" i="18"/>
  <c r="S360" i="18"/>
  <c r="W362" i="18"/>
  <c r="O365" i="18"/>
  <c r="S367" i="18"/>
  <c r="W369" i="18"/>
  <c r="O372" i="18"/>
  <c r="S374" i="18"/>
  <c r="W376" i="18"/>
  <c r="O379" i="18"/>
  <c r="S381" i="18"/>
  <c r="W383" i="18"/>
  <c r="O386" i="18"/>
  <c r="S388" i="18"/>
  <c r="W390" i="18"/>
  <c r="O393" i="18"/>
  <c r="S395" i="18"/>
  <c r="W397" i="18"/>
  <c r="O400" i="18"/>
  <c r="S402" i="18"/>
  <c r="W404" i="18"/>
  <c r="O407" i="18"/>
  <c r="S409" i="18"/>
  <c r="W411" i="18"/>
  <c r="O414" i="18"/>
  <c r="S423" i="18"/>
  <c r="W425" i="18"/>
  <c r="P442" i="18"/>
  <c r="T451" i="18"/>
  <c r="L454" i="18"/>
  <c r="S10" i="18"/>
  <c r="W12" i="18"/>
  <c r="O15" i="18"/>
  <c r="S17" i="18"/>
  <c r="W19" i="18"/>
  <c r="O22" i="18"/>
  <c r="S24" i="18"/>
  <c r="W26" i="18"/>
  <c r="O29" i="18"/>
  <c r="S31" i="18"/>
  <c r="W33" i="18"/>
  <c r="O43" i="18"/>
  <c r="S45" i="18"/>
  <c r="W47" i="18"/>
  <c r="O50" i="18"/>
  <c r="S52" i="18"/>
  <c r="W54" i="18"/>
  <c r="O57" i="18"/>
  <c r="S59" i="18"/>
  <c r="L62" i="18"/>
  <c r="P71" i="18"/>
  <c r="P70" i="18" s="1"/>
  <c r="P69" i="18" s="1"/>
  <c r="T80" i="18"/>
  <c r="L83" i="18"/>
  <c r="P85" i="18"/>
  <c r="T97" i="18"/>
  <c r="L100" i="18"/>
  <c r="P102" i="18"/>
  <c r="T104" i="18"/>
  <c r="L107" i="18"/>
  <c r="P109" i="18"/>
  <c r="T111" i="18"/>
  <c r="L114" i="18"/>
  <c r="P116" i="18"/>
  <c r="T129" i="18"/>
  <c r="T128" i="18" s="1"/>
  <c r="T127" i="18" s="1"/>
  <c r="L139" i="18"/>
  <c r="P141" i="18"/>
  <c r="T143" i="18"/>
  <c r="L146" i="18"/>
  <c r="P148" i="18"/>
  <c r="T150" i="18"/>
  <c r="L153" i="18"/>
  <c r="P162" i="18"/>
  <c r="T164" i="18"/>
  <c r="L167" i="18"/>
  <c r="P169" i="18"/>
  <c r="T171" i="18"/>
  <c r="L174" i="18"/>
  <c r="P176" i="18"/>
  <c r="T178" i="18"/>
  <c r="L181" i="18"/>
  <c r="P183" i="18"/>
  <c r="T185" i="18"/>
  <c r="L188" i="18"/>
  <c r="P190" i="18"/>
  <c r="T192" i="18"/>
  <c r="L195" i="18"/>
  <c r="P197" i="18"/>
  <c r="T199" i="18"/>
  <c r="L202" i="18"/>
  <c r="P204" i="18"/>
  <c r="T206" i="18"/>
  <c r="L209" i="18"/>
  <c r="P211" i="18"/>
  <c r="T213" i="18"/>
  <c r="L216" i="18"/>
  <c r="P218" i="18"/>
  <c r="T220" i="18"/>
  <c r="L223" i="18"/>
  <c r="P225" i="18"/>
  <c r="T227" i="18"/>
  <c r="L230" i="18"/>
  <c r="P232" i="18"/>
  <c r="T234" i="18"/>
  <c r="L237" i="18"/>
  <c r="P239" i="18"/>
  <c r="T241" i="18"/>
  <c r="L244" i="18"/>
  <c r="P246" i="18"/>
  <c r="T248" i="18"/>
  <c r="L258" i="18"/>
  <c r="P260" i="18"/>
  <c r="T262" i="18"/>
  <c r="L265" i="18"/>
  <c r="P267" i="18"/>
  <c r="T269" i="18"/>
  <c r="L272" i="18"/>
  <c r="P274" i="18"/>
  <c r="T276" i="18"/>
  <c r="L279" i="18"/>
  <c r="P281" i="18"/>
  <c r="T283" i="18"/>
  <c r="L286" i="18"/>
  <c r="P288" i="18"/>
  <c r="T290" i="18"/>
  <c r="L293" i="18"/>
  <c r="P295" i="18"/>
  <c r="T297" i="18"/>
  <c r="L307" i="18"/>
  <c r="P309" i="18"/>
  <c r="T311" i="18"/>
  <c r="L314" i="18"/>
  <c r="P316" i="18"/>
  <c r="T318" i="18"/>
  <c r="L321" i="18"/>
  <c r="P323" i="18"/>
  <c r="T325" i="18"/>
  <c r="L328" i="18"/>
  <c r="P330" i="18"/>
  <c r="T332" i="18"/>
  <c r="L342" i="18"/>
  <c r="P344" i="18"/>
  <c r="T346" i="18"/>
  <c r="L349" i="18"/>
  <c r="P351" i="18"/>
  <c r="T360" i="18"/>
  <c r="L363" i="18"/>
  <c r="P365" i="18"/>
  <c r="T367" i="18"/>
  <c r="L370" i="18"/>
  <c r="P372" i="18"/>
  <c r="T374" i="18"/>
  <c r="L377" i="18"/>
  <c r="P379" i="18"/>
  <c r="T381" i="18"/>
  <c r="L384" i="18"/>
  <c r="P386" i="18"/>
  <c r="T388" i="18"/>
  <c r="L391" i="18"/>
  <c r="P393" i="18"/>
  <c r="T395" i="18"/>
  <c r="L398" i="18"/>
  <c r="P400" i="18"/>
  <c r="T402" i="18"/>
  <c r="L405" i="18"/>
  <c r="P407" i="18"/>
  <c r="T409" i="18"/>
  <c r="L412" i="18"/>
  <c r="P414" i="18"/>
  <c r="T423" i="18"/>
  <c r="I432" i="15"/>
  <c r="I431" i="15" s="1"/>
  <c r="M433" i="18"/>
  <c r="Q442" i="18"/>
  <c r="U451" i="18"/>
  <c r="M454" i="18"/>
  <c r="R59" i="18"/>
  <c r="O183" i="18"/>
  <c r="M146" i="18"/>
  <c r="Q260" i="18"/>
  <c r="R442" i="18"/>
  <c r="M13" i="18"/>
  <c r="Q43" i="18"/>
  <c r="N62" i="18"/>
  <c r="N100" i="18"/>
  <c r="V111" i="18"/>
  <c r="V129" i="18"/>
  <c r="V128" i="18" s="1"/>
  <c r="V127" i="18" s="1"/>
  <c r="R141" i="18"/>
  <c r="V143" i="18"/>
  <c r="N146" i="18"/>
  <c r="V150" i="18"/>
  <c r="N153" i="18"/>
  <c r="R162" i="18"/>
  <c r="V164" i="18"/>
  <c r="N174" i="18"/>
  <c r="R176" i="18"/>
  <c r="V178" i="18"/>
  <c r="N181" i="18"/>
  <c r="R183" i="18"/>
  <c r="V185" i="18"/>
  <c r="N188" i="18"/>
  <c r="R190" i="18"/>
  <c r="V192" i="18"/>
  <c r="N195" i="18"/>
  <c r="R197" i="18"/>
  <c r="V199" i="18"/>
  <c r="N202" i="18"/>
  <c r="R204" i="18"/>
  <c r="V206" i="18"/>
  <c r="N209" i="18"/>
  <c r="R211" i="18"/>
  <c r="V213" i="18"/>
  <c r="N216" i="18"/>
  <c r="R218" i="18"/>
  <c r="V220" i="18"/>
  <c r="N223" i="18"/>
  <c r="R225" i="18"/>
  <c r="V227" i="18"/>
  <c r="N230" i="18"/>
  <c r="R232" i="18"/>
  <c r="V234" i="18"/>
  <c r="N237" i="18"/>
  <c r="R239" i="18"/>
  <c r="V241" i="18"/>
  <c r="N244" i="18"/>
  <c r="R246" i="18"/>
  <c r="V248" i="18"/>
  <c r="N258" i="18"/>
  <c r="R260" i="18"/>
  <c r="V262" i="18"/>
  <c r="N265" i="18"/>
  <c r="R267" i="18"/>
  <c r="V269" i="18"/>
  <c r="N272" i="18"/>
  <c r="R274" i="18"/>
  <c r="V276" i="18"/>
  <c r="N279" i="18"/>
  <c r="R281" i="18"/>
  <c r="V283" i="18"/>
  <c r="N286" i="18"/>
  <c r="R288" i="18"/>
  <c r="V290" i="18"/>
  <c r="N293" i="18"/>
  <c r="R295" i="18"/>
  <c r="V297" i="18"/>
  <c r="N307" i="18"/>
  <c r="R309" i="18"/>
  <c r="V311" i="18"/>
  <c r="N314" i="18"/>
  <c r="R316" i="18"/>
  <c r="V318" i="18"/>
  <c r="N321" i="18"/>
  <c r="R323" i="18"/>
  <c r="V325" i="18"/>
  <c r="N328" i="18"/>
  <c r="R330" i="18"/>
  <c r="V332" i="18"/>
  <c r="N342" i="18"/>
  <c r="R344" i="18"/>
  <c r="V346" i="18"/>
  <c r="N349" i="18"/>
  <c r="R351" i="18"/>
  <c r="V360" i="18"/>
  <c r="N363" i="18"/>
  <c r="R365" i="18"/>
  <c r="V367" i="18"/>
  <c r="N370" i="18"/>
  <c r="R372" i="18"/>
  <c r="V374" i="18"/>
  <c r="N377" i="18"/>
  <c r="R379" i="18"/>
  <c r="V381" i="18"/>
  <c r="N384" i="18"/>
  <c r="R386" i="18"/>
  <c r="V388" i="18"/>
  <c r="N391" i="18"/>
  <c r="R393" i="18"/>
  <c r="V395" i="18"/>
  <c r="N398" i="18"/>
  <c r="R400" i="18"/>
  <c r="V402" i="18"/>
  <c r="N405" i="18"/>
  <c r="R407" i="18"/>
  <c r="V409" i="18"/>
  <c r="N412" i="18"/>
  <c r="R414" i="18"/>
  <c r="V423" i="18"/>
  <c r="K432" i="15"/>
  <c r="K431" i="15" s="1"/>
  <c r="O433" i="18"/>
  <c r="O432" i="18" s="1"/>
  <c r="O431" i="18" s="1"/>
  <c r="S442" i="18"/>
  <c r="W451" i="18"/>
  <c r="O454" i="18"/>
  <c r="N22" i="18"/>
  <c r="R52" i="18"/>
  <c r="W113" i="18"/>
  <c r="Q211" i="18"/>
  <c r="J432" i="15"/>
  <c r="J431" i="15" s="1"/>
  <c r="N433" i="18"/>
  <c r="N432" i="18" s="1"/>
  <c r="N431" i="18" s="1"/>
  <c r="U17" i="18"/>
  <c r="R148" i="18"/>
  <c r="V31" i="18"/>
  <c r="V59" i="18"/>
  <c r="W80" i="18"/>
  <c r="O83" i="18"/>
  <c r="S85" i="18"/>
  <c r="W97" i="18"/>
  <c r="O107" i="18"/>
  <c r="S109" i="18"/>
  <c r="W111" i="18"/>
  <c r="O114" i="18"/>
  <c r="S116" i="18"/>
  <c r="W129" i="18"/>
  <c r="O139" i="18"/>
  <c r="S141" i="18"/>
  <c r="W143" i="18"/>
  <c r="O146" i="18"/>
  <c r="S148" i="18"/>
  <c r="W150" i="18"/>
  <c r="O153" i="18"/>
  <c r="S162" i="18"/>
  <c r="W164" i="18"/>
  <c r="O167" i="18"/>
  <c r="S169" i="18"/>
  <c r="W171" i="18"/>
  <c r="O174" i="18"/>
  <c r="S176" i="18"/>
  <c r="W178" i="18"/>
  <c r="O181" i="18"/>
  <c r="S183" i="18"/>
  <c r="W185" i="18"/>
  <c r="O188" i="18"/>
  <c r="S190" i="18"/>
  <c r="W192" i="18"/>
  <c r="O195" i="18"/>
  <c r="S197" i="18"/>
  <c r="W199" i="18"/>
  <c r="O202" i="18"/>
  <c r="S204" i="18"/>
  <c r="W206" i="18"/>
  <c r="O209" i="18"/>
  <c r="S211" i="18"/>
  <c r="W213" i="18"/>
  <c r="O216" i="18"/>
  <c r="S218" i="18"/>
  <c r="W220" i="18"/>
  <c r="O223" i="18"/>
  <c r="S225" i="18"/>
  <c r="W227" i="18"/>
  <c r="O230" i="18"/>
  <c r="S232" i="18"/>
  <c r="W234" i="18"/>
  <c r="O237" i="18"/>
  <c r="S239" i="18"/>
  <c r="W241" i="18"/>
  <c r="O244" i="18"/>
  <c r="S246" i="18"/>
  <c r="W248" i="18"/>
  <c r="O258" i="18"/>
  <c r="S260" i="18"/>
  <c r="W262" i="18"/>
  <c r="O265" i="18"/>
  <c r="S267" i="18"/>
  <c r="W269" i="18"/>
  <c r="O272" i="18"/>
  <c r="S274" i="18"/>
  <c r="W276" i="18"/>
  <c r="O279" i="18"/>
  <c r="S281" i="18"/>
  <c r="W283" i="18"/>
  <c r="O286" i="18"/>
  <c r="S288" i="18"/>
  <c r="W290" i="18"/>
  <c r="O293" i="18"/>
  <c r="S295" i="18"/>
  <c r="W297" i="18"/>
  <c r="O307" i="18"/>
  <c r="S309" i="18"/>
  <c r="W311" i="18"/>
  <c r="O314" i="18"/>
  <c r="S316" i="18"/>
  <c r="W318" i="18"/>
  <c r="O321" i="18"/>
  <c r="S323" i="18"/>
  <c r="W325" i="18"/>
  <c r="O328" i="18"/>
  <c r="S330" i="18"/>
  <c r="W332" i="18"/>
  <c r="O342" i="18"/>
  <c r="S344" i="18"/>
  <c r="W346" i="18"/>
  <c r="O349" i="18"/>
  <c r="S351" i="18"/>
  <c r="W360" i="18"/>
  <c r="O363" i="18"/>
  <c r="S365" i="18"/>
  <c r="W367" i="18"/>
  <c r="O370" i="18"/>
  <c r="S372" i="18"/>
  <c r="W374" i="18"/>
  <c r="O377" i="18"/>
  <c r="S379" i="18"/>
  <c r="W381" i="18"/>
  <c r="O384" i="18"/>
  <c r="S386" i="18"/>
  <c r="W388" i="18"/>
  <c r="O391" i="18"/>
  <c r="S393" i="18"/>
  <c r="W395" i="18"/>
  <c r="O398" i="18"/>
  <c r="S400" i="18"/>
  <c r="W402" i="18"/>
  <c r="O405" i="18"/>
  <c r="S407" i="18"/>
  <c r="W409" i="18"/>
  <c r="O412" i="18"/>
  <c r="S414" i="18"/>
  <c r="W423" i="18"/>
  <c r="L432" i="15"/>
  <c r="L431" i="15" s="1"/>
  <c r="P433" i="18"/>
  <c r="P432" i="18" s="1"/>
  <c r="P431" i="18" s="1"/>
  <c r="T442" i="18"/>
  <c r="L452" i="18"/>
  <c r="P454" i="18"/>
  <c r="N400" i="18"/>
  <c r="R402" i="18"/>
  <c r="V404" i="18"/>
  <c r="N407" i="18"/>
  <c r="R409" i="18"/>
  <c r="V411" i="18"/>
  <c r="N414" i="18"/>
  <c r="W453" i="18"/>
  <c r="Q15" i="18"/>
  <c r="U24" i="18"/>
  <c r="U31" i="18"/>
  <c r="M48" i="18"/>
  <c r="Q57" i="18"/>
  <c r="V80" i="18"/>
  <c r="V97" i="18"/>
  <c r="R102" i="18"/>
  <c r="R109" i="18"/>
  <c r="N139" i="18"/>
  <c r="R169" i="18"/>
  <c r="V10" i="18"/>
  <c r="R15" i="18"/>
  <c r="R22" i="18"/>
  <c r="R29" i="18"/>
  <c r="N41" i="18"/>
  <c r="N48" i="18"/>
  <c r="R50" i="18"/>
  <c r="N55" i="18"/>
  <c r="O62" i="18"/>
  <c r="O100" i="18"/>
  <c r="W10" i="18"/>
  <c r="O13" i="18"/>
  <c r="S15" i="18"/>
  <c r="W17" i="18"/>
  <c r="O20" i="18"/>
  <c r="S22" i="18"/>
  <c r="W24" i="18"/>
  <c r="O27" i="18"/>
  <c r="S29" i="18"/>
  <c r="W31" i="18"/>
  <c r="O41" i="18"/>
  <c r="S43" i="18"/>
  <c r="W45" i="18"/>
  <c r="O48" i="18"/>
  <c r="S50" i="18"/>
  <c r="W52" i="18"/>
  <c r="O55" i="18"/>
  <c r="S57" i="18"/>
  <c r="L60" i="18"/>
  <c r="P62" i="18"/>
  <c r="T71" i="18"/>
  <c r="L81" i="18"/>
  <c r="P83" i="18"/>
  <c r="T85" i="18"/>
  <c r="L98" i="18"/>
  <c r="P100" i="18"/>
  <c r="T102" i="18"/>
  <c r="L105" i="18"/>
  <c r="P107" i="18"/>
  <c r="T109" i="18"/>
  <c r="L112" i="18"/>
  <c r="P114" i="18"/>
  <c r="T116" i="18"/>
  <c r="L130" i="18"/>
  <c r="P139" i="18"/>
  <c r="T141" i="18"/>
  <c r="L144" i="18"/>
  <c r="P146" i="18"/>
  <c r="T148" i="18"/>
  <c r="L151" i="18"/>
  <c r="P153" i="18"/>
  <c r="T162" i="18"/>
  <c r="L165" i="18"/>
  <c r="P167" i="18"/>
  <c r="T169" i="18"/>
  <c r="L172" i="18"/>
  <c r="P174" i="18"/>
  <c r="T176" i="18"/>
  <c r="L179" i="18"/>
  <c r="P181" i="18"/>
  <c r="T183" i="18"/>
  <c r="L186" i="18"/>
  <c r="P188" i="18"/>
  <c r="T190" i="18"/>
  <c r="L193" i="18"/>
  <c r="P195" i="18"/>
  <c r="T197" i="18"/>
  <c r="L200" i="18"/>
  <c r="P202" i="18"/>
  <c r="T204" i="18"/>
  <c r="L207" i="18"/>
  <c r="P209" i="18"/>
  <c r="T211" i="18"/>
  <c r="L214" i="18"/>
  <c r="P216" i="18"/>
  <c r="T218" i="18"/>
  <c r="L221" i="18"/>
  <c r="P223" i="18"/>
  <c r="T225" i="18"/>
  <c r="L228" i="18"/>
  <c r="P230" i="18"/>
  <c r="T232" i="18"/>
  <c r="L235" i="18"/>
  <c r="P237" i="18"/>
  <c r="T239" i="18"/>
  <c r="L242" i="18"/>
  <c r="P244" i="18"/>
  <c r="T246" i="18"/>
  <c r="L256" i="18"/>
  <c r="P258" i="18"/>
  <c r="T260" i="18"/>
  <c r="L263" i="18"/>
  <c r="P265" i="18"/>
  <c r="T267" i="18"/>
  <c r="L270" i="18"/>
  <c r="P272" i="18"/>
  <c r="T274" i="18"/>
  <c r="L277" i="18"/>
  <c r="P279" i="18"/>
  <c r="T281" i="18"/>
  <c r="L284" i="18"/>
  <c r="P286" i="18"/>
  <c r="T288" i="18"/>
  <c r="L291" i="18"/>
  <c r="P293" i="18"/>
  <c r="T295" i="18"/>
  <c r="L298" i="18"/>
  <c r="P307" i="18"/>
  <c r="T309" i="18"/>
  <c r="L312" i="18"/>
  <c r="P314" i="18"/>
  <c r="T316" i="18"/>
  <c r="L319" i="18"/>
  <c r="P321" i="18"/>
  <c r="T323" i="18"/>
  <c r="L326" i="18"/>
  <c r="P328" i="18"/>
  <c r="T330" i="18"/>
  <c r="L340" i="18"/>
  <c r="P342" i="18"/>
  <c r="T344" i="18"/>
  <c r="L347" i="18"/>
  <c r="P349" i="18"/>
  <c r="T351" i="18"/>
  <c r="L361" i="18"/>
  <c r="P363" i="18"/>
  <c r="T365" i="18"/>
  <c r="L368" i="18"/>
  <c r="P370" i="18"/>
  <c r="T372" i="18"/>
  <c r="L375" i="18"/>
  <c r="P377" i="18"/>
  <c r="T379" i="18"/>
  <c r="L382" i="18"/>
  <c r="P384" i="18"/>
  <c r="T386" i="18"/>
  <c r="L389" i="18"/>
  <c r="P391" i="18"/>
  <c r="T393" i="18"/>
  <c r="L396" i="18"/>
  <c r="P398" i="18"/>
  <c r="T400" i="18"/>
  <c r="L403" i="18"/>
  <c r="P405" i="18"/>
  <c r="T407" i="18"/>
  <c r="L410" i="18"/>
  <c r="P412" i="18"/>
  <c r="T414" i="18"/>
  <c r="L424" i="18"/>
  <c r="M432" i="15"/>
  <c r="M431" i="15" s="1"/>
  <c r="Q433" i="18"/>
  <c r="Q432" i="18" s="1"/>
  <c r="Q431" i="18" s="1"/>
  <c r="U442" i="18"/>
  <c r="M452" i="18"/>
  <c r="Q454" i="18"/>
  <c r="R10" i="18"/>
  <c r="V12" i="18"/>
  <c r="N15" i="18"/>
  <c r="R17" i="18"/>
  <c r="V19" i="18"/>
  <c r="R24" i="18"/>
  <c r="N29" i="18"/>
  <c r="R31" i="18"/>
  <c r="V33" i="18"/>
  <c r="N43" i="18"/>
  <c r="R45" i="18"/>
  <c r="V47" i="18"/>
  <c r="N50" i="18"/>
  <c r="V54" i="18"/>
  <c r="N57" i="18"/>
  <c r="W61" i="18"/>
  <c r="O71" i="18"/>
  <c r="O70" i="18" s="1"/>
  <c r="O69" i="18" s="1"/>
  <c r="S80" i="18"/>
  <c r="W82" i="18"/>
  <c r="O85" i="18"/>
  <c r="S97" i="18"/>
  <c r="W99" i="18"/>
  <c r="O102" i="18"/>
  <c r="S104" i="18"/>
  <c r="W106" i="18"/>
  <c r="O109" i="18"/>
  <c r="S111" i="18"/>
  <c r="O116" i="18"/>
  <c r="S129" i="18"/>
  <c r="S128" i="18" s="1"/>
  <c r="S127" i="18" s="1"/>
  <c r="W138" i="18"/>
  <c r="O141" i="18"/>
  <c r="S143" i="18"/>
  <c r="W145" i="18"/>
  <c r="S150" i="18"/>
  <c r="W152" i="18"/>
  <c r="O162" i="18"/>
  <c r="S164" i="18"/>
  <c r="W166" i="18"/>
  <c r="O169" i="18"/>
  <c r="S171" i="18"/>
  <c r="W173" i="18"/>
  <c r="O176" i="18"/>
  <c r="S178" i="18"/>
  <c r="W180" i="18"/>
  <c r="S185" i="18"/>
  <c r="W187" i="18"/>
  <c r="O190" i="18"/>
  <c r="S192" i="18"/>
  <c r="O197" i="18"/>
  <c r="S199" i="18"/>
  <c r="W201" i="18"/>
  <c r="O204" i="18"/>
  <c r="W208" i="18"/>
  <c r="S227" i="18"/>
  <c r="T10" i="18"/>
  <c r="L13" i="18"/>
  <c r="P15" i="18"/>
  <c r="T17" i="18"/>
  <c r="L20" i="18"/>
  <c r="P22" i="18"/>
  <c r="T24" i="18"/>
  <c r="L27" i="18"/>
  <c r="P29" i="18"/>
  <c r="T31" i="18"/>
  <c r="L41" i="18"/>
  <c r="P43" i="18"/>
  <c r="T45" i="18"/>
  <c r="L48" i="18"/>
  <c r="P50" i="18"/>
  <c r="T52" i="18"/>
  <c r="L55" i="18"/>
  <c r="P57" i="18"/>
  <c r="T59" i="18"/>
  <c r="M62" i="18"/>
  <c r="Q71" i="18"/>
  <c r="U80" i="18"/>
  <c r="M83" i="18"/>
  <c r="Q85" i="18"/>
  <c r="U97" i="18"/>
  <c r="M100" i="18"/>
  <c r="Q102" i="18"/>
  <c r="U104" i="18"/>
  <c r="M107" i="18"/>
  <c r="Q109" i="18"/>
  <c r="U111" i="18"/>
  <c r="M114" i="18"/>
  <c r="Q116" i="18"/>
  <c r="U129" i="18"/>
  <c r="M139" i="18"/>
  <c r="Q141" i="18"/>
  <c r="U143" i="18"/>
  <c r="Q148" i="18"/>
  <c r="U150" i="18"/>
  <c r="M153" i="18"/>
  <c r="Q162" i="18"/>
  <c r="U164" i="18"/>
  <c r="M167" i="18"/>
  <c r="Q169" i="18"/>
  <c r="U171" i="18"/>
  <c r="M174" i="18"/>
  <c r="Q176" i="18"/>
  <c r="U178" i="18"/>
  <c r="M181" i="18"/>
  <c r="Q183" i="18"/>
  <c r="U185" i="18"/>
  <c r="M188" i="18"/>
  <c r="Q190" i="18"/>
  <c r="U192" i="18"/>
  <c r="M195" i="18"/>
  <c r="Q197" i="18"/>
  <c r="U199" i="18"/>
  <c r="M202" i="18"/>
  <c r="Q204" i="18"/>
  <c r="U206" i="18"/>
  <c r="M209" i="18"/>
  <c r="U213" i="18"/>
  <c r="M216" i="18"/>
  <c r="Q218" i="18"/>
  <c r="U220" i="18"/>
  <c r="M223" i="18"/>
  <c r="Q225" i="18"/>
  <c r="U227" i="18"/>
  <c r="M230" i="18"/>
  <c r="Q232" i="18"/>
  <c r="U234" i="18"/>
  <c r="M237" i="18"/>
  <c r="Q239" i="18"/>
  <c r="U241" i="18"/>
  <c r="M244" i="18"/>
  <c r="Q246" i="18"/>
  <c r="U248" i="18"/>
  <c r="M258" i="18"/>
  <c r="U262" i="18"/>
  <c r="M265" i="18"/>
  <c r="Q267" i="18"/>
  <c r="U269" i="18"/>
  <c r="M272" i="18"/>
  <c r="Q274" i="18"/>
  <c r="U276" i="18"/>
  <c r="M279" i="18"/>
  <c r="Q281" i="18"/>
  <c r="U283" i="18"/>
  <c r="M286" i="18"/>
  <c r="Q288" i="18"/>
  <c r="U290" i="18"/>
  <c r="M293" i="18"/>
  <c r="Q295" i="18"/>
  <c r="U297" i="18"/>
  <c r="M307" i="18"/>
  <c r="Q309" i="18"/>
  <c r="U311" i="18"/>
  <c r="M314" i="18"/>
  <c r="Q316" i="18"/>
  <c r="U318" i="18"/>
  <c r="M321" i="18"/>
  <c r="Q323" i="18"/>
  <c r="U325" i="18"/>
  <c r="M328" i="18"/>
  <c r="Q330" i="18"/>
  <c r="U332" i="18"/>
  <c r="M342" i="18"/>
  <c r="Q344" i="18"/>
  <c r="U346" i="18"/>
  <c r="M349" i="18"/>
  <c r="Q351" i="18"/>
  <c r="U360" i="18"/>
  <c r="M363" i="18"/>
  <c r="Q365" i="18"/>
  <c r="U367" i="18"/>
  <c r="M370" i="18"/>
  <c r="Q372" i="18"/>
  <c r="U374" i="18"/>
  <c r="M377" i="18"/>
  <c r="Q379" i="18"/>
  <c r="U381" i="18"/>
  <c r="M384" i="18"/>
  <c r="Q386" i="18"/>
  <c r="U388" i="18"/>
  <c r="M391" i="18"/>
  <c r="Q393" i="18"/>
  <c r="U395" i="18"/>
  <c r="M398" i="18"/>
  <c r="Q400" i="18"/>
  <c r="U402" i="18"/>
  <c r="Q407" i="18"/>
  <c r="M412" i="18"/>
  <c r="U423" i="18"/>
  <c r="V451" i="18"/>
  <c r="Q22" i="18"/>
  <c r="Q29" i="18"/>
  <c r="U45" i="18"/>
  <c r="U52" i="18"/>
  <c r="U59" i="18"/>
  <c r="N83" i="18"/>
  <c r="V104" i="18"/>
  <c r="N114" i="18"/>
  <c r="N167" i="18"/>
  <c r="N13" i="18"/>
  <c r="V17" i="18"/>
  <c r="V24" i="18"/>
  <c r="R43" i="18"/>
  <c r="V52" i="18"/>
  <c r="S71" i="18"/>
  <c r="S102" i="18"/>
  <c r="L11" i="18"/>
  <c r="P13" i="18"/>
  <c r="T15" i="18"/>
  <c r="L18" i="18"/>
  <c r="P20" i="18"/>
  <c r="T22" i="18"/>
  <c r="L25" i="18"/>
  <c r="P27" i="18"/>
  <c r="T29" i="18"/>
  <c r="L32" i="18"/>
  <c r="P41" i="18"/>
  <c r="T43" i="18"/>
  <c r="L46" i="18"/>
  <c r="P48" i="18"/>
  <c r="T50" i="18"/>
  <c r="L53" i="18"/>
  <c r="P55" i="18"/>
  <c r="T57" i="18"/>
  <c r="M60" i="18"/>
  <c r="Q62" i="18"/>
  <c r="U71" i="18"/>
  <c r="M81" i="18"/>
  <c r="Q83" i="18"/>
  <c r="U85" i="18"/>
  <c r="M98" i="18"/>
  <c r="Q100" i="18"/>
  <c r="U102" i="18"/>
  <c r="M105" i="18"/>
  <c r="Q107" i="18"/>
  <c r="U109" i="18"/>
  <c r="M112" i="18"/>
  <c r="Q114" i="18"/>
  <c r="U116" i="18"/>
  <c r="M130" i="18"/>
  <c r="Q139" i="18"/>
  <c r="U141" i="18"/>
  <c r="M144" i="18"/>
  <c r="Q146" i="18"/>
  <c r="U148" i="18"/>
  <c r="M151" i="18"/>
  <c r="Q153" i="18"/>
  <c r="U162" i="18"/>
  <c r="M165" i="18"/>
  <c r="Q167" i="18"/>
  <c r="U169" i="18"/>
  <c r="M172" i="18"/>
  <c r="Q174" i="18"/>
  <c r="U176" i="18"/>
  <c r="M179" i="18"/>
  <c r="Q181" i="18"/>
  <c r="U183" i="18"/>
  <c r="M186" i="18"/>
  <c r="Q188" i="18"/>
  <c r="U190" i="18"/>
  <c r="M193" i="18"/>
  <c r="Q195" i="18"/>
  <c r="U197" i="18"/>
  <c r="M200" i="18"/>
  <c r="Q202" i="18"/>
  <c r="U204" i="18"/>
  <c r="M207" i="18"/>
  <c r="Q209" i="18"/>
  <c r="U211" i="18"/>
  <c r="M214" i="18"/>
  <c r="Q216" i="18"/>
  <c r="U218" i="18"/>
  <c r="M221" i="18"/>
  <c r="Q223" i="18"/>
  <c r="U225" i="18"/>
  <c r="M228" i="18"/>
  <c r="Q230" i="18"/>
  <c r="U232" i="18"/>
  <c r="M235" i="18"/>
  <c r="Q237" i="18"/>
  <c r="U239" i="18"/>
  <c r="M242" i="18"/>
  <c r="Q244" i="18"/>
  <c r="U246" i="18"/>
  <c r="M256" i="18"/>
  <c r="Q258" i="18"/>
  <c r="U260" i="18"/>
  <c r="M263" i="18"/>
  <c r="Q265" i="18"/>
  <c r="U267" i="18"/>
  <c r="M270" i="18"/>
  <c r="Q272" i="18"/>
  <c r="U274" i="18"/>
  <c r="M277" i="18"/>
  <c r="Q279" i="18"/>
  <c r="U281" i="18"/>
  <c r="M284" i="18"/>
  <c r="Q286" i="18"/>
  <c r="U288" i="18"/>
  <c r="M291" i="18"/>
  <c r="Q293" i="18"/>
  <c r="U295" i="18"/>
  <c r="M298" i="18"/>
  <c r="Q307" i="18"/>
  <c r="U309" i="18"/>
  <c r="M312" i="18"/>
  <c r="Q314" i="18"/>
  <c r="U316" i="18"/>
  <c r="M319" i="18"/>
  <c r="Q321" i="18"/>
  <c r="U323" i="18"/>
  <c r="M326" i="18"/>
  <c r="Q328" i="18"/>
  <c r="U330" i="18"/>
  <c r="M340" i="18"/>
  <c r="Q342" i="18"/>
  <c r="U344" i="18"/>
  <c r="M347" i="18"/>
  <c r="Q349" i="18"/>
  <c r="U351" i="18"/>
  <c r="M361" i="18"/>
  <c r="Q363" i="18"/>
  <c r="U365" i="18"/>
  <c r="M368" i="18"/>
  <c r="Q370" i="18"/>
  <c r="U372" i="18"/>
  <c r="M375" i="18"/>
  <c r="Q377" i="18"/>
  <c r="U379" i="18"/>
  <c r="M382" i="18"/>
  <c r="Q384" i="18"/>
  <c r="U386" i="18"/>
  <c r="M389" i="18"/>
  <c r="Q391" i="18"/>
  <c r="U393" i="18"/>
  <c r="M396" i="18"/>
  <c r="Q398" i="18"/>
  <c r="U400" i="18"/>
  <c r="M403" i="18"/>
  <c r="Q405" i="18"/>
  <c r="U407" i="18"/>
  <c r="M410" i="18"/>
  <c r="Q412" i="18"/>
  <c r="U414" i="18"/>
  <c r="M424" i="18"/>
  <c r="N432" i="15"/>
  <c r="N431" i="15" s="1"/>
  <c r="R433" i="18"/>
  <c r="R432" i="18" s="1"/>
  <c r="R431" i="18" s="1"/>
  <c r="V442" i="18"/>
  <c r="N452" i="18"/>
  <c r="R454" i="18"/>
  <c r="U409" i="18"/>
  <c r="Q414" i="18"/>
  <c r="N454" i="18"/>
  <c r="U10" i="18"/>
  <c r="M20" i="18"/>
  <c r="M27" i="18"/>
  <c r="M41" i="18"/>
  <c r="Q50" i="18"/>
  <c r="M55" i="18"/>
  <c r="R71" i="18"/>
  <c r="R85" i="18"/>
  <c r="N107" i="18"/>
  <c r="R116" i="18"/>
  <c r="V171" i="18"/>
  <c r="N20" i="18"/>
  <c r="N27" i="18"/>
  <c r="V45" i="18"/>
  <c r="R57" i="18"/>
  <c r="W104" i="18"/>
  <c r="M11" i="18"/>
  <c r="Q13" i="18"/>
  <c r="U15" i="18"/>
  <c r="M18" i="18"/>
  <c r="Q20" i="18"/>
  <c r="U22" i="18"/>
  <c r="M25" i="18"/>
  <c r="Q27" i="18"/>
  <c r="M32" i="18"/>
  <c r="Q41" i="18"/>
  <c r="U43" i="18"/>
  <c r="M46" i="18"/>
  <c r="Q48" i="18"/>
  <c r="U50" i="18"/>
  <c r="M53" i="18"/>
  <c r="Q55" i="18"/>
  <c r="U57" i="18"/>
  <c r="N60" i="18"/>
  <c r="R62" i="18"/>
  <c r="V71" i="18"/>
  <c r="N81" i="18"/>
  <c r="R83" i="18"/>
  <c r="V85" i="18"/>
  <c r="N98" i="18"/>
  <c r="R100" i="18"/>
  <c r="V102" i="18"/>
  <c r="N105" i="18"/>
  <c r="R107" i="18"/>
  <c r="V109" i="18"/>
  <c r="N112" i="18"/>
  <c r="R114" i="18"/>
  <c r="V116" i="18"/>
  <c r="N130" i="18"/>
  <c r="R139" i="18"/>
  <c r="V141" i="18"/>
  <c r="N144" i="18"/>
  <c r="R146" i="18"/>
  <c r="V148" i="18"/>
  <c r="N151" i="18"/>
  <c r="R153" i="18"/>
  <c r="V162" i="18"/>
  <c r="N165" i="18"/>
  <c r="R167" i="18"/>
  <c r="V169" i="18"/>
  <c r="N172" i="18"/>
  <c r="R174" i="18"/>
  <c r="V176" i="18"/>
  <c r="N179" i="18"/>
  <c r="R181" i="18"/>
  <c r="V183" i="18"/>
  <c r="N186" i="18"/>
  <c r="R188" i="18"/>
  <c r="V190" i="18"/>
  <c r="N193" i="18"/>
  <c r="R195" i="18"/>
  <c r="V197" i="18"/>
  <c r="N200" i="18"/>
  <c r="R202" i="18"/>
  <c r="V204" i="18"/>
  <c r="N207" i="18"/>
  <c r="R209" i="18"/>
  <c r="V211" i="18"/>
  <c r="N214" i="18"/>
  <c r="R216" i="18"/>
  <c r="V218" i="18"/>
  <c r="N221" i="18"/>
  <c r="R223" i="18"/>
  <c r="V225" i="18"/>
  <c r="N228" i="18"/>
  <c r="R230" i="18"/>
  <c r="V232" i="18"/>
  <c r="N235" i="18"/>
  <c r="R237" i="18"/>
  <c r="V239" i="18"/>
  <c r="N242" i="18"/>
  <c r="R244" i="18"/>
  <c r="V246" i="18"/>
  <c r="N256" i="18"/>
  <c r="R258" i="18"/>
  <c r="V260" i="18"/>
  <c r="N263" i="18"/>
  <c r="R265" i="18"/>
  <c r="V267" i="18"/>
  <c r="N270" i="18"/>
  <c r="R272" i="18"/>
  <c r="V274" i="18"/>
  <c r="N277" i="18"/>
  <c r="R279" i="18"/>
  <c r="V281" i="18"/>
  <c r="N284" i="18"/>
  <c r="R286" i="18"/>
  <c r="V288" i="18"/>
  <c r="N291" i="18"/>
  <c r="R293" i="18"/>
  <c r="V295" i="18"/>
  <c r="N298" i="18"/>
  <c r="R307" i="18"/>
  <c r="V309" i="18"/>
  <c r="N312" i="18"/>
  <c r="R314" i="18"/>
  <c r="V316" i="18"/>
  <c r="N319" i="18"/>
  <c r="R321" i="18"/>
  <c r="V323" i="18"/>
  <c r="N326" i="18"/>
  <c r="R328" i="18"/>
  <c r="V330" i="18"/>
  <c r="N340" i="18"/>
  <c r="R342" i="18"/>
  <c r="V344" i="18"/>
  <c r="N347" i="18"/>
  <c r="R349" i="18"/>
  <c r="V351" i="18"/>
  <c r="N361" i="18"/>
  <c r="R363" i="18"/>
  <c r="V365" i="18"/>
  <c r="N368" i="18"/>
  <c r="R370" i="18"/>
  <c r="V372" i="18"/>
  <c r="N375" i="18"/>
  <c r="R377" i="18"/>
  <c r="V379" i="18"/>
  <c r="N382" i="18"/>
  <c r="R384" i="18"/>
  <c r="V386" i="18"/>
  <c r="N389" i="18"/>
  <c r="R391" i="18"/>
  <c r="V393" i="18"/>
  <c r="N396" i="18"/>
  <c r="R398" i="18"/>
  <c r="V400" i="18"/>
  <c r="N403" i="18"/>
  <c r="R405" i="18"/>
  <c r="V407" i="18"/>
  <c r="N410" i="18"/>
  <c r="R412" i="18"/>
  <c r="V414" i="18"/>
  <c r="N424" i="18"/>
  <c r="O432" i="15"/>
  <c r="O431" i="15" s="1"/>
  <c r="S433" i="18"/>
  <c r="S432" i="18" s="1"/>
  <c r="S431" i="18" s="1"/>
  <c r="W442" i="18"/>
  <c r="O452" i="18"/>
  <c r="S454" i="18"/>
  <c r="L128" i="15"/>
  <c r="L127" i="15" s="1"/>
  <c r="M128" i="15"/>
  <c r="M127" i="15" s="1"/>
  <c r="H79" i="15"/>
  <c r="H78" i="15" s="1"/>
  <c r="I96" i="15"/>
  <c r="I95" i="15" s="1"/>
  <c r="J96" i="15"/>
  <c r="J95" i="15" s="1"/>
  <c r="O70" i="15"/>
  <c r="O69" i="15" s="1"/>
  <c r="N70" i="15"/>
  <c r="N69" i="15" s="1"/>
  <c r="K440" i="15"/>
  <c r="K439" i="15" s="1"/>
  <c r="S128" i="15"/>
  <c r="S127" i="15" s="1"/>
  <c r="L440" i="15"/>
  <c r="L439" i="15" s="1"/>
  <c r="M440" i="15"/>
  <c r="M439" i="15" s="1"/>
  <c r="O79" i="15"/>
  <c r="O78" i="15" s="1"/>
  <c r="K306" i="15"/>
  <c r="K305" i="15" s="1"/>
  <c r="J79" i="15"/>
  <c r="J78" i="15" s="1"/>
  <c r="O440" i="15"/>
  <c r="O439" i="15" s="1"/>
  <c r="K79" i="15"/>
  <c r="K78" i="15" s="1"/>
  <c r="I79" i="15"/>
  <c r="I78" i="15" s="1"/>
  <c r="H70" i="15"/>
  <c r="H69" i="15" s="1"/>
  <c r="L79" i="15"/>
  <c r="L78" i="15" s="1"/>
  <c r="H421" i="15"/>
  <c r="H420" i="15" s="1"/>
  <c r="Q440" i="15"/>
  <c r="Q439" i="15" s="1"/>
  <c r="I70" i="15"/>
  <c r="I69" i="15" s="1"/>
  <c r="M79" i="15"/>
  <c r="M78" i="15" s="1"/>
  <c r="R440" i="15"/>
  <c r="R439" i="15" s="1"/>
  <c r="J70" i="15"/>
  <c r="J69" i="15" s="1"/>
  <c r="N79" i="15"/>
  <c r="N78" i="15" s="1"/>
  <c r="J128" i="15"/>
  <c r="J127" i="15" s="1"/>
  <c r="S440" i="15"/>
  <c r="S439" i="15" s="1"/>
  <c r="P79" i="15"/>
  <c r="P78" i="15" s="1"/>
  <c r="R79" i="15"/>
  <c r="R78" i="15" s="1"/>
  <c r="S79" i="15"/>
  <c r="S78" i="15" s="1"/>
  <c r="Q78" i="15"/>
  <c r="L306" i="15"/>
  <c r="L305" i="15" s="1"/>
  <c r="I440" i="15"/>
  <c r="I439" i="15" s="1"/>
  <c r="Q128" i="15"/>
  <c r="Q127" i="15" s="1"/>
  <c r="P128" i="15"/>
  <c r="P127" i="15" s="1"/>
  <c r="T289" i="15"/>
  <c r="I421" i="15"/>
  <c r="I420" i="15" s="1"/>
  <c r="M306" i="15"/>
  <c r="M305" i="15" s="1"/>
  <c r="S421" i="15"/>
  <c r="S420" i="15" s="1"/>
  <c r="K128" i="15"/>
  <c r="K127" i="15" s="1"/>
  <c r="R421" i="15"/>
  <c r="R420" i="15" s="1"/>
  <c r="H449" i="15"/>
  <c r="H448" i="15" s="1"/>
  <c r="I449" i="15"/>
  <c r="I448" i="15" s="1"/>
  <c r="T422" i="15"/>
  <c r="T56" i="15"/>
  <c r="T30" i="15"/>
  <c r="T116" i="15"/>
  <c r="T284" i="15"/>
  <c r="T347" i="15"/>
  <c r="S306" i="15"/>
  <c r="S305" i="15" s="1"/>
  <c r="K449" i="15"/>
  <c r="K448" i="15" s="1"/>
  <c r="T28" i="15"/>
  <c r="N137" i="15"/>
  <c r="N136" i="15" s="1"/>
  <c r="J161" i="15"/>
  <c r="J160" i="15" s="1"/>
  <c r="J421" i="15"/>
  <c r="J420" i="15" s="1"/>
  <c r="O40" i="15"/>
  <c r="O39" i="15" s="1"/>
  <c r="O96" i="15"/>
  <c r="O95" i="15" s="1"/>
  <c r="K161" i="15"/>
  <c r="K160" i="15" s="1"/>
  <c r="K421" i="15"/>
  <c r="K420" i="15" s="1"/>
  <c r="T425" i="15"/>
  <c r="L449" i="15"/>
  <c r="L448" i="15" s="1"/>
  <c r="H40" i="15"/>
  <c r="H39" i="15" s="1"/>
  <c r="P137" i="15"/>
  <c r="P136" i="15" s="1"/>
  <c r="L421" i="15"/>
  <c r="L420" i="15" s="1"/>
  <c r="I8" i="15"/>
  <c r="I7" i="15" s="1"/>
  <c r="M161" i="15"/>
  <c r="M160" i="15" s="1"/>
  <c r="I306" i="15"/>
  <c r="I305" i="15" s="1"/>
  <c r="T351" i="15"/>
  <c r="N449" i="15"/>
  <c r="N448" i="15" s="1"/>
  <c r="S449" i="15"/>
  <c r="S448" i="15" s="1"/>
  <c r="J306" i="15"/>
  <c r="J305" i="15" s="1"/>
  <c r="O449" i="15"/>
  <c r="O448" i="15" s="1"/>
  <c r="S96" i="15"/>
  <c r="S95" i="15" s="1"/>
  <c r="T381" i="15"/>
  <c r="P449" i="15"/>
  <c r="P448" i="15" s="1"/>
  <c r="P96" i="15"/>
  <c r="P95" i="15" s="1"/>
  <c r="H137" i="15"/>
  <c r="H136" i="15" s="1"/>
  <c r="H161" i="15"/>
  <c r="H160" i="15" s="1"/>
  <c r="H255" i="15"/>
  <c r="H254" i="15" s="1"/>
  <c r="H306" i="15"/>
  <c r="H305" i="15" s="1"/>
  <c r="H359" i="15"/>
  <c r="H358" i="15" s="1"/>
  <c r="M449" i="15"/>
  <c r="M448" i="15" s="1"/>
  <c r="Q449" i="15"/>
  <c r="Q448" i="15" s="1"/>
  <c r="Q95" i="15"/>
  <c r="Q136" i="15"/>
  <c r="T407" i="15"/>
  <c r="M421" i="15"/>
  <c r="M420" i="15" s="1"/>
  <c r="J440" i="15"/>
  <c r="J439" i="15" s="1"/>
  <c r="T287" i="15"/>
  <c r="H8" i="15"/>
  <c r="H7" i="15" s="1"/>
  <c r="L96" i="15"/>
  <c r="L95" i="15" s="1"/>
  <c r="P161" i="15"/>
  <c r="P160" i="15" s="1"/>
  <c r="H339" i="15"/>
  <c r="H338" i="15" s="1"/>
  <c r="T308" i="15"/>
  <c r="J137" i="15"/>
  <c r="J136" i="15" s="1"/>
  <c r="H96" i="15"/>
  <c r="H95" i="15" s="1"/>
  <c r="I161" i="15"/>
  <c r="I160" i="15" s="1"/>
  <c r="L161" i="15"/>
  <c r="L160" i="15" s="1"/>
  <c r="I40" i="15"/>
  <c r="I39" i="15" s="1"/>
  <c r="R96" i="15"/>
  <c r="R95" i="15" s="1"/>
  <c r="K70" i="15"/>
  <c r="K69" i="15" s="1"/>
  <c r="T71" i="15"/>
  <c r="O137" i="15"/>
  <c r="O136" i="15" s="1"/>
  <c r="S161" i="15"/>
  <c r="S160" i="15" s="1"/>
  <c r="P421" i="15"/>
  <c r="P420" i="15" s="1"/>
  <c r="T12" i="15"/>
  <c r="T26" i="15"/>
  <c r="T89" i="15"/>
  <c r="M96" i="15"/>
  <c r="M95" i="15" s="1"/>
  <c r="T110" i="15"/>
  <c r="T112" i="15"/>
  <c r="T138" i="15"/>
  <c r="T140" i="15"/>
  <c r="T152" i="15"/>
  <c r="T154" i="15"/>
  <c r="Q161" i="15"/>
  <c r="Q160" i="15" s="1"/>
  <c r="T173" i="15"/>
  <c r="T187" i="15"/>
  <c r="T189" i="15"/>
  <c r="T201" i="15"/>
  <c r="T217" i="15"/>
  <c r="T243" i="15"/>
  <c r="T245" i="15"/>
  <c r="T259" i="15"/>
  <c r="T264" i="15"/>
  <c r="T271" i="15"/>
  <c r="T278" i="15"/>
  <c r="T280" i="15"/>
  <c r="T292" i="15"/>
  <c r="T299" i="15"/>
  <c r="T320" i="15"/>
  <c r="T322" i="15"/>
  <c r="T327" i="15"/>
  <c r="T341" i="15"/>
  <c r="T362" i="15"/>
  <c r="T369" i="15"/>
  <c r="T378" i="15"/>
  <c r="T383" i="15"/>
  <c r="T390" i="15"/>
  <c r="T397" i="15"/>
  <c r="Q421" i="15"/>
  <c r="Q420" i="15" s="1"/>
  <c r="R449" i="15"/>
  <c r="R448" i="15" s="1"/>
  <c r="K137" i="15"/>
  <c r="K136" i="15" s="1"/>
  <c r="T215" i="15"/>
  <c r="T229" i="15"/>
  <c r="T257" i="15"/>
  <c r="P440" i="15"/>
  <c r="P439" i="15" s="1"/>
  <c r="H128" i="15"/>
  <c r="H127" i="15" s="1"/>
  <c r="L137" i="15"/>
  <c r="L136" i="15" s="1"/>
  <c r="T43" i="15"/>
  <c r="T45" i="15"/>
  <c r="T59" i="15"/>
  <c r="T85" i="15"/>
  <c r="T101" i="15"/>
  <c r="T103" i="15"/>
  <c r="T108" i="15"/>
  <c r="T115" i="15"/>
  <c r="T117" i="15"/>
  <c r="T129" i="15"/>
  <c r="V129" i="15" s="1"/>
  <c r="I128" i="15"/>
  <c r="I127" i="15" s="1"/>
  <c r="M137" i="15"/>
  <c r="M136" i="15" s="1"/>
  <c r="T164" i="15"/>
  <c r="T171" i="15"/>
  <c r="T178" i="15"/>
  <c r="T185" i="15"/>
  <c r="T192" i="15"/>
  <c r="T199" i="15"/>
  <c r="T206" i="15"/>
  <c r="T213" i="15"/>
  <c r="T227" i="15"/>
  <c r="T234" i="15"/>
  <c r="T241" i="15"/>
  <c r="T248" i="15"/>
  <c r="T276" i="15"/>
  <c r="T285" i="15"/>
  <c r="T318" i="15"/>
  <c r="T346" i="15"/>
  <c r="I359" i="15"/>
  <c r="I358" i="15" s="1"/>
  <c r="T360" i="15"/>
  <c r="T374" i="15"/>
  <c r="T376" i="15"/>
  <c r="T404" i="15"/>
  <c r="T409" i="15"/>
  <c r="O161" i="15"/>
  <c r="O160" i="15" s="1"/>
  <c r="S255" i="15"/>
  <c r="S254" i="15" s="1"/>
  <c r="O421" i="15"/>
  <c r="O420" i="15" s="1"/>
  <c r="N96" i="15"/>
  <c r="N95" i="15" s="1"/>
  <c r="R161" i="15"/>
  <c r="R160" i="15" s="1"/>
  <c r="R255" i="15"/>
  <c r="R254" i="15" s="1"/>
  <c r="N306" i="15"/>
  <c r="N305" i="15" s="1"/>
  <c r="K96" i="15"/>
  <c r="K95" i="15" s="1"/>
  <c r="L70" i="15"/>
  <c r="L69" i="15" s="1"/>
  <c r="P255" i="15"/>
  <c r="P254" i="15" s="1"/>
  <c r="P306" i="15"/>
  <c r="P305" i="15" s="1"/>
  <c r="R137" i="15"/>
  <c r="R136" i="15" s="1"/>
  <c r="N161" i="15"/>
  <c r="N160" i="15" s="1"/>
  <c r="N421" i="15"/>
  <c r="N420" i="15" s="1"/>
  <c r="S137" i="15"/>
  <c r="S136" i="15" s="1"/>
  <c r="I137" i="15"/>
  <c r="I136" i="15" s="1"/>
  <c r="K8" i="15"/>
  <c r="K7" i="15" s="1"/>
  <c r="O306" i="15"/>
  <c r="O305" i="15" s="1"/>
  <c r="T14" i="15"/>
  <c r="T21" i="15"/>
  <c r="T44" i="15"/>
  <c r="T72" i="15"/>
  <c r="T107" i="15"/>
  <c r="T130" i="15"/>
  <c r="T170" i="15"/>
  <c r="T177" i="15"/>
  <c r="T184" i="15"/>
  <c r="T186" i="15"/>
  <c r="T198" i="15"/>
  <c r="T205" i="15"/>
  <c r="T212" i="15"/>
  <c r="T214" i="15"/>
  <c r="T226" i="15"/>
  <c r="T233" i="15"/>
  <c r="T240" i="15"/>
  <c r="T242" i="15"/>
  <c r="Q255" i="15"/>
  <c r="Q254" i="15" s="1"/>
  <c r="T268" i="15"/>
  <c r="T275" i="15"/>
  <c r="T296" i="15"/>
  <c r="Q306" i="15"/>
  <c r="Q305" i="15" s="1"/>
  <c r="T310" i="15"/>
  <c r="T317" i="15"/>
  <c r="T324" i="15"/>
  <c r="T352" i="15"/>
  <c r="T361" i="15"/>
  <c r="T366" i="15"/>
  <c r="T368" i="15"/>
  <c r="T373" i="15"/>
  <c r="T375" i="15"/>
  <c r="T380" i="15"/>
  <c r="T382" i="15"/>
  <c r="T387" i="15"/>
  <c r="T389" i="15"/>
  <c r="T394" i="15"/>
  <c r="T396" i="15"/>
  <c r="T401" i="15"/>
  <c r="T403" i="15"/>
  <c r="T408" i="15"/>
  <c r="J449" i="15"/>
  <c r="J448" i="15" s="1"/>
  <c r="R306" i="15"/>
  <c r="R305" i="15" s="1"/>
  <c r="O8" i="15"/>
  <c r="O7" i="15" s="1"/>
  <c r="T42" i="15"/>
  <c r="T114" i="15"/>
  <c r="T121" i="15"/>
  <c r="T261" i="15"/>
  <c r="T282" i="15"/>
  <c r="T100" i="15"/>
  <c r="T406" i="15"/>
  <c r="S359" i="15"/>
  <c r="S358" i="15" s="1"/>
  <c r="T141" i="15"/>
  <c r="T118" i="15"/>
  <c r="T423" i="15"/>
  <c r="T442" i="15"/>
  <c r="H432" i="15"/>
  <c r="H431" i="15" s="1"/>
  <c r="N40" i="15"/>
  <c r="N39" i="15" s="1"/>
  <c r="S70" i="15"/>
  <c r="S69" i="15" s="1"/>
  <c r="T220" i="15"/>
  <c r="T281" i="15"/>
  <c r="T342" i="15"/>
  <c r="T379" i="15"/>
  <c r="T388" i="15"/>
  <c r="T16" i="15"/>
  <c r="T23" i="15"/>
  <c r="T27" i="15"/>
  <c r="T58" i="15"/>
  <c r="T86" i="15"/>
  <c r="T102" i="15"/>
  <c r="T109" i="15"/>
  <c r="T151" i="15"/>
  <c r="T165" i="15"/>
  <c r="T167" i="15"/>
  <c r="T172" i="15"/>
  <c r="T174" i="15"/>
  <c r="T176" i="15"/>
  <c r="T179" i="15"/>
  <c r="T181" i="15"/>
  <c r="T188" i="15"/>
  <c r="T190" i="15"/>
  <c r="T193" i="15"/>
  <c r="T195" i="15"/>
  <c r="T200" i="15"/>
  <c r="T202" i="15"/>
  <c r="T204" i="15"/>
  <c r="T207" i="15"/>
  <c r="T209" i="15"/>
  <c r="T216" i="15"/>
  <c r="T218" i="15"/>
  <c r="T221" i="15"/>
  <c r="T223" i="15"/>
  <c r="T228" i="15"/>
  <c r="T230" i="15"/>
  <c r="T232" i="15"/>
  <c r="T235" i="15"/>
  <c r="T237" i="15"/>
  <c r="T244" i="15"/>
  <c r="T246" i="15"/>
  <c r="I255" i="15"/>
  <c r="I254" i="15" s="1"/>
  <c r="T263" i="15"/>
  <c r="T270" i="15"/>
  <c r="T277" i="15"/>
  <c r="T291" i="15"/>
  <c r="T298" i="15"/>
  <c r="T312" i="15"/>
  <c r="T319" i="15"/>
  <c r="T321" i="15"/>
  <c r="T326" i="15"/>
  <c r="T340" i="15"/>
  <c r="T344" i="15"/>
  <c r="T424" i="15"/>
  <c r="O128" i="15"/>
  <c r="O127" i="15" s="1"/>
  <c r="H440" i="15"/>
  <c r="H439" i="15" s="1"/>
  <c r="M70" i="15"/>
  <c r="M69" i="15" s="1"/>
  <c r="T314" i="15"/>
  <c r="J255" i="15"/>
  <c r="J254" i="15" s="1"/>
  <c r="J339" i="15"/>
  <c r="J338" i="15" s="1"/>
  <c r="K255" i="15"/>
  <c r="K254" i="15" s="1"/>
  <c r="M255" i="15"/>
  <c r="M254" i="15" s="1"/>
  <c r="T363" i="15"/>
  <c r="T377" i="15"/>
  <c r="T384" i="15"/>
  <c r="T391" i="15"/>
  <c r="T405" i="15"/>
  <c r="T412" i="15"/>
  <c r="T149" i="15"/>
  <c r="N255" i="15"/>
  <c r="N254" i="15" s="1"/>
  <c r="N339" i="15"/>
  <c r="N338" i="15" s="1"/>
  <c r="N359" i="15"/>
  <c r="N358" i="15" s="1"/>
  <c r="J359" i="15"/>
  <c r="J358" i="15" s="1"/>
  <c r="T84" i="15"/>
  <c r="T144" i="15"/>
  <c r="U144" i="15" s="1"/>
  <c r="O255" i="15"/>
  <c r="O254" i="15" s="1"/>
  <c r="O339" i="15"/>
  <c r="O338" i="15" s="1"/>
  <c r="O359" i="15"/>
  <c r="O358" i="15" s="1"/>
  <c r="K359" i="15"/>
  <c r="K358" i="15" s="1"/>
  <c r="P339" i="15"/>
  <c r="P338" i="15" s="1"/>
  <c r="P359" i="15"/>
  <c r="P358" i="15" s="1"/>
  <c r="L359" i="15"/>
  <c r="L358" i="15" s="1"/>
  <c r="T19" i="15"/>
  <c r="T82" i="15"/>
  <c r="T147" i="15"/>
  <c r="T168" i="15"/>
  <c r="T182" i="15"/>
  <c r="T196" i="15"/>
  <c r="T210" i="15"/>
  <c r="T224" i="15"/>
  <c r="T238" i="15"/>
  <c r="T266" i="15"/>
  <c r="T273" i="15"/>
  <c r="T294" i="15"/>
  <c r="T315" i="15"/>
  <c r="Q339" i="15"/>
  <c r="Q338" i="15" s="1"/>
  <c r="Q359" i="15"/>
  <c r="Q358" i="15" s="1"/>
  <c r="T364" i="15"/>
  <c r="T371" i="15"/>
  <c r="T385" i="15"/>
  <c r="T392" i="15"/>
  <c r="T399" i="15"/>
  <c r="T450" i="15"/>
  <c r="R339" i="15"/>
  <c r="R338" i="15" s="1"/>
  <c r="R359" i="15"/>
  <c r="R358" i="15" s="1"/>
  <c r="T433" i="15"/>
  <c r="S339" i="15"/>
  <c r="S338" i="15" s="1"/>
  <c r="T163" i="15"/>
  <c r="T166" i="15"/>
  <c r="T175" i="15"/>
  <c r="T180" i="15"/>
  <c r="T191" i="15"/>
  <c r="T194" i="15"/>
  <c r="T203" i="15"/>
  <c r="T208" i="15"/>
  <c r="T219" i="15"/>
  <c r="T222" i="15"/>
  <c r="T231" i="15"/>
  <c r="T236" i="15"/>
  <c r="T247" i="15"/>
  <c r="L8" i="15"/>
  <c r="L7" i="15" s="1"/>
  <c r="M40" i="15"/>
  <c r="M39" i="15" s="1"/>
  <c r="P40" i="15"/>
  <c r="P39" i="15" s="1"/>
  <c r="T47" i="15"/>
  <c r="T61" i="15"/>
  <c r="T105" i="15"/>
  <c r="R40" i="15"/>
  <c r="R39" i="15" s="1"/>
  <c r="S40" i="15"/>
  <c r="S39" i="15" s="1"/>
  <c r="T367" i="15"/>
  <c r="T395" i="15"/>
  <c r="P8" i="15"/>
  <c r="P7" i="15" s="1"/>
  <c r="T15" i="15"/>
  <c r="T17" i="15"/>
  <c r="T20" i="15"/>
  <c r="T24" i="15"/>
  <c r="T31" i="15"/>
  <c r="T62" i="15"/>
  <c r="T83" i="15"/>
  <c r="T99" i="15"/>
  <c r="T106" i="15"/>
  <c r="T113" i="15"/>
  <c r="T120" i="15"/>
  <c r="T143" i="15"/>
  <c r="T145" i="15"/>
  <c r="T148" i="15"/>
  <c r="T150" i="15"/>
  <c r="T169" i="15"/>
  <c r="T183" i="15"/>
  <c r="T197" i="15"/>
  <c r="T211" i="15"/>
  <c r="T225" i="15"/>
  <c r="T239" i="15"/>
  <c r="T309" i="15"/>
  <c r="T311" i="15"/>
  <c r="T313" i="15"/>
  <c r="T316" i="15"/>
  <c r="T330" i="15"/>
  <c r="T365" i="15"/>
  <c r="T372" i="15"/>
  <c r="T386" i="15"/>
  <c r="T393" i="15"/>
  <c r="T400" i="15"/>
  <c r="T142" i="15"/>
  <c r="R8" i="15"/>
  <c r="R7" i="15" s="1"/>
  <c r="J40" i="15"/>
  <c r="J39" i="15" s="1"/>
  <c r="K40" i="15"/>
  <c r="K39" i="15" s="1"/>
  <c r="T451" i="15"/>
  <c r="L255" i="15"/>
  <c r="L254" i="15" s="1"/>
  <c r="L339" i="15"/>
  <c r="L338" i="15" s="1"/>
  <c r="T54" i="15"/>
  <c r="T119" i="15"/>
  <c r="T350" i="15"/>
  <c r="T256" i="15"/>
  <c r="T22" i="15"/>
  <c r="N8" i="15"/>
  <c r="N7" i="15" s="1"/>
  <c r="S8" i="15"/>
  <c r="S7" i="15" s="1"/>
  <c r="L40" i="15"/>
  <c r="L39" i="15" s="1"/>
  <c r="T11" i="15"/>
  <c r="T18" i="15"/>
  <c r="T25" i="15"/>
  <c r="T46" i="15"/>
  <c r="T53" i="15"/>
  <c r="T81" i="15"/>
  <c r="T97" i="15"/>
  <c r="T104" i="15"/>
  <c r="T111" i="15"/>
  <c r="T139" i="15"/>
  <c r="T146" i="15"/>
  <c r="T153" i="15"/>
  <c r="T258" i="15"/>
  <c r="T260" i="15"/>
  <c r="T262" i="15"/>
  <c r="T265" i="15"/>
  <c r="T267" i="15"/>
  <c r="T269" i="15"/>
  <c r="T272" i="15"/>
  <c r="T274" i="15"/>
  <c r="T279" i="15"/>
  <c r="T283" i="15"/>
  <c r="T286" i="15"/>
  <c r="T288" i="15"/>
  <c r="T290" i="15"/>
  <c r="T293" i="15"/>
  <c r="T295" i="15"/>
  <c r="T297" i="15"/>
  <c r="T349" i="15"/>
  <c r="T370" i="15"/>
  <c r="T398" i="15"/>
  <c r="T441" i="15"/>
  <c r="M359" i="15"/>
  <c r="M358" i="15" s="1"/>
  <c r="T348" i="15"/>
  <c r="I339" i="15"/>
  <c r="I338" i="15" s="1"/>
  <c r="T307" i="15"/>
  <c r="T98" i="15"/>
  <c r="T80" i="15"/>
  <c r="Q39" i="15"/>
  <c r="T41" i="15"/>
  <c r="M8" i="15"/>
  <c r="M7" i="15" s="1"/>
  <c r="J8" i="15"/>
  <c r="J7" i="15" s="1"/>
  <c r="T10" i="15"/>
  <c r="T13" i="15"/>
  <c r="T9" i="15"/>
  <c r="X227" i="18" l="1"/>
  <c r="P128" i="18"/>
  <c r="P127" i="18" s="1"/>
  <c r="X101" i="18"/>
  <c r="X389" i="18"/>
  <c r="X270" i="18"/>
  <c r="X165" i="18"/>
  <c r="T449" i="18"/>
  <c r="T448" i="18" s="1"/>
  <c r="X342" i="18"/>
  <c r="X364" i="18"/>
  <c r="X196" i="18"/>
  <c r="T79" i="18"/>
  <c r="T78" i="18" s="1"/>
  <c r="X192" i="18"/>
  <c r="X83" i="18"/>
  <c r="S440" i="18"/>
  <c r="S439" i="18" s="1"/>
  <c r="T70" i="18"/>
  <c r="T69" i="18" s="1"/>
  <c r="L70" i="18"/>
  <c r="L69" i="18" s="1"/>
  <c r="P440" i="18"/>
  <c r="P439" i="18" s="1"/>
  <c r="X18" i="18"/>
  <c r="X369" i="18"/>
  <c r="N440" i="18"/>
  <c r="N439" i="18" s="1"/>
  <c r="X375" i="18"/>
  <c r="L128" i="18"/>
  <c r="L127" i="18" s="1"/>
  <c r="Q128" i="18"/>
  <c r="Q127" i="18" s="1"/>
  <c r="S421" i="18"/>
  <c r="S420" i="18" s="1"/>
  <c r="R449" i="18"/>
  <c r="R448" i="18" s="1"/>
  <c r="X318" i="18"/>
  <c r="X377" i="18"/>
  <c r="X286" i="18"/>
  <c r="X244" i="18"/>
  <c r="X284" i="18"/>
  <c r="X383" i="18"/>
  <c r="X243" i="18"/>
  <c r="X224" i="18"/>
  <c r="L339" i="18"/>
  <c r="L338" i="18" s="1"/>
  <c r="Q96" i="18"/>
  <c r="Q95" i="18" s="1"/>
  <c r="U96" i="18"/>
  <c r="U95" i="18" s="1"/>
  <c r="L40" i="18"/>
  <c r="L39" i="18" s="1"/>
  <c r="X13" i="18"/>
  <c r="X215" i="18"/>
  <c r="X82" i="18"/>
  <c r="X308" i="18"/>
  <c r="X387" i="18"/>
  <c r="X103" i="18"/>
  <c r="X442" i="18"/>
  <c r="X199" i="18"/>
  <c r="X148" i="18"/>
  <c r="O79" i="18"/>
  <c r="O78" i="18" s="1"/>
  <c r="X311" i="18"/>
  <c r="X405" i="18"/>
  <c r="O40" i="18"/>
  <c r="O39" i="18" s="1"/>
  <c r="X193" i="18"/>
  <c r="S96" i="18"/>
  <c r="S95" i="18" s="1"/>
  <c r="V440" i="18"/>
  <c r="V439" i="18" s="1"/>
  <c r="P449" i="18"/>
  <c r="P448" i="18" s="1"/>
  <c r="X72" i="18"/>
  <c r="X283" i="18"/>
  <c r="V421" i="18"/>
  <c r="V420" i="18" s="1"/>
  <c r="W70" i="18"/>
  <c r="W69" i="18" s="1"/>
  <c r="L440" i="18"/>
  <c r="L439" i="18" s="1"/>
  <c r="R440" i="18"/>
  <c r="R439" i="18" s="1"/>
  <c r="U70" i="18"/>
  <c r="U69" i="18" s="1"/>
  <c r="X229" i="18"/>
  <c r="X106" i="18"/>
  <c r="O440" i="18"/>
  <c r="O439" i="18" s="1"/>
  <c r="O421" i="18"/>
  <c r="O420" i="18" s="1"/>
  <c r="X398" i="18"/>
  <c r="X279" i="18"/>
  <c r="X280" i="18"/>
  <c r="T431" i="15"/>
  <c r="X298" i="18"/>
  <c r="W128" i="18"/>
  <c r="W127" i="18" s="1"/>
  <c r="Q449" i="18"/>
  <c r="Q448" i="18" s="1"/>
  <c r="X235" i="18"/>
  <c r="X424" i="18"/>
  <c r="X307" i="18"/>
  <c r="M306" i="18"/>
  <c r="W359" i="18"/>
  <c r="W358" i="18" s="1"/>
  <c r="X327" i="18"/>
  <c r="P8" i="18"/>
  <c r="P7" i="18" s="1"/>
  <c r="U306" i="18"/>
  <c r="U305" i="18" s="1"/>
  <c r="X268" i="18"/>
  <c r="X295" i="18"/>
  <c r="X190" i="18"/>
  <c r="X220" i="18"/>
  <c r="O96" i="18"/>
  <c r="O95" i="18" s="1"/>
  <c r="X388" i="18"/>
  <c r="X104" i="18"/>
  <c r="X30" i="18"/>
  <c r="X347" i="18"/>
  <c r="Q306" i="18"/>
  <c r="Q305" i="18" s="1"/>
  <c r="X228" i="18"/>
  <c r="U161" i="18"/>
  <c r="U160" i="18" s="1"/>
  <c r="X105" i="18"/>
  <c r="X384" i="18"/>
  <c r="X265" i="18"/>
  <c r="X223" i="18"/>
  <c r="X188" i="18"/>
  <c r="O161" i="18"/>
  <c r="O160" i="18" s="1"/>
  <c r="X404" i="18"/>
  <c r="X285" i="18"/>
  <c r="X180" i="18"/>
  <c r="N161" i="18"/>
  <c r="N160" i="18" s="1"/>
  <c r="X266" i="18"/>
  <c r="X154" i="18"/>
  <c r="X226" i="18"/>
  <c r="X191" i="18"/>
  <c r="X14" i="18"/>
  <c r="T306" i="18"/>
  <c r="T305" i="18" s="1"/>
  <c r="X382" i="18"/>
  <c r="X263" i="18"/>
  <c r="X151" i="18"/>
  <c r="X293" i="18"/>
  <c r="X258" i="18"/>
  <c r="U79" i="18"/>
  <c r="U78" i="18" s="1"/>
  <c r="O306" i="18"/>
  <c r="O305" i="18" s="1"/>
  <c r="S161" i="18"/>
  <c r="S160" i="18" s="1"/>
  <c r="W96" i="18"/>
  <c r="W95" i="18" s="1"/>
  <c r="V359" i="18"/>
  <c r="V358" i="18" s="1"/>
  <c r="R161" i="18"/>
  <c r="R160" i="18" s="1"/>
  <c r="X146" i="18"/>
  <c r="X320" i="18"/>
  <c r="X208" i="18"/>
  <c r="X350" i="18"/>
  <c r="R128" i="18"/>
  <c r="R127" i="18" s="1"/>
  <c r="R96" i="18"/>
  <c r="R95" i="18" s="1"/>
  <c r="W421" i="18"/>
  <c r="W420" i="18" s="1"/>
  <c r="P96" i="18"/>
  <c r="P95" i="18" s="1"/>
  <c r="X294" i="18"/>
  <c r="X189" i="18"/>
  <c r="X441" i="18"/>
  <c r="M440" i="18"/>
  <c r="O8" i="18"/>
  <c r="O7" i="18" s="1"/>
  <c r="X380" i="18"/>
  <c r="X261" i="18"/>
  <c r="X86" i="18"/>
  <c r="X218" i="18"/>
  <c r="L255" i="18"/>
  <c r="L254" i="18" s="1"/>
  <c r="N40" i="18"/>
  <c r="N39" i="18" s="1"/>
  <c r="X407" i="18"/>
  <c r="X288" i="18"/>
  <c r="X183" i="18"/>
  <c r="X61" i="18"/>
  <c r="N70" i="18"/>
  <c r="N69" i="18" s="1"/>
  <c r="X24" i="18"/>
  <c r="X178" i="18"/>
  <c r="X23" i="18"/>
  <c r="S40" i="18"/>
  <c r="S39" i="18" s="1"/>
  <c r="M339" i="18"/>
  <c r="X340" i="18"/>
  <c r="X221" i="18"/>
  <c r="X98" i="18"/>
  <c r="P40" i="18"/>
  <c r="P39" i="18" s="1"/>
  <c r="X216" i="18"/>
  <c r="X181" i="18"/>
  <c r="X139" i="18"/>
  <c r="X397" i="18"/>
  <c r="X278" i="18"/>
  <c r="X173" i="18"/>
  <c r="W339" i="18"/>
  <c r="W338" i="18" s="1"/>
  <c r="X259" i="18"/>
  <c r="X147" i="18"/>
  <c r="X184" i="18"/>
  <c r="T40" i="18"/>
  <c r="T39" i="18" s="1"/>
  <c r="X80" i="18"/>
  <c r="M79" i="18"/>
  <c r="X185" i="18"/>
  <c r="X53" i="18"/>
  <c r="M40" i="18"/>
  <c r="X41" i="18"/>
  <c r="X372" i="18"/>
  <c r="X246" i="18"/>
  <c r="X141" i="18"/>
  <c r="Q79" i="18"/>
  <c r="Q78" i="18" s="1"/>
  <c r="S137" i="18"/>
  <c r="S136" i="18" s="1"/>
  <c r="X59" i="18"/>
  <c r="N96" i="18"/>
  <c r="N95" i="18" s="1"/>
  <c r="X381" i="18"/>
  <c r="X297" i="18"/>
  <c r="X213" i="18"/>
  <c r="W449" i="18"/>
  <c r="W448" i="18" s="1"/>
  <c r="X54" i="18"/>
  <c r="X17" i="18"/>
  <c r="X171" i="18"/>
  <c r="O137" i="18"/>
  <c r="O136" i="18" s="1"/>
  <c r="V8" i="18"/>
  <c r="V7" i="18" s="1"/>
  <c r="L421" i="18"/>
  <c r="L420" i="18" s="1"/>
  <c r="P255" i="18"/>
  <c r="P254" i="18" s="1"/>
  <c r="X291" i="18"/>
  <c r="X186" i="18"/>
  <c r="X412" i="18"/>
  <c r="U128" i="18"/>
  <c r="U127" i="18" s="1"/>
  <c r="X62" i="18"/>
  <c r="S79" i="18"/>
  <c r="S78" i="18" s="1"/>
  <c r="X362" i="18"/>
  <c r="X236" i="18"/>
  <c r="X113" i="18"/>
  <c r="X385" i="18"/>
  <c r="X423" i="18"/>
  <c r="L79" i="18"/>
  <c r="L78" i="18" s="1"/>
  <c r="U255" i="18"/>
  <c r="U254" i="18" s="1"/>
  <c r="X217" i="18"/>
  <c r="X84" i="18"/>
  <c r="P421" i="18"/>
  <c r="P420" i="18" s="1"/>
  <c r="N8" i="18"/>
  <c r="N7" i="18" s="1"/>
  <c r="W161" i="18"/>
  <c r="W160" i="18" s="1"/>
  <c r="X408" i="18"/>
  <c r="X289" i="18"/>
  <c r="Q255" i="18"/>
  <c r="Q254" i="18" s="1"/>
  <c r="X142" i="18"/>
  <c r="X330" i="18"/>
  <c r="X85" i="18"/>
  <c r="T432" i="15"/>
  <c r="X11" i="18"/>
  <c r="X27" i="18"/>
  <c r="X211" i="18"/>
  <c r="U137" i="18"/>
  <c r="U136" i="18" s="1"/>
  <c r="X71" i="18"/>
  <c r="M70" i="18"/>
  <c r="O128" i="18"/>
  <c r="O127" i="18" s="1"/>
  <c r="L137" i="18"/>
  <c r="L136" i="18" s="1"/>
  <c r="V137" i="18"/>
  <c r="V136" i="18" s="1"/>
  <c r="N79" i="18"/>
  <c r="N78" i="18" s="1"/>
  <c r="X206" i="18"/>
  <c r="X47" i="18"/>
  <c r="X10" i="18"/>
  <c r="X164" i="18"/>
  <c r="X28" i="18"/>
  <c r="V339" i="18"/>
  <c r="V338" i="18" s="1"/>
  <c r="X58" i="18"/>
  <c r="P339" i="18"/>
  <c r="P338" i="18" s="1"/>
  <c r="T359" i="18"/>
  <c r="T358" i="18" s="1"/>
  <c r="X400" i="18"/>
  <c r="X281" i="18"/>
  <c r="X176" i="18"/>
  <c r="V449" i="18"/>
  <c r="V448" i="18" s="1"/>
  <c r="X45" i="18"/>
  <c r="X374" i="18"/>
  <c r="X262" i="18"/>
  <c r="X21" i="18"/>
  <c r="X16" i="18"/>
  <c r="X326" i="18"/>
  <c r="X214" i="18"/>
  <c r="X81" i="18"/>
  <c r="X370" i="18"/>
  <c r="X174" i="18"/>
  <c r="X114" i="18"/>
  <c r="W137" i="18"/>
  <c r="W136" i="18" s="1"/>
  <c r="X390" i="18"/>
  <c r="X271" i="18"/>
  <c r="X166" i="18"/>
  <c r="U339" i="18"/>
  <c r="U338" i="18" s="1"/>
  <c r="X290" i="18"/>
  <c r="T137" i="18"/>
  <c r="T136" i="18" s="1"/>
  <c r="X245" i="18"/>
  <c r="X140" i="18"/>
  <c r="Q70" i="18"/>
  <c r="Q69" i="18" s="1"/>
  <c r="X324" i="18"/>
  <c r="X212" i="18"/>
  <c r="X177" i="18"/>
  <c r="X348" i="18"/>
  <c r="X378" i="18"/>
  <c r="S70" i="18"/>
  <c r="S69" i="18" s="1"/>
  <c r="X322" i="18"/>
  <c r="X210" i="18"/>
  <c r="T255" i="18"/>
  <c r="T254" i="18" s="1"/>
  <c r="V40" i="18"/>
  <c r="V39" i="18" s="1"/>
  <c r="O449" i="18"/>
  <c r="O448" i="18" s="1"/>
  <c r="X401" i="18"/>
  <c r="X282" i="18"/>
  <c r="X117" i="18"/>
  <c r="X316" i="18"/>
  <c r="X204" i="18"/>
  <c r="O359" i="18"/>
  <c r="O358" i="18" s="1"/>
  <c r="T8" i="18"/>
  <c r="T7" i="18" s="1"/>
  <c r="R79" i="18"/>
  <c r="R78" i="18" s="1"/>
  <c r="X276" i="18"/>
  <c r="T440" i="18"/>
  <c r="T439" i="18" s="1"/>
  <c r="X19" i="18"/>
  <c r="X234" i="18"/>
  <c r="V306" i="18"/>
  <c r="V305" i="18" s="1"/>
  <c r="X42" i="18"/>
  <c r="L449" i="18"/>
  <c r="L448" i="18" s="1"/>
  <c r="O255" i="18"/>
  <c r="O254" i="18" s="1"/>
  <c r="X256" i="18"/>
  <c r="M255" i="18"/>
  <c r="X373" i="18"/>
  <c r="X116" i="18"/>
  <c r="X26" i="18"/>
  <c r="X129" i="18"/>
  <c r="Z129" i="18" s="1"/>
  <c r="M128" i="18"/>
  <c r="Q8" i="18"/>
  <c r="Q7" i="18" s="1"/>
  <c r="V255" i="18"/>
  <c r="V254" i="18" s="1"/>
  <c r="X274" i="18"/>
  <c r="X12" i="18"/>
  <c r="M8" i="18"/>
  <c r="X9" i="18"/>
  <c r="X198" i="18"/>
  <c r="M421" i="18"/>
  <c r="X422" i="18"/>
  <c r="X138" i="18"/>
  <c r="M137" i="18"/>
  <c r="X392" i="18"/>
  <c r="X144" i="18"/>
  <c r="Y144" i="18" s="1"/>
  <c r="W79" i="18"/>
  <c r="W78" i="18" s="1"/>
  <c r="R8" i="18"/>
  <c r="R7" i="18" s="1"/>
  <c r="X287" i="18"/>
  <c r="X130" i="18"/>
  <c r="M432" i="18"/>
  <c r="X433" i="18"/>
  <c r="S339" i="18"/>
  <c r="S338" i="18" s="1"/>
  <c r="P161" i="18"/>
  <c r="P160" i="18" s="1"/>
  <c r="S359" i="18"/>
  <c r="S358" i="18" s="1"/>
  <c r="X31" i="18"/>
  <c r="X395" i="18"/>
  <c r="X319" i="18"/>
  <c r="X107" i="18"/>
  <c r="X406" i="18"/>
  <c r="L359" i="18"/>
  <c r="L358" i="18" s="1"/>
  <c r="X238" i="18"/>
  <c r="X115" i="18"/>
  <c r="X219" i="18"/>
  <c r="X317" i="18"/>
  <c r="X205" i="18"/>
  <c r="X170" i="18"/>
  <c r="X351" i="18"/>
  <c r="X232" i="18"/>
  <c r="X109" i="18"/>
  <c r="U449" i="18"/>
  <c r="U448" i="18" s="1"/>
  <c r="X269" i="18"/>
  <c r="M359" i="18"/>
  <c r="X360" i="18"/>
  <c r="S449" i="18"/>
  <c r="S448" i="18" s="1"/>
  <c r="N137" i="18"/>
  <c r="N136" i="18" s="1"/>
  <c r="R70" i="18"/>
  <c r="R69" i="18" s="1"/>
  <c r="X450" i="18"/>
  <c r="M449" i="18"/>
  <c r="X451" i="18"/>
  <c r="W255" i="18"/>
  <c r="W254" i="18" s="1"/>
  <c r="X315" i="18"/>
  <c r="X203" i="18"/>
  <c r="S255" i="18"/>
  <c r="S254" i="18" s="1"/>
  <c r="X394" i="18"/>
  <c r="X275" i="18"/>
  <c r="X110" i="18"/>
  <c r="X366" i="18"/>
  <c r="X240" i="18"/>
  <c r="N128" i="18"/>
  <c r="N127" i="18" s="1"/>
  <c r="X207" i="18"/>
  <c r="X363" i="18"/>
  <c r="U359" i="18"/>
  <c r="U358" i="18" s="1"/>
  <c r="X341" i="18"/>
  <c r="X222" i="18"/>
  <c r="X371" i="18"/>
  <c r="N255" i="18"/>
  <c r="N254" i="18" s="1"/>
  <c r="X309" i="18"/>
  <c r="X197" i="18"/>
  <c r="N359" i="18"/>
  <c r="N358" i="18" s="1"/>
  <c r="Q440" i="18"/>
  <c r="Q439" i="18" s="1"/>
  <c r="X43" i="18"/>
  <c r="X150" i="18"/>
  <c r="X367" i="18"/>
  <c r="N421" i="18"/>
  <c r="N420" i="18" s="1"/>
  <c r="R339" i="18"/>
  <c r="R338" i="18" s="1"/>
  <c r="X56" i="18"/>
  <c r="X44" i="18"/>
  <c r="S306" i="18"/>
  <c r="S305" i="18" s="1"/>
  <c r="N306" i="18"/>
  <c r="N305" i="18" s="1"/>
  <c r="X201" i="18"/>
  <c r="P137" i="18"/>
  <c r="P136" i="18" s="1"/>
  <c r="X182" i="18"/>
  <c r="T339" i="18"/>
  <c r="T338" i="18" s="1"/>
  <c r="R306" i="18"/>
  <c r="R305" i="18" s="1"/>
  <c r="X46" i="18"/>
  <c r="X239" i="18"/>
  <c r="X242" i="18"/>
  <c r="X202" i="18"/>
  <c r="X194" i="18"/>
  <c r="X175" i="18"/>
  <c r="Q40" i="18"/>
  <c r="Q39" i="18" s="1"/>
  <c r="X393" i="18"/>
  <c r="X167" i="18"/>
  <c r="X264" i="18"/>
  <c r="X396" i="18"/>
  <c r="X277" i="18"/>
  <c r="X314" i="18"/>
  <c r="X99" i="18"/>
  <c r="X361" i="18"/>
  <c r="X112" i="18"/>
  <c r="X391" i="18"/>
  <c r="X272" i="18"/>
  <c r="X230" i="18"/>
  <c r="X195" i="18"/>
  <c r="Q161" i="18"/>
  <c r="Q160" i="18" s="1"/>
  <c r="X292" i="18"/>
  <c r="X187" i="18"/>
  <c r="S8" i="18"/>
  <c r="S7" i="18" s="1"/>
  <c r="U440" i="18"/>
  <c r="U439" i="18" s="1"/>
  <c r="W8" i="18"/>
  <c r="W7" i="18" s="1"/>
  <c r="X273" i="18"/>
  <c r="X168" i="18"/>
  <c r="X352" i="18"/>
  <c r="X233" i="18"/>
  <c r="X379" i="18"/>
  <c r="M96" i="18"/>
  <c r="X97" i="18"/>
  <c r="X313" i="18"/>
  <c r="R359" i="18"/>
  <c r="R358" i="18" s="1"/>
  <c r="P79" i="18"/>
  <c r="P78" i="18" s="1"/>
  <c r="X247" i="18"/>
  <c r="X409" i="18"/>
  <c r="X179" i="18"/>
  <c r="X321" i="18"/>
  <c r="X368" i="18"/>
  <c r="X169" i="18"/>
  <c r="X172" i="18"/>
  <c r="T96" i="18"/>
  <c r="T95" i="18" s="1"/>
  <c r="X386" i="18"/>
  <c r="X267" i="18"/>
  <c r="M161" i="18"/>
  <c r="P359" i="18"/>
  <c r="P358" i="18" s="1"/>
  <c r="X22" i="18"/>
  <c r="X241" i="18"/>
  <c r="X346" i="18"/>
  <c r="Q137" i="18"/>
  <c r="Q136" i="18" s="1"/>
  <c r="U40" i="18"/>
  <c r="U39" i="18" s="1"/>
  <c r="N449" i="18"/>
  <c r="N448" i="18" s="1"/>
  <c r="X149" i="18"/>
  <c r="X260" i="18"/>
  <c r="L161" i="18"/>
  <c r="L160" i="18" s="1"/>
  <c r="L96" i="18"/>
  <c r="L95" i="18" s="1"/>
  <c r="W40" i="18"/>
  <c r="W39" i="18" s="1"/>
  <c r="X237" i="18"/>
  <c r="X425" i="18"/>
  <c r="X299" i="18"/>
  <c r="P306" i="18"/>
  <c r="P305" i="18" s="1"/>
  <c r="T161" i="18"/>
  <c r="T160" i="18" s="1"/>
  <c r="V96" i="18"/>
  <c r="V95" i="18" s="1"/>
  <c r="X312" i="18"/>
  <c r="X200" i="18"/>
  <c r="X349" i="18"/>
  <c r="X153" i="18"/>
  <c r="X100" i="18"/>
  <c r="X376" i="18"/>
  <c r="X257" i="18"/>
  <c r="X145" i="18"/>
  <c r="X399" i="18"/>
  <c r="X231" i="18"/>
  <c r="X108" i="18"/>
  <c r="X310" i="18"/>
  <c r="X163" i="18"/>
  <c r="L8" i="18"/>
  <c r="L7" i="18" s="1"/>
  <c r="X296" i="18"/>
  <c r="X209" i="18"/>
  <c r="Q421" i="18"/>
  <c r="Q420" i="18" s="1"/>
  <c r="W306" i="18"/>
  <c r="W305" i="18" s="1"/>
  <c r="V161" i="18"/>
  <c r="V160" i="18" s="1"/>
  <c r="X20" i="18"/>
  <c r="X365" i="18"/>
  <c r="X403" i="18"/>
  <c r="N339" i="18"/>
  <c r="N338" i="18" s="1"/>
  <c r="L306" i="18"/>
  <c r="L305" i="18" s="1"/>
  <c r="Q359" i="18"/>
  <c r="Q358" i="18" s="1"/>
  <c r="X143" i="18"/>
  <c r="U421" i="18"/>
  <c r="U420" i="18" s="1"/>
  <c r="X152" i="18"/>
  <c r="V70" i="18"/>
  <c r="V69" i="18" s="1"/>
  <c r="X25" i="18"/>
  <c r="V79" i="18"/>
  <c r="V78" i="18" s="1"/>
  <c r="X344" i="18"/>
  <c r="X225" i="18"/>
  <c r="X102" i="18"/>
  <c r="W440" i="18"/>
  <c r="W439" i="18" s="1"/>
  <c r="T421" i="18"/>
  <c r="T420" i="18" s="1"/>
  <c r="X15" i="18"/>
  <c r="R137" i="18"/>
  <c r="R136" i="18" s="1"/>
  <c r="X248" i="18"/>
  <c r="X111" i="18"/>
  <c r="R255" i="18"/>
  <c r="R254" i="18" s="1"/>
  <c r="R40" i="18"/>
  <c r="R39" i="18" s="1"/>
  <c r="R421" i="18"/>
  <c r="R420" i="18" s="1"/>
  <c r="T440" i="15"/>
  <c r="S460" i="15"/>
  <c r="T306" i="15"/>
  <c r="I460" i="15"/>
  <c r="T70" i="15"/>
  <c r="T69" i="15"/>
  <c r="T254" i="15"/>
  <c r="T421" i="15"/>
  <c r="T305" i="15"/>
  <c r="H460" i="15"/>
  <c r="T127" i="15"/>
  <c r="T420" i="15"/>
  <c r="T439" i="15"/>
  <c r="O460" i="15"/>
  <c r="T358" i="15"/>
  <c r="L460" i="15"/>
  <c r="P460" i="15"/>
  <c r="T40" i="15"/>
  <c r="T79" i="15"/>
  <c r="T78" i="15"/>
  <c r="T95" i="15"/>
  <c r="T255" i="15"/>
  <c r="T136" i="15"/>
  <c r="T137" i="15"/>
  <c r="T448" i="15"/>
  <c r="T128" i="15"/>
  <c r="R460" i="15"/>
  <c r="T359" i="15"/>
  <c r="N460" i="15"/>
  <c r="J460" i="15"/>
  <c r="T449" i="15"/>
  <c r="T161" i="15"/>
  <c r="T160" i="15"/>
  <c r="T96" i="15"/>
  <c r="T39" i="15"/>
  <c r="K419" i="16" l="1"/>
  <c r="L460" i="18"/>
  <c r="M420" i="18"/>
  <c r="X420" i="18" s="1"/>
  <c r="X421" i="18"/>
  <c r="V460" i="18"/>
  <c r="X40" i="18"/>
  <c r="M39" i="18"/>
  <c r="X39" i="18" s="1"/>
  <c r="M7" i="18"/>
  <c r="N460" i="18"/>
  <c r="W460" i="18"/>
  <c r="M338" i="18"/>
  <c r="M78" i="18"/>
  <c r="X78" i="18" s="1"/>
  <c r="X79" i="18"/>
  <c r="T460" i="18"/>
  <c r="M431" i="18"/>
  <c r="X431" i="18" s="1"/>
  <c r="X432" i="18"/>
  <c r="R460" i="18"/>
  <c r="M439" i="18"/>
  <c r="X439" i="18" s="1"/>
  <c r="X440" i="18"/>
  <c r="P460" i="18"/>
  <c r="X70" i="18"/>
  <c r="M69" i="18"/>
  <c r="X69" i="18" s="1"/>
  <c r="M160" i="18"/>
  <c r="X160" i="18" s="1"/>
  <c r="X161" i="18"/>
  <c r="M358" i="18"/>
  <c r="X358" i="18" s="1"/>
  <c r="X359" i="18"/>
  <c r="S460" i="18"/>
  <c r="X137" i="18"/>
  <c r="M136" i="18"/>
  <c r="X136" i="18" s="1"/>
  <c r="M448" i="18"/>
  <c r="X448" i="18" s="1"/>
  <c r="X449" i="18"/>
  <c r="M127" i="18"/>
  <c r="X127" i="18" s="1"/>
  <c r="X128" i="18"/>
  <c r="X255" i="18"/>
  <c r="M254" i="18"/>
  <c r="X254" i="18" s="1"/>
  <c r="X306" i="18"/>
  <c r="M305" i="18"/>
  <c r="X305" i="18" s="1"/>
  <c r="X96" i="18"/>
  <c r="M95" i="18"/>
  <c r="X95" i="18" s="1"/>
  <c r="M460" i="18" l="1"/>
  <c r="Q29" i="15" l="1"/>
  <c r="Q462" i="15" l="1"/>
  <c r="U462" i="18"/>
  <c r="Q8" i="15"/>
  <c r="U29" i="18"/>
  <c r="T29" i="15"/>
  <c r="Q465" i="15"/>
  <c r="U465" i="18"/>
  <c r="Q467" i="15" l="1"/>
  <c r="U467" i="18"/>
  <c r="X29" i="18"/>
  <c r="U8" i="18"/>
  <c r="Q7" i="15"/>
  <c r="T8" i="15"/>
  <c r="U7" i="18" l="1"/>
  <c r="X8" i="18"/>
  <c r="T7" i="15"/>
  <c r="Q460" i="15"/>
  <c r="U460" i="18" l="1"/>
  <c r="X7" i="18"/>
  <c r="K345" i="15" l="1"/>
  <c r="M343" i="15"/>
  <c r="M339" i="15" l="1"/>
  <c r="M338" i="15" s="1"/>
  <c r="M460" i="15" s="1"/>
  <c r="T343" i="15"/>
  <c r="Q343" i="18"/>
  <c r="Q468" i="18"/>
  <c r="M468" i="15"/>
  <c r="K463" i="15"/>
  <c r="O463" i="18"/>
  <c r="Q462" i="18"/>
  <c r="M462" i="15"/>
  <c r="O345" i="18"/>
  <c r="K339" i="15"/>
  <c r="T345" i="15"/>
  <c r="O469" i="18"/>
  <c r="K469" i="15"/>
  <c r="K470" i="15" l="1"/>
  <c r="O470" i="18"/>
  <c r="O339" i="18"/>
  <c r="X345" i="18"/>
  <c r="X343" i="18"/>
  <c r="Q339" i="18"/>
  <c r="Q338" i="18" s="1"/>
  <c r="Q460" i="18" s="1"/>
  <c r="K338" i="15"/>
  <c r="T339" i="15"/>
  <c r="Q470" i="18"/>
  <c r="M470" i="15"/>
  <c r="I419" i="16" l="1"/>
  <c r="K460" i="15"/>
  <c r="T338" i="15"/>
  <c r="O338" i="18"/>
  <c r="X339" i="18"/>
  <c r="G419" i="16"/>
  <c r="O460" i="18" l="1"/>
  <c r="X338" i="18"/>
</calcChain>
</file>

<file path=xl/sharedStrings.xml><?xml version="1.0" encoding="utf-8"?>
<sst xmlns="http://schemas.openxmlformats.org/spreadsheetml/2006/main" count="2748" uniqueCount="562">
  <si>
    <t>Классификация</t>
  </si>
  <si>
    <t>Наименование проекта</t>
  </si>
  <si>
    <t>III</t>
  </si>
  <si>
    <t>IV</t>
  </si>
  <si>
    <t>V</t>
  </si>
  <si>
    <t>Министерство финансов КР</t>
  </si>
  <si>
    <t>Государственные инвестиции</t>
  </si>
  <si>
    <t xml:space="preserve">Цепочка добавленной стоимости агрофинансирования-2 (ЕИБ) (кредит) </t>
  </si>
  <si>
    <t xml:space="preserve">Комплексное повышение производительности молочного сектора (ВБ) (грант) Доп. Финансирование </t>
  </si>
  <si>
    <t xml:space="preserve">Комплексное повышение производительности молочного сектора (ВБ) (кредит) Доп. Финансирование </t>
  </si>
  <si>
    <t xml:space="preserve">Проект по поддержке частного сектора (ВБ) (грант) </t>
  </si>
  <si>
    <t>Проект по поддержке частного сектора (ВБ) (кредит)</t>
  </si>
  <si>
    <t>Проект по поддержке частного сектора (АБИИ) (кредит)</t>
  </si>
  <si>
    <t xml:space="preserve">Экстренная поддержка микро, малых и средних предприятий ДФ (ВБ) (грант) </t>
  </si>
  <si>
    <t xml:space="preserve">Экстренная поддержка микро, малых и средних предприятий ДФ (ВБ) (кредит) </t>
  </si>
  <si>
    <t xml:space="preserve">Проект сельских инвестиций - 3 ДФ (ВБ) (грант) </t>
  </si>
  <si>
    <t xml:space="preserve">Проект сельских инвестиций - 3 ДФ (ВБ) (кредит) </t>
  </si>
  <si>
    <t>Министерство экономики и коммерции КР</t>
  </si>
  <si>
    <t>Программа жилищного финансирования (КфВ) (грант)</t>
  </si>
  <si>
    <t>Программа жилищного финансирования (КфВ) (грант) Фаза 2 (план)</t>
  </si>
  <si>
    <t xml:space="preserve">Проект регионального экономического развития Ошской области (ВБ) (грант) </t>
  </si>
  <si>
    <t>Проект регионального экономического развития Ошской области (ВБ) (кредит)</t>
  </si>
  <si>
    <t>Государственная налоговая служба при Министерстве финансов КР</t>
  </si>
  <si>
    <t xml:space="preserve">Модернизация системы налогового администрирования и статистической системы (ВБ) (грант) </t>
  </si>
  <si>
    <t xml:space="preserve">Модернизация системы налогового администрирования и статистической системы (ВБ) (кредит) </t>
  </si>
  <si>
    <t>Министерство образования и науки КР</t>
  </si>
  <si>
    <t xml:space="preserve">Образование для будущего  (ВБ) (грант)  </t>
  </si>
  <si>
    <t xml:space="preserve">Образование для будущего (ВБ) (кредит)  </t>
  </si>
  <si>
    <t>Укрепление основ обучения (ВБ) (грант)</t>
  </si>
  <si>
    <t>Программа развития сектора: реформирование системы школьного образования (АБР) (план)</t>
  </si>
  <si>
    <t>Программа развития сектора: реформирование сектора школьного  образования (АБР) (грант) (план)</t>
  </si>
  <si>
    <t>Программа развития сектора: реформирование сектора школьного образования (АБР) (кредит) (план)</t>
  </si>
  <si>
    <t>Министерство здравоохранения КР</t>
  </si>
  <si>
    <t>Создание национальной системы экстренной медицины (КфВ) - 1 (грант)</t>
  </si>
  <si>
    <t xml:space="preserve">Создание национальной системы экстренной медицины (КфВ) </t>
  </si>
  <si>
    <t>Проект «Здравоохранение и социальная защита» - 3, 4 (КфВ) (грант)</t>
  </si>
  <si>
    <t>Борьба с туберкулезом-V (КфВ)</t>
  </si>
  <si>
    <t xml:space="preserve">Борьба с туберкулезом-V (КфВ) (грант) </t>
  </si>
  <si>
    <t xml:space="preserve">Охрана материнства и детства IV-V (КфВ) </t>
  </si>
  <si>
    <t>Охрана материнства и детства IV-V (КфВ) (грант)</t>
  </si>
  <si>
    <t xml:space="preserve">Строительство нового корпуса для Городской детской клинической больницы скорой медицинской помощи города Бишкек (СФР) (кредит) </t>
  </si>
  <si>
    <t xml:space="preserve">Строительство и оснащение нейрохирургического центра Национального госпиталя (КФАЭР) </t>
  </si>
  <si>
    <t xml:space="preserve">Строительство и оснащение нейрохирургического центра Национального госпиталя (КФАЭР) (кредит) </t>
  </si>
  <si>
    <t>Программа «Охрана материнства и детства» фаза  VI-VIII г.Ош (КфВ) (грант)</t>
  </si>
  <si>
    <t>Программа «Охрана материнства и детства» фаза  IХ г.Талас (КфВ) (грант)</t>
  </si>
  <si>
    <t xml:space="preserve">Повышение устойчивости к рискам стихийных бедствий в Кыргызстане (ВБ) (грант) </t>
  </si>
  <si>
    <t xml:space="preserve">Повышение устойчивости к рискам стихийных бедствий в Кыргызстане (ВБ) (кредит) </t>
  </si>
  <si>
    <t>Проект поддержки вакицнации против COVID-19 (АБР) (грант) (план)</t>
  </si>
  <si>
    <t>Проект поддержки вакицнации против COVID-19 (АБР) (кредит) (план)</t>
  </si>
  <si>
    <t>Проект Функциональное улучшение Республиканской клинической инфекционной больницы (EDCF) (план)</t>
  </si>
  <si>
    <t>Проект Функциональное улучшение Республиканской клинической инфекционной больницы (EDCF) (кредит) (план)</t>
  </si>
  <si>
    <t>Укрепление региональной безопасности в области здравоохранения (АБР) (план)</t>
  </si>
  <si>
    <t>Укрепление региональной безопасности в области здравоохранения (АБР) (грант) (план)</t>
  </si>
  <si>
    <t>Укрепление региональной безопасности в области здравоохранения (АБР) (кредит) (план)</t>
  </si>
  <si>
    <t xml:space="preserve">Министерство труда, социального обеспечения и миграции КР </t>
  </si>
  <si>
    <t xml:space="preserve">Укрепление программ социальной помощи и рынка труда (ВБ) (кредит) </t>
  </si>
  <si>
    <t xml:space="preserve">Модернизация и устойчивое развитие электроэнергетического сектора (ВБ) (грант) </t>
  </si>
  <si>
    <t>Проект «Предоставление оборудования для медицинских центров, строительство и оснащение карантинной зоны» (СФР) (грант)</t>
  </si>
  <si>
    <t xml:space="preserve">Управление национальными водными ресурсами - Фаза 2 (ВБ) (грант)  </t>
  </si>
  <si>
    <t>Развитие орошаемого земледелия в Иссык-Кульской и Нарынской областях (ИБР, СФР)</t>
  </si>
  <si>
    <t>Развитие орошаемого земледелия в Иссык-Кульской и Нарынской областях (ИБР) (кредит)</t>
  </si>
  <si>
    <t>Развитие орошаемого земледелия в Иссык-Кульской и Нарынской областях (СФР) (кредит)</t>
  </si>
  <si>
    <t>«Повышение устойчивости водных ресурсов к изменению климата и стихийным бедствиям»</t>
  </si>
  <si>
    <t>«Повышение устойчивости водных ресурсов к изменению климата и стихийным бедствиям» (АБР) (грант)</t>
  </si>
  <si>
    <t>«Повышение устойчивости водных ресурсов к изменению климата и стихийным бедствиям» (АБР) (кредит)</t>
  </si>
  <si>
    <t>Министерство транспорта и коммуникаций  КР</t>
  </si>
  <si>
    <t xml:space="preserve">Строительство альтернативной автодороги Север-Юг, км 159-183 (ИБР, СФР) </t>
  </si>
  <si>
    <t xml:space="preserve">Строительство альтернативной автодороги Север-Юг, км 159-183 (СФР) (кредит) </t>
  </si>
  <si>
    <t>Строительство альтернативной дороги «Север-Юг» (КНР) (кредит)</t>
  </si>
  <si>
    <t>Защита от снежных заносов автомобильной дороги Бишкек-Ош  (JICA) (грант)</t>
  </si>
  <si>
    <t>Рамочная программа Зеленые города 2, Окно 2: Бишкекские автобусы (ЕБРР)</t>
  </si>
  <si>
    <t xml:space="preserve">Рамочная программа Зеленые города 2, Окно 2: Бишкекские автобусы (ЕБРР) (грант) </t>
  </si>
  <si>
    <t xml:space="preserve">Рамочная программа Зеленые города 2, Окно 2: Бишкекские автобусы (ЕБРР) (кредит) </t>
  </si>
  <si>
    <t xml:space="preserve">Проект электрификации городского транспорта (АБР) </t>
  </si>
  <si>
    <t xml:space="preserve">Проект электрификации городского транспорта (АБР) (грант) </t>
  </si>
  <si>
    <t xml:space="preserve">Проект электрификации городского транспорта (АБР) (кредит) </t>
  </si>
  <si>
    <t>Проект по повышению климатической устойчивости инфраструктуры ГП  НК КТЖ (ЕБРР) (грант) (план)</t>
  </si>
  <si>
    <t>Проект по повышению климатической устойчивости инфраструктуры ГП  НК КТЖ (ЕБРР) (кредит) (план)</t>
  </si>
  <si>
    <t xml:space="preserve">Реабилитация системы водоснабжения и канализации г. Нарын Фаза-2 (Швейцария) (грант) </t>
  </si>
  <si>
    <t xml:space="preserve">Реабилитация системы водоснабжения и канализации г. Нарын Фаза-2 (ЕБРР) (кредит) </t>
  </si>
  <si>
    <t xml:space="preserve">Реабилитация системы водоснабжения и канализации в г. Кара-Суу (ЕС) (грант) </t>
  </si>
  <si>
    <t xml:space="preserve">Реабилитация системы водоснабжения и канализации в г. Кара-Суу (ЕИБ) (кредит) </t>
  </si>
  <si>
    <t xml:space="preserve">Реабилитация системы водоснабжения и канализации в г. Майлуу-Суу (ЕС) (грант) </t>
  </si>
  <si>
    <t xml:space="preserve">Реабилитация системы водоснабжения и канализации в г. Майлуу-Суу (ЕБРР) (кредит) </t>
  </si>
  <si>
    <t>Реабилитация системы водоснабжения и канализации в г. Майлуу-Суу (ЕИБ) (кредит) (план)</t>
  </si>
  <si>
    <t xml:space="preserve">Реабилитация системы водоснабжения и канализации в г. Узген (ЕС) (грант) </t>
  </si>
  <si>
    <t xml:space="preserve">Реабилитация системы водоснабжения и канализации в г.Узген (ЕБРР) (кредит) </t>
  </si>
  <si>
    <t xml:space="preserve">Реабилитация системы водоснабжения и канализации в г. Ноокат (ЕС) (грант) </t>
  </si>
  <si>
    <t xml:space="preserve">Реабилитация системы водоснабжения и канализации в г. Ноокат (ЕБРР) (кредит) </t>
  </si>
  <si>
    <t>Реабилитация систем водоснабжения в органах местного самоуправления Мырза-Аке, Дон-Булак и Куршаб (ЕС) (грант)</t>
  </si>
  <si>
    <t>Реабилитация систем водоснабжения в органах местного самоуправления Мырза-Аке, Дон-Булак и Куршаб (ЕБРР) (кредит)</t>
  </si>
  <si>
    <t>Реабилитация системы водоснабжения в г. Каракол (Швейцария) (грант)</t>
  </si>
  <si>
    <t>Реабилитация системы водоснабжения в г. Каракол (ЕБРР) (кредит)</t>
  </si>
  <si>
    <t>Реабилитация системы водоснабжения и канализации в г. Джалал-Абад Фаза-2 (СФА ЕБРР) (грант)</t>
  </si>
  <si>
    <t>Реабилитация системы водоснабжения и канализации в г. Джалал-Абад Фаза-2 (ЕБРР) (кредит)</t>
  </si>
  <si>
    <t>Реабилитация системы водоснабжения в г. Раззаков (ЕС) (грант)</t>
  </si>
  <si>
    <t>Реабилитация системы водоснабжения в г. Раззаков (ЕБРР) (кредит)</t>
  </si>
  <si>
    <t xml:space="preserve">Управление сточными водами Иссык-Куля (АБР) </t>
  </si>
  <si>
    <t>Управление сточными водами Иссык-Куля (АБР) (грант)</t>
  </si>
  <si>
    <t>Управление сточными водами Иссык-Куля (АБР) (кредит)</t>
  </si>
  <si>
    <t xml:space="preserve">Проект устойчивого развития сельского водоснабжения  3 (ВБ) (грант) </t>
  </si>
  <si>
    <t xml:space="preserve">Проект устойчивого развития сельского водоснабжения 3 (ВБ) (кредит) </t>
  </si>
  <si>
    <t>Проект устойчивого развития сельского водоснабжения  3 (ВБ) (грант) (ДФ)</t>
  </si>
  <si>
    <t>Проект устойчивого развития сельского водоснабжения  3 (ВБ) (кредит) (ДФ)</t>
  </si>
  <si>
    <t>Проект улучшение сельского водоснабжения и санитарии в Баткенской и Таласской областях (ИБР,СФР)</t>
  </si>
  <si>
    <t xml:space="preserve">Проект улучшение сельского водоснабжения и санитарии в Баткенской и Таласской областях  (ИБР) (кредит) </t>
  </si>
  <si>
    <t xml:space="preserve">Проект улучшение сельского водоснабжения и санитарии в Баткенской и Таласской областях (СФР) (кредит) </t>
  </si>
  <si>
    <t>Развитие сельского водоснабжения и санитарии в Нарынской области (АБР)</t>
  </si>
  <si>
    <t>Развитие сельского водоснабжения и санитарии в Нарынской области (АБР) (грант)</t>
  </si>
  <si>
    <t xml:space="preserve">Развитие сельского водоснабжения и санитарии в Нарынской области (АБР) (кредит) </t>
  </si>
  <si>
    <t xml:space="preserve">Улучшение системы управления твердыми отходами г. Бишкек (ЕС, ЕБРР) (грант) </t>
  </si>
  <si>
    <t xml:space="preserve">Улучшение системы управления твердыми отходами г. Бишкек  (ЕБРР) (кредит) </t>
  </si>
  <si>
    <t xml:space="preserve">Улучшение системы управление бытовыми отходами г. Ош (ЕС) (грант) </t>
  </si>
  <si>
    <t xml:space="preserve">Улучшение системы управление бытовыми отходами г. Ош (ЕБРР) (кредит) </t>
  </si>
  <si>
    <t xml:space="preserve">Строительство государственных школ (СФР) </t>
  </si>
  <si>
    <t xml:space="preserve">Строительство государственных школ (СФР) (кредит) </t>
  </si>
  <si>
    <t xml:space="preserve">Готовность Нарынской программы SEFF (АБР) (грант) </t>
  </si>
  <si>
    <t>Экологическое управление озером Иссык-Куль в целях устойчивого развития туризма SEFF (АБР)</t>
  </si>
  <si>
    <t xml:space="preserve">Экологическое управление озером Иссык-Куль в целях устойчивого развития туризма SEFF (АБР) (грант) </t>
  </si>
  <si>
    <t>Министерство чрезвычайных ситуаций КР</t>
  </si>
  <si>
    <t xml:space="preserve">Управление рисками оползней в Кыргызской Республике (АБР) </t>
  </si>
  <si>
    <t xml:space="preserve">Управление рисками оползней в Кыргызской Республике (АБР) (грант) </t>
  </si>
  <si>
    <t xml:space="preserve">Управление рисками оползней в Кыргызской Республике (АБР) (кредит) </t>
  </si>
  <si>
    <t>Министерство энергетики КР</t>
  </si>
  <si>
    <t xml:space="preserve">«Вторая фаза реабилитации Токтогульской ГЭС» (АБР) </t>
  </si>
  <si>
    <t>«Вторая фаза реабилитации Токтогульской ГЭС» (АБР) (грант) (МЭ)</t>
  </si>
  <si>
    <t>«Вторая фаза реабилитации Токтогульской ГЭС» (АБР) (грант) (ЭС)</t>
  </si>
  <si>
    <t>«Вторая фаза реабилитации Токтогульской ГЭС» (АБР) (кредит) (ЭС)</t>
  </si>
  <si>
    <t>«Третья фаза реабилитации Токтогульской ГЭС» (АБР) (грант) (МЭ)</t>
  </si>
  <si>
    <t>«Третья фаза реабилитации Токтогульской ГЭС» (АБР) (грант) (ЭС)</t>
  </si>
  <si>
    <t>«Третья  фаза реабилитации Токтогульской ГЭС» (АБР) (кредит) (ЭС)</t>
  </si>
  <si>
    <t xml:space="preserve">«Третья  фаза реабилитации Токтогульской ГЭС» (АБР) </t>
  </si>
  <si>
    <t>«Модернизация Уч-Курганской ГЭС» (АБР) (грант)</t>
  </si>
  <si>
    <t>«Модернизация Уч-Курганской ГЭС»(АБР) (кредит)</t>
  </si>
  <si>
    <t>Модернизация и устойчивое развитие электроэнергетического сектора (ВБ) (грант)(МЭ)</t>
  </si>
  <si>
    <t>Модернизация и устойчивое развитие электроэнергетического сектора (SECO) (грант) (НЭСК)</t>
  </si>
  <si>
    <t>Модернизация и устойчивое развитие электроэнергетического сектора (ВБ) (грант) (НЭСК)</t>
  </si>
  <si>
    <t>Модернизация и устойчивое развитие электроэнергетического сектора (ВБ) (кредит) (НЭСК)</t>
  </si>
  <si>
    <t xml:space="preserve">Проект "Реконструкция Лебединовской ГЭС" (ЕБРР) (грант) </t>
  </si>
  <si>
    <t xml:space="preserve">Проект "Реконструкция Лебединовской ГЭС" (ЕБРР) (кредит) </t>
  </si>
  <si>
    <t>Актуализация ТЭО Камбаратинской ГЭС-1 (ВБ)(грант)(план)</t>
  </si>
  <si>
    <t>Актуализация ТЭО Камбаратинской ГЭС-1 (ВБ)(кредит)(план)</t>
  </si>
  <si>
    <t>Развитие возобновляемых источников энергии (ВБ) (кредит)(МЭ)(план)</t>
  </si>
  <si>
    <t>Развитие возобновляемых источников энергии (ВБ) (кредит)(Чакан)(план)</t>
  </si>
  <si>
    <t>Развитие возобновляемых источников энергии (ВБ) (кредит)(НЭСК)(план)</t>
  </si>
  <si>
    <t>Министерство природных ресурсов, экологии и технического надзора КР</t>
  </si>
  <si>
    <t>Улучшение качества воздуха  в городе Бишкек (ВБ) (кредит) (план)</t>
  </si>
  <si>
    <t>Национальный статистический комитет КР</t>
  </si>
  <si>
    <t>Пограничная служба Государственного комитета национальной безопасности КР</t>
  </si>
  <si>
    <t>Разработка ПСД к проекту РУПС в рамках ЭКАБ SEFF (АБР)</t>
  </si>
  <si>
    <t>Разработка ПСД к проекту РУПС в рамках ЭКАБ SEFF (АБР)(грант)</t>
  </si>
  <si>
    <t xml:space="preserve">И  Т  О  Г  О </t>
  </si>
  <si>
    <t xml:space="preserve">В общей сумме внешнее финансирование за счёт средств кредитов </t>
  </si>
  <si>
    <t xml:space="preserve">В общей сумме внешнее финансирование за счёт средств грантов </t>
  </si>
  <si>
    <t>Рекредитуемые кредиты</t>
  </si>
  <si>
    <t>Рекредитуемые гранты</t>
  </si>
  <si>
    <t>Всего рекредитуемые</t>
  </si>
  <si>
    <t>Нерекредитуемые кредиты</t>
  </si>
  <si>
    <t>Нерекредитуемые гранты</t>
  </si>
  <si>
    <t>Всего нерекредитуемые</t>
  </si>
  <si>
    <t>Проект развития устойчивых к изменению климата цепочек добавленной стоимости в сельском хозяйств (АБР) (план)</t>
  </si>
  <si>
    <t>Проект развития устойчивых к изменению климата цепочек добавленной стоимости в сельском хозяйств (АБР) (грант)</t>
  </si>
  <si>
    <t>Проект развития устойчивых к изменению климата цепочек добавленной стоимости в сельском хозяйств (АБР) (кредит)</t>
  </si>
  <si>
    <t>донор</t>
  </si>
  <si>
    <t>КфВ</t>
  </si>
  <si>
    <t>КФАЭР</t>
  </si>
  <si>
    <t>СФР</t>
  </si>
  <si>
    <t>КНР</t>
  </si>
  <si>
    <t>JICA</t>
  </si>
  <si>
    <t>EDCF</t>
  </si>
  <si>
    <t>Швейцария</t>
  </si>
  <si>
    <t>ЕИБ</t>
  </si>
  <si>
    <t>ВБ</t>
  </si>
  <si>
    <t>АБР</t>
  </si>
  <si>
    <t>ИБР</t>
  </si>
  <si>
    <t>ОПЕК</t>
  </si>
  <si>
    <t>ЕБРР</t>
  </si>
  <si>
    <t>ИФЦА</t>
  </si>
  <si>
    <t>ЕС</t>
  </si>
  <si>
    <t>АБИИ</t>
  </si>
  <si>
    <t>Улучшение качества воздуха  в городе Бишкек (ВБ) (кредит)</t>
  </si>
  <si>
    <t xml:space="preserve">Улучшение качества воздуха  в городе Бишкек (ВБ) (кредит) </t>
  </si>
  <si>
    <t>930</t>
  </si>
  <si>
    <t>920</t>
  </si>
  <si>
    <t>Развитие возобновляемых источников энергии (ВБ ЗКФ) (грант)(МЭ)(план)</t>
  </si>
  <si>
    <t>Развитие возобновляемых источников энергии (ВБ ЗКФ) (грант)(НЭСК)(план)</t>
  </si>
  <si>
    <t>Развитие возобновляемых источников энергии (ВБ ЗКФ) (кредит)(НЭСК)(план)</t>
  </si>
  <si>
    <t>Внешнее</t>
  </si>
  <si>
    <t>Внутреннее</t>
  </si>
  <si>
    <t>Устойчивое развитие сельского водоснабжения и санитарии дополнительное финансирование - 2 (ВБ) (кредит)</t>
  </si>
  <si>
    <t>Дополнительное финансирование программы развития сельского водоснабжения  и санитарии в Нарынской  области (АБР)(грант)</t>
  </si>
  <si>
    <t>Дополнительное финансирование программы развития сельского водоснабжения  и санитарии в Нарынской  области (АБР)(кредит)</t>
  </si>
  <si>
    <t>Дополнительное финансирование программы развития сельского водоснабжения  и санитарии в Нарынской  области (АБР)</t>
  </si>
  <si>
    <t>Поэтапное строительство Камбаратинской ГЭС-1</t>
  </si>
  <si>
    <t xml:space="preserve">
</t>
  </si>
  <si>
    <t xml:space="preserve">Цепочка добавленной стоимости агрофинансирования-2 (ИФЦА) </t>
  </si>
  <si>
    <t>Цепочка добавленной стоимости агрофинансирования (КфВ) (грант) Фаза 2</t>
  </si>
  <si>
    <t xml:space="preserve">Цепочка добавленной стоимости агрофинансирования (КфВ) Фаза 2 </t>
  </si>
  <si>
    <t xml:space="preserve">Цепочка добавленной стоимости агрофинансирования-2 (ИФЦА) (грант) </t>
  </si>
  <si>
    <t>Улучшение системы управление бытовыми отходами г. Ош (ЕИБ) (кредит) (план)</t>
  </si>
  <si>
    <t>Реабилитация систем водоснабжения в г.Базар-Коргон (ЕБРР) (кредит) (план)</t>
  </si>
  <si>
    <t>Реабилитация систем водоснабжения в г.Базар-Коргон (СФА ЕБРР) (грант) (план)</t>
  </si>
  <si>
    <t>Реабилитация системы водоснабжения в г. Шопоков (ЕБРР) (грант) (план)</t>
  </si>
  <si>
    <t>Реабилитация системы водоснабжения в г. Шопоков (ЕБРР) (кредит) (план)</t>
  </si>
  <si>
    <t>Реабилитация системы водоснабжения в г. Талас фаза-2 (ЕБРР) (грант) (план)</t>
  </si>
  <si>
    <t>Реабилитация системы водоснабжения в г. Талас фаза-2 (ЕБРР) (кредит) (план)</t>
  </si>
  <si>
    <t>Реабилитация системы водоснабжения в г. Кемин (ЕБРР) (кредит) (план)</t>
  </si>
  <si>
    <t xml:space="preserve">Реабилитация систем водоснабжения в органах местного самоуправления Мырза-Аке, Дон-Булак и Куршаб ДФ (ЕБРР) (кредит) (план) </t>
  </si>
  <si>
    <t xml:space="preserve">Реабилитация систем водоснабжения в органах местного самоуправления Мырза-Аке, Дон-Булак и Куршаб ДФ (СФА ЕБРР) (грант) (план) </t>
  </si>
  <si>
    <t xml:space="preserve">Устойчивое к климату водоснабжение в Кыргызской Республике (ЕБРР) (грант) </t>
  </si>
  <si>
    <t xml:space="preserve">Реабилитация системы водоснабжения в г. Кадамжай (ЕБРР) (кредит) </t>
  </si>
  <si>
    <t xml:space="preserve">Реабилитация системы водоснабжения в г. Таш-Кумыр (ЕБРР) (кредит) </t>
  </si>
  <si>
    <t xml:space="preserve">Реабилитация системы водоснабжения в г. Кок-Жангак (ЕС) (грант) </t>
  </si>
  <si>
    <t xml:space="preserve">Реабилитация системы водоснабжения в г. Кок-Жангак (ЕБРР) (кредит) </t>
  </si>
  <si>
    <t xml:space="preserve">Реабилитация системы водоснабжения в г. Айдаркен (ЕС) (грант) </t>
  </si>
  <si>
    <t xml:space="preserve">Реабилитация системы водоснабжения в г. Айдаркен (ЕБРР) (кредит) </t>
  </si>
  <si>
    <t xml:space="preserve">Реабилитация системы водоснабжения в г. Кадамжай (ЕС) (грант) </t>
  </si>
  <si>
    <t xml:space="preserve">Реабилитация системы водоснабжения в г. Таш-Кумыр (ЕС) (грант) </t>
  </si>
  <si>
    <t>Устойчивое к климату водоснабжение в Кыргызской Республике (ЕБРР) (кредит)</t>
  </si>
  <si>
    <t>Реабилитация системы водоснабжения и канализации в г.Узген (ЕИБ) (кредит)</t>
  </si>
  <si>
    <t xml:space="preserve">Реабилитация системы водоснабжения и канализации в г. Кара-Суу         (ЕБРР) (кредит) </t>
  </si>
  <si>
    <t>Проект «Повышение устойчивости к изменению климата через управление внутрихозяйственными подземными водами» (SEFF)</t>
  </si>
  <si>
    <t xml:space="preserve">Проект «Повышение устойчивости к изменению климата через управление внутрихозяйственными подземными водами» (АБР) (SEFF) (грант) </t>
  </si>
  <si>
    <t xml:space="preserve">Готовность Нарынской программы SEFF (АБР) </t>
  </si>
  <si>
    <t xml:space="preserve">Улучшение водохозяйственных услуг, устойчивых к изменению климата (ВБ) (грант) </t>
  </si>
  <si>
    <t>Улучшение водохозяйственных услуг, устойчивых к изменению климата (ВБ) (кредит)</t>
  </si>
  <si>
    <t>Служба водных ресурсов при Министерстве водных ресурсов, сельского хозяйства, и перерабатывающей промышленности КР</t>
  </si>
  <si>
    <t xml:space="preserve">Улучшение водохозяйственных услуг, устойчивых к изменению климата (ВБ) (кредит) </t>
  </si>
  <si>
    <t>Строительство государственных школ, фаза-2 (СФР)</t>
  </si>
  <si>
    <t xml:space="preserve">Строительство государственных школ,фаза-2 (СФР) (кредит) </t>
  </si>
  <si>
    <t>Второе дополнительное финансирование проекта ВБ Повышение устойчивости к рискам стихийных бедствий в КР (ВБ) (кредит) (план)</t>
  </si>
  <si>
    <t xml:space="preserve">Программа RESILAND CA+: Проект устойчивого восстановления ландшафтов в Кыргызской Республике (ВБ) (кредит) </t>
  </si>
  <si>
    <t xml:space="preserve">Программа RESILAND CA+: Проект устойчивого восстановления ландшафтов в Кыргызской Республике (ВБ) (грант) </t>
  </si>
  <si>
    <t xml:space="preserve">Проект Реконструкция автодороги Суусамыр-Талас-Тараз, фаза IV, км 104,6-197,6 (АКГ) </t>
  </si>
  <si>
    <t>Проект Реконструкция автодороги Суусамыр-Талас-Тараз, фаза IV, км 104,6-197,6 (кредит)</t>
  </si>
  <si>
    <t xml:space="preserve">Проект Реконструкция автодороги Суусамыр-Талас-Тараз, фаза IV, км 104,6-197,6 (кредит) </t>
  </si>
  <si>
    <t xml:space="preserve">Проект Реконструкция автодороги Суусамыр-Талас-Тараз, фаза IV, км 104,6-197,6 (ИБР) (грант) </t>
  </si>
  <si>
    <t>Проект Реконструкция автодороги Суусамыр-Талас-Тараз, фаза IV, км 104,6-197,6 (ИБР) (кредит)</t>
  </si>
  <si>
    <t>Проект реконструкции Иссык-Кульской кольцевой автодороги (Корумду – Балбай Баатыр), км 104-184,5 (АКГ)</t>
  </si>
  <si>
    <t xml:space="preserve">Проект реконструкции Иссык-Кульской кольцевой автодороги (Корумду – Балбай Баатыр), км 104-184,5 (ИБР) (кредит) </t>
  </si>
  <si>
    <t xml:space="preserve">Проект реконструкции Иссык-Кульской кольцевой автодороги (Корумду – Балбай Баатыр), км 104-184,5 (СФР) (кредит) </t>
  </si>
  <si>
    <t xml:space="preserve">Проект реконструкции Иссык-Кульской кольцевой автодороги (Корумду – Балбай Баатыр), км 104-184,5 (КФАЭР) (кредит) </t>
  </si>
  <si>
    <t xml:space="preserve">Проект реконструкции Иссык-Кульской кольцевой автодороги (Корумду – Балбай Баатыр), км 104-184,5 (ОПЕК) (кредит) </t>
  </si>
  <si>
    <t>Проект "Реконструкция автомобильной дороги Бишкек-Ош" Фаза 4  (ЕАБР)</t>
  </si>
  <si>
    <t>Проект соединительной дороги, Коридоры ЦАРЭС 1 и 3 (АБР)</t>
  </si>
  <si>
    <t>Проект соединительной дороги, Коридоры ЦАРЭС 1 и 3 (АБР) (грант)</t>
  </si>
  <si>
    <t>Проект соединительной дороги, Коридоры ЦАРЭС 1 и 3 (АБР) (кредит)</t>
  </si>
  <si>
    <t xml:space="preserve">Проект соединительной дороги, Коридоры ЦАРЭС 1 и 3, Фаза 2 – Дополнительное финансирование (АБР) </t>
  </si>
  <si>
    <t xml:space="preserve">Проект соединительной дороги, Коридоры ЦАРЭС 1 и 3, Фаза 2 – Дополнительное финансирование (АБР) (грант) </t>
  </si>
  <si>
    <t>Проект соединительной дороги, Коридоры ЦАРЭС 1 и 3, Фаза 2 – Дополнительное финансирование (АБР) (кредит)</t>
  </si>
  <si>
    <t>Проект по улучшению Иссык-Кульской кольцевой автодороги (участок Барскоон – Каракол) (АБР)</t>
  </si>
  <si>
    <t>Проект по улучшению Иссык-Кульской кольцевой автодороги (участок Барскоон – Каракол) (АБР) (грант)</t>
  </si>
  <si>
    <t>Проект по улучшению Иссык-Кульской кольцевой автодороги (участок Барскоон – Каракол) (АБР) (кредит)</t>
  </si>
  <si>
    <t>Проект по улучшению Иссык-Кульской кольцевой автодороги (участок Балбай Баатыр – Каракол) (ЕБРР) (план)</t>
  </si>
  <si>
    <t>Проект по улучшению Иссык-Кульской кольцевой автодороги (участок Балбай Баатыр – Каракол) (ЕБРР) (грант) (план)</t>
  </si>
  <si>
    <t>Проект по улучшению Иссык-Кульской кольцевой автодороги (участок Балбай Баатыр – Каракол) (ЕБРР) (кредит) (план)</t>
  </si>
  <si>
    <t>Третья фаза Программы по улучшению региональных путей сообщения в Центральной Азии (ПУРПС ЦА-3) (ВБ) (грант)</t>
  </si>
  <si>
    <t xml:space="preserve">Третья фаза Программы по улучшению региональных путей сообщения в Центральной Азии (ПУРПС ЦА-3) (ВБ) (кредит) </t>
  </si>
  <si>
    <t xml:space="preserve">Проект улучшения дорог международного значения (JICA) </t>
  </si>
  <si>
    <t xml:space="preserve">Проект улучшения дорог международного значения (JICA) (кредит) </t>
  </si>
  <si>
    <t>Проект реконструкции моста через реку Урмарал на автодороге Талас-Тараз (JICA)</t>
  </si>
  <si>
    <t xml:space="preserve">Проект реконструкции моста через реку Урмарал на автодороге Талас-Тараз (JICA) (грант) </t>
  </si>
  <si>
    <t>Дополнительное финансирование для проекта “Повышение устойчивости к стихийным бедствиям в Кыргызстане” (ВБ) (кредит)</t>
  </si>
  <si>
    <t xml:space="preserve">Дополнительное финансирование для проекта “Повышение устойчивости к стихийным бедствиям в Кыргызстане” (ВБ) (грант) </t>
  </si>
  <si>
    <t>Качество высшего образования и инновации  (ВБ) (кредит) (план)</t>
  </si>
  <si>
    <t>номер и дата  кредитного соглашения</t>
  </si>
  <si>
    <t>Министерство водных ресурсов, сельского хозяйства, и перерабатывающей промышленности КР</t>
  </si>
  <si>
    <t>Строительство линии электропередач ВЛ 220 кВ «Тамга-Каракол» и подстанций в Иссык-Кульской области</t>
  </si>
  <si>
    <t>Цифровизация электроснабжения (ЕБРР) грант</t>
  </si>
  <si>
    <t>Цифровизация электроснабжения (ЕБРР) кредит</t>
  </si>
  <si>
    <t>«Модернизация подстанции ПС 110 кВ «Долинка» и перевод подстанции ПС 35 кВ «Речная» на 110 кВ» (ЕБРР) (грант)</t>
  </si>
  <si>
    <t>«Модернизация подстанции ПС 110 кВ «Долинка» и перевод подстанции ПС 35 кВ «Речная» на 110 кВ» (ЕБРР) (кредит)</t>
  </si>
  <si>
    <t>№49793</t>
  </si>
  <si>
    <t>Соглашение №5 ЕАБР от 28.02.2017г.</t>
  </si>
  <si>
    <t>№4 от 31/07/2015</t>
  </si>
  <si>
    <t>KGZ 46348 от 26/12/2014</t>
  </si>
  <si>
    <t>KGZ 49013 от 13/12/2016</t>
  </si>
  <si>
    <t>Loan 3778-KGZ (COL) от 01 ноября 2019г.</t>
  </si>
  <si>
    <t xml:space="preserve">Проект "Санарип-Ордо" (ВБ) (кредит) </t>
  </si>
  <si>
    <t>Грант D5700-KG/Кредит 6558-KG</t>
  </si>
  <si>
    <t>Грант D976-KG/Кредит 70490-KG</t>
  </si>
  <si>
    <t>Грант №D138-KG, Кредит №5907-KG</t>
  </si>
  <si>
    <t>Грант №D2040-KG, Credit №60880-KG</t>
  </si>
  <si>
    <t>Кредит №7470-KG</t>
  </si>
  <si>
    <t>Кредит №3854-KGZ, Грант №0676-KGZ</t>
  </si>
  <si>
    <t>Кредит ИБР №KGZ-1020,                          Кредит СФР №6/750</t>
  </si>
  <si>
    <t>Кредит №4494-KGZ (COL), Грант №0971-KGZ( SF)</t>
  </si>
  <si>
    <t>Новый водозабор в городе Ош (АБР) (SEFF)</t>
  </si>
  <si>
    <t>Новый водозабор в городе Ош  (АБР) (грант) (SEFF)</t>
  </si>
  <si>
    <t>4/697</t>
  </si>
  <si>
    <t>Кредит №7081-KG, Грант №E009-KG</t>
  </si>
  <si>
    <t>Грант №0949-KGZ, Кредит №4454 - KGZ</t>
  </si>
  <si>
    <t xml:space="preserve">Экологическое управление озером Иссык-Куль и устойчивое развитие туризма  (АБР) </t>
  </si>
  <si>
    <t xml:space="preserve">Экологическое управление озером Иссык-Куль и  устойчивое развитие туризма  (АБР) (грант) </t>
  </si>
  <si>
    <t xml:space="preserve">Экологическое управление озером Иссык-Куль и устойчивое развитие туризма  (АБР) (кредит) </t>
  </si>
  <si>
    <t xml:space="preserve">Проект регионального экономического развития Баткенской области (ВБ) (грант) </t>
  </si>
  <si>
    <t xml:space="preserve">Проект регионального экономического развития Баткенской области (ВБ) (кредит) </t>
  </si>
  <si>
    <t>Национальный проект по инициативе сообществ (ВБ) (грант)</t>
  </si>
  <si>
    <t>Национальный проект по инициативе сообществ (ВБ) (кредит)</t>
  </si>
  <si>
    <t>Грант №E-009-KG, Кредит №7081-KG</t>
  </si>
  <si>
    <t>Грант №0632-KGZ, Кредит №3746-KGZ</t>
  </si>
  <si>
    <t>Проект "Digital CASA" (ВБ) (грант) (завершен)</t>
  </si>
  <si>
    <t>Проект "Digital CASA" (ВБ) (кредит) (завершен)</t>
  </si>
  <si>
    <t>Дополнительное финансирование Проекта "Digital CASA" (ВБ) (кредит) (план) (завершен)</t>
  </si>
  <si>
    <t>«Реабилитация ОАО «Востокэлектро» (ЕБРР) (грант) (завершен)</t>
  </si>
  <si>
    <t>«Реабилитация ОАО «Востокэлектро» (ЕБРР) (кредит) (завершен)</t>
  </si>
  <si>
    <t>«Реабилитация ОАО «Ошэлектро» (ЕБРР) (грант) (завершен)</t>
  </si>
  <si>
    <t>«Реабилитация ОАО «Ошэлектро» (ЕБРР) (кредит) (завершен)</t>
  </si>
  <si>
    <t>Дополнительное финансирование Проекта «Улучшение теплоснабжения в КР» (ВБ) (кредит) (АРИС) (план) (завершен)</t>
  </si>
  <si>
    <t>Дополнительное финансирование Проекта «Улучшение теплоснабжения в КР» (ВБ) (кредит) (БТС) (план) (завершен)</t>
  </si>
  <si>
    <t>Проект «Улучшение теплоснабжения в КР» (ВБ) (грант) (АРИС) (завершен)</t>
  </si>
  <si>
    <t>Проект «Улучшение теплоснабжения в КР» (ВБ) (грант) (БТС) (завершен)</t>
  </si>
  <si>
    <t>Проект «Улучшение теплоснабжения в КР» (ВБ) (кредит) (БТС) (завершен)</t>
  </si>
  <si>
    <t>Проект CASA-1000 (ВБ) (кредит) (завершен)</t>
  </si>
  <si>
    <t>Проект CASA-1000 (ЕИБ) (кредит) (завершен)</t>
  </si>
  <si>
    <t>Проект CASA-1000 (ИБР) (кредит) (завершен)</t>
  </si>
  <si>
    <t>Дополнительное финансирование Проект CASA-1000 (ИБР) (кредит) (план) (завершен)</t>
  </si>
  <si>
    <t>Дополнительное финансирование Проекта CASA-1000 (ВБ) (кредит) (план) (завершен)</t>
  </si>
  <si>
    <t>Дополнительное финансирование Проект CASA-1000 (ЕИБ) (кредит) (план) (завершен)</t>
  </si>
  <si>
    <t>Грант №0632-KGZ, Кредит №3746-KGZ (COL)</t>
  </si>
  <si>
    <t>Грант №0941 - KGZ (SEFF 6)</t>
  </si>
  <si>
    <t>Грант №0628-KGZ (SF), Кредит №3742-KGZ (COL)</t>
  </si>
  <si>
    <t>Грант №0783-KGZ (SF)</t>
  </si>
  <si>
    <t>ИБР №KGZ-1022,       СФР №767/08</t>
  </si>
  <si>
    <t>Грант №G0835-KGZ</t>
  </si>
  <si>
    <t>Устойчивое к климату водоснабжение в Кыргызской Республике -транш 2 (ЕС) (грант) (план)</t>
  </si>
  <si>
    <t>Устойчивое к климату водоснабжение в Кыргызской Республике - транш 2 (ЕБРР) (кредит) (план)</t>
  </si>
  <si>
    <t>Повышение эффективности использования водных ресурсов в Чуйской области (ЕС) (грант) (план)</t>
  </si>
  <si>
    <t>Повышение эффективности использования водных ресурсов в Чуйской области (ЕБРР) (кредит) (план)</t>
  </si>
  <si>
    <t>№55372</t>
  </si>
  <si>
    <t>№4212-KGZ(COL)</t>
  </si>
  <si>
    <t>№0851</t>
  </si>
  <si>
    <t>№4217</t>
  </si>
  <si>
    <t>№0847-KGZ(SF)</t>
  </si>
  <si>
    <t>№5/698</t>
  </si>
  <si>
    <t>BMZ ID: 2011 70 190/2013 70 030/2015 70 084</t>
  </si>
  <si>
    <t>BMZ ID: 2007 66 543/2007 70 388/2009 66 622/2009 70 301</t>
  </si>
  <si>
    <t>BMZID:2011 66 453/2012 67 368/2013 65 451/2013 70 022</t>
  </si>
  <si>
    <t>BMZ ID:2013 67 275/2013 67 283</t>
  </si>
  <si>
    <t>«Повышение устойчивости водных ресурсов к изменению климата и стихийным бедствиям - дополнительное финансирование» (АБР)</t>
  </si>
  <si>
    <t>«Повышение устойчивости водных ресурсов к изменению климата и стихийным бедствиям - дополнительное финансирование» (АБР) (грант)</t>
  </si>
  <si>
    <t>«Повышение устойчивости водных ресурсов к изменению климата и стихийным бедствиям - дополнительное финансирование» (АБР) (кредит)</t>
  </si>
  <si>
    <t>Грант D976-KG,        Кредит 7049-KG</t>
  </si>
  <si>
    <t>Проект регионального экономического развития Ошской области - дополнительное финансирование (ВБ) (кредит)</t>
  </si>
  <si>
    <t>№52256-010 (SEFF 5)</t>
  </si>
  <si>
    <t>ШАРС</t>
  </si>
  <si>
    <t>Всеобщий доступ к водоснабжению и санитарии Фаза-1 (ШАРС) (грант) (план)</t>
  </si>
  <si>
    <t>Всеобщий доступ к водоснабжению и санитарии Фаза-1 (АБИИ) (грант) (план)</t>
  </si>
  <si>
    <t>Всеобщий доступ к водоснабжению и санитарии Фаза-1 (ВБ) (кредит) (план)</t>
  </si>
  <si>
    <t>Всеобщий доступ к водоснабжению и санитарии Фаза-1 (ОПЕК) (кредит) (план)</t>
  </si>
  <si>
    <t>Всеобщий доступ к водоснабжению и санитарии Фаза-1 (АБИИ) (кредит) (план)</t>
  </si>
  <si>
    <t>09/789</t>
  </si>
  <si>
    <t>KGZ-1028</t>
  </si>
  <si>
    <t>7434-KG</t>
  </si>
  <si>
    <t>№ 6941-KG</t>
  </si>
  <si>
    <t>№ 7434-KG</t>
  </si>
  <si>
    <t>№ 7526-KG</t>
  </si>
  <si>
    <t>№ 6758-KG</t>
  </si>
  <si>
    <t>№ 0423-А</t>
  </si>
  <si>
    <t>Проект развития устойчивых агропродовольственных кластеров (ВБ) (кредит)</t>
  </si>
  <si>
    <t xml:space="preserve">Реабилитация системы водоснабжения в г. Кемин (ЕБРР) (грант) (план) </t>
  </si>
  <si>
    <t>46345</t>
  </si>
  <si>
    <t>47608</t>
  </si>
  <si>
    <t>48936</t>
  </si>
  <si>
    <t>42471</t>
  </si>
  <si>
    <t>48036</t>
  </si>
  <si>
    <t>52267</t>
  </si>
  <si>
    <t>53727</t>
  </si>
  <si>
    <t>52266</t>
  </si>
  <si>
    <t>52283</t>
  </si>
  <si>
    <t>52256</t>
  </si>
  <si>
    <t>48955</t>
  </si>
  <si>
    <t>49420</t>
  </si>
  <si>
    <t>Финансирование для содействия механизации сельского хозяйства в Кыргызской Республике (ИБР)</t>
  </si>
  <si>
    <t xml:space="preserve">Строительство многоэтажных социальных жилых домов (СФР) </t>
  </si>
  <si>
    <t xml:space="preserve">Строительство многоэтажных социальных жилых домов (СФР) (кредит) </t>
  </si>
  <si>
    <t>Финансирование доступного жилья по стандартам шариата (ИБР)</t>
  </si>
  <si>
    <t xml:space="preserve">Финансирование доступного жилья по стандартам шариата (ИБР) (кредит) </t>
  </si>
  <si>
    <t>№ 7094-KG</t>
  </si>
  <si>
    <t>Проект развития устойчивых агропродовольственных кластеров (ВБ) (грант)</t>
  </si>
  <si>
    <t>6546-KG</t>
  </si>
  <si>
    <t>Строительство многоэтажных социальных жилых домов (СФР) (кредит)</t>
  </si>
  <si>
    <t xml:space="preserve">Финансирование доступного жилья по стандартам шариата (ИБР) </t>
  </si>
  <si>
    <t>Финансирование доступного жилья по стандартам шариата (ИБР) (кредит)</t>
  </si>
  <si>
    <t>Расширение доступа к доступному и энергоэффективному жилью (АБР) (кредит) (план)</t>
  </si>
  <si>
    <t>Расширение доступа к доступному и энергоэффективному жилью (АБР) (грант) (план)</t>
  </si>
  <si>
    <t>Расширение доступа к доступному и энергоэффективному жилью (АБР) (план)</t>
  </si>
  <si>
    <t>Фаза 1 для Кыргызской Республики в рамках Программы «Единое здоровье» для предотвращения пандемий, обеспечения жизнестойкости продовольственных систем и здоровья экосистем в Центральной Азии (ВБ) (грант) (план)</t>
  </si>
  <si>
    <t>Фаза 1 для Кыргызской Республики в рамках Программы «Единое здоровье» для предотвращения пандемий, обеспечения жизнестойкости продовольственных систем и здоровья экосистем в Центральной Азии (ВБ) (кредит) (план)</t>
  </si>
  <si>
    <t>Деятельность «Развитие центра бизнес-услуг», SEFF 2 (АБР) (грант) (план)</t>
  </si>
  <si>
    <t>Деятельность «Развитие центра бизнес-услуг», SEFF 2 (АБР) (план)</t>
  </si>
  <si>
    <t>Финансирование для содействия механизации сельского хозяйства в Кыргызской Республике (ИБР) (грант) (план)</t>
  </si>
  <si>
    <t>Финансирование для содействия механизации сельского хозяйства в Кыргызской Республике (ИБР) (кредит) (план)</t>
  </si>
  <si>
    <t>KGZ-1037</t>
  </si>
  <si>
    <t>4413-KGZ</t>
  </si>
  <si>
    <t>Развитие устойчивых финансовых рынков для микро-, малых и средних предприятий в Кыргызской Республике (ВБ) (кредит) (план)</t>
  </si>
  <si>
    <t xml:space="preserve">7741-KG </t>
  </si>
  <si>
    <t xml:space="preserve">FI № 84.373 </t>
  </si>
  <si>
    <t>7203-KG</t>
  </si>
  <si>
    <t>7480-KG</t>
  </si>
  <si>
    <t>6563-KG</t>
  </si>
  <si>
    <t>Энергоэффективность в общественных зданиях (АБР) (план)</t>
  </si>
  <si>
    <t>Энергоэффективность в общественных зданиях (АБР) (грант) (план)</t>
  </si>
  <si>
    <t>Энергоэффективность в общественных зданиях (АБР) (кредит) (план)</t>
  </si>
  <si>
    <t>Строительство социального жилья (EDCF) (кредит) (план)</t>
  </si>
  <si>
    <t>Проект развития сектора возобновляемых источников энергии (плавучая солнечная батарея на ГЭС 5)  в рамках SEFF 2 (план)</t>
  </si>
  <si>
    <t>Проект развития сектора возобновляемых источников энергии (плавучая солнечная батарея на ГЭС 5)  в рамках SEFF 2 (грант) (план)</t>
  </si>
  <si>
    <t>Проект развития сектора возобновляемых источников энергии (плавучая солнечная батарея на ГЭС 5)  в рамках SEFF 2 (кредит) (план)</t>
  </si>
  <si>
    <t>Экономический коридор Алматы – Бишкек: Региональный проект по улучшению пограничных служб  (план)</t>
  </si>
  <si>
    <t>Экономический коридор Алматы – Бишкек: Региональный проект по улучшению пограничных служб (грант) (план)</t>
  </si>
  <si>
    <t>Экономический коридор Алматы – Бишкек: Региональный проект по улучшению пограничных служб (кредит) (план)</t>
  </si>
  <si>
    <t>Строительство нового корпуса Национального госпиталя и обеспечение медицинским оборудованием (ЕДСФ)</t>
  </si>
  <si>
    <t>Функциональное улучшение Республиканской клинической инфекционной больницы (ЕДСФ)</t>
  </si>
  <si>
    <t>Строительство многопрофильной академической больницы КГМА им. И.К. Ахунбаева (ЕДСФ)</t>
  </si>
  <si>
    <t>Smart-Ed по улучшению доступа к возможностям инклюзивного обучения и его качества для всех детей в Кыргызской Республике»</t>
  </si>
  <si>
    <t>Проект модернизации низкоуглеродных муниципальных зданий в Бишкеке в рамках SEFF 2 (Фонд финансирования устойчивой энергии)</t>
  </si>
  <si>
    <t>Дополнительное финансирование для Технической помощи для проекта Камбаратинской ГЭС-1"(ВБ) (грант) (план)</t>
  </si>
  <si>
    <t>Дополнительное финансирование для Технической помощи для проекта Камбаратинской ГЭС-1"(ВБ) (кредит) (план)</t>
  </si>
  <si>
    <t>Дополнительное финансирование для Программы повышения качества первичной медико-санитарной помощи (ВБ) (кредит) (план)</t>
  </si>
  <si>
    <t>ЕФСР</t>
  </si>
  <si>
    <t>ГПЦО</t>
  </si>
  <si>
    <t>Образование для будущего  (ВБ) (грант)  ДФ</t>
  </si>
  <si>
    <t>Дополнительное финансирование для Операции по повышению качества первичной медико-санитарной помощи»</t>
  </si>
  <si>
    <t>Smart-Ed по улучшению доступа к возможностям инклюзивного обучения и его качества для всех детей в Кыргызской Республике» (ИБР) (кредит)</t>
  </si>
  <si>
    <t>Smart-Ed по улучшению доступа к возможностям инклюзивного обучения и его качества для всех детей в Кыргызской Республике» (ИБР) (грант)</t>
  </si>
  <si>
    <t>Smart-Ed по улучшению доступа к возможностям инклюзивного обучения и его качества для всех детей в Кыргызской Республике» (ЕФСР) (грант)</t>
  </si>
  <si>
    <t>Проект модернизации низкоуглеродных муниципальных зданий в Бишкеке в рамках SEFF 2 (Фонд финансирования устойчивой энергии) (грант)</t>
  </si>
  <si>
    <t>Проект модернизации низкоуглеродных муниципальных зданий в Бишкеке в рамках SEFF 2 (Фонд финансирования устойчивой энергии) (Кредит)</t>
  </si>
  <si>
    <t>Проект "Реконструкция автомобильной дороги Бишкек-Ош" Фаза 4 (ЕФСР) (кредит)</t>
  </si>
  <si>
    <t xml:space="preserve">Реабилитация автомобильной дороги Арал-Суусамыр (ЕФСР)          </t>
  </si>
  <si>
    <t xml:space="preserve">Реабилитация автомобильной дороги Арал-Суусамыр (ЕФСР)  (кредит)         </t>
  </si>
  <si>
    <t xml:space="preserve">«Ввод в эксплуатацию  второго гидроагрегата Камбаратинской ГЭС-2» (ЕФСР) (кредит) </t>
  </si>
  <si>
    <t xml:space="preserve">«Вторая фаза реабилитации Токтогульской ГЭС» (ЕФСР) (кредит) </t>
  </si>
  <si>
    <t xml:space="preserve">«Строительство поверхностного водосброса Камбаратинской ГЭС-2» (ЕФСР) (кредит) </t>
  </si>
  <si>
    <t>Министерство  строительства, архитектуры и жилищно-коммунального хозяйства Кыргызской Республики</t>
  </si>
  <si>
    <t>Министерство цифрового развития и инновационных технологий  КР</t>
  </si>
  <si>
    <t>Улучшение сельского водоснабжения и санитарии-2 (ИБР) (план)</t>
  </si>
  <si>
    <t>Улучшение сельского водоснабжения и санитарии-2 (ИБР) (кредит) (план)</t>
  </si>
  <si>
    <t>Факт внутренний</t>
  </si>
  <si>
    <t>Факт внешний</t>
  </si>
  <si>
    <t>% к утвержденному</t>
  </si>
  <si>
    <t>2027 год 
(плановый период)</t>
  </si>
  <si>
    <t>2026 год (проект)</t>
  </si>
  <si>
    <t>2028 год 
(плановый период)</t>
  </si>
  <si>
    <t>(тыс. сом.)</t>
  </si>
  <si>
    <t>Проект модернизации низкоуглеродных муниципальных зданий в Бишкеке в рамках SEFF 2 (Фонд финансирования устойчивой энергии) (кредит)</t>
  </si>
  <si>
    <t>Дополнительное финансирование для Технической помощи для проекта Камбаратинской ГЭС-1 (ВБ) (кредит) (план)</t>
  </si>
  <si>
    <t>Дополнительное финансирование для Технической помощи для проекта Камбаратинской ГЭС-1 (ВБ) (грант) (план)</t>
  </si>
  <si>
    <t xml:space="preserve">Проект «Реконструкция Лебединовской ГЭС» (ЕБРР) (грант) </t>
  </si>
  <si>
    <t xml:space="preserve">Проект «Реконструкция Лебединовской ГЭС» (ЕБРР) (кредит) </t>
  </si>
  <si>
    <t xml:space="preserve">Проект «Санарип-Ордо» (ВБ) (кредит) </t>
  </si>
  <si>
    <t>Smart-Ed по улучшению доступа к возможностям инклюзивного обучения и его качества для всех детей в Кыргызской Республике» (ИФСР) (грант)</t>
  </si>
  <si>
    <t>Образование для будущего  (ВБ) (кредит)  ДФ</t>
  </si>
  <si>
    <t>Проект развития сектора возобновляемых источников энергии (плавучие солнечные панели на ГЭС 5)  в рамках SEFF 2 (план)</t>
  </si>
  <si>
    <t>Проект развития сектора возобновляемых источников энергии (плавучие солнечные панели  на ГЭС 5)  в рамках SEFF 2 (грант) (план)</t>
  </si>
  <si>
    <t>Проект развития сектора возобновляемых источников энергии (плавучие солнечные панели на ГЭС 5)  в рамках SEFF 2 (кредит) (план)</t>
  </si>
  <si>
    <t xml:space="preserve">Smart-Ed по улучшению доступа к возможностям инклюзивного обучения и его качества для всех детей в Кыргызской Республике» </t>
  </si>
  <si>
    <t>Развитие устойчивых финансовых рынков для микро-, малых и средних предприятий в Кыргызской Республике (АБИИ) (кредит) (план)</t>
  </si>
  <si>
    <t>Программа зеленой трансформации общественных зданий (АБР) (план)</t>
  </si>
  <si>
    <t>Программа зеленой трансформации общественных зданий (АБР) (грант) (план)</t>
  </si>
  <si>
    <t>Программа зеленой трансформации общественных зданий (АБР) (кредит) (план)</t>
  </si>
  <si>
    <t xml:space="preserve">Проект по подготовке Программы трансформации школьного и начального профессионального образования </t>
  </si>
  <si>
    <t>Проект по подготовке Программы трансформации школьного и начального профессионального образования (грант)</t>
  </si>
  <si>
    <t xml:space="preserve">Модернизация и улучшение инфраструктуры больниц </t>
  </si>
  <si>
    <t>Модернизация и улучшение инфраструктуры больниц (грант)</t>
  </si>
  <si>
    <t>Департамент развития питьевого водоснабжения и водоотведения при Министерстве водных ресурсов, сельского хозяйства и перерабатыващей промышленности Кыргызской Республики</t>
  </si>
  <si>
    <t>Проект расширения КОС в городе Ош (ЕБРР) (грант) (план)</t>
  </si>
  <si>
    <t>Проект расширения КОС в городе Ош (ЕБРР) (кредит) (план)</t>
  </si>
  <si>
    <t>«Подготовка 1 фазы проекта «Развитие систем сельского водоснабжения и санитарии в селах Джалал-Абадской области» (АБР) (SEFF)</t>
  </si>
  <si>
    <t>«Подготовка 1 фазы проекта «Развитие систем сельского водоснабжения и санитарии в селах Джалал-Абадской области» (АБР) (грант) (SEFF)</t>
  </si>
  <si>
    <t>Грант для подготовки технико-экономического обоснования и предварительной разработки проекта «Развитие водоснабжения и водоотведения в сельских населенных пунктах Чуйской, Иссык-Кульской и Нарынской областей Кыргызской Республики» (КФАЭР) (грант) (план)</t>
  </si>
  <si>
    <t>Дополнительное финансирование Проекта CASA-1000 (ВБ) (кредит) (план)</t>
  </si>
  <si>
    <t>Дополнительное финансирование Проект CASA-1000 (ЕИБ) (кредит) (план)</t>
  </si>
  <si>
    <t>«Подготовка по улучшению экологии твердых отходов (SWEEP)» (АБР) (SEFF) (план)</t>
  </si>
  <si>
    <t>«Подготовка по улучшению экологии твердых отходов (SWEEP)» (АБР)  (грант) (SEFF) (план)</t>
  </si>
  <si>
    <t>Завершающее финансирование инфраструктуры здравоохранения (грант)</t>
  </si>
  <si>
    <t>Электрификация городского транспорта в городе Каракол (АБР)</t>
  </si>
  <si>
    <t>Электрификация городского транспорта в городе Каракол (АБР) (грант)</t>
  </si>
  <si>
    <t>Министерство финансов Кыргызской Республики</t>
  </si>
  <si>
    <t>Министерство экономики и коммерции Кыргызской Республики</t>
  </si>
  <si>
    <t>Государственная налоговая служба при Министерстве финансов Кыргызской Республики</t>
  </si>
  <si>
    <t>Министерство здравоохранения Кыргызской Республики</t>
  </si>
  <si>
    <t xml:space="preserve">Министерство труда, социального обеспечения и миграции Кыргызской Республики </t>
  </si>
  <si>
    <t>Министерство водных ресурсов, сельского хозяйства, и перерабатывающей промышленности Кыргызской Республики</t>
  </si>
  <si>
    <t>Служба водных ресурсов при Министерстве водных ресурсов, сельского хозяйства, и перерабатывающей промышленности Кыргызской Республики</t>
  </si>
  <si>
    <t>Министерство просвещения Кыргызской Республики</t>
  </si>
  <si>
    <t>Министерство транспорта и коммуникаций Кыргызской Республики</t>
  </si>
  <si>
    <t>Министерство чрезвычайных ситуаций Кыргызской Республики</t>
  </si>
  <si>
    <t>Министерство энергетики Кыргызской Республики</t>
  </si>
  <si>
    <t>Министерство цифрового развития и инновационных технологий  Кыргызской Республики</t>
  </si>
  <si>
    <t>Министерство природных ресурсов, экологии и технического надзора Кыргызской Республики</t>
  </si>
  <si>
    <t>Национальный статистический комитет Кыргызской Республики</t>
  </si>
  <si>
    <t>Пограничная служба Государственного комитета национальной безопасности Кыргызской Республики</t>
  </si>
  <si>
    <t>Проект «Улучшение дорог города Ош» (строительство 2-х эстакадных мостов с участком дороги протяженностью 3,2 км)</t>
  </si>
  <si>
    <t>Проект «Улучшение дорог города Ош» (строительство 2-х эстакадных мостов с участком дороги протяженностью 3,2 км) (грант)</t>
  </si>
  <si>
    <t>Проект «Улучшение дорог города Ош» (строительство 2-х эстакадных мостов с участком дороги протяженностью 3,2 км) (кредит)</t>
  </si>
  <si>
    <t>Строительство воздушной линии электропередачи 500кВ между подстанцией «Кемин» и новой подстанцией «Балыкчы» (НЭСК) (грант)</t>
  </si>
  <si>
    <t>Строительство воздушной линии электропередачи 500кВ между подстанцией «Кемин» и новой подстанцией «Балыкчы» (НЭСК) (кредит)</t>
  </si>
  <si>
    <t xml:space="preserve">Бюджет государственных инвестиций на 2026–2028 годы          
</t>
  </si>
  <si>
    <t xml:space="preserve">             Приложение 8
             к Закону Кыргызской Республики 
             «О республиканском бюджете Кыргызской Республики 
             на 2026 год и плановый период 2027–2028 годов»</t>
  </si>
  <si>
    <t>Проект «Здравоохранение и социальная защита» – 3, 4 (КфВ) (грант)</t>
  </si>
  <si>
    <t xml:space="preserve">Охрана материнства и детства IV–V (КфВ) </t>
  </si>
  <si>
    <t>Охрана материнства и детства IV–V (КфВ) (грант)</t>
  </si>
  <si>
    <t xml:space="preserve">Программа «Охрана материнства и детства» фаза  VI–VIII г. Ош (КфВ) </t>
  </si>
  <si>
    <t>Программа «Охрана материнства и детства» фаза  VI–VIII г. Ош (КфВ) (грант)</t>
  </si>
  <si>
    <t xml:space="preserve">Программа «Охрана материнства и детства» фаза  IХ г. Талас (КфВ) </t>
  </si>
  <si>
    <t>Программа «Охрана материнства и детства» фаза  IХ г. Талас (КфВ) (грант)</t>
  </si>
  <si>
    <t xml:space="preserve">Комплексное повышение производительности молочного сектора (ВБ) (грант) Дополнительное финансирование </t>
  </si>
  <si>
    <t xml:space="preserve">Комплексное повышение производительности молочного сектора (ВБ) (кредит) Дополнительное финансирование  </t>
  </si>
  <si>
    <t>Устойчивое к климату водоснабжение в Кыргызской Республике – транш 2 (ЕС) (грант) (план)</t>
  </si>
  <si>
    <t>Устойчивое к климату водоснабжение в Кыргызской Республике – транш 2 (ЕБРР) (кредит) (план)</t>
  </si>
  <si>
    <t>«Повышение устойчивости водных ресурсов к изменению климата и стихийным бедствиям-дополнительное финансирование» (АБР)</t>
  </si>
  <si>
    <t>«Повышение устойчивости водных ресурсов к изменению климата и стихийным бедствиям-дополнительное финансирование» (АБР) (грант)</t>
  </si>
  <si>
    <t>«Повышение устойчивости водных ресурсов к изменению климата и стихийным бедствиям-дополнительное финансирование» (АБР) (кредит)</t>
  </si>
  <si>
    <t>Развитие животноводства и рынка – Фаза 3 (ПРЖР-3) (МФСР)</t>
  </si>
  <si>
    <t>Развитие животноводства и рынка – Фаза 3 (ПРЖР-3) (МФСР) (кредит)</t>
  </si>
  <si>
    <t xml:space="preserve">Проект Реконструкция автодороги Суусамыр–Талас–Тараз, фаза IV, км 104,6–197,6 (АКГ) </t>
  </si>
  <si>
    <t>Проект Реконструкция автодороги Суусамыр–Талас–Тараз, фаза IV, км 104,6–197,6 (кредит)</t>
  </si>
  <si>
    <t xml:space="preserve">Проект Реконструкция автодороги Суусамыр–Талас–Тараз, фаза IV, км 104,6–197,6 (кредит) </t>
  </si>
  <si>
    <t xml:space="preserve">Проект Реконструкция автодороги Суусамыр–Талас–Тараз, фаза IV, км 104,6–197,6 (ИБР) (грант) </t>
  </si>
  <si>
    <t>Проект Реконструкция автодороги Суусамыр–Талас–Тараз, фаза IV, км 104,6–197,6 (ИБР) (кредит)</t>
  </si>
  <si>
    <t xml:space="preserve">Строительство альтернативной автодороги Север–Юг, км 159–183 (ИБР, СФР) </t>
  </si>
  <si>
    <t>Проект реконструкции Иссык-Кульской кольцевой автодороги (Корумду – Балбай Баатыр), км 104–184,5 (АКГ)</t>
  </si>
  <si>
    <t xml:space="preserve">Проект реконструкции Иссык-Кульской кольцевой автодороги (Корумду – Балбай Баатыр), км 104–184,5 (ИБР) (кредит) </t>
  </si>
  <si>
    <t xml:space="preserve">Проект реконструкции Иссык-Кульской кольцевой автодороги (Корумду – Балбай Баатыр), км 104–184,5 (СФР) (кредит) </t>
  </si>
  <si>
    <t xml:space="preserve">Проект реконструкции Иссык-Кульской кольцевой автодороги (Корумду – Балбай Баатыр), км 104–184,5 (КФАЭР) (кредит) </t>
  </si>
  <si>
    <t xml:space="preserve">Проект реконструкции Иссык-Кульской кольцевой автодороги (Корумду – Балбай Баатыр), км 104–184,5 (ОПЕК) (кредит) </t>
  </si>
  <si>
    <t>Проект «Реконструкция автомобильной дороги Бишкек–Ош» Фаза 4  (ЕАБР)</t>
  </si>
  <si>
    <t>Проект «Реконструкция автомобильной дороги Бишкек–Ош» Фаза 4 (ЕФСР) (кредит)</t>
  </si>
  <si>
    <t>Строительство альтернативной дороги «Север–Юг» (КНР) (кредит)</t>
  </si>
  <si>
    <t>Проект соединительной дороги, коридоры ЦАРЭС 1 и 3 (АБР)</t>
  </si>
  <si>
    <t>Проект соединительной дороги, коридоры ЦАРЭС 1 и 3 (АБР) (грант)</t>
  </si>
  <si>
    <t>Проект соединительной дороги, коридоры ЦАРЭС 1 и 3 (АБР) (кредит)</t>
  </si>
  <si>
    <t xml:space="preserve">Проект соединительной дороги, коридоры ЦАРЭС 1 и 3, Фаза 2 – Дополнительное финансирование (АБР) </t>
  </si>
  <si>
    <t xml:space="preserve">Проект соединительной дороги, коридоры ЦАРЭС 1 и 3, Фаза 2 – Дополнительное финансирование (АБР) (грант) </t>
  </si>
  <si>
    <t>Проект соединительной дороги, коридоры ЦАРЭС 1 и 3, Фаза 2 – Дополнительное финансирование (АБР) (кредит)</t>
  </si>
  <si>
    <t>Проект по улучшению Иссык-Кульской кольцевой автодороги (участок Барскоон–Каракол) (АБР)</t>
  </si>
  <si>
    <t>Проект по улучшению Иссык-Кульской кольцевой автодороги (участок Барскоон–Каракол) (АБР) (грант)</t>
  </si>
  <si>
    <t>Проект по улучшению Иссык-Кульской кольцевой автодороги (участок Барскоон–Каракол) (АБР) (кредит)</t>
  </si>
  <si>
    <t>Проект по улучшению Иссык-Кульской кольцевой автодороги (участок Балбай Баатыр–Каракол) (ЕБРР) (план)</t>
  </si>
  <si>
    <t>Проект по улучшению Иссык-Кульской кольцевой автодороги (участок Балбай Баатыр–Каракол) (ЕБРР) (грант) (план)</t>
  </si>
  <si>
    <t xml:space="preserve">Реабилитация автомобильной дороги Арал–Суусамыр (ЕФСР)          </t>
  </si>
  <si>
    <t xml:space="preserve">Реабилитация автомобильной дороги Арал–Суусамыр (ЕФСР)  (кредит)         </t>
  </si>
  <si>
    <t xml:space="preserve">Проект реконструкции моста через реку Урмарал на автодороге Талас–Тараз (JICA) (грант) </t>
  </si>
  <si>
    <t>Проект реконструкция дороги Манас–Ош коридора ЦАРЭС З (автодорога Бишкек–Ош, участок Манас–объездняя дорога Узген–Ош) (Грант) (АБР)</t>
  </si>
  <si>
    <t>Проект реконструкция дороги Манас–Ош коридора ЦАРЭС З (автодорога Бишкек–Ош, участок Манас–объездняя дорога Узген– Ош) (АБР)</t>
  </si>
  <si>
    <t xml:space="preserve">Дополнительное финансирование для проекта «Повышение устойчивости к стихийным бедствиям в Кыргызской Республики»(ВБ) (грант) </t>
  </si>
  <si>
    <t>Дополнительное финансирование для проекта «Повышение устойчивости к стихийным бедствиям в Кыргызской Республики» (ВБ) (кредит)</t>
  </si>
  <si>
    <t>Второе дополнительное финансирование проекта ВБ «Повышение устойчивости к рискам стихийных бедствий в Кыргызской Республики» (ВБ) (кредит) (план)</t>
  </si>
  <si>
    <t>Строительство линии электропередач ВЛ 220 кВ «Тамга–Каракол» и подстанций в Иссык-Кульской области</t>
  </si>
  <si>
    <t xml:space="preserve">В общей сумме внешнее финансирование за счет средств кредитов </t>
  </si>
  <si>
    <t xml:space="preserve">В общей сумме внешнее финансирование за счет средств грантов </t>
  </si>
  <si>
    <t>Реабилитация системы водоснабжения и канализации в г. Манас Фаза-2 (СФА ЕБРР) (грант)</t>
  </si>
  <si>
    <t>Реабилитация системы водоснабжения и канализации в г. Манас Фаза-2 (ЕБРР) (кредит)</t>
  </si>
  <si>
    <t xml:space="preserve">Реабилитация системы водоснабжения и канализации в г. Кара-Суу (ЕБРР) (кредит) </t>
  </si>
  <si>
    <t>Защита от снежных заносов автомобильной дороги Бишкек–Ош  (JICA) (грант)</t>
  </si>
  <si>
    <t xml:space="preserve">Проект регионального экономического развития Баткенской области (ВБ)           (кредит) </t>
  </si>
  <si>
    <t xml:space="preserve">Повышение устойчивости к рискам стихийных бедствий в Кыргызстане (ВБ)           (грант) </t>
  </si>
  <si>
    <t>Развитие сельского водоснабжения и санитарии в Нарынской области (АБР)          (грант)</t>
  </si>
  <si>
    <t xml:space="preserve">Строительство альтернативной автодороги Север–Юг, км 159–183 (СФР)       (кредит) </t>
  </si>
  <si>
    <t>Проект реконструкции моста через реку Урмарал на автодороге Талас–Тараз        (JICA)</t>
  </si>
  <si>
    <t xml:space="preserve">Повышение устойчивости к рискам стихийных бедствий в Кыргызстане (ВБ)        (грант)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</si>
</sst>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_с_о_м_-;\-* #,##0.00\ _с_о_м_-;_-* &quot;-&quot;??\ _с_о_м_-;_-@_-"/>
    <numFmt numFmtId="167" formatCode="_-* #,##0.00_-;\-* #,##0.00_-;_-* &quot;-&quot;??_-;_-@_-"/>
    <numFmt numFmtId="168" formatCode="0.0"/>
    <numFmt numFmtId="169" formatCode="_-* #,##0.00_р_._-;\-* #,##0.00_р_._-;_-* &quot;-&quot;??_р_._-;_-@_-"/>
    <numFmt numFmtId="170" formatCode="_(&quot;$&quot;* #\ ##0.00_);_(&quot;$&quot;* \(#\ ##0.00\);_(&quot;$&quot;* &quot;-&quot;??_);_(@_)"/>
    <numFmt numFmtId="171" formatCode="_(* #\ ##0.00_);_(* \(#\ ##0.00\);_(* &quot;-&quot;??_);_(@_)"/>
    <numFmt numFmtId="172" formatCode="_-* #\ ##0.00\ _с_о_м_-;\-* #\ ##0.00\ _с_о_м_-;_-* &quot;-&quot;??\ _с_о_м_-;_-@_-"/>
    <numFmt numFmtId="173" formatCode="_-* #\ ##0.00_-;\-* #\ ##0.00_-;_-* &quot;-&quot;??_-;_-@_-"/>
    <numFmt numFmtId="174" formatCode="_-* #\ ##0.00_р_._-;\-* #\ ##0.00_р_._-;_-* &quot;-&quot;??_р_._-;_-@_-"/>
    <numFmt numFmtId="175" formatCode="#,##0.0"/>
  </numFmts>
  <fonts count="4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0"/>
      <name val="Arial"/>
      <family val="2"/>
      <charset val="204"/>
    </font>
    <font>
      <b/>
      <sz val="16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i/>
      <sz val="13"/>
      <color theme="1"/>
      <name val="Times New Roman"/>
      <family val="1"/>
      <charset val="204"/>
    </font>
    <font>
      <sz val="13"/>
      <name val="Times New Roman"/>
      <family val="1"/>
      <charset val="204"/>
    </font>
    <font>
      <sz val="14"/>
      <name val="Times New Roman"/>
      <family val="1"/>
      <charset val="204"/>
    </font>
    <font>
      <b/>
      <i/>
      <sz val="13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20"/>
      <name val="Times New Roman"/>
      <family val="1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</font>
    <font>
      <sz val="8"/>
      <name val="Arial"/>
      <family val="2"/>
      <charset val="1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i/>
      <sz val="14"/>
      <color theme="1"/>
      <name val="Times New Roman"/>
      <family val="1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sz val="14"/>
      <color theme="0"/>
      <name val="Times New Roman"/>
      <family val="1"/>
      <charset val="204"/>
    </font>
    <font>
      <b/>
      <sz val="14"/>
      <color theme="0"/>
      <name val="Times New Roman"/>
      <family val="1"/>
      <charset val="204"/>
    </font>
    <font>
      <sz val="12"/>
      <color theme="0"/>
      <name val="Times New Roman"/>
      <family val="1"/>
      <charset val="204"/>
    </font>
    <font>
      <sz val="11"/>
      <color theme="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1"/>
      <color theme="0" tint="-0.34998626667073579"/>
      <name val="Calibri"/>
      <family val="2"/>
      <charset val="1"/>
      <scheme val="minor"/>
    </font>
    <font>
      <sz val="12"/>
      <color theme="1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66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81">
    <xf numFmtId="0" fontId="0" fillId="0" borderId="0"/>
    <xf numFmtId="0" fontId="10" fillId="0" borderId="0"/>
    <xf numFmtId="0" fontId="11" fillId="0" borderId="0"/>
    <xf numFmtId="0" fontId="19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20" fillId="0" borderId="0"/>
    <xf numFmtId="9" fontId="11" fillId="0" borderId="0" applyFont="0" applyFill="0" applyBorder="0" applyAlignment="0" applyProtection="0"/>
    <xf numFmtId="9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21" fillId="0" borderId="0"/>
    <xf numFmtId="49" fontId="22" fillId="0" borderId="0">
      <alignment horizontal="left"/>
      <protection locked="0"/>
    </xf>
    <xf numFmtId="0" fontId="23" fillId="0" borderId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4" fillId="0" borderId="0"/>
    <xf numFmtId="0" fontId="11" fillId="0" borderId="0"/>
    <xf numFmtId="0" fontId="11" fillId="0" borderId="0"/>
    <xf numFmtId="0" fontId="11" fillId="0" borderId="0"/>
    <xf numFmtId="0" fontId="26" fillId="0" borderId="0"/>
    <xf numFmtId="165" fontId="24" fillId="0" borderId="0" applyFont="0" applyFill="0" applyBorder="0" applyAlignment="0" applyProtection="0"/>
    <xf numFmtId="9" fontId="25" fillId="0" borderId="0" applyFont="0" applyFill="0" applyBorder="0" applyAlignment="0" applyProtection="0"/>
    <xf numFmtId="165" fontId="11" fillId="0" borderId="0" applyFont="0" applyFill="0" applyBorder="0" applyAlignment="0" applyProtection="0"/>
    <xf numFmtId="9" fontId="20" fillId="0" borderId="0" applyFont="0" applyFill="0" applyBorder="0" applyAlignment="0" applyProtection="0"/>
    <xf numFmtId="165" fontId="24" fillId="0" borderId="0" applyFont="0" applyFill="0" applyBorder="0" applyAlignment="0" applyProtection="0"/>
    <xf numFmtId="9" fontId="2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9" fontId="25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7" fillId="0" borderId="0"/>
    <xf numFmtId="0" fontId="11" fillId="0" borderId="0"/>
    <xf numFmtId="0" fontId="11" fillId="0" borderId="0"/>
    <xf numFmtId="166" fontId="27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27" fillId="0" borderId="0"/>
    <xf numFmtId="0" fontId="11" fillId="0" borderId="0"/>
    <xf numFmtId="0" fontId="11" fillId="0" borderId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27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27" fillId="0" borderId="0" applyFont="0" applyFill="0" applyBorder="0" applyAlignment="0" applyProtection="0"/>
    <xf numFmtId="169" fontId="2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3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1" fillId="0" borderId="0"/>
    <xf numFmtId="167" fontId="20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66" fontId="2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9" fontId="22" fillId="0" borderId="0">
      <alignment horizontal="left"/>
      <protection locked="0"/>
    </xf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32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11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11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8" fillId="0" borderId="0" applyFont="0" applyFill="0" applyBorder="0" applyAlignment="0" applyProtection="0"/>
    <xf numFmtId="171" fontId="11" fillId="0" borderId="0" applyFont="0" applyFill="0" applyBorder="0" applyAlignment="0" applyProtection="0"/>
    <xf numFmtId="174" fontId="28" fillId="0" borderId="0" applyFont="0" applyFill="0" applyBorder="0" applyAlignment="0" applyProtection="0"/>
    <xf numFmtId="174" fontId="28" fillId="0" borderId="0" applyFont="0" applyFill="0" applyBorder="0" applyAlignment="0" applyProtection="0"/>
    <xf numFmtId="173" fontId="2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4" fontId="28" fillId="0" borderId="0" applyFont="0" applyFill="0" applyBorder="0" applyAlignment="0" applyProtection="0"/>
    <xf numFmtId="171" fontId="11" fillId="0" borderId="0" applyFont="0" applyFill="0" applyBorder="0" applyAlignment="0" applyProtection="0"/>
    <xf numFmtId="174" fontId="28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1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1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7" fillId="0" borderId="0"/>
    <xf numFmtId="9" fontId="2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47">
    <xf numFmtId="0" fontId="0" fillId="0" borderId="0" xfId="0"/>
    <xf numFmtId="168" fontId="9" fillId="2" borderId="0" xfId="1" applyNumberFormat="1" applyFont="1" applyFill="1" applyAlignment="1">
      <alignment horizontal="center" vertical="center"/>
    </xf>
    <xf numFmtId="168" fontId="9" fillId="2" borderId="0" xfId="1" applyNumberFormat="1" applyFont="1" applyFill="1" applyAlignment="1">
      <alignment horizontal="left" vertical="center"/>
    </xf>
    <xf numFmtId="49" fontId="14" fillId="2" borderId="2" xfId="1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3" fontId="16" fillId="2" borderId="1" xfId="1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wrapText="1"/>
    </xf>
    <xf numFmtId="49" fontId="13" fillId="2" borderId="0" xfId="0" applyNumberFormat="1" applyFont="1" applyFill="1" applyAlignment="1">
      <alignment horizontal="center" vertical="center" wrapText="1"/>
    </xf>
    <xf numFmtId="49" fontId="13" fillId="2" borderId="0" xfId="0" applyNumberFormat="1" applyFont="1" applyFill="1" applyAlignment="1">
      <alignment horizontal="left" vertical="center" wrapText="1"/>
    </xf>
    <xf numFmtId="49" fontId="13" fillId="2" borderId="2" xfId="0" applyNumberFormat="1" applyFont="1" applyFill="1" applyBorder="1" applyAlignment="1">
      <alignment horizontal="left" vertical="center"/>
    </xf>
    <xf numFmtId="49" fontId="13" fillId="2" borderId="1" xfId="0" applyNumberFormat="1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49" fontId="13" fillId="2" borderId="2" xfId="1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/>
    </xf>
    <xf numFmtId="1" fontId="16" fillId="2" borderId="2" xfId="0" applyNumberFormat="1" applyFont="1" applyFill="1" applyBorder="1" applyAlignment="1">
      <alignment horizontal="center" vertical="center"/>
    </xf>
    <xf numFmtId="1" fontId="16" fillId="2" borderId="2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 wrapText="1"/>
    </xf>
    <xf numFmtId="49" fontId="14" fillId="4" borderId="2" xfId="0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13" fillId="2" borderId="5" xfId="0" applyFont="1" applyFill="1" applyBorder="1" applyAlignment="1">
      <alignment vertical="center"/>
    </xf>
    <xf numFmtId="0" fontId="13" fillId="2" borderId="6" xfId="0" applyFont="1" applyFill="1" applyBorder="1" applyAlignment="1">
      <alignment vertical="center"/>
    </xf>
    <xf numFmtId="0" fontId="13" fillId="2" borderId="7" xfId="0" applyFont="1" applyFill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49" fontId="9" fillId="3" borderId="2" xfId="1" applyNumberFormat="1" applyFont="1" applyFill="1" applyBorder="1" applyAlignment="1">
      <alignment horizontal="left" vertical="center"/>
    </xf>
    <xf numFmtId="49" fontId="30" fillId="3" borderId="2" xfId="1" applyNumberFormat="1" applyFont="1" applyFill="1" applyBorder="1" applyAlignment="1">
      <alignment horizontal="left" vertical="center" wrapText="1"/>
    </xf>
    <xf numFmtId="49" fontId="8" fillId="2" borderId="2" xfId="1" applyNumberFormat="1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49" fontId="9" fillId="3" borderId="2" xfId="1" applyNumberFormat="1" applyFont="1" applyFill="1" applyBorder="1" applyAlignment="1">
      <alignment horizontal="left" vertical="center" wrapText="1"/>
    </xf>
    <xf numFmtId="49" fontId="17" fillId="2" borderId="2" xfId="1" applyNumberFormat="1" applyFont="1" applyFill="1" applyBorder="1" applyAlignment="1">
      <alignment horizontal="left" vertical="center" wrapText="1"/>
    </xf>
    <xf numFmtId="4" fontId="8" fillId="2" borderId="2" xfId="0" applyNumberFormat="1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wrapText="1"/>
    </xf>
    <xf numFmtId="49" fontId="9" fillId="4" borderId="2" xfId="1" applyNumberFormat="1" applyFont="1" applyFill="1" applyBorder="1" applyAlignment="1">
      <alignment horizontal="left" vertical="center" wrapText="1"/>
    </xf>
    <xf numFmtId="49" fontId="8" fillId="0" borderId="2" xfId="1" applyNumberFormat="1" applyFont="1" applyBorder="1" applyAlignment="1">
      <alignment horizontal="left" vertical="center" wrapText="1"/>
    </xf>
    <xf numFmtId="0" fontId="0" fillId="5" borderId="0" xfId="0" applyFill="1"/>
    <xf numFmtId="1" fontId="13" fillId="2" borderId="2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3" fontId="14" fillId="3" borderId="1" xfId="1" applyNumberFormat="1" applyFont="1" applyFill="1" applyBorder="1" applyAlignment="1">
      <alignment horizontal="center" vertical="center" wrapText="1"/>
    </xf>
    <xf numFmtId="3" fontId="15" fillId="3" borderId="1" xfId="1" applyNumberFormat="1" applyFont="1" applyFill="1" applyBorder="1" applyAlignment="1">
      <alignment horizontal="center" vertical="center" wrapText="1"/>
    </xf>
    <xf numFmtId="3" fontId="13" fillId="2" borderId="1" xfId="1" applyNumberFormat="1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 wrapText="1"/>
    </xf>
    <xf numFmtId="3" fontId="14" fillId="3" borderId="2" xfId="1" applyNumberFormat="1" applyFont="1" applyFill="1" applyBorder="1" applyAlignment="1">
      <alignment horizontal="center" vertical="center" wrapText="1"/>
    </xf>
    <xf numFmtId="3" fontId="15" fillId="3" borderId="2" xfId="1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0" fillId="2" borderId="0" xfId="0" applyFill="1"/>
    <xf numFmtId="0" fontId="12" fillId="2" borderId="0" xfId="0" applyFont="1" applyFill="1" applyAlignment="1">
      <alignment horizontal="center" wrapText="1"/>
    </xf>
    <xf numFmtId="0" fontId="12" fillId="2" borderId="0" xfId="0" applyFont="1" applyFill="1" applyAlignment="1">
      <alignment horizontal="center"/>
    </xf>
    <xf numFmtId="49" fontId="13" fillId="2" borderId="1" xfId="1" applyNumberFormat="1" applyFont="1" applyFill="1" applyBorder="1" applyAlignment="1">
      <alignment horizontal="center" vertical="center" wrapText="1"/>
    </xf>
    <xf numFmtId="49" fontId="8" fillId="4" borderId="2" xfId="1" applyNumberFormat="1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3" fontId="13" fillId="5" borderId="1" xfId="1" applyNumberFormat="1" applyFont="1" applyFill="1" applyBorder="1" applyAlignment="1">
      <alignment horizontal="center" vertical="center" wrapText="1"/>
    </xf>
    <xf numFmtId="1" fontId="13" fillId="5" borderId="1" xfId="0" applyNumberFormat="1" applyFont="1" applyFill="1" applyBorder="1" applyAlignment="1">
      <alignment horizontal="center" vertical="center"/>
    </xf>
    <xf numFmtId="1" fontId="13" fillId="5" borderId="2" xfId="0" applyNumberFormat="1" applyFont="1" applyFill="1" applyBorder="1" applyAlignment="1">
      <alignment horizontal="center" vertical="center"/>
    </xf>
    <xf numFmtId="49" fontId="8" fillId="5" borderId="2" xfId="1" applyNumberFormat="1" applyFont="1" applyFill="1" applyBorder="1" applyAlignment="1">
      <alignment horizontal="left" vertical="center" wrapText="1"/>
    </xf>
    <xf numFmtId="4" fontId="8" fillId="2" borderId="1" xfId="0" applyNumberFormat="1" applyFont="1" applyFill="1" applyBorder="1" applyAlignment="1">
      <alignment horizontal="right" vertical="center"/>
    </xf>
    <xf numFmtId="2" fontId="9" fillId="3" borderId="2" xfId="1" applyNumberFormat="1" applyFont="1" applyFill="1" applyBorder="1" applyAlignment="1">
      <alignment horizontal="left" vertical="center" wrapText="1"/>
    </xf>
    <xf numFmtId="0" fontId="17" fillId="7" borderId="2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wrapText="1"/>
    </xf>
    <xf numFmtId="0" fontId="8" fillId="7" borderId="2" xfId="0" applyFont="1" applyFill="1" applyBorder="1" applyAlignment="1">
      <alignment horizontal="left" vertical="center" wrapText="1"/>
    </xf>
    <xf numFmtId="49" fontId="8" fillId="2" borderId="2" xfId="1" applyNumberFormat="1" applyFont="1" applyFill="1" applyBorder="1" applyAlignment="1">
      <alignment horizontal="center" vertical="center" wrapText="1"/>
    </xf>
    <xf numFmtId="49" fontId="17" fillId="4" borderId="2" xfId="1" applyNumberFormat="1" applyFont="1" applyFill="1" applyBorder="1" applyAlignment="1">
      <alignment horizontal="left" vertical="center" wrapText="1"/>
    </xf>
    <xf numFmtId="49" fontId="8" fillId="8" borderId="2" xfId="1" applyNumberFormat="1" applyFont="1" applyFill="1" applyBorder="1" applyAlignment="1">
      <alignment horizontal="left" vertical="center" wrapText="1"/>
    </xf>
    <xf numFmtId="49" fontId="17" fillId="8" borderId="2" xfId="1" applyNumberFormat="1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/>
    </xf>
    <xf numFmtId="3" fontId="13" fillId="9" borderId="1" xfId="1" applyNumberFormat="1" applyFont="1" applyFill="1" applyBorder="1" applyAlignment="1">
      <alignment horizontal="center" vertical="center" wrapText="1"/>
    </xf>
    <xf numFmtId="1" fontId="13" fillId="9" borderId="1" xfId="0" applyNumberFormat="1" applyFont="1" applyFill="1" applyBorder="1" applyAlignment="1">
      <alignment horizontal="center" vertical="center"/>
    </xf>
    <xf numFmtId="1" fontId="13" fillId="9" borderId="2" xfId="0" applyNumberFormat="1" applyFont="1" applyFill="1" applyBorder="1" applyAlignment="1">
      <alignment horizontal="center" vertical="center"/>
    </xf>
    <xf numFmtId="49" fontId="8" fillId="9" borderId="2" xfId="1" applyNumberFormat="1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49" fontId="8" fillId="4" borderId="1" xfId="1" applyNumberFormat="1" applyFont="1" applyFill="1" applyBorder="1" applyAlignment="1">
      <alignment horizontal="left" vertical="center" wrapText="1"/>
    </xf>
    <xf numFmtId="4" fontId="17" fillId="8" borderId="1" xfId="0" applyNumberFormat="1" applyFont="1" applyFill="1" applyBorder="1" applyAlignment="1">
      <alignment horizontal="left" vertical="center" wrapText="1"/>
    </xf>
    <xf numFmtId="49" fontId="8" fillId="11" borderId="2" xfId="1" applyNumberFormat="1" applyFont="1" applyFill="1" applyBorder="1" applyAlignment="1">
      <alignment horizontal="left" vertical="center" wrapText="1"/>
    </xf>
    <xf numFmtId="49" fontId="8" fillId="2" borderId="6" xfId="1" applyNumberFormat="1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/>
    </xf>
    <xf numFmtId="3" fontId="13" fillId="12" borderId="1" xfId="1" applyNumberFormat="1" applyFont="1" applyFill="1" applyBorder="1" applyAlignment="1">
      <alignment horizontal="center" vertical="center" wrapText="1"/>
    </xf>
    <xf numFmtId="1" fontId="13" fillId="12" borderId="1" xfId="0" applyNumberFormat="1" applyFont="1" applyFill="1" applyBorder="1" applyAlignment="1">
      <alignment horizontal="center" vertical="center"/>
    </xf>
    <xf numFmtId="1" fontId="13" fillId="12" borderId="2" xfId="0" applyNumberFormat="1" applyFont="1" applyFill="1" applyBorder="1" applyAlignment="1">
      <alignment horizontal="center" vertical="center"/>
    </xf>
    <xf numFmtId="49" fontId="8" fillId="12" borderId="2" xfId="1" applyNumberFormat="1" applyFont="1" applyFill="1" applyBorder="1" applyAlignment="1">
      <alignment horizontal="left" vertical="center" wrapText="1"/>
    </xf>
    <xf numFmtId="4" fontId="9" fillId="2" borderId="0" xfId="0" applyNumberFormat="1" applyFont="1" applyFill="1"/>
    <xf numFmtId="4" fontId="9" fillId="2" borderId="0" xfId="1" applyNumberFormat="1" applyFont="1" applyFill="1" applyAlignment="1">
      <alignment horizontal="center" vertical="center"/>
    </xf>
    <xf numFmtId="4" fontId="12" fillId="2" borderId="0" xfId="0" applyNumberFormat="1" applyFont="1" applyFill="1" applyAlignment="1">
      <alignment horizontal="center"/>
    </xf>
    <xf numFmtId="4" fontId="8" fillId="2" borderId="0" xfId="0" applyNumberFormat="1" applyFont="1" applyFill="1"/>
    <xf numFmtId="4" fontId="14" fillId="2" borderId="2" xfId="1" applyNumberFormat="1" applyFont="1" applyFill="1" applyBorder="1" applyAlignment="1">
      <alignment horizontal="center" vertical="center" wrapText="1"/>
    </xf>
    <xf numFmtId="4" fontId="14" fillId="2" borderId="10" xfId="0" applyNumberFormat="1" applyFont="1" applyFill="1" applyBorder="1" applyAlignment="1">
      <alignment horizontal="center" vertical="center"/>
    </xf>
    <xf numFmtId="4" fontId="9" fillId="3" borderId="2" xfId="0" applyNumberFormat="1" applyFont="1" applyFill="1" applyBorder="1" applyAlignment="1">
      <alignment horizontal="right" vertical="center"/>
    </xf>
    <xf numFmtId="4" fontId="9" fillId="3" borderId="1" xfId="0" applyNumberFormat="1" applyFont="1" applyFill="1" applyBorder="1" applyAlignment="1">
      <alignment horizontal="right" vertical="center"/>
    </xf>
    <xf numFmtId="4" fontId="13" fillId="2" borderId="1" xfId="0" applyNumberFormat="1" applyFont="1" applyFill="1" applyBorder="1" applyAlignment="1">
      <alignment horizontal="right" vertical="center"/>
    </xf>
    <xf numFmtId="4" fontId="8" fillId="2" borderId="2" xfId="0" applyNumberFormat="1" applyFont="1" applyFill="1" applyBorder="1" applyAlignment="1">
      <alignment horizontal="right" vertical="center"/>
    </xf>
    <xf numFmtId="4" fontId="9" fillId="4" borderId="1" xfId="0" applyNumberFormat="1" applyFont="1" applyFill="1" applyBorder="1" applyAlignment="1">
      <alignment horizontal="right" vertical="center"/>
    </xf>
    <xf numFmtId="4" fontId="18" fillId="2" borderId="1" xfId="0" applyNumberFormat="1" applyFont="1" applyFill="1" applyBorder="1" applyAlignment="1">
      <alignment horizontal="right" vertical="center"/>
    </xf>
    <xf numFmtId="4" fontId="0" fillId="0" borderId="0" xfId="0" applyNumberFormat="1"/>
    <xf numFmtId="0" fontId="14" fillId="2" borderId="2" xfId="194" applyNumberFormat="1" applyFont="1" applyFill="1" applyBorder="1" applyAlignment="1">
      <alignment vertical="center"/>
    </xf>
    <xf numFmtId="0" fontId="14" fillId="2" borderId="9" xfId="194" applyNumberFormat="1" applyFont="1" applyFill="1" applyBorder="1" applyAlignment="1">
      <alignment vertical="center"/>
    </xf>
    <xf numFmtId="0" fontId="8" fillId="12" borderId="2" xfId="0" applyFont="1" applyFill="1" applyBorder="1" applyAlignment="1">
      <alignment horizontal="left" vertical="center" wrapText="1"/>
    </xf>
    <xf numFmtId="49" fontId="8" fillId="6" borderId="2" xfId="0" applyNumberFormat="1" applyFont="1" applyFill="1" applyBorder="1" applyAlignment="1">
      <alignment horizontal="left" vertical="center" wrapText="1"/>
    </xf>
    <xf numFmtId="0" fontId="33" fillId="0" borderId="0" xfId="0" applyFont="1"/>
    <xf numFmtId="4" fontId="33" fillId="0" borderId="0" xfId="0" applyNumberFormat="1" applyFont="1"/>
    <xf numFmtId="49" fontId="8" fillId="6" borderId="2" xfId="1" applyNumberFormat="1" applyFont="1" applyFill="1" applyBorder="1" applyAlignment="1">
      <alignment horizontal="left" vertical="center" wrapText="1"/>
    </xf>
    <xf numFmtId="4" fontId="33" fillId="12" borderId="0" xfId="0" applyNumberFormat="1" applyFont="1" applyFill="1"/>
    <xf numFmtId="0" fontId="13" fillId="0" borderId="1" xfId="0" applyFont="1" applyFill="1" applyBorder="1" applyAlignment="1">
      <alignment horizontal="center" vertical="center"/>
    </xf>
    <xf numFmtId="3" fontId="13" fillId="0" borderId="1" xfId="1" applyNumberFormat="1" applyFont="1" applyFill="1" applyBorder="1" applyAlignment="1">
      <alignment horizontal="center" vertical="center" wrapText="1"/>
    </xf>
    <xf numFmtId="1" fontId="13" fillId="0" borderId="1" xfId="0" applyNumberFormat="1" applyFont="1" applyFill="1" applyBorder="1" applyAlignment="1">
      <alignment horizontal="center" vertical="center"/>
    </xf>
    <xf numFmtId="1" fontId="13" fillId="0" borderId="2" xfId="0" applyNumberFormat="1" applyFont="1" applyFill="1" applyBorder="1" applyAlignment="1">
      <alignment horizontal="center" vertical="center"/>
    </xf>
    <xf numFmtId="49" fontId="8" fillId="0" borderId="2" xfId="1" applyNumberFormat="1" applyFont="1" applyFill="1" applyBorder="1" applyAlignment="1">
      <alignment horizontal="left" vertical="center" wrapText="1"/>
    </xf>
    <xf numFmtId="4" fontId="8" fillId="0" borderId="1" xfId="0" applyNumberFormat="1" applyFont="1" applyFill="1" applyBorder="1" applyAlignment="1">
      <alignment horizontal="right" vertical="center"/>
    </xf>
    <xf numFmtId="4" fontId="33" fillId="0" borderId="0" xfId="0" applyNumberFormat="1" applyFont="1" applyFill="1"/>
    <xf numFmtId="0" fontId="0" fillId="0" borderId="0" xfId="0" applyFill="1"/>
    <xf numFmtId="1" fontId="13" fillId="12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Fill="1" applyBorder="1" applyAlignment="1">
      <alignment horizontal="center" vertical="center" wrapText="1"/>
    </xf>
    <xf numFmtId="1" fontId="13" fillId="12" borderId="1" xfId="0" applyNumberFormat="1" applyFont="1" applyFill="1" applyBorder="1" applyAlignment="1">
      <alignment horizontal="center" vertical="center" wrapText="1"/>
    </xf>
    <xf numFmtId="49" fontId="8" fillId="12" borderId="2" xfId="0" applyNumberFormat="1" applyFont="1" applyFill="1" applyBorder="1" applyAlignment="1">
      <alignment horizontal="left" vertical="center" wrapText="1"/>
    </xf>
    <xf numFmtId="49" fontId="8" fillId="12" borderId="2" xfId="1" applyNumberFormat="1" applyFont="1" applyFill="1" applyBorder="1" applyAlignment="1">
      <alignment horizontal="center" vertical="center" wrapText="1"/>
    </xf>
    <xf numFmtId="49" fontId="8" fillId="12" borderId="2" xfId="0" applyNumberFormat="1" applyFont="1" applyFill="1" applyBorder="1" applyAlignment="1">
      <alignment horizontal="center" vertical="center" wrapText="1"/>
    </xf>
    <xf numFmtId="49" fontId="8" fillId="12" borderId="13" xfId="1" applyNumberFormat="1" applyFont="1" applyFill="1" applyBorder="1" applyAlignment="1">
      <alignment horizontal="center" vertical="center" wrapText="1"/>
    </xf>
    <xf numFmtId="49" fontId="8" fillId="2" borderId="13" xfId="1" applyNumberFormat="1" applyFont="1" applyFill="1" applyBorder="1" applyAlignment="1">
      <alignment horizontal="center" vertical="center" wrapText="1"/>
    </xf>
    <xf numFmtId="49" fontId="8" fillId="12" borderId="6" xfId="1" applyNumberFormat="1" applyFont="1" applyFill="1" applyBorder="1" applyAlignment="1">
      <alignment horizontal="center" vertical="center" wrapText="1"/>
    </xf>
    <xf numFmtId="49" fontId="8" fillId="6" borderId="2" xfId="1" applyNumberFormat="1" applyFont="1" applyFill="1" applyBorder="1" applyAlignment="1">
      <alignment horizontal="center" vertical="center" wrapText="1"/>
    </xf>
    <xf numFmtId="49" fontId="17" fillId="12" borderId="2" xfId="1" applyNumberFormat="1" applyFont="1" applyFill="1" applyBorder="1" applyAlignment="1">
      <alignment horizontal="center" vertical="center" wrapText="1"/>
    </xf>
    <xf numFmtId="4" fontId="17" fillId="12" borderId="1" xfId="0" applyNumberFormat="1" applyFont="1" applyFill="1" applyBorder="1" applyAlignment="1">
      <alignment horizontal="center" vertical="center" wrapText="1"/>
    </xf>
    <xf numFmtId="4" fontId="8" fillId="0" borderId="1" xfId="194" applyNumberFormat="1" applyFont="1" applyFill="1" applyBorder="1" applyAlignment="1">
      <alignment horizontal="right" vertical="center"/>
    </xf>
    <xf numFmtId="1" fontId="13" fillId="0" borderId="1" xfId="0" applyNumberFormat="1" applyFont="1" applyFill="1" applyBorder="1" applyAlignment="1">
      <alignment horizontal="center" vertical="center" wrapText="1"/>
    </xf>
    <xf numFmtId="4" fontId="8" fillId="0" borderId="2" xfId="0" applyNumberFormat="1" applyFont="1" applyFill="1" applyBorder="1" applyAlignment="1">
      <alignment horizontal="right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left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49" fontId="8" fillId="0" borderId="2" xfId="1" applyNumberFormat="1" applyFont="1" applyFill="1" applyBorder="1" applyAlignment="1">
      <alignment horizontal="center" vertical="center" wrapText="1"/>
    </xf>
    <xf numFmtId="0" fontId="33" fillId="0" borderId="0" xfId="0" applyFont="1" applyFill="1"/>
    <xf numFmtId="4" fontId="17" fillId="0" borderId="2" xfId="0" applyNumberFormat="1" applyFont="1" applyFill="1" applyBorder="1" applyAlignment="1">
      <alignment horizontal="center" vertical="center" wrapText="1"/>
    </xf>
    <xf numFmtId="4" fontId="17" fillId="6" borderId="2" xfId="0" applyNumberFormat="1" applyFont="1" applyFill="1" applyBorder="1" applyAlignment="1">
      <alignment horizontal="left" vertical="center" wrapText="1"/>
    </xf>
    <xf numFmtId="0" fontId="34" fillId="0" borderId="14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49" fontId="8" fillId="2" borderId="12" xfId="1" applyNumberFormat="1" applyFont="1" applyFill="1" applyBorder="1" applyAlignment="1">
      <alignment horizontal="center" vertical="center" wrapText="1"/>
    </xf>
    <xf numFmtId="49" fontId="8" fillId="12" borderId="11" xfId="1" applyNumberFormat="1" applyFont="1" applyFill="1" applyBorder="1" applyAlignment="1">
      <alignment horizontal="center" vertical="center" wrapText="1"/>
    </xf>
    <xf numFmtId="49" fontId="8" fillId="0" borderId="6" xfId="1" applyNumberFormat="1" applyFont="1" applyFill="1" applyBorder="1" applyAlignment="1">
      <alignment horizontal="center" vertical="center" wrapText="1"/>
    </xf>
    <xf numFmtId="49" fontId="30" fillId="0" borderId="13" xfId="1" applyNumberFormat="1" applyFont="1" applyFill="1" applyBorder="1" applyAlignment="1">
      <alignment horizontal="left" vertical="center" wrapText="1"/>
    </xf>
    <xf numFmtId="49" fontId="8" fillId="13" borderId="2" xfId="1" applyNumberFormat="1" applyFont="1" applyFill="1" applyBorder="1" applyAlignment="1">
      <alignment horizontal="left" vertical="center" wrapText="1"/>
    </xf>
    <xf numFmtId="49" fontId="8" fillId="12" borderId="11" xfId="1" applyNumberFormat="1" applyFont="1" applyFill="1" applyBorder="1" applyAlignment="1">
      <alignment horizontal="center" vertical="center" wrapText="1"/>
    </xf>
    <xf numFmtId="49" fontId="8" fillId="2" borderId="12" xfId="1" applyNumberFormat="1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/>
    </xf>
    <xf numFmtId="3" fontId="13" fillId="13" borderId="1" xfId="1" applyNumberFormat="1" applyFont="1" applyFill="1" applyBorder="1" applyAlignment="1">
      <alignment horizontal="center" vertical="center" wrapText="1"/>
    </xf>
    <xf numFmtId="1" fontId="13" fillId="13" borderId="1" xfId="0" applyNumberFormat="1" applyFont="1" applyFill="1" applyBorder="1" applyAlignment="1">
      <alignment horizontal="center" vertical="center"/>
    </xf>
    <xf numFmtId="1" fontId="13" fillId="13" borderId="2" xfId="0" applyNumberFormat="1" applyFont="1" applyFill="1" applyBorder="1" applyAlignment="1">
      <alignment horizontal="center" vertical="center"/>
    </xf>
    <xf numFmtId="4" fontId="8" fillId="13" borderId="2" xfId="0" applyNumberFormat="1" applyFont="1" applyFill="1" applyBorder="1" applyAlignment="1">
      <alignment horizontal="left" vertical="center" wrapText="1"/>
    </xf>
    <xf numFmtId="175" fontId="8" fillId="2" borderId="1" xfId="0" applyNumberFormat="1" applyFont="1" applyFill="1" applyBorder="1" applyAlignment="1">
      <alignment horizontal="right" vertical="center"/>
    </xf>
    <xf numFmtId="0" fontId="13" fillId="14" borderId="1" xfId="0" applyFont="1" applyFill="1" applyBorder="1" applyAlignment="1">
      <alignment horizontal="center" vertical="center"/>
    </xf>
    <xf numFmtId="3" fontId="13" fillId="14" borderId="1" xfId="1" applyNumberFormat="1" applyFont="1" applyFill="1" applyBorder="1" applyAlignment="1">
      <alignment horizontal="center" vertical="center" wrapText="1"/>
    </xf>
    <xf numFmtId="1" fontId="13" fillId="14" borderId="1" xfId="0" applyNumberFormat="1" applyFont="1" applyFill="1" applyBorder="1" applyAlignment="1">
      <alignment horizontal="center" vertical="center" wrapText="1"/>
    </xf>
    <xf numFmtId="1" fontId="13" fillId="14" borderId="2" xfId="0" applyNumberFormat="1" applyFont="1" applyFill="1" applyBorder="1" applyAlignment="1">
      <alignment horizontal="center" vertical="center"/>
    </xf>
    <xf numFmtId="49" fontId="8" fillId="14" borderId="2" xfId="1" applyNumberFormat="1" applyFont="1" applyFill="1" applyBorder="1" applyAlignment="1">
      <alignment horizontal="left" vertical="center" wrapText="1"/>
    </xf>
    <xf numFmtId="49" fontId="8" fillId="2" borderId="10" xfId="1" applyNumberFormat="1" applyFont="1" applyFill="1" applyBorder="1" applyAlignment="1">
      <alignment horizontal="center" vertical="center" wrapText="1"/>
    </xf>
    <xf numFmtId="49" fontId="8" fillId="2" borderId="11" xfId="1" applyNumberFormat="1" applyFont="1" applyFill="1" applyBorder="1" applyAlignment="1">
      <alignment horizontal="center" vertical="center" wrapText="1"/>
    </xf>
    <xf numFmtId="49" fontId="8" fillId="2" borderId="12" xfId="1" applyNumberFormat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49" fontId="8" fillId="12" borderId="10" xfId="1" applyNumberFormat="1" applyFont="1" applyFill="1" applyBorder="1" applyAlignment="1">
      <alignment horizontal="center" vertical="center" wrapText="1"/>
    </xf>
    <xf numFmtId="49" fontId="8" fillId="12" borderId="11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Fill="1" applyBorder="1" applyAlignment="1">
      <alignment horizontal="center" vertical="center" wrapText="1"/>
    </xf>
    <xf numFmtId="49" fontId="8" fillId="0" borderId="11" xfId="1" applyNumberFormat="1" applyFont="1" applyFill="1" applyBorder="1" applyAlignment="1">
      <alignment horizontal="center" vertical="center" wrapText="1"/>
    </xf>
    <xf numFmtId="9" fontId="9" fillId="4" borderId="2" xfId="697" applyFont="1" applyFill="1" applyBorder="1" applyAlignment="1">
      <alignment horizontal="right" vertical="center" wrapText="1"/>
    </xf>
    <xf numFmtId="4" fontId="35" fillId="2" borderId="0" xfId="0" applyNumberFormat="1" applyFont="1" applyFill="1"/>
    <xf numFmtId="4" fontId="0" fillId="6" borderId="0" xfId="0" applyNumberFormat="1" applyFill="1"/>
    <xf numFmtId="0" fontId="37" fillId="2" borderId="0" xfId="0" applyFont="1" applyFill="1" applyAlignment="1">
      <alignment horizontal="center" vertical="center"/>
    </xf>
    <xf numFmtId="168" fontId="38" fillId="2" borderId="0" xfId="1" applyNumberFormat="1" applyFont="1" applyFill="1" applyAlignment="1">
      <alignment horizontal="center" vertical="center"/>
    </xf>
    <xf numFmtId="168" fontId="38" fillId="2" borderId="0" xfId="1" applyNumberFormat="1" applyFont="1" applyFill="1" applyBorder="1" applyAlignment="1">
      <alignment horizontal="left" vertical="center"/>
    </xf>
    <xf numFmtId="0" fontId="39" fillId="0" borderId="0" xfId="0" applyFont="1" applyBorder="1" applyAlignment="1">
      <alignment horizontal="center" vertical="center" wrapText="1"/>
    </xf>
    <xf numFmtId="0" fontId="40" fillId="0" borderId="0" xfId="0" applyFont="1" applyBorder="1"/>
    <xf numFmtId="49" fontId="14" fillId="2" borderId="1" xfId="1" applyNumberFormat="1" applyFont="1" applyFill="1" applyBorder="1" applyAlignment="1">
      <alignment horizontal="center" vertical="center" wrapText="1"/>
    </xf>
    <xf numFmtId="9" fontId="13" fillId="2" borderId="0" xfId="0" applyNumberFormat="1" applyFont="1" applyFill="1" applyAlignment="1">
      <alignment horizontal="right"/>
    </xf>
    <xf numFmtId="0" fontId="41" fillId="2" borderId="0" xfId="0" applyFont="1" applyFill="1"/>
    <xf numFmtId="4" fontId="41" fillId="2" borderId="0" xfId="0" applyNumberFormat="1" applyFont="1" applyFill="1"/>
    <xf numFmtId="0" fontId="13" fillId="2" borderId="0" xfId="0" applyFont="1" applyFill="1" applyBorder="1" applyAlignment="1">
      <alignment vertical="center"/>
    </xf>
    <xf numFmtId="49" fontId="13" fillId="2" borderId="0" xfId="0" applyNumberFormat="1" applyFont="1" applyFill="1" applyBorder="1" applyAlignment="1">
      <alignment horizontal="left" vertical="center"/>
    </xf>
    <xf numFmtId="4" fontId="18" fillId="2" borderId="0" xfId="0" applyNumberFormat="1" applyFont="1" applyFill="1" applyBorder="1" applyAlignment="1">
      <alignment horizontal="right" vertical="center"/>
    </xf>
    <xf numFmtId="4" fontId="17" fillId="2" borderId="0" xfId="0" applyNumberFormat="1" applyFont="1" applyFill="1" applyBorder="1" applyAlignment="1">
      <alignment horizontal="right" vertical="center"/>
    </xf>
    <xf numFmtId="4" fontId="42" fillId="2" borderId="0" xfId="0" applyNumberFormat="1" applyFont="1" applyFill="1"/>
    <xf numFmtId="49" fontId="14" fillId="3" borderId="2" xfId="1" applyNumberFormat="1" applyFont="1" applyFill="1" applyBorder="1" applyAlignment="1">
      <alignment horizontal="left" vertical="center"/>
    </xf>
    <xf numFmtId="49" fontId="15" fillId="3" borderId="2" xfId="1" applyNumberFormat="1" applyFont="1" applyFill="1" applyBorder="1" applyAlignment="1">
      <alignment horizontal="left" vertical="center" wrapText="1"/>
    </xf>
    <xf numFmtId="49" fontId="13" fillId="2" borderId="2" xfId="1" applyNumberFormat="1" applyFont="1" applyFill="1" applyBorder="1" applyAlignment="1">
      <alignment horizontal="left" vertical="center" wrapText="1"/>
    </xf>
    <xf numFmtId="49" fontId="16" fillId="2" borderId="2" xfId="1" applyNumberFormat="1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49" fontId="13" fillId="2" borderId="2" xfId="0" applyNumberFormat="1" applyFont="1" applyFill="1" applyBorder="1" applyAlignment="1">
      <alignment horizontal="left" vertical="center" wrapText="1"/>
    </xf>
    <xf numFmtId="4" fontId="16" fillId="2" borderId="1" xfId="0" applyNumberFormat="1" applyFont="1" applyFill="1" applyBorder="1" applyAlignment="1">
      <alignment horizontal="left" vertical="center" wrapText="1"/>
    </xf>
    <xf numFmtId="4" fontId="16" fillId="2" borderId="2" xfId="0" applyNumberFormat="1" applyFont="1" applyFill="1" applyBorder="1" applyAlignment="1">
      <alignment horizontal="left" vertical="center" wrapText="1"/>
    </xf>
    <xf numFmtId="4" fontId="13" fillId="2" borderId="2" xfId="0" applyNumberFormat="1" applyFont="1" applyFill="1" applyBorder="1" applyAlignment="1">
      <alignment horizontal="left" vertical="center" wrapText="1"/>
    </xf>
    <xf numFmtId="49" fontId="14" fillId="3" borderId="2" xfId="1" applyNumberFormat="1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wrapText="1"/>
    </xf>
    <xf numFmtId="2" fontId="14" fillId="3" borderId="2" xfId="1" applyNumberFormat="1" applyFont="1" applyFill="1" applyBorder="1" applyAlignment="1">
      <alignment horizontal="left" vertical="center" wrapText="1"/>
    </xf>
    <xf numFmtId="49" fontId="14" fillId="4" borderId="2" xfId="1" applyNumberFormat="1" applyFont="1" applyFill="1" applyBorder="1" applyAlignment="1">
      <alignment horizontal="left" vertical="center" wrapText="1"/>
    </xf>
    <xf numFmtId="0" fontId="36" fillId="2" borderId="0" xfId="0" applyFont="1" applyFill="1" applyAlignment="1">
      <alignment wrapText="1"/>
    </xf>
    <xf numFmtId="4" fontId="0" fillId="0" borderId="0" xfId="0" applyNumberFormat="1"/>
    <xf numFmtId="0" fontId="0" fillId="0" borderId="0" xfId="0"/>
    <xf numFmtId="4" fontId="14" fillId="2" borderId="1" xfId="1" applyNumberFormat="1" applyFont="1" applyFill="1" applyBorder="1" applyAlignment="1">
      <alignment horizontal="center" vertical="center" wrapText="1"/>
    </xf>
    <xf numFmtId="4" fontId="14" fillId="2" borderId="1" xfId="0" applyNumberFormat="1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left" vertical="center" wrapText="1"/>
    </xf>
    <xf numFmtId="175" fontId="13" fillId="2" borderId="0" xfId="0" applyNumberFormat="1" applyFont="1" applyFill="1" applyAlignment="1">
      <alignment wrapText="1"/>
    </xf>
    <xf numFmtId="175" fontId="14" fillId="3" borderId="2" xfId="0" applyNumberFormat="1" applyFont="1" applyFill="1" applyBorder="1" applyAlignment="1">
      <alignment horizontal="center" vertical="center"/>
    </xf>
    <xf numFmtId="175" fontId="14" fillId="3" borderId="1" xfId="0" applyNumberFormat="1" applyFont="1" applyFill="1" applyBorder="1" applyAlignment="1">
      <alignment horizontal="center" vertical="center"/>
    </xf>
    <xf numFmtId="175" fontId="13" fillId="2" borderId="1" xfId="0" applyNumberFormat="1" applyFont="1" applyFill="1" applyBorder="1" applyAlignment="1">
      <alignment horizontal="center" vertical="center"/>
    </xf>
    <xf numFmtId="175" fontId="13" fillId="2" borderId="2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14" fillId="3" borderId="2" xfId="0" applyNumberFormat="1" applyFont="1" applyFill="1" applyBorder="1" applyAlignment="1">
      <alignment horizontal="center" vertical="center"/>
    </xf>
    <xf numFmtId="4" fontId="14" fillId="3" borderId="1" xfId="0" applyNumberFormat="1" applyFont="1" applyFill="1" applyBorder="1" applyAlignment="1">
      <alignment horizontal="center" vertical="center"/>
    </xf>
    <xf numFmtId="4" fontId="13" fillId="2" borderId="1" xfId="0" applyNumberFormat="1" applyFont="1" applyFill="1" applyBorder="1" applyAlignment="1">
      <alignment horizontal="center" vertical="center"/>
    </xf>
    <xf numFmtId="4" fontId="13" fillId="2" borderId="2" xfId="0" applyNumberFormat="1" applyFont="1" applyFill="1" applyBorder="1" applyAlignment="1">
      <alignment horizontal="center" vertical="center"/>
    </xf>
    <xf numFmtId="175" fontId="14" fillId="4" borderId="1" xfId="0" applyNumberFormat="1" applyFont="1" applyFill="1" applyBorder="1" applyAlignment="1">
      <alignment horizontal="center" vertical="center" wrapText="1"/>
    </xf>
    <xf numFmtId="175" fontId="18" fillId="2" borderId="1" xfId="0" applyNumberFormat="1" applyFont="1" applyFill="1" applyBorder="1" applyAlignment="1">
      <alignment horizontal="center" vertical="center" wrapText="1"/>
    </xf>
    <xf numFmtId="175" fontId="14" fillId="2" borderId="1" xfId="0" applyNumberFormat="1" applyFont="1" applyFill="1" applyBorder="1" applyAlignment="1">
      <alignment horizontal="center" vertical="center" wrapText="1"/>
    </xf>
    <xf numFmtId="49" fontId="8" fillId="2" borderId="10" xfId="1" applyNumberFormat="1" applyFont="1" applyFill="1" applyBorder="1" applyAlignment="1">
      <alignment horizontal="center" vertical="center" wrapText="1"/>
    </xf>
    <xf numFmtId="49" fontId="8" fillId="2" borderId="12" xfId="1" applyNumberFormat="1" applyFont="1" applyFill="1" applyBorder="1" applyAlignment="1">
      <alignment horizontal="center" vertical="center" wrapText="1"/>
    </xf>
    <xf numFmtId="49" fontId="8" fillId="2" borderId="11" xfId="1" applyNumberFormat="1" applyFont="1" applyFill="1" applyBorder="1" applyAlignment="1">
      <alignment horizontal="center" vertical="center" wrapText="1"/>
    </xf>
    <xf numFmtId="49" fontId="8" fillId="12" borderId="10" xfId="1" applyNumberFormat="1" applyFont="1" applyFill="1" applyBorder="1" applyAlignment="1">
      <alignment horizontal="center" vertical="center" wrapText="1"/>
    </xf>
    <xf numFmtId="49" fontId="8" fillId="12" borderId="11" xfId="1" applyNumberFormat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49" fontId="8" fillId="0" borderId="10" xfId="1" applyNumberFormat="1" applyFont="1" applyFill="1" applyBorder="1" applyAlignment="1">
      <alignment horizontal="center" vertical="center" wrapText="1"/>
    </xf>
    <xf numFmtId="49" fontId="8" fillId="0" borderId="11" xfId="1" applyNumberFormat="1" applyFont="1" applyFill="1" applyBorder="1" applyAlignment="1">
      <alignment horizontal="center" vertical="center" wrapText="1"/>
    </xf>
    <xf numFmtId="175" fontId="43" fillId="2" borderId="0" xfId="0" applyNumberFormat="1" applyFont="1" applyFill="1" applyAlignment="1">
      <alignment horizontal="left" wrapText="1"/>
    </xf>
    <xf numFmtId="49" fontId="13" fillId="2" borderId="2" xfId="1" applyNumberFormat="1" applyFont="1" applyFill="1" applyBorder="1" applyAlignment="1">
      <alignment horizontal="center" vertical="center" wrapText="1"/>
    </xf>
    <xf numFmtId="49" fontId="13" fillId="2" borderId="9" xfId="1" applyNumberFormat="1" applyFont="1" applyFill="1" applyBorder="1" applyAlignment="1">
      <alignment horizontal="center" vertical="center" wrapText="1"/>
    </xf>
    <xf numFmtId="49" fontId="13" fillId="2" borderId="16" xfId="1" applyNumberFormat="1" applyFont="1" applyFill="1" applyBorder="1" applyAlignment="1">
      <alignment horizontal="center" vertical="center" wrapText="1"/>
    </xf>
    <xf numFmtId="0" fontId="36" fillId="2" borderId="0" xfId="0" applyFont="1" applyFill="1" applyAlignment="1">
      <alignment horizont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194" applyNumberFormat="1" applyFont="1" applyFill="1" applyBorder="1" applyAlignment="1">
      <alignment horizontal="center" vertical="center"/>
    </xf>
    <xf numFmtId="0" fontId="14" fillId="2" borderId="9" xfId="194" applyNumberFormat="1" applyFont="1" applyFill="1" applyBorder="1" applyAlignment="1">
      <alignment horizontal="center" vertical="center"/>
    </xf>
    <xf numFmtId="0" fontId="14" fillId="2" borderId="16" xfId="194" applyNumberFormat="1" applyFont="1" applyFill="1" applyBorder="1" applyAlignment="1">
      <alignment horizontal="center" vertical="center"/>
    </xf>
  </cellXfs>
  <cellStyles count="1181">
    <cellStyle name="Normal_Sheet1" xfId="1"/>
    <cellStyle name="Unprotected Titles" xfId="20"/>
    <cellStyle name="Unprotected Titles 2" xfId="354"/>
    <cellStyle name="Денежный 2" xfId="4"/>
    <cellStyle name="Денежный 2 2" xfId="5"/>
    <cellStyle name="Денежный 2 2 2" xfId="356"/>
    <cellStyle name="Денежный 2 3" xfId="64"/>
    <cellStyle name="Денежный 2 3 2" xfId="357"/>
    <cellStyle name="Денежный 2 4" xfId="355"/>
    <cellStyle name="Обычный" xfId="0" builtinId="0"/>
    <cellStyle name="Обычный 10" xfId="65"/>
    <cellStyle name="Обычный 10 2" xfId="66"/>
    <cellStyle name="Обычный 10 2 2" xfId="359"/>
    <cellStyle name="Обычный 10 3" xfId="358"/>
    <cellStyle name="Обычный 11" xfId="67"/>
    <cellStyle name="Обычный 11 2" xfId="68"/>
    <cellStyle name="Обычный 11 2 2" xfId="361"/>
    <cellStyle name="Обычный 11 3" xfId="360"/>
    <cellStyle name="Обычный 12" xfId="69"/>
    <cellStyle name="Обычный 12 2" xfId="70"/>
    <cellStyle name="Обычный 12 2 2" xfId="71"/>
    <cellStyle name="Обычный 12 2 2 2" xfId="147"/>
    <cellStyle name="Обычный 12 2 2 2 2" xfId="235"/>
    <cellStyle name="Обычный 12 2 2 2 2 2" xfId="657"/>
    <cellStyle name="Обычный 12 2 2 2 2 2 2" xfId="1143"/>
    <cellStyle name="Обычный 12 2 2 2 2 3" xfId="365"/>
    <cellStyle name="Обычный 12 2 2 2 2 3 2" xfId="938"/>
    <cellStyle name="Обычный 12 2 2 2 2 4" xfId="817"/>
    <cellStyle name="Обычный 12 2 2 2 3" xfId="579"/>
    <cellStyle name="Обычный 12 2 2 2 3 2" xfId="1067"/>
    <cellStyle name="Обычный 12 2 2 2 4" xfId="314"/>
    <cellStyle name="Обычный 12 2 2 2 4 2" xfId="895"/>
    <cellStyle name="Обычный 12 2 2 2 5" xfId="739"/>
    <cellStyle name="Обычный 12 2 2 3" xfId="197"/>
    <cellStyle name="Обычный 12 2 2 3 2" xfId="619"/>
    <cellStyle name="Обычный 12 2 2 3 2 2" xfId="1106"/>
    <cellStyle name="Обычный 12 2 2 3 3" xfId="364"/>
    <cellStyle name="Обычный 12 2 2 3 3 2" xfId="937"/>
    <cellStyle name="Обычный 12 2 2 3 4" xfId="780"/>
    <cellStyle name="Обычный 12 2 2 4" xfId="541"/>
    <cellStyle name="Обычный 12 2 2 4 2" xfId="1030"/>
    <cellStyle name="Обычный 12 2 2 5" xfId="277"/>
    <cellStyle name="Обычный 12 2 2 5 2" xfId="858"/>
    <cellStyle name="Обычный 12 2 2 6" xfId="702"/>
    <cellStyle name="Обычный 12 2 3" xfId="146"/>
    <cellStyle name="Обычный 12 2 3 2" xfId="234"/>
    <cellStyle name="Обычный 12 2 3 2 2" xfId="656"/>
    <cellStyle name="Обычный 12 2 3 2 2 2" xfId="1142"/>
    <cellStyle name="Обычный 12 2 3 2 3" xfId="366"/>
    <cellStyle name="Обычный 12 2 3 2 3 2" xfId="939"/>
    <cellStyle name="Обычный 12 2 3 2 4" xfId="816"/>
    <cellStyle name="Обычный 12 2 3 3" xfId="578"/>
    <cellStyle name="Обычный 12 2 3 3 2" xfId="1066"/>
    <cellStyle name="Обычный 12 2 3 4" xfId="313"/>
    <cellStyle name="Обычный 12 2 3 4 2" xfId="894"/>
    <cellStyle name="Обычный 12 2 3 5" xfId="738"/>
    <cellStyle name="Обычный 12 2 4" xfId="196"/>
    <cellStyle name="Обычный 12 2 4 2" xfId="618"/>
    <cellStyle name="Обычный 12 2 4 2 2" xfId="1105"/>
    <cellStyle name="Обычный 12 2 4 3" xfId="363"/>
    <cellStyle name="Обычный 12 2 4 3 2" xfId="936"/>
    <cellStyle name="Обычный 12 2 4 4" xfId="779"/>
    <cellStyle name="Обычный 12 2 5" xfId="540"/>
    <cellStyle name="Обычный 12 2 5 2" xfId="1029"/>
    <cellStyle name="Обычный 12 2 6" xfId="276"/>
    <cellStyle name="Обычный 12 2 6 2" xfId="857"/>
    <cellStyle name="Обычный 12 2 7" xfId="701"/>
    <cellStyle name="Обычный 12 3" xfId="72"/>
    <cellStyle name="Обычный 12 3 2" xfId="148"/>
    <cellStyle name="Обычный 12 3 2 2" xfId="236"/>
    <cellStyle name="Обычный 12 3 2 2 2" xfId="658"/>
    <cellStyle name="Обычный 12 3 2 2 2 2" xfId="1144"/>
    <cellStyle name="Обычный 12 3 2 2 3" xfId="368"/>
    <cellStyle name="Обычный 12 3 2 2 3 2" xfId="941"/>
    <cellStyle name="Обычный 12 3 2 2 4" xfId="818"/>
    <cellStyle name="Обычный 12 3 2 3" xfId="580"/>
    <cellStyle name="Обычный 12 3 2 3 2" xfId="1068"/>
    <cellStyle name="Обычный 12 3 2 4" xfId="315"/>
    <cellStyle name="Обычный 12 3 2 4 2" xfId="896"/>
    <cellStyle name="Обычный 12 3 2 5" xfId="740"/>
    <cellStyle name="Обычный 12 3 3" xfId="198"/>
    <cellStyle name="Обычный 12 3 3 2" xfId="620"/>
    <cellStyle name="Обычный 12 3 3 2 2" xfId="1107"/>
    <cellStyle name="Обычный 12 3 3 3" xfId="367"/>
    <cellStyle name="Обычный 12 3 3 3 2" xfId="940"/>
    <cellStyle name="Обычный 12 3 3 4" xfId="781"/>
    <cellStyle name="Обычный 12 3 4" xfId="542"/>
    <cellStyle name="Обычный 12 3 4 2" xfId="1031"/>
    <cellStyle name="Обычный 12 3 5" xfId="278"/>
    <cellStyle name="Обычный 12 3 5 2" xfId="859"/>
    <cellStyle name="Обычный 12 3 6" xfId="703"/>
    <cellStyle name="Обычный 12 4" xfId="145"/>
    <cellStyle name="Обычный 12 4 2" xfId="233"/>
    <cellStyle name="Обычный 12 4 2 2" xfId="655"/>
    <cellStyle name="Обычный 12 4 2 2 2" xfId="1141"/>
    <cellStyle name="Обычный 12 4 2 3" xfId="369"/>
    <cellStyle name="Обычный 12 4 2 3 2" xfId="942"/>
    <cellStyle name="Обычный 12 4 2 4" xfId="815"/>
    <cellStyle name="Обычный 12 4 3" xfId="577"/>
    <cellStyle name="Обычный 12 4 3 2" xfId="1065"/>
    <cellStyle name="Обычный 12 4 4" xfId="312"/>
    <cellStyle name="Обычный 12 4 4 2" xfId="893"/>
    <cellStyle name="Обычный 12 4 5" xfId="737"/>
    <cellStyle name="Обычный 12 5" xfId="195"/>
    <cellStyle name="Обычный 12 5 2" xfId="617"/>
    <cellStyle name="Обычный 12 5 2 2" xfId="1104"/>
    <cellStyle name="Обычный 12 5 3" xfId="362"/>
    <cellStyle name="Обычный 12 5 3 2" xfId="935"/>
    <cellStyle name="Обычный 12 5 4" xfId="778"/>
    <cellStyle name="Обычный 12 6" xfId="539"/>
    <cellStyle name="Обычный 12 6 2" xfId="1028"/>
    <cellStyle name="Обычный 12 7" xfId="275"/>
    <cellStyle name="Обычный 12 7 2" xfId="856"/>
    <cellStyle name="Обычный 12 8" xfId="700"/>
    <cellStyle name="Обычный 13" xfId="73"/>
    <cellStyle name="Обычный 13 2" xfId="74"/>
    <cellStyle name="Обычный 13 2 2" xfId="371"/>
    <cellStyle name="Обычный 13 3" xfId="370"/>
    <cellStyle name="Обычный 14" xfId="75"/>
    <cellStyle name="Обычный 14 2" xfId="76"/>
    <cellStyle name="Обычный 14 2 2" xfId="373"/>
    <cellStyle name="Обычный 14 3" xfId="372"/>
    <cellStyle name="Обычный 15" xfId="77"/>
    <cellStyle name="Обычный 15 2" xfId="374"/>
    <cellStyle name="Обычный 15 2 2" xfId="943"/>
    <cellStyle name="Обычный 16" xfId="144"/>
    <cellStyle name="Обычный 16 2" xfId="232"/>
    <cellStyle name="Обычный 16 2 2" xfId="654"/>
    <cellStyle name="Обычный 16 3" xfId="576"/>
    <cellStyle name="Обычный 17" xfId="353"/>
    <cellStyle name="Обычный 17 2" xfId="934"/>
    <cellStyle name="Обычный 18" xfId="696"/>
    <cellStyle name="Обычный 2" xfId="2"/>
    <cellStyle name="Обычный 2 2" xfId="78"/>
    <cellStyle name="Обычный 2 3" xfId="375"/>
    <cellStyle name="Обычный 3" xfId="6"/>
    <cellStyle name="Обычный 3 2" xfId="183"/>
    <cellStyle name="Обычный 3 2 2" xfId="377"/>
    <cellStyle name="Обычный 3 3" xfId="376"/>
    <cellStyle name="Обычный 3 3 2" xfId="944"/>
    <cellStyle name="Обычный 4" xfId="3"/>
    <cellStyle name="Обычный 4 10" xfId="378"/>
    <cellStyle name="Обычный 4 10 2" xfId="695"/>
    <cellStyle name="Обычный 4 10 2 2" xfId="1180"/>
    <cellStyle name="Обычный 4 2" xfId="19"/>
    <cellStyle name="Обычный 4 2 2" xfId="26"/>
    <cellStyle name="Обычный 4 2 2 2" xfId="380"/>
    <cellStyle name="Обычный 4 2 3" xfId="60"/>
    <cellStyle name="Обычный 4 2 3 10" xfId="274"/>
    <cellStyle name="Обычный 4 2 3 10 2" xfId="855"/>
    <cellStyle name="Обычный 4 2 3 11" xfId="699"/>
    <cellStyle name="Обычный 4 2 3 2" xfId="81"/>
    <cellStyle name="Обычный 4 2 3 2 2" xfId="82"/>
    <cellStyle name="Обычный 4 2 3 2 2 2" xfId="83"/>
    <cellStyle name="Обычный 4 2 3 2 2 2 2" xfId="153"/>
    <cellStyle name="Обычный 4 2 3 2 2 2 2 2" xfId="241"/>
    <cellStyle name="Обычный 4 2 3 2 2 2 2 2 2" xfId="663"/>
    <cellStyle name="Обычный 4 2 3 2 2 2 2 2 2 2" xfId="1149"/>
    <cellStyle name="Обычный 4 2 3 2 2 2 2 2 3" xfId="385"/>
    <cellStyle name="Обычный 4 2 3 2 2 2 2 2 3 2" xfId="950"/>
    <cellStyle name="Обычный 4 2 3 2 2 2 2 2 4" xfId="823"/>
    <cellStyle name="Обычный 4 2 3 2 2 2 2 3" xfId="585"/>
    <cellStyle name="Обычный 4 2 3 2 2 2 2 3 2" xfId="1073"/>
    <cellStyle name="Обычный 4 2 3 2 2 2 2 4" xfId="320"/>
    <cellStyle name="Обычный 4 2 3 2 2 2 2 4 2" xfId="901"/>
    <cellStyle name="Обычный 4 2 3 2 2 2 2 5" xfId="745"/>
    <cellStyle name="Обычный 4 2 3 2 2 2 3" xfId="203"/>
    <cellStyle name="Обычный 4 2 3 2 2 2 3 2" xfId="625"/>
    <cellStyle name="Обычный 4 2 3 2 2 2 3 2 2" xfId="1112"/>
    <cellStyle name="Обычный 4 2 3 2 2 2 3 3" xfId="384"/>
    <cellStyle name="Обычный 4 2 3 2 2 2 3 3 2" xfId="949"/>
    <cellStyle name="Обычный 4 2 3 2 2 2 3 4" xfId="786"/>
    <cellStyle name="Обычный 4 2 3 2 2 2 4" xfId="547"/>
    <cellStyle name="Обычный 4 2 3 2 2 2 4 2" xfId="1036"/>
    <cellStyle name="Обычный 4 2 3 2 2 2 5" xfId="283"/>
    <cellStyle name="Обычный 4 2 3 2 2 2 5 2" xfId="864"/>
    <cellStyle name="Обычный 4 2 3 2 2 2 6" xfId="708"/>
    <cellStyle name="Обычный 4 2 3 2 2 3" xfId="152"/>
    <cellStyle name="Обычный 4 2 3 2 2 3 2" xfId="240"/>
    <cellStyle name="Обычный 4 2 3 2 2 3 2 2" xfId="662"/>
    <cellStyle name="Обычный 4 2 3 2 2 3 2 2 2" xfId="1148"/>
    <cellStyle name="Обычный 4 2 3 2 2 3 2 3" xfId="386"/>
    <cellStyle name="Обычный 4 2 3 2 2 3 2 3 2" xfId="951"/>
    <cellStyle name="Обычный 4 2 3 2 2 3 2 4" xfId="822"/>
    <cellStyle name="Обычный 4 2 3 2 2 3 3" xfId="584"/>
    <cellStyle name="Обычный 4 2 3 2 2 3 3 2" xfId="1072"/>
    <cellStyle name="Обычный 4 2 3 2 2 3 4" xfId="319"/>
    <cellStyle name="Обычный 4 2 3 2 2 3 4 2" xfId="900"/>
    <cellStyle name="Обычный 4 2 3 2 2 3 5" xfId="744"/>
    <cellStyle name="Обычный 4 2 3 2 2 4" xfId="202"/>
    <cellStyle name="Обычный 4 2 3 2 2 4 2" xfId="624"/>
    <cellStyle name="Обычный 4 2 3 2 2 4 2 2" xfId="1111"/>
    <cellStyle name="Обычный 4 2 3 2 2 4 3" xfId="383"/>
    <cellStyle name="Обычный 4 2 3 2 2 4 3 2" xfId="948"/>
    <cellStyle name="Обычный 4 2 3 2 2 4 4" xfId="785"/>
    <cellStyle name="Обычный 4 2 3 2 2 5" xfId="546"/>
    <cellStyle name="Обычный 4 2 3 2 2 5 2" xfId="1035"/>
    <cellStyle name="Обычный 4 2 3 2 2 6" xfId="282"/>
    <cellStyle name="Обычный 4 2 3 2 2 6 2" xfId="863"/>
    <cellStyle name="Обычный 4 2 3 2 2 7" xfId="707"/>
    <cellStyle name="Обычный 4 2 3 2 3" xfId="84"/>
    <cellStyle name="Обычный 4 2 3 2 3 2" xfId="154"/>
    <cellStyle name="Обычный 4 2 3 2 3 2 2" xfId="242"/>
    <cellStyle name="Обычный 4 2 3 2 3 2 2 2" xfId="664"/>
    <cellStyle name="Обычный 4 2 3 2 3 2 2 2 2" xfId="1150"/>
    <cellStyle name="Обычный 4 2 3 2 3 2 2 3" xfId="388"/>
    <cellStyle name="Обычный 4 2 3 2 3 2 2 3 2" xfId="953"/>
    <cellStyle name="Обычный 4 2 3 2 3 2 2 4" xfId="824"/>
    <cellStyle name="Обычный 4 2 3 2 3 2 3" xfId="586"/>
    <cellStyle name="Обычный 4 2 3 2 3 2 3 2" xfId="1074"/>
    <cellStyle name="Обычный 4 2 3 2 3 2 4" xfId="321"/>
    <cellStyle name="Обычный 4 2 3 2 3 2 4 2" xfId="902"/>
    <cellStyle name="Обычный 4 2 3 2 3 2 5" xfId="746"/>
    <cellStyle name="Обычный 4 2 3 2 3 3" xfId="204"/>
    <cellStyle name="Обычный 4 2 3 2 3 3 2" xfId="626"/>
    <cellStyle name="Обычный 4 2 3 2 3 3 2 2" xfId="1113"/>
    <cellStyle name="Обычный 4 2 3 2 3 3 3" xfId="387"/>
    <cellStyle name="Обычный 4 2 3 2 3 3 3 2" xfId="952"/>
    <cellStyle name="Обычный 4 2 3 2 3 3 4" xfId="787"/>
    <cellStyle name="Обычный 4 2 3 2 3 4" xfId="548"/>
    <cellStyle name="Обычный 4 2 3 2 3 4 2" xfId="1037"/>
    <cellStyle name="Обычный 4 2 3 2 3 5" xfId="284"/>
    <cellStyle name="Обычный 4 2 3 2 3 5 2" xfId="865"/>
    <cellStyle name="Обычный 4 2 3 2 3 6" xfId="709"/>
    <cellStyle name="Обычный 4 2 3 2 4" xfId="151"/>
    <cellStyle name="Обычный 4 2 3 2 4 2" xfId="239"/>
    <cellStyle name="Обычный 4 2 3 2 4 2 2" xfId="661"/>
    <cellStyle name="Обычный 4 2 3 2 4 2 2 2" xfId="1147"/>
    <cellStyle name="Обычный 4 2 3 2 4 2 3" xfId="389"/>
    <cellStyle name="Обычный 4 2 3 2 4 2 3 2" xfId="954"/>
    <cellStyle name="Обычный 4 2 3 2 4 2 4" xfId="821"/>
    <cellStyle name="Обычный 4 2 3 2 4 3" xfId="583"/>
    <cellStyle name="Обычный 4 2 3 2 4 3 2" xfId="1071"/>
    <cellStyle name="Обычный 4 2 3 2 4 4" xfId="318"/>
    <cellStyle name="Обычный 4 2 3 2 4 4 2" xfId="899"/>
    <cellStyle name="Обычный 4 2 3 2 4 5" xfId="743"/>
    <cellStyle name="Обычный 4 2 3 2 5" xfId="201"/>
    <cellStyle name="Обычный 4 2 3 2 5 2" xfId="623"/>
    <cellStyle name="Обычный 4 2 3 2 5 2 2" xfId="1110"/>
    <cellStyle name="Обычный 4 2 3 2 5 3" xfId="382"/>
    <cellStyle name="Обычный 4 2 3 2 5 3 2" xfId="947"/>
    <cellStyle name="Обычный 4 2 3 2 5 4" xfId="784"/>
    <cellStyle name="Обычный 4 2 3 2 6" xfId="545"/>
    <cellStyle name="Обычный 4 2 3 2 6 2" xfId="1034"/>
    <cellStyle name="Обычный 4 2 3 2 7" xfId="281"/>
    <cellStyle name="Обычный 4 2 3 2 7 2" xfId="862"/>
    <cellStyle name="Обычный 4 2 3 2 8" xfId="706"/>
    <cellStyle name="Обычный 4 2 3 3" xfId="85"/>
    <cellStyle name="Обычный 4 2 3 3 2" xfId="86"/>
    <cellStyle name="Обычный 4 2 3 3 2 2" xfId="156"/>
    <cellStyle name="Обычный 4 2 3 3 2 2 2" xfId="244"/>
    <cellStyle name="Обычный 4 2 3 3 2 2 2 2" xfId="666"/>
    <cellStyle name="Обычный 4 2 3 3 2 2 2 2 2" xfId="1152"/>
    <cellStyle name="Обычный 4 2 3 3 2 2 2 3" xfId="392"/>
    <cellStyle name="Обычный 4 2 3 3 2 2 2 3 2" xfId="957"/>
    <cellStyle name="Обычный 4 2 3 3 2 2 2 4" xfId="826"/>
    <cellStyle name="Обычный 4 2 3 3 2 2 3" xfId="588"/>
    <cellStyle name="Обычный 4 2 3 3 2 2 3 2" xfId="1076"/>
    <cellStyle name="Обычный 4 2 3 3 2 2 4" xfId="323"/>
    <cellStyle name="Обычный 4 2 3 3 2 2 4 2" xfId="904"/>
    <cellStyle name="Обычный 4 2 3 3 2 2 5" xfId="748"/>
    <cellStyle name="Обычный 4 2 3 3 2 3" xfId="206"/>
    <cellStyle name="Обычный 4 2 3 3 2 3 2" xfId="628"/>
    <cellStyle name="Обычный 4 2 3 3 2 3 2 2" xfId="1115"/>
    <cellStyle name="Обычный 4 2 3 3 2 3 3" xfId="391"/>
    <cellStyle name="Обычный 4 2 3 3 2 3 3 2" xfId="956"/>
    <cellStyle name="Обычный 4 2 3 3 2 3 4" xfId="789"/>
    <cellStyle name="Обычный 4 2 3 3 2 4" xfId="550"/>
    <cellStyle name="Обычный 4 2 3 3 2 4 2" xfId="1039"/>
    <cellStyle name="Обычный 4 2 3 3 2 5" xfId="286"/>
    <cellStyle name="Обычный 4 2 3 3 2 5 2" xfId="867"/>
    <cellStyle name="Обычный 4 2 3 3 2 6" xfId="711"/>
    <cellStyle name="Обычный 4 2 3 3 3" xfId="155"/>
    <cellStyle name="Обычный 4 2 3 3 3 2" xfId="243"/>
    <cellStyle name="Обычный 4 2 3 3 3 2 2" xfId="665"/>
    <cellStyle name="Обычный 4 2 3 3 3 2 2 2" xfId="1151"/>
    <cellStyle name="Обычный 4 2 3 3 3 2 3" xfId="393"/>
    <cellStyle name="Обычный 4 2 3 3 3 2 3 2" xfId="958"/>
    <cellStyle name="Обычный 4 2 3 3 3 2 4" xfId="825"/>
    <cellStyle name="Обычный 4 2 3 3 3 3" xfId="587"/>
    <cellStyle name="Обычный 4 2 3 3 3 3 2" xfId="1075"/>
    <cellStyle name="Обычный 4 2 3 3 3 4" xfId="322"/>
    <cellStyle name="Обычный 4 2 3 3 3 4 2" xfId="903"/>
    <cellStyle name="Обычный 4 2 3 3 3 5" xfId="747"/>
    <cellStyle name="Обычный 4 2 3 3 4" xfId="205"/>
    <cellStyle name="Обычный 4 2 3 3 4 2" xfId="627"/>
    <cellStyle name="Обычный 4 2 3 3 4 2 2" xfId="1114"/>
    <cellStyle name="Обычный 4 2 3 3 4 3" xfId="390"/>
    <cellStyle name="Обычный 4 2 3 3 4 3 2" xfId="955"/>
    <cellStyle name="Обычный 4 2 3 3 4 4" xfId="788"/>
    <cellStyle name="Обычный 4 2 3 3 5" xfId="549"/>
    <cellStyle name="Обычный 4 2 3 3 5 2" xfId="1038"/>
    <cellStyle name="Обычный 4 2 3 3 6" xfId="285"/>
    <cellStyle name="Обычный 4 2 3 3 6 2" xfId="866"/>
    <cellStyle name="Обычный 4 2 3 3 7" xfId="710"/>
    <cellStyle name="Обычный 4 2 3 4" xfId="87"/>
    <cellStyle name="Обычный 4 2 3 4 2" xfId="157"/>
    <cellStyle name="Обычный 4 2 3 4 2 2" xfId="245"/>
    <cellStyle name="Обычный 4 2 3 4 2 2 2" xfId="667"/>
    <cellStyle name="Обычный 4 2 3 4 2 2 2 2" xfId="1153"/>
    <cellStyle name="Обычный 4 2 3 4 2 2 3" xfId="395"/>
    <cellStyle name="Обычный 4 2 3 4 2 2 3 2" xfId="960"/>
    <cellStyle name="Обычный 4 2 3 4 2 2 4" xfId="827"/>
    <cellStyle name="Обычный 4 2 3 4 2 3" xfId="589"/>
    <cellStyle name="Обычный 4 2 3 4 2 3 2" xfId="1077"/>
    <cellStyle name="Обычный 4 2 3 4 2 4" xfId="324"/>
    <cellStyle name="Обычный 4 2 3 4 2 4 2" xfId="905"/>
    <cellStyle name="Обычный 4 2 3 4 2 5" xfId="749"/>
    <cellStyle name="Обычный 4 2 3 4 3" xfId="207"/>
    <cellStyle name="Обычный 4 2 3 4 3 2" xfId="629"/>
    <cellStyle name="Обычный 4 2 3 4 3 2 2" xfId="1116"/>
    <cellStyle name="Обычный 4 2 3 4 3 3" xfId="394"/>
    <cellStyle name="Обычный 4 2 3 4 3 3 2" xfId="959"/>
    <cellStyle name="Обычный 4 2 3 4 3 4" xfId="790"/>
    <cellStyle name="Обычный 4 2 3 4 4" xfId="551"/>
    <cellStyle name="Обычный 4 2 3 4 4 2" xfId="1040"/>
    <cellStyle name="Обычный 4 2 3 4 5" xfId="287"/>
    <cellStyle name="Обычный 4 2 3 4 5 2" xfId="868"/>
    <cellStyle name="Обычный 4 2 3 4 6" xfId="712"/>
    <cellStyle name="Обычный 4 2 3 5" xfId="80"/>
    <cellStyle name="Обычный 4 2 3 5 2" xfId="200"/>
    <cellStyle name="Обычный 4 2 3 5 2 2" xfId="622"/>
    <cellStyle name="Обычный 4 2 3 5 2 2 2" xfId="1109"/>
    <cellStyle name="Обычный 4 2 3 5 2 3" xfId="396"/>
    <cellStyle name="Обычный 4 2 3 5 2 3 2" xfId="961"/>
    <cellStyle name="Обычный 4 2 3 5 2 4" xfId="783"/>
    <cellStyle name="Обычный 4 2 3 5 3" xfId="544"/>
    <cellStyle name="Обычный 4 2 3 5 3 2" xfId="1033"/>
    <cellStyle name="Обычный 4 2 3 5 4" xfId="280"/>
    <cellStyle name="Обычный 4 2 3 5 4 2" xfId="861"/>
    <cellStyle name="Обычный 4 2 3 5 5" xfId="705"/>
    <cellStyle name="Обычный 4 2 3 6" xfId="150"/>
    <cellStyle name="Обычный 4 2 3 6 2" xfId="238"/>
    <cellStyle name="Обычный 4 2 3 6 2 2" xfId="660"/>
    <cellStyle name="Обычный 4 2 3 6 2 2 2" xfId="1146"/>
    <cellStyle name="Обычный 4 2 3 6 2 3" xfId="397"/>
    <cellStyle name="Обычный 4 2 3 6 2 3 2" xfId="962"/>
    <cellStyle name="Обычный 4 2 3 6 2 4" xfId="820"/>
    <cellStyle name="Обычный 4 2 3 6 3" xfId="582"/>
    <cellStyle name="Обычный 4 2 3 6 3 2" xfId="1070"/>
    <cellStyle name="Обычный 4 2 3 6 4" xfId="317"/>
    <cellStyle name="Обычный 4 2 3 6 4 2" xfId="898"/>
    <cellStyle name="Обычный 4 2 3 6 5" xfId="742"/>
    <cellStyle name="Обычный 4 2 3 7" xfId="186"/>
    <cellStyle name="Обычный 4 2 3 7 2" xfId="272"/>
    <cellStyle name="Обычный 4 2 3 7 2 2" xfId="694"/>
    <cellStyle name="Обычный 4 2 3 7 2 2 2" xfId="1179"/>
    <cellStyle name="Обычный 4 2 3 7 2 3" xfId="398"/>
    <cellStyle name="Обычный 4 2 3 7 2 3 2" xfId="963"/>
    <cellStyle name="Обычный 4 2 3 7 2 4" xfId="853"/>
    <cellStyle name="Обычный 4 2 3 7 3" xfId="616"/>
    <cellStyle name="Обычный 4 2 3 7 3 2" xfId="1103"/>
    <cellStyle name="Обычный 4 2 3 7 4" xfId="350"/>
    <cellStyle name="Обычный 4 2 3 7 4 2" xfId="931"/>
    <cellStyle name="Обычный 4 2 3 7 5" xfId="775"/>
    <cellStyle name="Обычный 4 2 3 8" xfId="193"/>
    <cellStyle name="Обычный 4 2 3 8 2" xfId="399"/>
    <cellStyle name="Обычный 4 2 3 8 2 2" xfId="964"/>
    <cellStyle name="Обычный 4 2 3 8 3" xfId="352"/>
    <cellStyle name="Обычный 4 2 3 8 3 2" xfId="933"/>
    <cellStyle name="Обычный 4 2 3 8 4" xfId="777"/>
    <cellStyle name="Обычный 4 2 3 9" xfId="381"/>
    <cellStyle name="Обычный 4 2 3 9 2" xfId="946"/>
    <cellStyle name="Обычный 4 2 3_USD" xfId="189"/>
    <cellStyle name="Обычный 4 2 4" xfId="185"/>
    <cellStyle name="Обычный 4 2 4 2" xfId="271"/>
    <cellStyle name="Обычный 4 2 4 2 2" xfId="693"/>
    <cellStyle name="Обычный 4 2 4 2 2 2" xfId="1178"/>
    <cellStyle name="Обычный 4 2 4 2 3" xfId="400"/>
    <cellStyle name="Обычный 4 2 4 2 3 2" xfId="965"/>
    <cellStyle name="Обычный 4 2 4 2 4" xfId="852"/>
    <cellStyle name="Обычный 4 2 4 3" xfId="615"/>
    <cellStyle name="Обычный 4 2 4 3 2" xfId="1102"/>
    <cellStyle name="Обычный 4 2 4 4" xfId="349"/>
    <cellStyle name="Обычный 4 2 4 4 2" xfId="930"/>
    <cellStyle name="Обычный 4 2 4 5" xfId="774"/>
    <cellStyle name="Обычный 4 2 5" xfId="187"/>
    <cellStyle name="Обычный 4 2 5 2" xfId="401"/>
    <cellStyle name="Обычный 4 2 5 2 2" xfId="966"/>
    <cellStyle name="Обычный 4 2 5 3" xfId="351"/>
    <cellStyle name="Обычный 4 2 5 3 2" xfId="932"/>
    <cellStyle name="Обычный 4 2 5 4" xfId="776"/>
    <cellStyle name="Обычный 4 2 6" xfId="379"/>
    <cellStyle name="Обычный 4 2 6 2" xfId="945"/>
    <cellStyle name="Обычный 4 2 7" xfId="273"/>
    <cellStyle name="Обычный 4 2 7 2" xfId="854"/>
    <cellStyle name="Обычный 4 2 8" xfId="698"/>
    <cellStyle name="Обычный 4 2_USD" xfId="188"/>
    <cellStyle name="Обычный 4 3" xfId="27"/>
    <cellStyle name="Обычный 4 3 2" xfId="402"/>
    <cellStyle name="Обычный 4 4" xfId="25"/>
    <cellStyle name="Обычный 4 4 2" xfId="403"/>
    <cellStyle name="Обычный 4 5" xfId="88"/>
    <cellStyle name="Обычный 4 5 2" xfId="404"/>
    <cellStyle name="Обычный 4 5 2 2" xfId="967"/>
    <cellStyle name="Обычный 4 6" xfId="89"/>
    <cellStyle name="Обычный 4 6 2" xfId="90"/>
    <cellStyle name="Обычный 4 6 2 2" xfId="91"/>
    <cellStyle name="Обычный 4 6 2 2 2" xfId="160"/>
    <cellStyle name="Обычный 4 6 2 2 2 2" xfId="248"/>
    <cellStyle name="Обычный 4 6 2 2 2 2 2" xfId="670"/>
    <cellStyle name="Обычный 4 6 2 2 2 2 2 2" xfId="1156"/>
    <cellStyle name="Обычный 4 6 2 2 2 2 3" xfId="408"/>
    <cellStyle name="Обычный 4 6 2 2 2 2 3 2" xfId="971"/>
    <cellStyle name="Обычный 4 6 2 2 2 2 4" xfId="830"/>
    <cellStyle name="Обычный 4 6 2 2 2 3" xfId="592"/>
    <cellStyle name="Обычный 4 6 2 2 2 3 2" xfId="1080"/>
    <cellStyle name="Обычный 4 6 2 2 2 4" xfId="327"/>
    <cellStyle name="Обычный 4 6 2 2 2 4 2" xfId="908"/>
    <cellStyle name="Обычный 4 6 2 2 2 5" xfId="752"/>
    <cellStyle name="Обычный 4 6 2 2 3" xfId="210"/>
    <cellStyle name="Обычный 4 6 2 2 3 2" xfId="632"/>
    <cellStyle name="Обычный 4 6 2 2 3 2 2" xfId="1119"/>
    <cellStyle name="Обычный 4 6 2 2 3 3" xfId="407"/>
    <cellStyle name="Обычный 4 6 2 2 3 3 2" xfId="970"/>
    <cellStyle name="Обычный 4 6 2 2 3 4" xfId="793"/>
    <cellStyle name="Обычный 4 6 2 2 4" xfId="554"/>
    <cellStyle name="Обычный 4 6 2 2 4 2" xfId="1043"/>
    <cellStyle name="Обычный 4 6 2 2 5" xfId="290"/>
    <cellStyle name="Обычный 4 6 2 2 5 2" xfId="871"/>
    <cellStyle name="Обычный 4 6 2 2 6" xfId="715"/>
    <cellStyle name="Обычный 4 6 2 3" xfId="159"/>
    <cellStyle name="Обычный 4 6 2 3 2" xfId="247"/>
    <cellStyle name="Обычный 4 6 2 3 2 2" xfId="669"/>
    <cellStyle name="Обычный 4 6 2 3 2 2 2" xfId="1155"/>
    <cellStyle name="Обычный 4 6 2 3 2 3" xfId="409"/>
    <cellStyle name="Обычный 4 6 2 3 2 3 2" xfId="972"/>
    <cellStyle name="Обычный 4 6 2 3 2 4" xfId="829"/>
    <cellStyle name="Обычный 4 6 2 3 3" xfId="591"/>
    <cellStyle name="Обычный 4 6 2 3 3 2" xfId="1079"/>
    <cellStyle name="Обычный 4 6 2 3 4" xfId="326"/>
    <cellStyle name="Обычный 4 6 2 3 4 2" xfId="907"/>
    <cellStyle name="Обычный 4 6 2 3 5" xfId="751"/>
    <cellStyle name="Обычный 4 6 2 4" xfId="209"/>
    <cellStyle name="Обычный 4 6 2 4 2" xfId="631"/>
    <cellStyle name="Обычный 4 6 2 4 2 2" xfId="1118"/>
    <cellStyle name="Обычный 4 6 2 4 3" xfId="406"/>
    <cellStyle name="Обычный 4 6 2 4 3 2" xfId="969"/>
    <cellStyle name="Обычный 4 6 2 4 4" xfId="792"/>
    <cellStyle name="Обычный 4 6 2 5" xfId="553"/>
    <cellStyle name="Обычный 4 6 2 5 2" xfId="1042"/>
    <cellStyle name="Обычный 4 6 2 6" xfId="289"/>
    <cellStyle name="Обычный 4 6 2 6 2" xfId="870"/>
    <cellStyle name="Обычный 4 6 2 7" xfId="714"/>
    <cellStyle name="Обычный 4 6 3" xfId="92"/>
    <cellStyle name="Обычный 4 6 3 2" xfId="161"/>
    <cellStyle name="Обычный 4 6 3 2 2" xfId="249"/>
    <cellStyle name="Обычный 4 6 3 2 2 2" xfId="671"/>
    <cellStyle name="Обычный 4 6 3 2 2 2 2" xfId="1157"/>
    <cellStyle name="Обычный 4 6 3 2 2 3" xfId="411"/>
    <cellStyle name="Обычный 4 6 3 2 2 3 2" xfId="974"/>
    <cellStyle name="Обычный 4 6 3 2 2 4" xfId="831"/>
    <cellStyle name="Обычный 4 6 3 2 3" xfId="593"/>
    <cellStyle name="Обычный 4 6 3 2 3 2" xfId="1081"/>
    <cellStyle name="Обычный 4 6 3 2 4" xfId="328"/>
    <cellStyle name="Обычный 4 6 3 2 4 2" xfId="909"/>
    <cellStyle name="Обычный 4 6 3 2 5" xfId="753"/>
    <cellStyle name="Обычный 4 6 3 3" xfId="211"/>
    <cellStyle name="Обычный 4 6 3 3 2" xfId="633"/>
    <cellStyle name="Обычный 4 6 3 3 2 2" xfId="1120"/>
    <cellStyle name="Обычный 4 6 3 3 3" xfId="410"/>
    <cellStyle name="Обычный 4 6 3 3 3 2" xfId="973"/>
    <cellStyle name="Обычный 4 6 3 3 4" xfId="794"/>
    <cellStyle name="Обычный 4 6 3 4" xfId="555"/>
    <cellStyle name="Обычный 4 6 3 4 2" xfId="1044"/>
    <cellStyle name="Обычный 4 6 3 5" xfId="291"/>
    <cellStyle name="Обычный 4 6 3 5 2" xfId="872"/>
    <cellStyle name="Обычный 4 6 3 6" xfId="716"/>
    <cellStyle name="Обычный 4 6 4" xfId="158"/>
    <cellStyle name="Обычный 4 6 4 2" xfId="246"/>
    <cellStyle name="Обычный 4 6 4 2 2" xfId="668"/>
    <cellStyle name="Обычный 4 6 4 2 2 2" xfId="1154"/>
    <cellStyle name="Обычный 4 6 4 2 3" xfId="412"/>
    <cellStyle name="Обычный 4 6 4 2 3 2" xfId="975"/>
    <cellStyle name="Обычный 4 6 4 2 4" xfId="828"/>
    <cellStyle name="Обычный 4 6 4 3" xfId="590"/>
    <cellStyle name="Обычный 4 6 4 3 2" xfId="1078"/>
    <cellStyle name="Обычный 4 6 4 4" xfId="325"/>
    <cellStyle name="Обычный 4 6 4 4 2" xfId="906"/>
    <cellStyle name="Обычный 4 6 4 5" xfId="750"/>
    <cellStyle name="Обычный 4 6 5" xfId="208"/>
    <cellStyle name="Обычный 4 6 5 2" xfId="630"/>
    <cellStyle name="Обычный 4 6 5 2 2" xfId="1117"/>
    <cellStyle name="Обычный 4 6 5 3" xfId="405"/>
    <cellStyle name="Обычный 4 6 5 3 2" xfId="968"/>
    <cellStyle name="Обычный 4 6 5 4" xfId="791"/>
    <cellStyle name="Обычный 4 6 6" xfId="552"/>
    <cellStyle name="Обычный 4 6 6 2" xfId="1041"/>
    <cellStyle name="Обычный 4 6 7" xfId="288"/>
    <cellStyle name="Обычный 4 6 7 2" xfId="869"/>
    <cellStyle name="Обычный 4 6 8" xfId="713"/>
    <cellStyle name="Обычный 4 7" xfId="93"/>
    <cellStyle name="Обычный 4 7 2" xfId="413"/>
    <cellStyle name="Обычный 4 8" xfId="79"/>
    <cellStyle name="Обычный 4 8 2" xfId="199"/>
    <cellStyle name="Обычный 4 8 2 2" xfId="621"/>
    <cellStyle name="Обычный 4 8 2 2 2" xfId="1108"/>
    <cellStyle name="Обычный 4 8 2 3" xfId="414"/>
    <cellStyle name="Обычный 4 8 2 3 2" xfId="976"/>
    <cellStyle name="Обычный 4 8 2 4" xfId="782"/>
    <cellStyle name="Обычный 4 8 3" xfId="543"/>
    <cellStyle name="Обычный 4 8 3 2" xfId="1032"/>
    <cellStyle name="Обычный 4 8 4" xfId="279"/>
    <cellStyle name="Обычный 4 8 4 2" xfId="860"/>
    <cellStyle name="Обычный 4 8 5" xfId="704"/>
    <cellStyle name="Обычный 4 9" xfId="149"/>
    <cellStyle name="Обычный 4 9 2" xfId="237"/>
    <cellStyle name="Обычный 4 9 2 2" xfId="659"/>
    <cellStyle name="Обычный 4 9 2 2 2" xfId="1145"/>
    <cellStyle name="Обычный 4 9 2 3" xfId="415"/>
    <cellStyle name="Обычный 4 9 2 3 2" xfId="977"/>
    <cellStyle name="Обычный 4 9 2 4" xfId="819"/>
    <cellStyle name="Обычный 4 9 3" xfId="581"/>
    <cellStyle name="Обычный 4 9 3 2" xfId="1069"/>
    <cellStyle name="Обычный 4 9 4" xfId="316"/>
    <cellStyle name="Обычный 4 9 4 2" xfId="897"/>
    <cellStyle name="Обычный 4 9 5" xfId="741"/>
    <cellStyle name="Обычный 4_USD" xfId="192"/>
    <cellStyle name="Обычный 5" xfId="21"/>
    <cellStyle name="Обычный 5 2" xfId="61"/>
    <cellStyle name="Обычный 5 2 2" xfId="95"/>
    <cellStyle name="Обычный 5 2 2 2" xfId="96"/>
    <cellStyle name="Обычный 5 2 2 2 2" xfId="97"/>
    <cellStyle name="Обычный 5 2 2 2 2 2" xfId="165"/>
    <cellStyle name="Обычный 5 2 2 2 2 2 2" xfId="253"/>
    <cellStyle name="Обычный 5 2 2 2 2 2 2 2" xfId="675"/>
    <cellStyle name="Обычный 5 2 2 2 2 2 2 2 2" xfId="1161"/>
    <cellStyle name="Обычный 5 2 2 2 2 2 2 3" xfId="421"/>
    <cellStyle name="Обычный 5 2 2 2 2 2 2 3 2" xfId="981"/>
    <cellStyle name="Обычный 5 2 2 2 2 2 2 4" xfId="835"/>
    <cellStyle name="Обычный 5 2 2 2 2 2 3" xfId="597"/>
    <cellStyle name="Обычный 5 2 2 2 2 2 3 2" xfId="1085"/>
    <cellStyle name="Обычный 5 2 2 2 2 2 4" xfId="332"/>
    <cellStyle name="Обычный 5 2 2 2 2 2 4 2" xfId="913"/>
    <cellStyle name="Обычный 5 2 2 2 2 2 5" xfId="757"/>
    <cellStyle name="Обычный 5 2 2 2 2 3" xfId="215"/>
    <cellStyle name="Обычный 5 2 2 2 2 3 2" xfId="637"/>
    <cellStyle name="Обычный 5 2 2 2 2 3 2 2" xfId="1124"/>
    <cellStyle name="Обычный 5 2 2 2 2 3 3" xfId="420"/>
    <cellStyle name="Обычный 5 2 2 2 2 3 3 2" xfId="980"/>
    <cellStyle name="Обычный 5 2 2 2 2 3 4" xfId="798"/>
    <cellStyle name="Обычный 5 2 2 2 2 4" xfId="559"/>
    <cellStyle name="Обычный 5 2 2 2 2 4 2" xfId="1048"/>
    <cellStyle name="Обычный 5 2 2 2 2 5" xfId="295"/>
    <cellStyle name="Обычный 5 2 2 2 2 5 2" xfId="876"/>
    <cellStyle name="Обычный 5 2 2 2 2 6" xfId="720"/>
    <cellStyle name="Обычный 5 2 2 2 3" xfId="164"/>
    <cellStyle name="Обычный 5 2 2 2 3 2" xfId="252"/>
    <cellStyle name="Обычный 5 2 2 2 3 2 2" xfId="674"/>
    <cellStyle name="Обычный 5 2 2 2 3 2 2 2" xfId="1160"/>
    <cellStyle name="Обычный 5 2 2 2 3 2 3" xfId="422"/>
    <cellStyle name="Обычный 5 2 2 2 3 2 3 2" xfId="982"/>
    <cellStyle name="Обычный 5 2 2 2 3 2 4" xfId="834"/>
    <cellStyle name="Обычный 5 2 2 2 3 3" xfId="596"/>
    <cellStyle name="Обычный 5 2 2 2 3 3 2" xfId="1084"/>
    <cellStyle name="Обычный 5 2 2 2 3 4" xfId="331"/>
    <cellStyle name="Обычный 5 2 2 2 3 4 2" xfId="912"/>
    <cellStyle name="Обычный 5 2 2 2 3 5" xfId="756"/>
    <cellStyle name="Обычный 5 2 2 2 4" xfId="214"/>
    <cellStyle name="Обычный 5 2 2 2 4 2" xfId="636"/>
    <cellStyle name="Обычный 5 2 2 2 4 2 2" xfId="1123"/>
    <cellStyle name="Обычный 5 2 2 2 4 3" xfId="419"/>
    <cellStyle name="Обычный 5 2 2 2 4 3 2" xfId="979"/>
    <cellStyle name="Обычный 5 2 2 2 4 4" xfId="797"/>
    <cellStyle name="Обычный 5 2 2 2 5" xfId="558"/>
    <cellStyle name="Обычный 5 2 2 2 5 2" xfId="1047"/>
    <cellStyle name="Обычный 5 2 2 2 6" xfId="294"/>
    <cellStyle name="Обычный 5 2 2 2 6 2" xfId="875"/>
    <cellStyle name="Обычный 5 2 2 2 7" xfId="719"/>
    <cellStyle name="Обычный 5 2 2 3" xfId="98"/>
    <cellStyle name="Обычный 5 2 2 3 2" xfId="166"/>
    <cellStyle name="Обычный 5 2 2 3 2 2" xfId="254"/>
    <cellStyle name="Обычный 5 2 2 3 2 2 2" xfId="676"/>
    <cellStyle name="Обычный 5 2 2 3 2 2 2 2" xfId="1162"/>
    <cellStyle name="Обычный 5 2 2 3 2 2 3" xfId="424"/>
    <cellStyle name="Обычный 5 2 2 3 2 2 3 2" xfId="984"/>
    <cellStyle name="Обычный 5 2 2 3 2 2 4" xfId="836"/>
    <cellStyle name="Обычный 5 2 2 3 2 3" xfId="598"/>
    <cellStyle name="Обычный 5 2 2 3 2 3 2" xfId="1086"/>
    <cellStyle name="Обычный 5 2 2 3 2 4" xfId="333"/>
    <cellStyle name="Обычный 5 2 2 3 2 4 2" xfId="914"/>
    <cellStyle name="Обычный 5 2 2 3 2 5" xfId="758"/>
    <cellStyle name="Обычный 5 2 2 3 3" xfId="216"/>
    <cellStyle name="Обычный 5 2 2 3 3 2" xfId="638"/>
    <cellStyle name="Обычный 5 2 2 3 3 2 2" xfId="1125"/>
    <cellStyle name="Обычный 5 2 2 3 3 3" xfId="423"/>
    <cellStyle name="Обычный 5 2 2 3 3 3 2" xfId="983"/>
    <cellStyle name="Обычный 5 2 2 3 3 4" xfId="799"/>
    <cellStyle name="Обычный 5 2 2 3 4" xfId="560"/>
    <cellStyle name="Обычный 5 2 2 3 4 2" xfId="1049"/>
    <cellStyle name="Обычный 5 2 2 3 5" xfId="296"/>
    <cellStyle name="Обычный 5 2 2 3 5 2" xfId="877"/>
    <cellStyle name="Обычный 5 2 2 3 6" xfId="721"/>
    <cellStyle name="Обычный 5 2 2 4" xfId="163"/>
    <cellStyle name="Обычный 5 2 2 4 2" xfId="251"/>
    <cellStyle name="Обычный 5 2 2 4 2 2" xfId="673"/>
    <cellStyle name="Обычный 5 2 2 4 2 2 2" xfId="1159"/>
    <cellStyle name="Обычный 5 2 2 4 2 3" xfId="425"/>
    <cellStyle name="Обычный 5 2 2 4 2 3 2" xfId="985"/>
    <cellStyle name="Обычный 5 2 2 4 2 4" xfId="833"/>
    <cellStyle name="Обычный 5 2 2 4 3" xfId="595"/>
    <cellStyle name="Обычный 5 2 2 4 3 2" xfId="1083"/>
    <cellStyle name="Обычный 5 2 2 4 4" xfId="330"/>
    <cellStyle name="Обычный 5 2 2 4 4 2" xfId="911"/>
    <cellStyle name="Обычный 5 2 2 4 5" xfId="755"/>
    <cellStyle name="Обычный 5 2 2 5" xfId="213"/>
    <cellStyle name="Обычный 5 2 2 5 2" xfId="635"/>
    <cellStyle name="Обычный 5 2 2 5 2 2" xfId="1122"/>
    <cellStyle name="Обычный 5 2 2 5 3" xfId="418"/>
    <cellStyle name="Обычный 5 2 2 5 3 2" xfId="978"/>
    <cellStyle name="Обычный 5 2 2 5 4" xfId="796"/>
    <cellStyle name="Обычный 5 2 2 6" xfId="557"/>
    <cellStyle name="Обычный 5 2 2 6 2" xfId="1046"/>
    <cellStyle name="Обычный 5 2 2 7" xfId="293"/>
    <cellStyle name="Обычный 5 2 2 7 2" xfId="874"/>
    <cellStyle name="Обычный 5 2 2 8" xfId="718"/>
    <cellStyle name="Обычный 5 2 3" xfId="99"/>
    <cellStyle name="Обычный 5 2 3 2" xfId="100"/>
    <cellStyle name="Обычный 5 2 3 2 2" xfId="168"/>
    <cellStyle name="Обычный 5 2 3 2 2 2" xfId="256"/>
    <cellStyle name="Обычный 5 2 3 2 2 2 2" xfId="678"/>
    <cellStyle name="Обычный 5 2 3 2 2 2 2 2" xfId="1164"/>
    <cellStyle name="Обычный 5 2 3 2 2 2 3" xfId="428"/>
    <cellStyle name="Обычный 5 2 3 2 2 2 3 2" xfId="988"/>
    <cellStyle name="Обычный 5 2 3 2 2 2 4" xfId="838"/>
    <cellStyle name="Обычный 5 2 3 2 2 3" xfId="600"/>
    <cellStyle name="Обычный 5 2 3 2 2 3 2" xfId="1088"/>
    <cellStyle name="Обычный 5 2 3 2 2 4" xfId="335"/>
    <cellStyle name="Обычный 5 2 3 2 2 4 2" xfId="916"/>
    <cellStyle name="Обычный 5 2 3 2 2 5" xfId="760"/>
    <cellStyle name="Обычный 5 2 3 2 3" xfId="218"/>
    <cellStyle name="Обычный 5 2 3 2 3 2" xfId="640"/>
    <cellStyle name="Обычный 5 2 3 2 3 2 2" xfId="1127"/>
    <cellStyle name="Обычный 5 2 3 2 3 3" xfId="427"/>
    <cellStyle name="Обычный 5 2 3 2 3 3 2" xfId="987"/>
    <cellStyle name="Обычный 5 2 3 2 3 4" xfId="801"/>
    <cellStyle name="Обычный 5 2 3 2 4" xfId="562"/>
    <cellStyle name="Обычный 5 2 3 2 4 2" xfId="1051"/>
    <cellStyle name="Обычный 5 2 3 2 5" xfId="298"/>
    <cellStyle name="Обычный 5 2 3 2 5 2" xfId="879"/>
    <cellStyle name="Обычный 5 2 3 2 6" xfId="723"/>
    <cellStyle name="Обычный 5 2 3 3" xfId="167"/>
    <cellStyle name="Обычный 5 2 3 3 2" xfId="255"/>
    <cellStyle name="Обычный 5 2 3 3 2 2" xfId="677"/>
    <cellStyle name="Обычный 5 2 3 3 2 2 2" xfId="1163"/>
    <cellStyle name="Обычный 5 2 3 3 2 3" xfId="429"/>
    <cellStyle name="Обычный 5 2 3 3 2 3 2" xfId="989"/>
    <cellStyle name="Обычный 5 2 3 3 2 4" xfId="837"/>
    <cellStyle name="Обычный 5 2 3 3 3" xfId="599"/>
    <cellStyle name="Обычный 5 2 3 3 3 2" xfId="1087"/>
    <cellStyle name="Обычный 5 2 3 3 4" xfId="334"/>
    <cellStyle name="Обычный 5 2 3 3 4 2" xfId="915"/>
    <cellStyle name="Обычный 5 2 3 3 5" xfId="759"/>
    <cellStyle name="Обычный 5 2 3 4" xfId="217"/>
    <cellStyle name="Обычный 5 2 3 4 2" xfId="639"/>
    <cellStyle name="Обычный 5 2 3 4 2 2" xfId="1126"/>
    <cellStyle name="Обычный 5 2 3 4 3" xfId="426"/>
    <cellStyle name="Обычный 5 2 3 4 3 2" xfId="986"/>
    <cellStyle name="Обычный 5 2 3 4 4" xfId="800"/>
    <cellStyle name="Обычный 5 2 3 5" xfId="561"/>
    <cellStyle name="Обычный 5 2 3 5 2" xfId="1050"/>
    <cellStyle name="Обычный 5 2 3 6" xfId="297"/>
    <cellStyle name="Обычный 5 2 3 6 2" xfId="878"/>
    <cellStyle name="Обычный 5 2 3 7" xfId="722"/>
    <cellStyle name="Обычный 5 2 4" xfId="101"/>
    <cellStyle name="Обычный 5 2 4 2" xfId="169"/>
    <cellStyle name="Обычный 5 2 4 2 2" xfId="257"/>
    <cellStyle name="Обычный 5 2 4 2 2 2" xfId="679"/>
    <cellStyle name="Обычный 5 2 4 2 2 2 2" xfId="1165"/>
    <cellStyle name="Обычный 5 2 4 2 2 3" xfId="431"/>
    <cellStyle name="Обычный 5 2 4 2 2 3 2" xfId="991"/>
    <cellStyle name="Обычный 5 2 4 2 2 4" xfId="839"/>
    <cellStyle name="Обычный 5 2 4 2 3" xfId="601"/>
    <cellStyle name="Обычный 5 2 4 2 3 2" xfId="1089"/>
    <cellStyle name="Обычный 5 2 4 2 4" xfId="336"/>
    <cellStyle name="Обычный 5 2 4 2 4 2" xfId="917"/>
    <cellStyle name="Обычный 5 2 4 2 5" xfId="761"/>
    <cellStyle name="Обычный 5 2 4 3" xfId="219"/>
    <cellStyle name="Обычный 5 2 4 3 2" xfId="641"/>
    <cellStyle name="Обычный 5 2 4 3 2 2" xfId="1128"/>
    <cellStyle name="Обычный 5 2 4 3 3" xfId="430"/>
    <cellStyle name="Обычный 5 2 4 3 3 2" xfId="990"/>
    <cellStyle name="Обычный 5 2 4 3 4" xfId="802"/>
    <cellStyle name="Обычный 5 2 4 4" xfId="563"/>
    <cellStyle name="Обычный 5 2 4 4 2" xfId="1052"/>
    <cellStyle name="Обычный 5 2 4 5" xfId="299"/>
    <cellStyle name="Обычный 5 2 4 5 2" xfId="880"/>
    <cellStyle name="Обычный 5 2 4 6" xfId="724"/>
    <cellStyle name="Обычный 5 2 5" xfId="94"/>
    <cellStyle name="Обычный 5 2 5 2" xfId="212"/>
    <cellStyle name="Обычный 5 2 5 2 2" xfId="634"/>
    <cellStyle name="Обычный 5 2 5 2 2 2" xfId="1121"/>
    <cellStyle name="Обычный 5 2 5 2 3" xfId="432"/>
    <cellStyle name="Обычный 5 2 5 2 3 2" xfId="992"/>
    <cellStyle name="Обычный 5 2 5 2 4" xfId="795"/>
    <cellStyle name="Обычный 5 2 5 3" xfId="556"/>
    <cellStyle name="Обычный 5 2 5 3 2" xfId="1045"/>
    <cellStyle name="Обычный 5 2 5 4" xfId="292"/>
    <cellStyle name="Обычный 5 2 5 4 2" xfId="873"/>
    <cellStyle name="Обычный 5 2 5 5" xfId="717"/>
    <cellStyle name="Обычный 5 2 6" xfId="162"/>
    <cellStyle name="Обычный 5 2 6 2" xfId="250"/>
    <cellStyle name="Обычный 5 2 6 2 2" xfId="672"/>
    <cellStyle name="Обычный 5 2 6 2 2 2" xfId="1158"/>
    <cellStyle name="Обычный 5 2 6 2 3" xfId="433"/>
    <cellStyle name="Обычный 5 2 6 2 3 2" xfId="993"/>
    <cellStyle name="Обычный 5 2 6 2 4" xfId="832"/>
    <cellStyle name="Обычный 5 2 6 3" xfId="594"/>
    <cellStyle name="Обычный 5 2 6 3 2" xfId="1082"/>
    <cellStyle name="Обычный 5 2 6 4" xfId="329"/>
    <cellStyle name="Обычный 5 2 6 4 2" xfId="910"/>
    <cellStyle name="Обычный 5 2 6 5" xfId="754"/>
    <cellStyle name="Обычный 5 2 7" xfId="417"/>
    <cellStyle name="Обычный 5 3" xfId="416"/>
    <cellStyle name="Обычный 5_USD" xfId="191"/>
    <cellStyle name="Обычный 6" xfId="24"/>
    <cellStyle name="Обычный 6 2" xfId="62"/>
    <cellStyle name="Обычный 6 2 2" xfId="102"/>
    <cellStyle name="Обычный 6 2 2 2" xfId="436"/>
    <cellStyle name="Обычный 6 2 3" xfId="435"/>
    <cellStyle name="Обычный 6 3" xfId="434"/>
    <cellStyle name="Обычный 6_USD" xfId="190"/>
    <cellStyle name="Обычный 7" xfId="103"/>
    <cellStyle name="Обычный 7 2" xfId="437"/>
    <cellStyle name="Обычный 7 2 2" xfId="994"/>
    <cellStyle name="Обычный 8" xfId="28"/>
    <cellStyle name="Обычный 8 2" xfId="438"/>
    <cellStyle name="Обычный 9" xfId="104"/>
    <cellStyle name="Обычный 9 2" xfId="105"/>
    <cellStyle name="Обычный 9 2 2" xfId="440"/>
    <cellStyle name="Обычный 9 3" xfId="439"/>
    <cellStyle name="Процентный" xfId="697" builtinId="5"/>
    <cellStyle name="Процентный 2" xfId="7"/>
    <cellStyle name="Процентный 2 2" xfId="441"/>
    <cellStyle name="Процентный 3" xfId="8"/>
    <cellStyle name="Процентный 3 2" xfId="32"/>
    <cellStyle name="Процентный 3 2 2" xfId="443"/>
    <cellStyle name="Процентный 3 2 2 2" xfId="996"/>
    <cellStyle name="Процентный 3 3" xfId="34"/>
    <cellStyle name="Процентный 3 3 2" xfId="444"/>
    <cellStyle name="Процентный 3 4" xfId="30"/>
    <cellStyle name="Процентный 3 4 2" xfId="445"/>
    <cellStyle name="Процентный 3 5" xfId="442"/>
    <cellStyle name="Процентный 3 5 2" xfId="995"/>
    <cellStyle name="Процентный 4" xfId="106"/>
    <cellStyle name="Процентный 4 2" xfId="107"/>
    <cellStyle name="Процентный 4 2 2" xfId="447"/>
    <cellStyle name="Процентный 4 3" xfId="108"/>
    <cellStyle name="Процентный 4 3 2" xfId="448"/>
    <cellStyle name="Процентный 4 4" xfId="446"/>
    <cellStyle name="Процентный 4 4 2" xfId="997"/>
    <cellStyle name="Процентный 5" xfId="109"/>
    <cellStyle name="Процентный 5 2" xfId="449"/>
    <cellStyle name="Финансовый" xfId="194" builtinId="3"/>
    <cellStyle name="Финансовый 10" xfId="29"/>
    <cellStyle name="Финансовый 10 2" xfId="31"/>
    <cellStyle name="Финансовый 10 2 2" xfId="451"/>
    <cellStyle name="Финансовый 10 3" xfId="35"/>
    <cellStyle name="Финансовый 10 3 2" xfId="452"/>
    <cellStyle name="Финансовый 10 4" xfId="110"/>
    <cellStyle name="Финансовый 10 4 2" xfId="453"/>
    <cellStyle name="Финансовый 10 5" xfId="111"/>
    <cellStyle name="Финансовый 10 5 2" xfId="112"/>
    <cellStyle name="Финансовый 10 5 2 2" xfId="455"/>
    <cellStyle name="Финансовый 10 5 3" xfId="454"/>
    <cellStyle name="Финансовый 10 6" xfId="450"/>
    <cellStyle name="Финансовый 11" xfId="36"/>
    <cellStyle name="Финансовый 11 2" xfId="37"/>
    <cellStyle name="Финансовый 11 2 2" xfId="457"/>
    <cellStyle name="Финансовый 11 3" xfId="456"/>
    <cellStyle name="Финансовый 12" xfId="38"/>
    <cellStyle name="Финансовый 12 2" xfId="39"/>
    <cellStyle name="Финансовый 12 2 2" xfId="459"/>
    <cellStyle name="Финансовый 12 3" xfId="40"/>
    <cellStyle name="Финансовый 12 3 2" xfId="460"/>
    <cellStyle name="Финансовый 12 4" xfId="113"/>
    <cellStyle name="Финансовый 12 4 2" xfId="461"/>
    <cellStyle name="Финансовый 12 4 2 2" xfId="998"/>
    <cellStyle name="Финансовый 12 5" xfId="458"/>
    <cellStyle name="Финансовый 13" xfId="41"/>
    <cellStyle name="Финансовый 13 2" xfId="462"/>
    <cellStyle name="Финансовый 14" xfId="63"/>
    <cellStyle name="Финансовый 14 2" xfId="115"/>
    <cellStyle name="Финансовый 14 2 2" xfId="464"/>
    <cellStyle name="Финансовый 14 3" xfId="114"/>
    <cellStyle name="Финансовый 14 3 2" xfId="465"/>
    <cellStyle name="Финансовый 14 4" xfId="463"/>
    <cellStyle name="Финансовый 14 4 2" xfId="999"/>
    <cellStyle name="Финансовый 15" xfId="116"/>
    <cellStyle name="Финансовый 15 2" xfId="117"/>
    <cellStyle name="Финансовый 15 2 2" xfId="467"/>
    <cellStyle name="Финансовый 15 3" xfId="466"/>
    <cellStyle name="Финансовый 16" xfId="118"/>
    <cellStyle name="Финансовый 16 2" xfId="119"/>
    <cellStyle name="Финансовый 16 2 2" xfId="120"/>
    <cellStyle name="Финансовый 16 2 2 2" xfId="173"/>
    <cellStyle name="Финансовый 16 2 2 2 2" xfId="261"/>
    <cellStyle name="Финансовый 16 2 2 2 2 2" xfId="683"/>
    <cellStyle name="Финансовый 16 2 2 2 2 2 2" xfId="1168"/>
    <cellStyle name="Финансовый 16 2 2 2 2 3" xfId="471"/>
    <cellStyle name="Финансовый 16 2 2 2 2 3 2" xfId="1003"/>
    <cellStyle name="Финансовый 16 2 2 2 2 4" xfId="842"/>
    <cellStyle name="Финансовый 16 2 2 2 3" xfId="605"/>
    <cellStyle name="Финансовый 16 2 2 2 3 2" xfId="1092"/>
    <cellStyle name="Финансовый 16 2 2 2 4" xfId="339"/>
    <cellStyle name="Финансовый 16 2 2 2 4 2" xfId="920"/>
    <cellStyle name="Финансовый 16 2 2 2 5" xfId="764"/>
    <cellStyle name="Финансовый 16 2 2 3" xfId="222"/>
    <cellStyle name="Финансовый 16 2 2 3 2" xfId="644"/>
    <cellStyle name="Финансовый 16 2 2 3 2 2" xfId="1131"/>
    <cellStyle name="Финансовый 16 2 2 3 3" xfId="470"/>
    <cellStyle name="Финансовый 16 2 2 3 3 2" xfId="1002"/>
    <cellStyle name="Финансовый 16 2 2 3 4" xfId="805"/>
    <cellStyle name="Финансовый 16 2 2 4" xfId="566"/>
    <cellStyle name="Финансовый 16 2 2 4 2" xfId="1055"/>
    <cellStyle name="Финансовый 16 2 2 5" xfId="302"/>
    <cellStyle name="Финансовый 16 2 2 5 2" xfId="883"/>
    <cellStyle name="Финансовый 16 2 2 6" xfId="727"/>
    <cellStyle name="Финансовый 16 2 3" xfId="172"/>
    <cellStyle name="Финансовый 16 2 3 2" xfId="260"/>
    <cellStyle name="Финансовый 16 2 3 2 2" xfId="682"/>
    <cellStyle name="Финансовый 16 2 3 2 2 2" xfId="1167"/>
    <cellStyle name="Финансовый 16 2 3 2 3" xfId="472"/>
    <cellStyle name="Финансовый 16 2 3 2 3 2" xfId="1004"/>
    <cellStyle name="Финансовый 16 2 3 2 4" xfId="841"/>
    <cellStyle name="Финансовый 16 2 3 3" xfId="604"/>
    <cellStyle name="Финансовый 16 2 3 3 2" xfId="1091"/>
    <cellStyle name="Финансовый 16 2 3 4" xfId="338"/>
    <cellStyle name="Финансовый 16 2 3 4 2" xfId="919"/>
    <cellStyle name="Финансовый 16 2 3 5" xfId="763"/>
    <cellStyle name="Финансовый 16 2 4" xfId="221"/>
    <cellStyle name="Финансовый 16 2 4 2" xfId="643"/>
    <cellStyle name="Финансовый 16 2 4 2 2" xfId="1130"/>
    <cellStyle name="Финансовый 16 2 4 3" xfId="469"/>
    <cellStyle name="Финансовый 16 2 4 3 2" xfId="1001"/>
    <cellStyle name="Финансовый 16 2 4 4" xfId="804"/>
    <cellStyle name="Финансовый 16 2 5" xfId="565"/>
    <cellStyle name="Финансовый 16 2 5 2" xfId="1054"/>
    <cellStyle name="Финансовый 16 2 6" xfId="301"/>
    <cellStyle name="Финансовый 16 2 6 2" xfId="882"/>
    <cellStyle name="Финансовый 16 2 7" xfId="726"/>
    <cellStyle name="Финансовый 16 3" xfId="121"/>
    <cellStyle name="Финансовый 16 3 2" xfId="174"/>
    <cellStyle name="Финансовый 16 3 2 2" xfId="262"/>
    <cellStyle name="Финансовый 16 3 2 2 2" xfId="684"/>
    <cellStyle name="Финансовый 16 3 2 2 2 2" xfId="1169"/>
    <cellStyle name="Финансовый 16 3 2 2 3" xfId="474"/>
    <cellStyle name="Финансовый 16 3 2 2 3 2" xfId="1006"/>
    <cellStyle name="Финансовый 16 3 2 2 4" xfId="843"/>
    <cellStyle name="Финансовый 16 3 2 3" xfId="606"/>
    <cellStyle name="Финансовый 16 3 2 3 2" xfId="1093"/>
    <cellStyle name="Финансовый 16 3 2 4" xfId="340"/>
    <cellStyle name="Финансовый 16 3 2 4 2" xfId="921"/>
    <cellStyle name="Финансовый 16 3 2 5" xfId="765"/>
    <cellStyle name="Финансовый 16 3 3" xfId="223"/>
    <cellStyle name="Финансовый 16 3 3 2" xfId="645"/>
    <cellStyle name="Финансовый 16 3 3 2 2" xfId="1132"/>
    <cellStyle name="Финансовый 16 3 3 3" xfId="473"/>
    <cellStyle name="Финансовый 16 3 3 3 2" xfId="1005"/>
    <cellStyle name="Финансовый 16 3 3 4" xfId="806"/>
    <cellStyle name="Финансовый 16 3 4" xfId="567"/>
    <cellStyle name="Финансовый 16 3 4 2" xfId="1056"/>
    <cellStyle name="Финансовый 16 3 5" xfId="303"/>
    <cellStyle name="Финансовый 16 3 5 2" xfId="884"/>
    <cellStyle name="Финансовый 16 3 6" xfId="728"/>
    <cellStyle name="Финансовый 16 4" xfId="171"/>
    <cellStyle name="Финансовый 16 4 2" xfId="259"/>
    <cellStyle name="Финансовый 16 4 2 2" xfId="681"/>
    <cellStyle name="Финансовый 16 4 2 2 2" xfId="1166"/>
    <cellStyle name="Финансовый 16 4 2 3" xfId="475"/>
    <cellStyle name="Финансовый 16 4 2 3 2" xfId="1007"/>
    <cellStyle name="Финансовый 16 4 2 4" xfId="840"/>
    <cellStyle name="Финансовый 16 4 3" xfId="603"/>
    <cellStyle name="Финансовый 16 4 3 2" xfId="1090"/>
    <cellStyle name="Финансовый 16 4 4" xfId="337"/>
    <cellStyle name="Финансовый 16 4 4 2" xfId="918"/>
    <cellStyle name="Финансовый 16 4 5" xfId="762"/>
    <cellStyle name="Финансовый 16 5" xfId="220"/>
    <cellStyle name="Финансовый 16 5 2" xfId="642"/>
    <cellStyle name="Финансовый 16 5 2 2" xfId="1129"/>
    <cellStyle name="Финансовый 16 5 3" xfId="468"/>
    <cellStyle name="Финансовый 16 5 3 2" xfId="1000"/>
    <cellStyle name="Финансовый 16 5 4" xfId="803"/>
    <cellStyle name="Финансовый 16 6" xfId="564"/>
    <cellStyle name="Финансовый 16 6 2" xfId="1053"/>
    <cellStyle name="Финансовый 16 7" xfId="300"/>
    <cellStyle name="Финансовый 16 7 2" xfId="881"/>
    <cellStyle name="Финансовый 16 8" xfId="725"/>
    <cellStyle name="Финансовый 17" xfId="122"/>
    <cellStyle name="Финансовый 17 2" xfId="123"/>
    <cellStyle name="Финансовый 17 2 2" xfId="477"/>
    <cellStyle name="Финансовый 17 3" xfId="476"/>
    <cellStyle name="Финансовый 18" xfId="124"/>
    <cellStyle name="Финансовый 18 2" xfId="478"/>
    <cellStyle name="Финансовый 18 2 2" xfId="1008"/>
    <cellStyle name="Финансовый 19" xfId="170"/>
    <cellStyle name="Финансовый 19 2" xfId="258"/>
    <cellStyle name="Финансовый 19 2 2" xfId="680"/>
    <cellStyle name="Финансовый 19 2 3" xfId="479"/>
    <cellStyle name="Финансовый 19 3" xfId="602"/>
    <cellStyle name="Финансовый 2" xfId="10"/>
    <cellStyle name="Финансовый 2 2" xfId="43"/>
    <cellStyle name="Финансовый 2 2 2" xfId="481"/>
    <cellStyle name="Финансовый 2 2 2 2" xfId="1010"/>
    <cellStyle name="Финансовый 2 3" xfId="44"/>
    <cellStyle name="Финансовый 2 3 2" xfId="482"/>
    <cellStyle name="Финансовый 2 4" xfId="45"/>
    <cellStyle name="Финансовый 2 4 2" xfId="483"/>
    <cellStyle name="Финансовый 2 5" xfId="42"/>
    <cellStyle name="Финансовый 2 5 2" xfId="484"/>
    <cellStyle name="Финансовый 2 6" xfId="125"/>
    <cellStyle name="Финансовый 2 6 2" xfId="485"/>
    <cellStyle name="Финансовый 2 7" xfId="480"/>
    <cellStyle name="Финансовый 2 7 2" xfId="1009"/>
    <cellStyle name="Финансовый 20" xfId="184"/>
    <cellStyle name="Финансовый 20 2" xfId="486"/>
    <cellStyle name="Финансовый 20 2 2" xfId="1011"/>
    <cellStyle name="Финансовый 3" xfId="11"/>
    <cellStyle name="Финансовый 3 2" xfId="12"/>
    <cellStyle name="Финансовый 3 2 2" xfId="488"/>
    <cellStyle name="Финансовый 3 3" xfId="126"/>
    <cellStyle name="Финансовый 3 3 2" xfId="489"/>
    <cellStyle name="Финансовый 3 4" xfId="487"/>
    <cellStyle name="Финансовый 4" xfId="13"/>
    <cellStyle name="Финансовый 4 2" xfId="490"/>
    <cellStyle name="Финансовый 5" xfId="14"/>
    <cellStyle name="Финансовый 5 2" xfId="15"/>
    <cellStyle name="Финансовый 5 2 2" xfId="46"/>
    <cellStyle name="Финансовый 5 2 2 2" xfId="493"/>
    <cellStyle name="Финансовый 5 2 3" xfId="492"/>
    <cellStyle name="Финансовый 5 3" xfId="23"/>
    <cellStyle name="Финансовый 5 3 2" xfId="47"/>
    <cellStyle name="Финансовый 5 3 2 2" xfId="495"/>
    <cellStyle name="Финансовый 5 3 3" xfId="494"/>
    <cellStyle name="Финансовый 5 4" xfId="33"/>
    <cellStyle name="Финансовый 5 4 2" xfId="49"/>
    <cellStyle name="Финансовый 5 4 2 2" xfId="497"/>
    <cellStyle name="Финансовый 5 4 3" xfId="48"/>
    <cellStyle name="Финансовый 5 4 3 2" xfId="498"/>
    <cellStyle name="Финансовый 5 4 4" xfId="127"/>
    <cellStyle name="Финансовый 5 4 4 2" xfId="499"/>
    <cellStyle name="Финансовый 5 4 5" xfId="128"/>
    <cellStyle name="Финансовый 5 4 5 2" xfId="129"/>
    <cellStyle name="Финансовый 5 4 5 2 2" xfId="501"/>
    <cellStyle name="Финансовый 5 4 5 3" xfId="500"/>
    <cellStyle name="Финансовый 5 4 6" xfId="496"/>
    <cellStyle name="Финансовый 5 5" xfId="130"/>
    <cellStyle name="Финансовый 5 5 2" xfId="131"/>
    <cellStyle name="Финансовый 5 5 2 2" xfId="503"/>
    <cellStyle name="Финансовый 5 5 3" xfId="502"/>
    <cellStyle name="Финансовый 5 6" xfId="491"/>
    <cellStyle name="Финансовый 6" xfId="16"/>
    <cellStyle name="Финансовый 6 2" xfId="17"/>
    <cellStyle name="Финансовый 6 2 2" xfId="505"/>
    <cellStyle name="Финансовый 6 3" xfId="50"/>
    <cellStyle name="Финансовый 6 3 2" xfId="506"/>
    <cellStyle name="Финансовый 6 4" xfId="504"/>
    <cellStyle name="Финансовый 7" xfId="18"/>
    <cellStyle name="Финансовый 7 2" xfId="51"/>
    <cellStyle name="Финансовый 7 2 2" xfId="133"/>
    <cellStyle name="Финансовый 7 2 2 2" xfId="509"/>
    <cellStyle name="Финансовый 7 2 3" xfId="134"/>
    <cellStyle name="Финансовый 7 2 3 2" xfId="510"/>
    <cellStyle name="Финансовый 7 2 4" xfId="132"/>
    <cellStyle name="Финансовый 7 2 4 2" xfId="511"/>
    <cellStyle name="Финансовый 7 2 5" xfId="508"/>
    <cellStyle name="Финансовый 7 3" xfId="52"/>
    <cellStyle name="Финансовый 7 3 2" xfId="512"/>
    <cellStyle name="Финансовый 7 4" xfId="507"/>
    <cellStyle name="Финансовый 8" xfId="9"/>
    <cellStyle name="Финансовый 8 2" xfId="54"/>
    <cellStyle name="Финансовый 8 2 2" xfId="55"/>
    <cellStyle name="Финансовый 8 2 2 2" xfId="515"/>
    <cellStyle name="Финансовый 8 2 3" xfId="514"/>
    <cellStyle name="Финансовый 8 3" xfId="56"/>
    <cellStyle name="Финансовый 8 3 2" xfId="516"/>
    <cellStyle name="Финансовый 8 4" xfId="57"/>
    <cellStyle name="Финансовый 8 4 2" xfId="517"/>
    <cellStyle name="Финансовый 8 5" xfId="53"/>
    <cellStyle name="Финансовый 8 5 2" xfId="518"/>
    <cellStyle name="Финансовый 8 6" xfId="135"/>
    <cellStyle name="Финансовый 8 6 2" xfId="519"/>
    <cellStyle name="Финансовый 8 7" xfId="513"/>
    <cellStyle name="Финансовый 9" xfId="22"/>
    <cellStyle name="Финансовый 9 2" xfId="59"/>
    <cellStyle name="Финансовый 9 2 2" xfId="521"/>
    <cellStyle name="Финансовый 9 3" xfId="58"/>
    <cellStyle name="Финансовый 9 3 2" xfId="522"/>
    <cellStyle name="Финансовый 9 4" xfId="136"/>
    <cellStyle name="Финансовый 9 4 2" xfId="137"/>
    <cellStyle name="Финансовый 9 4 2 2" xfId="138"/>
    <cellStyle name="Финансовый 9 4 2 2 2" xfId="139"/>
    <cellStyle name="Финансовый 9 4 2 2 2 2" xfId="178"/>
    <cellStyle name="Финансовый 9 4 2 2 2 2 2" xfId="266"/>
    <cellStyle name="Финансовый 9 4 2 2 2 2 2 2" xfId="688"/>
    <cellStyle name="Финансовый 9 4 2 2 2 2 2 2 2" xfId="1173"/>
    <cellStyle name="Финансовый 9 4 2 2 2 2 2 3" xfId="527"/>
    <cellStyle name="Финансовый 9 4 2 2 2 2 2 3 2" xfId="1016"/>
    <cellStyle name="Финансовый 9 4 2 2 2 2 2 4" xfId="847"/>
    <cellStyle name="Финансовый 9 4 2 2 2 2 3" xfId="610"/>
    <cellStyle name="Финансовый 9 4 2 2 2 2 3 2" xfId="1097"/>
    <cellStyle name="Финансовый 9 4 2 2 2 2 4" xfId="344"/>
    <cellStyle name="Финансовый 9 4 2 2 2 2 4 2" xfId="925"/>
    <cellStyle name="Финансовый 9 4 2 2 2 2 5" xfId="769"/>
    <cellStyle name="Финансовый 9 4 2 2 2 3" xfId="227"/>
    <cellStyle name="Финансовый 9 4 2 2 2 3 2" xfId="649"/>
    <cellStyle name="Финансовый 9 4 2 2 2 3 2 2" xfId="1136"/>
    <cellStyle name="Финансовый 9 4 2 2 2 3 3" xfId="526"/>
    <cellStyle name="Финансовый 9 4 2 2 2 3 3 2" xfId="1015"/>
    <cellStyle name="Финансовый 9 4 2 2 2 3 4" xfId="810"/>
    <cellStyle name="Финансовый 9 4 2 2 2 4" xfId="571"/>
    <cellStyle name="Финансовый 9 4 2 2 2 4 2" xfId="1060"/>
    <cellStyle name="Финансовый 9 4 2 2 2 5" xfId="307"/>
    <cellStyle name="Финансовый 9 4 2 2 2 5 2" xfId="888"/>
    <cellStyle name="Финансовый 9 4 2 2 2 6" xfId="732"/>
    <cellStyle name="Финансовый 9 4 2 2 3" xfId="177"/>
    <cellStyle name="Финансовый 9 4 2 2 3 2" xfId="265"/>
    <cellStyle name="Финансовый 9 4 2 2 3 2 2" xfId="687"/>
    <cellStyle name="Финансовый 9 4 2 2 3 2 2 2" xfId="1172"/>
    <cellStyle name="Финансовый 9 4 2 2 3 2 3" xfId="528"/>
    <cellStyle name="Финансовый 9 4 2 2 3 2 3 2" xfId="1017"/>
    <cellStyle name="Финансовый 9 4 2 2 3 2 4" xfId="846"/>
    <cellStyle name="Финансовый 9 4 2 2 3 3" xfId="609"/>
    <cellStyle name="Финансовый 9 4 2 2 3 3 2" xfId="1096"/>
    <cellStyle name="Финансовый 9 4 2 2 3 4" xfId="343"/>
    <cellStyle name="Финансовый 9 4 2 2 3 4 2" xfId="924"/>
    <cellStyle name="Финансовый 9 4 2 2 3 5" xfId="768"/>
    <cellStyle name="Финансовый 9 4 2 2 4" xfId="226"/>
    <cellStyle name="Финансовый 9 4 2 2 4 2" xfId="648"/>
    <cellStyle name="Финансовый 9 4 2 2 4 2 2" xfId="1135"/>
    <cellStyle name="Финансовый 9 4 2 2 4 3" xfId="525"/>
    <cellStyle name="Финансовый 9 4 2 2 4 3 2" xfId="1014"/>
    <cellStyle name="Финансовый 9 4 2 2 4 4" xfId="809"/>
    <cellStyle name="Финансовый 9 4 2 2 5" xfId="570"/>
    <cellStyle name="Финансовый 9 4 2 2 5 2" xfId="1059"/>
    <cellStyle name="Финансовый 9 4 2 2 6" xfId="306"/>
    <cellStyle name="Финансовый 9 4 2 2 6 2" xfId="887"/>
    <cellStyle name="Финансовый 9 4 2 2 7" xfId="731"/>
    <cellStyle name="Финансовый 9 4 2 3" xfId="140"/>
    <cellStyle name="Финансовый 9 4 2 3 2" xfId="179"/>
    <cellStyle name="Финансовый 9 4 2 3 2 2" xfId="267"/>
    <cellStyle name="Финансовый 9 4 2 3 2 2 2" xfId="689"/>
    <cellStyle name="Финансовый 9 4 2 3 2 2 2 2" xfId="1174"/>
    <cellStyle name="Финансовый 9 4 2 3 2 2 3" xfId="530"/>
    <cellStyle name="Финансовый 9 4 2 3 2 2 3 2" xfId="1019"/>
    <cellStyle name="Финансовый 9 4 2 3 2 2 4" xfId="848"/>
    <cellStyle name="Финансовый 9 4 2 3 2 3" xfId="611"/>
    <cellStyle name="Финансовый 9 4 2 3 2 3 2" xfId="1098"/>
    <cellStyle name="Финансовый 9 4 2 3 2 4" xfId="345"/>
    <cellStyle name="Финансовый 9 4 2 3 2 4 2" xfId="926"/>
    <cellStyle name="Финансовый 9 4 2 3 2 5" xfId="770"/>
    <cellStyle name="Финансовый 9 4 2 3 3" xfId="228"/>
    <cellStyle name="Финансовый 9 4 2 3 3 2" xfId="650"/>
    <cellStyle name="Финансовый 9 4 2 3 3 2 2" xfId="1137"/>
    <cellStyle name="Финансовый 9 4 2 3 3 3" xfId="529"/>
    <cellStyle name="Финансовый 9 4 2 3 3 3 2" xfId="1018"/>
    <cellStyle name="Финансовый 9 4 2 3 3 4" xfId="811"/>
    <cellStyle name="Финансовый 9 4 2 3 4" xfId="572"/>
    <cellStyle name="Финансовый 9 4 2 3 4 2" xfId="1061"/>
    <cellStyle name="Финансовый 9 4 2 3 5" xfId="308"/>
    <cellStyle name="Финансовый 9 4 2 3 5 2" xfId="889"/>
    <cellStyle name="Финансовый 9 4 2 3 6" xfId="733"/>
    <cellStyle name="Финансовый 9 4 2 4" xfId="176"/>
    <cellStyle name="Финансовый 9 4 2 4 2" xfId="264"/>
    <cellStyle name="Финансовый 9 4 2 4 2 2" xfId="686"/>
    <cellStyle name="Финансовый 9 4 2 4 2 2 2" xfId="1171"/>
    <cellStyle name="Финансовый 9 4 2 4 2 3" xfId="531"/>
    <cellStyle name="Финансовый 9 4 2 4 2 3 2" xfId="1020"/>
    <cellStyle name="Финансовый 9 4 2 4 2 4" xfId="845"/>
    <cellStyle name="Финансовый 9 4 2 4 3" xfId="608"/>
    <cellStyle name="Финансовый 9 4 2 4 3 2" xfId="1095"/>
    <cellStyle name="Финансовый 9 4 2 4 4" xfId="342"/>
    <cellStyle name="Финансовый 9 4 2 4 4 2" xfId="923"/>
    <cellStyle name="Финансовый 9 4 2 4 5" xfId="767"/>
    <cellStyle name="Финансовый 9 4 2 5" xfId="225"/>
    <cellStyle name="Финансовый 9 4 2 5 2" xfId="647"/>
    <cellStyle name="Финансовый 9 4 2 5 2 2" xfId="1134"/>
    <cellStyle name="Финансовый 9 4 2 5 3" xfId="524"/>
    <cellStyle name="Финансовый 9 4 2 5 3 2" xfId="1013"/>
    <cellStyle name="Финансовый 9 4 2 5 4" xfId="808"/>
    <cellStyle name="Финансовый 9 4 2 6" xfId="569"/>
    <cellStyle name="Финансовый 9 4 2 6 2" xfId="1058"/>
    <cellStyle name="Финансовый 9 4 2 7" xfId="305"/>
    <cellStyle name="Финансовый 9 4 2 7 2" xfId="886"/>
    <cellStyle name="Финансовый 9 4 2 8" xfId="730"/>
    <cellStyle name="Финансовый 9 4 3" xfId="141"/>
    <cellStyle name="Финансовый 9 4 3 2" xfId="142"/>
    <cellStyle name="Финансовый 9 4 3 2 2" xfId="181"/>
    <cellStyle name="Финансовый 9 4 3 2 2 2" xfId="269"/>
    <cellStyle name="Финансовый 9 4 3 2 2 2 2" xfId="691"/>
    <cellStyle name="Финансовый 9 4 3 2 2 2 2 2" xfId="1176"/>
    <cellStyle name="Финансовый 9 4 3 2 2 2 3" xfId="534"/>
    <cellStyle name="Финансовый 9 4 3 2 2 2 3 2" xfId="1023"/>
    <cellStyle name="Финансовый 9 4 3 2 2 2 4" xfId="850"/>
    <cellStyle name="Финансовый 9 4 3 2 2 3" xfId="613"/>
    <cellStyle name="Финансовый 9 4 3 2 2 3 2" xfId="1100"/>
    <cellStyle name="Финансовый 9 4 3 2 2 4" xfId="347"/>
    <cellStyle name="Финансовый 9 4 3 2 2 4 2" xfId="928"/>
    <cellStyle name="Финансовый 9 4 3 2 2 5" xfId="772"/>
    <cellStyle name="Финансовый 9 4 3 2 3" xfId="230"/>
    <cellStyle name="Финансовый 9 4 3 2 3 2" xfId="652"/>
    <cellStyle name="Финансовый 9 4 3 2 3 2 2" xfId="1139"/>
    <cellStyle name="Финансовый 9 4 3 2 3 3" xfId="533"/>
    <cellStyle name="Финансовый 9 4 3 2 3 3 2" xfId="1022"/>
    <cellStyle name="Финансовый 9 4 3 2 3 4" xfId="813"/>
    <cellStyle name="Финансовый 9 4 3 2 4" xfId="574"/>
    <cellStyle name="Финансовый 9 4 3 2 4 2" xfId="1063"/>
    <cellStyle name="Финансовый 9 4 3 2 5" xfId="310"/>
    <cellStyle name="Финансовый 9 4 3 2 5 2" xfId="891"/>
    <cellStyle name="Финансовый 9 4 3 2 6" xfId="735"/>
    <cellStyle name="Финансовый 9 4 3 3" xfId="180"/>
    <cellStyle name="Финансовый 9 4 3 3 2" xfId="268"/>
    <cellStyle name="Финансовый 9 4 3 3 2 2" xfId="690"/>
    <cellStyle name="Финансовый 9 4 3 3 2 2 2" xfId="1175"/>
    <cellStyle name="Финансовый 9 4 3 3 2 3" xfId="535"/>
    <cellStyle name="Финансовый 9 4 3 3 2 3 2" xfId="1024"/>
    <cellStyle name="Финансовый 9 4 3 3 2 4" xfId="849"/>
    <cellStyle name="Финансовый 9 4 3 3 3" xfId="612"/>
    <cellStyle name="Финансовый 9 4 3 3 3 2" xfId="1099"/>
    <cellStyle name="Финансовый 9 4 3 3 4" xfId="346"/>
    <cellStyle name="Финансовый 9 4 3 3 4 2" xfId="927"/>
    <cellStyle name="Финансовый 9 4 3 3 5" xfId="771"/>
    <cellStyle name="Финансовый 9 4 3 4" xfId="229"/>
    <cellStyle name="Финансовый 9 4 3 4 2" xfId="651"/>
    <cellStyle name="Финансовый 9 4 3 4 2 2" xfId="1138"/>
    <cellStyle name="Финансовый 9 4 3 4 3" xfId="532"/>
    <cellStyle name="Финансовый 9 4 3 4 3 2" xfId="1021"/>
    <cellStyle name="Финансовый 9 4 3 4 4" xfId="812"/>
    <cellStyle name="Финансовый 9 4 3 5" xfId="573"/>
    <cellStyle name="Финансовый 9 4 3 5 2" xfId="1062"/>
    <cellStyle name="Финансовый 9 4 3 6" xfId="309"/>
    <cellStyle name="Финансовый 9 4 3 6 2" xfId="890"/>
    <cellStyle name="Финансовый 9 4 3 7" xfId="734"/>
    <cellStyle name="Финансовый 9 4 4" xfId="143"/>
    <cellStyle name="Финансовый 9 4 4 2" xfId="182"/>
    <cellStyle name="Финансовый 9 4 4 2 2" xfId="270"/>
    <cellStyle name="Финансовый 9 4 4 2 2 2" xfId="692"/>
    <cellStyle name="Финансовый 9 4 4 2 2 2 2" xfId="1177"/>
    <cellStyle name="Финансовый 9 4 4 2 2 3" xfId="537"/>
    <cellStyle name="Финансовый 9 4 4 2 2 3 2" xfId="1026"/>
    <cellStyle name="Финансовый 9 4 4 2 2 4" xfId="851"/>
    <cellStyle name="Финансовый 9 4 4 2 3" xfId="614"/>
    <cellStyle name="Финансовый 9 4 4 2 3 2" xfId="1101"/>
    <cellStyle name="Финансовый 9 4 4 2 4" xfId="348"/>
    <cellStyle name="Финансовый 9 4 4 2 4 2" xfId="929"/>
    <cellStyle name="Финансовый 9 4 4 2 5" xfId="773"/>
    <cellStyle name="Финансовый 9 4 4 3" xfId="231"/>
    <cellStyle name="Финансовый 9 4 4 3 2" xfId="653"/>
    <cellStyle name="Финансовый 9 4 4 3 2 2" xfId="1140"/>
    <cellStyle name="Финансовый 9 4 4 3 3" xfId="536"/>
    <cellStyle name="Финансовый 9 4 4 3 3 2" xfId="1025"/>
    <cellStyle name="Финансовый 9 4 4 3 4" xfId="814"/>
    <cellStyle name="Финансовый 9 4 4 4" xfId="575"/>
    <cellStyle name="Финансовый 9 4 4 4 2" xfId="1064"/>
    <cellStyle name="Финансовый 9 4 4 5" xfId="311"/>
    <cellStyle name="Финансовый 9 4 4 5 2" xfId="892"/>
    <cellStyle name="Финансовый 9 4 4 6" xfId="736"/>
    <cellStyle name="Финансовый 9 4 5" xfId="175"/>
    <cellStyle name="Финансовый 9 4 5 2" xfId="263"/>
    <cellStyle name="Финансовый 9 4 5 2 2" xfId="685"/>
    <cellStyle name="Финансовый 9 4 5 2 2 2" xfId="1170"/>
    <cellStyle name="Финансовый 9 4 5 2 3" xfId="538"/>
    <cellStyle name="Финансовый 9 4 5 2 3 2" xfId="1027"/>
    <cellStyle name="Финансовый 9 4 5 2 4" xfId="844"/>
    <cellStyle name="Финансовый 9 4 5 3" xfId="607"/>
    <cellStyle name="Финансовый 9 4 5 3 2" xfId="1094"/>
    <cellStyle name="Финансовый 9 4 5 4" xfId="341"/>
    <cellStyle name="Финансовый 9 4 5 4 2" xfId="922"/>
    <cellStyle name="Финансовый 9 4 5 5" xfId="766"/>
    <cellStyle name="Финансовый 9 4 6" xfId="224"/>
    <cellStyle name="Финансовый 9 4 6 2" xfId="646"/>
    <cellStyle name="Финансовый 9 4 6 2 2" xfId="1133"/>
    <cellStyle name="Финансовый 9 4 6 3" xfId="523"/>
    <cellStyle name="Финансовый 9 4 6 3 2" xfId="1012"/>
    <cellStyle name="Финансовый 9 4 6 4" xfId="807"/>
    <cellStyle name="Финансовый 9 4 7" xfId="568"/>
    <cellStyle name="Финансовый 9 4 7 2" xfId="1057"/>
    <cellStyle name="Финансовый 9 4 8" xfId="304"/>
    <cellStyle name="Финансовый 9 4 8 2" xfId="885"/>
    <cellStyle name="Финансовый 9 4 9" xfId="729"/>
    <cellStyle name="Финансовый 9 5" xfId="52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4"/>
  <sheetViews>
    <sheetView zoomScale="51" zoomScaleNormal="51" workbookViewId="0">
      <pane xSplit="4" ySplit="7" topLeftCell="E440" activePane="bottomRight" state="frozen"/>
      <selection pane="topRight" activeCell="E1" sqref="E1"/>
      <selection pane="bottomLeft" activeCell="A8" sqref="A8"/>
      <selection pane="bottomRight" activeCell="K466" activeCellId="2" sqref="K465 K470 K466"/>
    </sheetView>
  </sheetViews>
  <sheetFormatPr defaultRowHeight="15.75" x14ac:dyDescent="0.25"/>
  <cols>
    <col min="1" max="3" width="9.140625" customWidth="1"/>
    <col min="4" max="4" width="23.28515625" customWidth="1"/>
    <col min="5" max="5" width="15.85546875" customWidth="1"/>
    <col min="6" max="6" width="85.140625" customWidth="1"/>
    <col min="7" max="7" width="27.42578125" customWidth="1"/>
    <col min="8" max="8" width="23.28515625" style="105" customWidth="1"/>
    <col min="9" max="9" width="21" style="105" customWidth="1"/>
    <col min="10" max="10" width="23.28515625" style="105" customWidth="1"/>
    <col min="11" max="11" width="24.7109375" style="105" customWidth="1"/>
    <col min="12" max="12" width="23.28515625" style="105" customWidth="1"/>
    <col min="13" max="13" width="21" style="105" customWidth="1"/>
    <col min="14" max="14" width="23.28515625" style="105" customWidth="1"/>
    <col min="15" max="15" width="22.42578125" style="105" customWidth="1"/>
    <col min="16" max="16" width="23.28515625" style="105" customWidth="1"/>
    <col min="17" max="17" width="22.42578125" style="105" customWidth="1"/>
    <col min="18" max="18" width="23.28515625" style="105" customWidth="1"/>
    <col min="19" max="19" width="22.42578125" style="105" customWidth="1"/>
    <col min="20" max="20" width="18.140625" style="110" customWidth="1"/>
  </cols>
  <sheetData>
    <row r="1" spans="1:20" ht="18.75" x14ac:dyDescent="0.3">
      <c r="A1" s="1"/>
      <c r="B1" s="1"/>
      <c r="C1" s="1"/>
      <c r="D1" s="1"/>
      <c r="E1" s="1"/>
      <c r="F1" s="2"/>
      <c r="G1" s="2"/>
      <c r="H1" s="93"/>
      <c r="I1" s="93"/>
      <c r="J1" s="93"/>
      <c r="K1" s="94"/>
      <c r="L1" s="94"/>
      <c r="M1" s="94"/>
      <c r="N1" s="94"/>
      <c r="O1" s="94"/>
      <c r="P1" s="94"/>
      <c r="Q1" s="94"/>
      <c r="R1" s="94"/>
      <c r="S1" s="94"/>
    </row>
    <row r="2" spans="1:20" ht="18.75" x14ac:dyDescent="0.3">
      <c r="A2" s="1"/>
      <c r="B2" s="1"/>
      <c r="C2" s="1"/>
      <c r="D2" s="1"/>
      <c r="E2" s="1"/>
      <c r="F2" s="2"/>
      <c r="G2" s="2"/>
      <c r="H2" s="93"/>
      <c r="I2" s="93"/>
      <c r="J2" s="93"/>
      <c r="K2" s="94"/>
      <c r="L2" s="94"/>
      <c r="M2" s="94"/>
      <c r="N2" s="94"/>
      <c r="O2" s="94"/>
      <c r="P2" s="94"/>
      <c r="Q2" s="94"/>
      <c r="R2" s="94"/>
      <c r="S2" s="94"/>
    </row>
    <row r="3" spans="1:20" ht="40.5" x14ac:dyDescent="0.3">
      <c r="A3" s="59" t="s">
        <v>194</v>
      </c>
      <c r="B3" s="60"/>
      <c r="C3" s="60"/>
      <c r="D3" s="60"/>
      <c r="E3" s="60"/>
      <c r="F3" s="60"/>
      <c r="G3" s="60"/>
      <c r="H3" s="95"/>
      <c r="I3" s="95"/>
      <c r="J3" s="96"/>
      <c r="K3" s="95"/>
      <c r="L3" s="95"/>
      <c r="M3" s="95"/>
      <c r="N3" s="95"/>
      <c r="O3" s="95"/>
      <c r="P3" s="95"/>
      <c r="Q3" s="95"/>
      <c r="R3" s="95"/>
      <c r="S3" s="95"/>
    </row>
    <row r="4" spans="1:20" ht="18.75" x14ac:dyDescent="0.3">
      <c r="A4" s="16"/>
      <c r="B4" s="1"/>
      <c r="C4" s="1"/>
      <c r="D4" s="1"/>
      <c r="E4" s="1"/>
      <c r="F4" s="2"/>
      <c r="G4" s="2"/>
      <c r="H4" s="93">
        <v>91.6</v>
      </c>
      <c r="I4" s="93"/>
      <c r="J4" s="145">
        <v>88.4</v>
      </c>
      <c r="K4"/>
      <c r="L4" s="145">
        <v>89.3</v>
      </c>
      <c r="M4"/>
      <c r="N4" s="145">
        <v>89.5</v>
      </c>
      <c r="O4" s="1"/>
      <c r="P4" s="145">
        <v>90</v>
      </c>
      <c r="Q4" s="1"/>
      <c r="R4" s="146">
        <v>90.5</v>
      </c>
      <c r="S4" s="94"/>
    </row>
    <row r="5" spans="1:20" ht="49.5" x14ac:dyDescent="0.25">
      <c r="A5" s="61" t="s">
        <v>0</v>
      </c>
      <c r="B5" s="61"/>
      <c r="C5" s="61"/>
      <c r="D5" s="61"/>
      <c r="E5" s="18" t="s">
        <v>163</v>
      </c>
      <c r="F5" s="3" t="s">
        <v>1</v>
      </c>
      <c r="G5" s="3" t="s">
        <v>265</v>
      </c>
      <c r="H5" s="106">
        <v>2025</v>
      </c>
      <c r="I5" s="107"/>
      <c r="J5" s="106">
        <v>2026</v>
      </c>
      <c r="K5" s="107"/>
      <c r="L5" s="106">
        <v>2027</v>
      </c>
      <c r="M5" s="107"/>
      <c r="N5" s="106">
        <v>2028</v>
      </c>
      <c r="O5" s="107"/>
      <c r="P5" s="106">
        <v>2029</v>
      </c>
      <c r="Q5" s="107"/>
      <c r="R5" s="106">
        <v>2030</v>
      </c>
      <c r="S5" s="107"/>
    </row>
    <row r="6" spans="1:20" ht="16.5" x14ac:dyDescent="0.25">
      <c r="A6" s="4" t="s">
        <v>2</v>
      </c>
      <c r="B6" s="49" t="s">
        <v>3</v>
      </c>
      <c r="C6" s="49"/>
      <c r="D6" s="49" t="s">
        <v>4</v>
      </c>
      <c r="E6" s="19"/>
      <c r="F6" s="5"/>
      <c r="G6" s="5"/>
      <c r="H6" s="97" t="s">
        <v>188</v>
      </c>
      <c r="I6" s="98" t="s">
        <v>187</v>
      </c>
      <c r="J6" s="97" t="s">
        <v>188</v>
      </c>
      <c r="K6" s="98" t="s">
        <v>187</v>
      </c>
      <c r="L6" s="97" t="s">
        <v>188</v>
      </c>
      <c r="M6" s="98" t="s">
        <v>187</v>
      </c>
      <c r="N6" s="97" t="s">
        <v>188</v>
      </c>
      <c r="O6" s="98" t="s">
        <v>187</v>
      </c>
      <c r="P6" s="97" t="s">
        <v>188</v>
      </c>
      <c r="Q6" s="98" t="s">
        <v>187</v>
      </c>
      <c r="R6" s="97" t="s">
        <v>188</v>
      </c>
      <c r="S6" s="98" t="s">
        <v>187</v>
      </c>
    </row>
    <row r="7" spans="1:20" ht="18.75" x14ac:dyDescent="0.25">
      <c r="A7" s="56"/>
      <c r="B7" s="50"/>
      <c r="C7" s="50"/>
      <c r="D7" s="50"/>
      <c r="E7" s="54"/>
      <c r="F7" s="36" t="s">
        <v>5</v>
      </c>
      <c r="G7" s="36"/>
      <c r="H7" s="99" t="e">
        <f>H8</f>
        <v>#REF!</v>
      </c>
      <c r="I7" s="99" t="e">
        <f t="shared" ref="I7:S7" si="0">I8</f>
        <v>#REF!</v>
      </c>
      <c r="J7" s="99" t="e">
        <f t="shared" si="0"/>
        <v>#REF!</v>
      </c>
      <c r="K7" s="99" t="e">
        <f t="shared" si="0"/>
        <v>#REF!</v>
      </c>
      <c r="L7" s="99" t="e">
        <f t="shared" si="0"/>
        <v>#REF!</v>
      </c>
      <c r="M7" s="99" t="e">
        <f t="shared" si="0"/>
        <v>#REF!</v>
      </c>
      <c r="N7" s="99" t="e">
        <f t="shared" si="0"/>
        <v>#REF!</v>
      </c>
      <c r="O7" s="99" t="e">
        <f t="shared" si="0"/>
        <v>#REF!</v>
      </c>
      <c r="P7" s="99" t="e">
        <f t="shared" si="0"/>
        <v>#REF!</v>
      </c>
      <c r="Q7" s="99" t="e">
        <f t="shared" si="0"/>
        <v>#REF!</v>
      </c>
      <c r="R7" s="99" t="e">
        <f t="shared" si="0"/>
        <v>#REF!</v>
      </c>
      <c r="S7" s="99" t="e">
        <f t="shared" si="0"/>
        <v>#REF!</v>
      </c>
      <c r="T7" s="111" t="e">
        <f t="shared" ref="T7:T81" si="1">I7+K7+M7+O7+Q7+S7</f>
        <v>#REF!</v>
      </c>
    </row>
    <row r="8" spans="1:20" ht="18.75" x14ac:dyDescent="0.25">
      <c r="A8" s="57"/>
      <c r="B8" s="51"/>
      <c r="C8" s="51"/>
      <c r="D8" s="51"/>
      <c r="E8" s="55"/>
      <c r="F8" s="37" t="s">
        <v>6</v>
      </c>
      <c r="G8" s="37"/>
      <c r="H8" s="100" t="e">
        <f>SUM(H9:H38)</f>
        <v>#REF!</v>
      </c>
      <c r="I8" s="100" t="e">
        <f t="shared" ref="I8:S8" si="2">SUM(I9:I38)</f>
        <v>#REF!</v>
      </c>
      <c r="J8" s="100" t="e">
        <f t="shared" si="2"/>
        <v>#REF!</v>
      </c>
      <c r="K8" s="100" t="e">
        <f>SUM(K9:K38)</f>
        <v>#REF!</v>
      </c>
      <c r="L8" s="100" t="e">
        <f t="shared" si="2"/>
        <v>#REF!</v>
      </c>
      <c r="M8" s="100" t="e">
        <f t="shared" si="2"/>
        <v>#REF!</v>
      </c>
      <c r="N8" s="100" t="e">
        <f t="shared" si="2"/>
        <v>#REF!</v>
      </c>
      <c r="O8" s="100" t="e">
        <f>SUM(O9:O38)</f>
        <v>#REF!</v>
      </c>
      <c r="P8" s="100" t="e">
        <f t="shared" si="2"/>
        <v>#REF!</v>
      </c>
      <c r="Q8" s="100" t="e">
        <f>SUM(Q9:Q38)</f>
        <v>#REF!</v>
      </c>
      <c r="R8" s="100" t="e">
        <f t="shared" si="2"/>
        <v>#REF!</v>
      </c>
      <c r="S8" s="100" t="e">
        <f t="shared" si="2"/>
        <v>#REF!</v>
      </c>
      <c r="T8" s="111" t="e">
        <f t="shared" si="1"/>
        <v>#REF!</v>
      </c>
    </row>
    <row r="9" spans="1:20" ht="18.75" x14ac:dyDescent="0.25">
      <c r="A9" s="88">
        <v>311</v>
      </c>
      <c r="B9" s="89">
        <v>25</v>
      </c>
      <c r="C9" s="89">
        <v>910</v>
      </c>
      <c r="D9" s="90">
        <v>70499</v>
      </c>
      <c r="E9" s="91"/>
      <c r="F9" s="92" t="s">
        <v>197</v>
      </c>
      <c r="G9" s="92"/>
      <c r="H9" s="68" t="e">
        <f>#REF!*COM!$H$4</f>
        <v>#REF!</v>
      </c>
      <c r="I9" s="68" t="e">
        <f>#REF!*COM!$H$4</f>
        <v>#REF!</v>
      </c>
      <c r="J9" s="68" t="e">
        <f>#REF!*COM!$J$4</f>
        <v>#REF!</v>
      </c>
      <c r="K9" s="68" t="e">
        <f>#REF!*COM!$J$4</f>
        <v>#REF!</v>
      </c>
      <c r="L9" s="68" t="e">
        <f>#REF!*COM!$L$4</f>
        <v>#REF!</v>
      </c>
      <c r="M9" s="68" t="e">
        <f>#REF!*COM!$L$4</f>
        <v>#REF!</v>
      </c>
      <c r="N9" s="68" t="e">
        <f>#REF!*COM!$N$4</f>
        <v>#REF!</v>
      </c>
      <c r="O9" s="68" t="e">
        <f>#REF!*COM!$N$4</f>
        <v>#REF!</v>
      </c>
      <c r="P9" s="68" t="e">
        <f>#REF!*COM!$P$4</f>
        <v>#REF!</v>
      </c>
      <c r="Q9" s="68" t="e">
        <f>#REF!*COM!$P$4</f>
        <v>#REF!</v>
      </c>
      <c r="R9" s="68" t="e">
        <f>#REF!*COM!$R$4</f>
        <v>#REF!</v>
      </c>
      <c r="S9" s="68" t="e">
        <f>#REF!*COM!$R$4</f>
        <v>#REF!</v>
      </c>
      <c r="T9" s="111" t="e">
        <f t="shared" si="1"/>
        <v>#REF!</v>
      </c>
    </row>
    <row r="10" spans="1:20" ht="37.5" x14ac:dyDescent="0.25">
      <c r="A10" s="88">
        <v>311</v>
      </c>
      <c r="B10" s="89">
        <v>25</v>
      </c>
      <c r="C10" s="89">
        <v>920</v>
      </c>
      <c r="D10" s="90">
        <v>70499</v>
      </c>
      <c r="E10" s="91" t="s">
        <v>164</v>
      </c>
      <c r="F10" s="92" t="s">
        <v>196</v>
      </c>
      <c r="G10" s="92"/>
      <c r="H10" s="68" t="e">
        <f>#REF!*COM!$H$4</f>
        <v>#REF!</v>
      </c>
      <c r="I10" s="68" t="e">
        <f>#REF!*COM!$H$4</f>
        <v>#REF!</v>
      </c>
      <c r="J10" s="68" t="e">
        <f>#REF!*COM!$J$4</f>
        <v>#REF!</v>
      </c>
      <c r="K10" s="68" t="e">
        <f>#REF!*COM!$J$4</f>
        <v>#REF!</v>
      </c>
      <c r="L10" s="68" t="e">
        <f>#REF!*COM!$L$4</f>
        <v>#REF!</v>
      </c>
      <c r="M10" s="68" t="e">
        <f>#REF!*COM!$L$4</f>
        <v>#REF!</v>
      </c>
      <c r="N10" s="68" t="e">
        <f>#REF!*COM!$N$4</f>
        <v>#REF!</v>
      </c>
      <c r="O10" s="68" t="e">
        <f>#REF!*COM!$N$4</f>
        <v>#REF!</v>
      </c>
      <c r="P10" s="68" t="e">
        <f>#REF!*COM!$P$4</f>
        <v>#REF!</v>
      </c>
      <c r="Q10" s="68" t="e">
        <f>#REF!*COM!$P$4</f>
        <v>#REF!</v>
      </c>
      <c r="R10" s="68" t="e">
        <f>#REF!*COM!$R$4</f>
        <v>#REF!</v>
      </c>
      <c r="S10" s="68" t="e">
        <f>#REF!*COM!$R$4</f>
        <v>#REF!</v>
      </c>
      <c r="T10" s="111" t="e">
        <f t="shared" si="1"/>
        <v>#REF!</v>
      </c>
    </row>
    <row r="11" spans="1:20" ht="18.75" x14ac:dyDescent="0.25">
      <c r="A11" s="88">
        <v>311</v>
      </c>
      <c r="B11" s="89">
        <v>25</v>
      </c>
      <c r="C11" s="89">
        <v>910</v>
      </c>
      <c r="D11" s="90">
        <v>70499</v>
      </c>
      <c r="E11" s="91"/>
      <c r="F11" s="92" t="s">
        <v>195</v>
      </c>
      <c r="G11" s="92"/>
      <c r="H11" s="68" t="e">
        <f>#REF!*COM!$H$4</f>
        <v>#REF!</v>
      </c>
      <c r="I11" s="68" t="e">
        <f>#REF!*COM!$H$4</f>
        <v>#REF!</v>
      </c>
      <c r="J11" s="68" t="e">
        <f>#REF!*COM!$J$4</f>
        <v>#REF!</v>
      </c>
      <c r="K11" s="68" t="e">
        <f>#REF!*COM!$J$4</f>
        <v>#REF!</v>
      </c>
      <c r="L11" s="68" t="e">
        <f>#REF!*COM!$L$4</f>
        <v>#REF!</v>
      </c>
      <c r="M11" s="68" t="e">
        <f>#REF!*COM!$L$4</f>
        <v>#REF!</v>
      </c>
      <c r="N11" s="68" t="e">
        <f>#REF!*COM!$N$4</f>
        <v>#REF!</v>
      </c>
      <c r="O11" s="68" t="e">
        <f>#REF!*COM!$N$4</f>
        <v>#REF!</v>
      </c>
      <c r="P11" s="68" t="e">
        <f>#REF!*COM!$P$4</f>
        <v>#REF!</v>
      </c>
      <c r="Q11" s="68" t="e">
        <f>#REF!*COM!$P$4</f>
        <v>#REF!</v>
      </c>
      <c r="R11" s="68" t="e">
        <f>#REF!*COM!$R$4</f>
        <v>#REF!</v>
      </c>
      <c r="S11" s="68" t="e">
        <f>#REF!*COM!$R$4</f>
        <v>#REF!</v>
      </c>
      <c r="T11" s="111" t="e">
        <f t="shared" si="1"/>
        <v>#REF!</v>
      </c>
    </row>
    <row r="12" spans="1:20" ht="37.5" x14ac:dyDescent="0.25">
      <c r="A12" s="88">
        <v>311</v>
      </c>
      <c r="B12" s="89">
        <v>25</v>
      </c>
      <c r="C12" s="89">
        <v>920</v>
      </c>
      <c r="D12" s="90">
        <v>70499</v>
      </c>
      <c r="E12" s="91" t="s">
        <v>177</v>
      </c>
      <c r="F12" s="92" t="s">
        <v>198</v>
      </c>
      <c r="G12" s="92"/>
      <c r="H12" s="68" t="e">
        <f>#REF!*COM!$H$4</f>
        <v>#REF!</v>
      </c>
      <c r="I12" s="68" t="e">
        <f>#REF!*COM!$H$4</f>
        <v>#REF!</v>
      </c>
      <c r="J12" s="68" t="e">
        <f>#REF!*COM!$J$4</f>
        <v>#REF!</v>
      </c>
      <c r="K12" s="68" t="e">
        <f>#REF!*COM!$J$4</f>
        <v>#REF!</v>
      </c>
      <c r="L12" s="68" t="e">
        <f>#REF!*COM!$L$4</f>
        <v>#REF!</v>
      </c>
      <c r="M12" s="68" t="e">
        <f>#REF!*COM!$L$4</f>
        <v>#REF!</v>
      </c>
      <c r="N12" s="68" t="e">
        <f>#REF!*COM!$N$4</f>
        <v>#REF!</v>
      </c>
      <c r="O12" s="68" t="e">
        <f>#REF!*COM!$N$4</f>
        <v>#REF!</v>
      </c>
      <c r="P12" s="68" t="e">
        <f>#REF!*COM!$P$4</f>
        <v>#REF!</v>
      </c>
      <c r="Q12" s="68" t="e">
        <f>#REF!*COM!$P$4</f>
        <v>#REF!</v>
      </c>
      <c r="R12" s="68" t="e">
        <f>#REF!*COM!$R$4</f>
        <v>#REF!</v>
      </c>
      <c r="S12" s="68" t="e">
        <f>#REF!*COM!$R$4</f>
        <v>#REF!</v>
      </c>
      <c r="T12" s="111" t="e">
        <f t="shared" si="1"/>
        <v>#REF!</v>
      </c>
    </row>
    <row r="13" spans="1:20" ht="37.5" x14ac:dyDescent="0.25">
      <c r="A13" s="88">
        <v>321</v>
      </c>
      <c r="B13" s="89">
        <v>25</v>
      </c>
      <c r="C13" s="89">
        <v>930</v>
      </c>
      <c r="D13" s="124">
        <v>70499</v>
      </c>
      <c r="E13" s="122" t="s">
        <v>171</v>
      </c>
      <c r="F13" s="92" t="s">
        <v>7</v>
      </c>
      <c r="G13" s="126" t="s">
        <v>397</v>
      </c>
      <c r="H13" s="68" t="e">
        <f>#REF!*COM!$H$4</f>
        <v>#REF!</v>
      </c>
      <c r="I13" s="68" t="e">
        <f>#REF!*COM!$H$4</f>
        <v>#REF!</v>
      </c>
      <c r="J13" s="68" t="e">
        <f>#REF!*COM!$J$4</f>
        <v>#REF!</v>
      </c>
      <c r="K13" s="68" t="e">
        <f>#REF!*COM!$J$4</f>
        <v>#REF!</v>
      </c>
      <c r="L13" s="68" t="e">
        <f>#REF!*COM!$L$4</f>
        <v>#REF!</v>
      </c>
      <c r="M13" s="68" t="e">
        <f>#REF!*COM!$L$4</f>
        <v>#REF!</v>
      </c>
      <c r="N13" s="68" t="e">
        <f>#REF!*COM!$N$4</f>
        <v>#REF!</v>
      </c>
      <c r="O13" s="68" t="e">
        <f>#REF!*COM!$N$4</f>
        <v>#REF!</v>
      </c>
      <c r="P13" s="68" t="e">
        <f>#REF!*COM!$P$4</f>
        <v>#REF!</v>
      </c>
      <c r="Q13" s="68" t="e">
        <f>#REF!*COM!$P$4</f>
        <v>#REF!</v>
      </c>
      <c r="R13" s="68" t="e">
        <f>#REF!*COM!$R$4</f>
        <v>#REF!</v>
      </c>
      <c r="S13" s="68" t="e">
        <f>#REF!*COM!$R$4</f>
        <v>#REF!</v>
      </c>
      <c r="T13" s="111" t="e">
        <f t="shared" si="1"/>
        <v>#REF!</v>
      </c>
    </row>
    <row r="14" spans="1:20" ht="37.5" x14ac:dyDescent="0.25">
      <c r="A14" s="88">
        <v>311</v>
      </c>
      <c r="B14" s="89">
        <v>25</v>
      </c>
      <c r="C14" s="89">
        <v>920</v>
      </c>
      <c r="D14" s="124">
        <v>70499</v>
      </c>
      <c r="E14" s="122" t="s">
        <v>172</v>
      </c>
      <c r="F14" s="92" t="s">
        <v>8</v>
      </c>
      <c r="G14" s="92"/>
      <c r="H14" s="68" t="e">
        <f>#REF!*COM!$H$4</f>
        <v>#REF!</v>
      </c>
      <c r="I14" s="68" t="e">
        <f>#REF!*COM!$H$4</f>
        <v>#REF!</v>
      </c>
      <c r="J14" s="68" t="e">
        <f>#REF!*COM!$J$4</f>
        <v>#REF!</v>
      </c>
      <c r="K14" s="68" t="e">
        <f>#REF!*COM!$J$4</f>
        <v>#REF!</v>
      </c>
      <c r="L14" s="68" t="e">
        <f>#REF!*COM!$L$4</f>
        <v>#REF!</v>
      </c>
      <c r="M14" s="68" t="e">
        <f>#REF!*COM!$L$4</f>
        <v>#REF!</v>
      </c>
      <c r="N14" s="68" t="e">
        <f>#REF!*COM!$N$4</f>
        <v>#REF!</v>
      </c>
      <c r="O14" s="68" t="e">
        <f>#REF!*COM!$N$4</f>
        <v>#REF!</v>
      </c>
      <c r="P14" s="68" t="e">
        <f>#REF!*COM!$P$4</f>
        <v>#REF!</v>
      </c>
      <c r="Q14" s="68" t="e">
        <f>#REF!*COM!$P$4</f>
        <v>#REF!</v>
      </c>
      <c r="R14" s="68" t="e">
        <f>#REF!*COM!$R$4</f>
        <v>#REF!</v>
      </c>
      <c r="S14" s="68" t="e">
        <f>#REF!*COM!$R$4</f>
        <v>#REF!</v>
      </c>
      <c r="T14" s="111" t="e">
        <f t="shared" si="1"/>
        <v>#REF!</v>
      </c>
    </row>
    <row r="15" spans="1:20" ht="37.5" x14ac:dyDescent="0.25">
      <c r="A15" s="88">
        <v>321</v>
      </c>
      <c r="B15" s="89">
        <v>25</v>
      </c>
      <c r="C15" s="89">
        <v>920</v>
      </c>
      <c r="D15" s="124">
        <v>70499</v>
      </c>
      <c r="E15" s="122" t="s">
        <v>172</v>
      </c>
      <c r="F15" s="92" t="s">
        <v>8</v>
      </c>
      <c r="G15" s="92"/>
      <c r="H15" s="68" t="e">
        <f>#REF!*COM!$H$4</f>
        <v>#REF!</v>
      </c>
      <c r="I15" s="68" t="e">
        <f>#REF!*COM!$H$4</f>
        <v>#REF!</v>
      </c>
      <c r="J15" s="68" t="e">
        <f>#REF!*COM!$J$4</f>
        <v>#REF!</v>
      </c>
      <c r="K15" s="68" t="e">
        <f>#REF!*COM!$J$4</f>
        <v>#REF!</v>
      </c>
      <c r="L15" s="68" t="e">
        <f>#REF!*COM!$L$4</f>
        <v>#REF!</v>
      </c>
      <c r="M15" s="68" t="e">
        <f>#REF!*COM!$L$4</f>
        <v>#REF!</v>
      </c>
      <c r="N15" s="68" t="e">
        <f>#REF!*COM!$N$4</f>
        <v>#REF!</v>
      </c>
      <c r="O15" s="68" t="e">
        <f>#REF!*COM!$N$4</f>
        <v>#REF!</v>
      </c>
      <c r="P15" s="68" t="e">
        <f>#REF!*COM!$P$4</f>
        <v>#REF!</v>
      </c>
      <c r="Q15" s="68" t="e">
        <f>#REF!*COM!$P$4</f>
        <v>#REF!</v>
      </c>
      <c r="R15" s="68" t="e">
        <f>#REF!*COM!$R$4</f>
        <v>#REF!</v>
      </c>
      <c r="S15" s="68" t="e">
        <f>#REF!*COM!$R$4</f>
        <v>#REF!</v>
      </c>
      <c r="T15" s="111" t="e">
        <f t="shared" si="1"/>
        <v>#REF!</v>
      </c>
    </row>
    <row r="16" spans="1:20" ht="37.5" x14ac:dyDescent="0.25">
      <c r="A16" s="88">
        <v>311</v>
      </c>
      <c r="B16" s="89">
        <v>25</v>
      </c>
      <c r="C16" s="89">
        <v>930</v>
      </c>
      <c r="D16" s="124">
        <v>70499</v>
      </c>
      <c r="E16" s="122" t="s">
        <v>172</v>
      </c>
      <c r="F16" s="92" t="s">
        <v>9</v>
      </c>
      <c r="G16" s="228" t="s">
        <v>354</v>
      </c>
      <c r="H16" s="68" t="e">
        <f>#REF!*COM!$H$4</f>
        <v>#REF!</v>
      </c>
      <c r="I16" s="68" t="e">
        <f>#REF!*COM!$H$4</f>
        <v>#REF!</v>
      </c>
      <c r="J16" s="68" t="e">
        <f>#REF!*COM!$J$4</f>
        <v>#REF!</v>
      </c>
      <c r="K16" s="68" t="e">
        <f>#REF!*COM!$J$4</f>
        <v>#REF!</v>
      </c>
      <c r="L16" s="68" t="e">
        <f>#REF!*COM!$L$4</f>
        <v>#REF!</v>
      </c>
      <c r="M16" s="68" t="e">
        <f>#REF!*COM!$L$4</f>
        <v>#REF!</v>
      </c>
      <c r="N16" s="68" t="e">
        <f>#REF!*COM!$N$4</f>
        <v>#REF!</v>
      </c>
      <c r="O16" s="68" t="e">
        <f>#REF!*COM!$N$4</f>
        <v>#REF!</v>
      </c>
      <c r="P16" s="68" t="e">
        <f>#REF!*COM!$P$4</f>
        <v>#REF!</v>
      </c>
      <c r="Q16" s="68" t="e">
        <f>#REF!*COM!$P$4</f>
        <v>#REF!</v>
      </c>
      <c r="R16" s="68" t="e">
        <f>#REF!*COM!$R$4</f>
        <v>#REF!</v>
      </c>
      <c r="S16" s="68" t="e">
        <f>#REF!*COM!$R$4</f>
        <v>#REF!</v>
      </c>
      <c r="T16" s="111" t="e">
        <f t="shared" si="1"/>
        <v>#REF!</v>
      </c>
    </row>
    <row r="17" spans="1:20" ht="37.5" x14ac:dyDescent="0.25">
      <c r="A17" s="88">
        <v>321</v>
      </c>
      <c r="B17" s="89">
        <v>25</v>
      </c>
      <c r="C17" s="89">
        <v>930</v>
      </c>
      <c r="D17" s="124">
        <v>70499</v>
      </c>
      <c r="E17" s="122" t="s">
        <v>172</v>
      </c>
      <c r="F17" s="92" t="s">
        <v>9</v>
      </c>
      <c r="G17" s="229"/>
      <c r="H17" s="68" t="e">
        <f>#REF!*COM!$H$4</f>
        <v>#REF!</v>
      </c>
      <c r="I17" s="68" t="e">
        <f>#REF!*COM!$H$4</f>
        <v>#REF!</v>
      </c>
      <c r="J17" s="68" t="e">
        <f>#REF!*COM!$J$4</f>
        <v>#REF!</v>
      </c>
      <c r="K17" s="68" t="e">
        <f>#REF!*COM!$J$4</f>
        <v>#REF!</v>
      </c>
      <c r="L17" s="68" t="e">
        <f>#REF!*COM!$L$4</f>
        <v>#REF!</v>
      </c>
      <c r="M17" s="68" t="e">
        <f>#REF!*COM!$L$4</f>
        <v>#REF!</v>
      </c>
      <c r="N17" s="68" t="e">
        <f>#REF!*COM!$N$4</f>
        <v>#REF!</v>
      </c>
      <c r="O17" s="68" t="e">
        <f>#REF!*COM!$N$4</f>
        <v>#REF!</v>
      </c>
      <c r="P17" s="68" t="e">
        <f>#REF!*COM!$P$4</f>
        <v>#REF!</v>
      </c>
      <c r="Q17" s="68" t="e">
        <f>#REF!*COM!$P$4</f>
        <v>#REF!</v>
      </c>
      <c r="R17" s="68" t="e">
        <f>#REF!*COM!$R$4</f>
        <v>#REF!</v>
      </c>
      <c r="S17" s="68" t="e">
        <f>#REF!*COM!$R$4</f>
        <v>#REF!</v>
      </c>
      <c r="T17" s="111" t="e">
        <f t="shared" si="1"/>
        <v>#REF!</v>
      </c>
    </row>
    <row r="18" spans="1:20" ht="18.75" x14ac:dyDescent="0.25">
      <c r="A18" s="88">
        <v>311</v>
      </c>
      <c r="B18" s="89">
        <v>25</v>
      </c>
      <c r="C18" s="89">
        <v>920</v>
      </c>
      <c r="D18" s="124">
        <v>70499</v>
      </c>
      <c r="E18" s="122" t="s">
        <v>172</v>
      </c>
      <c r="F18" s="92" t="s">
        <v>10</v>
      </c>
      <c r="G18" s="92"/>
      <c r="H18" s="68" t="e">
        <f>#REF!*COM!$H$4</f>
        <v>#REF!</v>
      </c>
      <c r="I18" s="68" t="e">
        <f>#REF!*COM!$H$4</f>
        <v>#REF!</v>
      </c>
      <c r="J18" s="68" t="e">
        <f>#REF!*COM!$J$4</f>
        <v>#REF!</v>
      </c>
      <c r="K18" s="68" t="e">
        <f>#REF!*COM!$J$4</f>
        <v>#REF!</v>
      </c>
      <c r="L18" s="68" t="e">
        <f>#REF!*COM!$L$4</f>
        <v>#REF!</v>
      </c>
      <c r="M18" s="68" t="e">
        <f>#REF!*COM!$L$4</f>
        <v>#REF!</v>
      </c>
      <c r="N18" s="68" t="e">
        <f>#REF!*COM!$N$4</f>
        <v>#REF!</v>
      </c>
      <c r="O18" s="68" t="e">
        <f>#REF!*COM!$N$4</f>
        <v>#REF!</v>
      </c>
      <c r="P18" s="68" t="e">
        <f>#REF!*COM!$P$4</f>
        <v>#REF!</v>
      </c>
      <c r="Q18" s="68" t="e">
        <f>#REF!*COM!$P$4</f>
        <v>#REF!</v>
      </c>
      <c r="R18" s="68" t="e">
        <f>#REF!*COM!$R$4</f>
        <v>#REF!</v>
      </c>
      <c r="S18" s="68" t="e">
        <f>#REF!*COM!$R$4</f>
        <v>#REF!</v>
      </c>
      <c r="T18" s="111" t="e">
        <f t="shared" si="1"/>
        <v>#REF!</v>
      </c>
    </row>
    <row r="19" spans="1:20" ht="18.75" x14ac:dyDescent="0.25">
      <c r="A19" s="88">
        <v>321</v>
      </c>
      <c r="B19" s="89">
        <v>25</v>
      </c>
      <c r="C19" s="89">
        <v>920</v>
      </c>
      <c r="D19" s="124">
        <v>70499</v>
      </c>
      <c r="E19" s="122" t="s">
        <v>172</v>
      </c>
      <c r="F19" s="92" t="s">
        <v>10</v>
      </c>
      <c r="G19" s="92"/>
      <c r="H19" s="68" t="e">
        <f>#REF!*COM!$H$4</f>
        <v>#REF!</v>
      </c>
      <c r="I19" s="68" t="e">
        <f>#REF!*COM!$H$4</f>
        <v>#REF!</v>
      </c>
      <c r="J19" s="68" t="e">
        <f>#REF!*COM!$J$4</f>
        <v>#REF!</v>
      </c>
      <c r="K19" s="68" t="e">
        <f>#REF!*COM!$J$4</f>
        <v>#REF!</v>
      </c>
      <c r="L19" s="68" t="e">
        <f>#REF!*COM!$L$4</f>
        <v>#REF!</v>
      </c>
      <c r="M19" s="68" t="e">
        <f>#REF!*COM!$L$4</f>
        <v>#REF!</v>
      </c>
      <c r="N19" s="68" t="e">
        <f>#REF!*COM!$N$4</f>
        <v>#REF!</v>
      </c>
      <c r="O19" s="68" t="e">
        <f>#REF!*COM!$N$4</f>
        <v>#REF!</v>
      </c>
      <c r="P19" s="68" t="e">
        <f>#REF!*COM!$P$4</f>
        <v>#REF!</v>
      </c>
      <c r="Q19" s="68" t="e">
        <f>#REF!*COM!$P$4</f>
        <v>#REF!</v>
      </c>
      <c r="R19" s="68" t="e">
        <f>#REF!*COM!$R$4</f>
        <v>#REF!</v>
      </c>
      <c r="S19" s="68" t="e">
        <f>#REF!*COM!$R$4</f>
        <v>#REF!</v>
      </c>
      <c r="T19" s="111" t="e">
        <f t="shared" si="1"/>
        <v>#REF!</v>
      </c>
    </row>
    <row r="20" spans="1:20" ht="18.75" x14ac:dyDescent="0.25">
      <c r="A20" s="88">
        <v>321</v>
      </c>
      <c r="B20" s="89">
        <v>25</v>
      </c>
      <c r="C20" s="89">
        <v>930</v>
      </c>
      <c r="D20" s="124">
        <v>70499</v>
      </c>
      <c r="E20" s="122" t="s">
        <v>172</v>
      </c>
      <c r="F20" s="92" t="s">
        <v>11</v>
      </c>
      <c r="G20" s="126" t="s">
        <v>357</v>
      </c>
      <c r="H20" s="68" t="e">
        <f>#REF!*COM!$H$4</f>
        <v>#REF!</v>
      </c>
      <c r="I20" s="68" t="e">
        <f>#REF!*COM!$H$4</f>
        <v>#REF!</v>
      </c>
      <c r="J20" s="68" t="e">
        <f>#REF!*COM!$J$4</f>
        <v>#REF!</v>
      </c>
      <c r="K20" s="68" t="e">
        <f>#REF!*COM!$J$4</f>
        <v>#REF!</v>
      </c>
      <c r="L20" s="68" t="e">
        <f>#REF!*COM!$L$4</f>
        <v>#REF!</v>
      </c>
      <c r="M20" s="68" t="e">
        <f>#REF!*COM!$L$4</f>
        <v>#REF!</v>
      </c>
      <c r="N20" s="68" t="e">
        <f>#REF!*COM!$N$4</f>
        <v>#REF!</v>
      </c>
      <c r="O20" s="68" t="e">
        <f>#REF!*COM!$N$4</f>
        <v>#REF!</v>
      </c>
      <c r="P20" s="68" t="e">
        <f>#REF!*COM!$P$4</f>
        <v>#REF!</v>
      </c>
      <c r="Q20" s="68" t="e">
        <f>#REF!*COM!$P$4</f>
        <v>#REF!</v>
      </c>
      <c r="R20" s="68" t="e">
        <f>#REF!*COM!$R$4</f>
        <v>#REF!</v>
      </c>
      <c r="S20" s="68" t="e">
        <f>#REF!*COM!$R$4</f>
        <v>#REF!</v>
      </c>
      <c r="T20" s="111" t="e">
        <f t="shared" si="1"/>
        <v>#REF!</v>
      </c>
    </row>
    <row r="21" spans="1:20" ht="18.75" x14ac:dyDescent="0.25">
      <c r="A21" s="88">
        <v>311</v>
      </c>
      <c r="B21" s="89">
        <v>25</v>
      </c>
      <c r="C21" s="89">
        <v>930</v>
      </c>
      <c r="D21" s="124">
        <v>70499</v>
      </c>
      <c r="E21" s="122" t="s">
        <v>179</v>
      </c>
      <c r="F21" s="92" t="s">
        <v>12</v>
      </c>
      <c r="G21" s="228" t="s">
        <v>358</v>
      </c>
      <c r="H21" s="68" t="e">
        <f>#REF!*COM!$H$4</f>
        <v>#REF!</v>
      </c>
      <c r="I21" s="68" t="e">
        <f>#REF!*COM!$H$4</f>
        <v>#REF!</v>
      </c>
      <c r="J21" s="68" t="e">
        <f>#REF!*COM!$J$4</f>
        <v>#REF!</v>
      </c>
      <c r="K21" s="68" t="e">
        <f>#REF!*COM!$J$4</f>
        <v>#REF!</v>
      </c>
      <c r="L21" s="68" t="e">
        <f>#REF!*COM!$L$4</f>
        <v>#REF!</v>
      </c>
      <c r="M21" s="68" t="e">
        <f>#REF!*COM!$L$4</f>
        <v>#REF!</v>
      </c>
      <c r="N21" s="68" t="e">
        <f>#REF!*COM!$N$4</f>
        <v>#REF!</v>
      </c>
      <c r="O21" s="68" t="e">
        <f>#REF!*COM!$N$4</f>
        <v>#REF!</v>
      </c>
      <c r="P21" s="68" t="e">
        <f>#REF!*COM!$P$4</f>
        <v>#REF!</v>
      </c>
      <c r="Q21" s="68" t="e">
        <f>#REF!*COM!$P$4</f>
        <v>#REF!</v>
      </c>
      <c r="R21" s="68" t="e">
        <f>#REF!*COM!$R$4</f>
        <v>#REF!</v>
      </c>
      <c r="S21" s="68" t="e">
        <f>#REF!*COM!$R$4</f>
        <v>#REF!</v>
      </c>
      <c r="T21" s="111" t="e">
        <f t="shared" si="1"/>
        <v>#REF!</v>
      </c>
    </row>
    <row r="22" spans="1:20" ht="18.75" x14ac:dyDescent="0.25">
      <c r="A22" s="88">
        <v>321</v>
      </c>
      <c r="B22" s="89">
        <v>25</v>
      </c>
      <c r="C22" s="89">
        <v>930</v>
      </c>
      <c r="D22" s="124">
        <v>70499</v>
      </c>
      <c r="E22" s="122" t="s">
        <v>179</v>
      </c>
      <c r="F22" s="92" t="s">
        <v>12</v>
      </c>
      <c r="G22" s="229"/>
      <c r="H22" s="68" t="e">
        <f>#REF!*COM!$H$4</f>
        <v>#REF!</v>
      </c>
      <c r="I22" s="68" t="e">
        <f>#REF!*COM!$H$4</f>
        <v>#REF!</v>
      </c>
      <c r="J22" s="68" t="e">
        <f>#REF!*COM!$J$4</f>
        <v>#REF!</v>
      </c>
      <c r="K22" s="68" t="e">
        <f>#REF!*COM!$J$4</f>
        <v>#REF!</v>
      </c>
      <c r="L22" s="68" t="e">
        <f>#REF!*COM!$L$4</f>
        <v>#REF!</v>
      </c>
      <c r="M22" s="68" t="e">
        <f>#REF!*COM!$L$4</f>
        <v>#REF!</v>
      </c>
      <c r="N22" s="68" t="e">
        <f>#REF!*COM!$N$4</f>
        <v>#REF!</v>
      </c>
      <c r="O22" s="68" t="e">
        <f>#REF!*COM!$N$4</f>
        <v>#REF!</v>
      </c>
      <c r="P22" s="68" t="e">
        <f>#REF!*COM!$P$4</f>
        <v>#REF!</v>
      </c>
      <c r="Q22" s="68" t="e">
        <f>#REF!*COM!$P$4</f>
        <v>#REF!</v>
      </c>
      <c r="R22" s="68" t="e">
        <f>#REF!*COM!$R$4</f>
        <v>#REF!</v>
      </c>
      <c r="S22" s="68" t="e">
        <f>#REF!*COM!$R$4</f>
        <v>#REF!</v>
      </c>
      <c r="T22" s="111" t="e">
        <f t="shared" si="1"/>
        <v>#REF!</v>
      </c>
    </row>
    <row r="23" spans="1:20" ht="37.5" x14ac:dyDescent="0.25">
      <c r="A23" s="88">
        <v>311</v>
      </c>
      <c r="B23" s="89">
        <v>25</v>
      </c>
      <c r="C23" s="89">
        <v>920</v>
      </c>
      <c r="D23" s="124">
        <v>70499</v>
      </c>
      <c r="E23" s="122" t="s">
        <v>172</v>
      </c>
      <c r="F23" s="92" t="s">
        <v>13</v>
      </c>
      <c r="G23" s="92"/>
      <c r="H23" s="68" t="e">
        <f>#REF!*COM!$H$4</f>
        <v>#REF!</v>
      </c>
      <c r="I23" s="68" t="e">
        <f>#REF!*COM!$H$4</f>
        <v>#REF!</v>
      </c>
      <c r="J23" s="68" t="e">
        <f>#REF!*COM!$J$4</f>
        <v>#REF!</v>
      </c>
      <c r="K23" s="68" t="e">
        <f>#REF!*COM!$J$4</f>
        <v>#REF!</v>
      </c>
      <c r="L23" s="68" t="e">
        <f>#REF!*COM!$L$4</f>
        <v>#REF!</v>
      </c>
      <c r="M23" s="68" t="e">
        <f>#REF!*COM!$L$4</f>
        <v>#REF!</v>
      </c>
      <c r="N23" s="68" t="e">
        <f>#REF!*COM!$N$4</f>
        <v>#REF!</v>
      </c>
      <c r="O23" s="68" t="e">
        <f>#REF!*COM!$N$4</f>
        <v>#REF!</v>
      </c>
      <c r="P23" s="68" t="e">
        <f>#REF!*COM!$P$4</f>
        <v>#REF!</v>
      </c>
      <c r="Q23" s="68" t="e">
        <f>#REF!*COM!$P$4</f>
        <v>#REF!</v>
      </c>
      <c r="R23" s="68" t="e">
        <f>#REF!*COM!$R$4</f>
        <v>#REF!</v>
      </c>
      <c r="S23" s="68" t="e">
        <f>#REF!*COM!$R$4</f>
        <v>#REF!</v>
      </c>
      <c r="T23" s="111" t="e">
        <f t="shared" si="1"/>
        <v>#REF!</v>
      </c>
    </row>
    <row r="24" spans="1:20" ht="37.5" x14ac:dyDescent="0.25">
      <c r="A24" s="88">
        <v>321</v>
      </c>
      <c r="B24" s="89">
        <v>25</v>
      </c>
      <c r="C24" s="89">
        <v>920</v>
      </c>
      <c r="D24" s="124">
        <v>70499</v>
      </c>
      <c r="E24" s="122" t="s">
        <v>172</v>
      </c>
      <c r="F24" s="92" t="s">
        <v>13</v>
      </c>
      <c r="G24" s="92"/>
      <c r="H24" s="68" t="e">
        <f>#REF!*COM!$H$4</f>
        <v>#REF!</v>
      </c>
      <c r="I24" s="68" t="e">
        <f>#REF!*COM!$H$4</f>
        <v>#REF!</v>
      </c>
      <c r="J24" s="68" t="e">
        <f>#REF!*COM!$J$4</f>
        <v>#REF!</v>
      </c>
      <c r="K24" s="68" t="e">
        <f>#REF!*COM!$J$4</f>
        <v>#REF!</v>
      </c>
      <c r="L24" s="68" t="e">
        <f>#REF!*COM!$L$4</f>
        <v>#REF!</v>
      </c>
      <c r="M24" s="68" t="e">
        <f>#REF!*COM!$L$4</f>
        <v>#REF!</v>
      </c>
      <c r="N24" s="68" t="e">
        <f>#REF!*COM!$N$4</f>
        <v>#REF!</v>
      </c>
      <c r="O24" s="68" t="e">
        <f>#REF!*COM!$N$4</f>
        <v>#REF!</v>
      </c>
      <c r="P24" s="68" t="e">
        <f>#REF!*COM!$P$4</f>
        <v>#REF!</v>
      </c>
      <c r="Q24" s="68" t="e">
        <f>#REF!*COM!$P$4</f>
        <v>#REF!</v>
      </c>
      <c r="R24" s="68" t="e">
        <f>#REF!*COM!$R$4</f>
        <v>#REF!</v>
      </c>
      <c r="S24" s="68" t="e">
        <f>#REF!*COM!$R$4</f>
        <v>#REF!</v>
      </c>
      <c r="T24" s="111" t="e">
        <f t="shared" si="1"/>
        <v>#REF!</v>
      </c>
    </row>
    <row r="25" spans="1:20" ht="37.5" x14ac:dyDescent="0.25">
      <c r="A25" s="88">
        <v>321</v>
      </c>
      <c r="B25" s="89">
        <v>25</v>
      </c>
      <c r="C25" s="89">
        <v>930</v>
      </c>
      <c r="D25" s="124">
        <v>70499</v>
      </c>
      <c r="E25" s="122" t="s">
        <v>172</v>
      </c>
      <c r="F25" s="92" t="s">
        <v>14</v>
      </c>
      <c r="G25" s="126" t="s">
        <v>378</v>
      </c>
      <c r="H25" s="68" t="e">
        <f>#REF!*COM!$H$4</f>
        <v>#REF!</v>
      </c>
      <c r="I25" s="68" t="e">
        <f>#REF!*COM!$H$4</f>
        <v>#REF!</v>
      </c>
      <c r="J25" s="68" t="e">
        <f>#REF!*COM!$J$4</f>
        <v>#REF!</v>
      </c>
      <c r="K25" s="68" t="e">
        <f>#REF!*COM!$J$4</f>
        <v>#REF!</v>
      </c>
      <c r="L25" s="68" t="e">
        <f>#REF!*COM!$L$4</f>
        <v>#REF!</v>
      </c>
      <c r="M25" s="68" t="e">
        <f>#REF!*COM!$L$4</f>
        <v>#REF!</v>
      </c>
      <c r="N25" s="68" t="e">
        <f>#REF!*COM!$N$4</f>
        <v>#REF!</v>
      </c>
      <c r="O25" s="68" t="e">
        <f>#REF!*COM!$N$4</f>
        <v>#REF!</v>
      </c>
      <c r="P25" s="68" t="e">
        <f>#REF!*COM!$P$4</f>
        <v>#REF!</v>
      </c>
      <c r="Q25" s="68" t="e">
        <f>#REF!*COM!$P$4</f>
        <v>#REF!</v>
      </c>
      <c r="R25" s="68" t="e">
        <f>#REF!*COM!$R$4</f>
        <v>#REF!</v>
      </c>
      <c r="S25" s="68" t="e">
        <f>#REF!*COM!$R$4</f>
        <v>#REF!</v>
      </c>
      <c r="T25" s="111" t="e">
        <f t="shared" si="1"/>
        <v>#REF!</v>
      </c>
    </row>
    <row r="26" spans="1:20" ht="18.75" x14ac:dyDescent="0.25">
      <c r="A26" s="88">
        <v>311</v>
      </c>
      <c r="B26" s="89">
        <v>25</v>
      </c>
      <c r="C26" s="89">
        <v>930</v>
      </c>
      <c r="D26" s="124">
        <v>70499</v>
      </c>
      <c r="E26" s="124" t="s">
        <v>172</v>
      </c>
      <c r="F26" s="92" t="s">
        <v>180</v>
      </c>
      <c r="G26" s="228" t="s">
        <v>355</v>
      </c>
      <c r="H26" s="68" t="e">
        <f>#REF!*COM!$H$4</f>
        <v>#REF!</v>
      </c>
      <c r="I26" s="68" t="e">
        <f>#REF!*COM!$H$4</f>
        <v>#REF!</v>
      </c>
      <c r="J26" s="68" t="e">
        <f>#REF!*COM!$J$4</f>
        <v>#REF!</v>
      </c>
      <c r="K26" s="68" t="e">
        <f>#REF!*COM!$J$4</f>
        <v>#REF!</v>
      </c>
      <c r="L26" s="68" t="e">
        <f>#REF!*COM!$L$4</f>
        <v>#REF!</v>
      </c>
      <c r="M26" s="68" t="e">
        <f>#REF!*COM!$L$4</f>
        <v>#REF!</v>
      </c>
      <c r="N26" s="68" t="e">
        <f>#REF!*COM!$N$4</f>
        <v>#REF!</v>
      </c>
      <c r="O26" s="68" t="e">
        <f>#REF!*COM!$N$4</f>
        <v>#REF!</v>
      </c>
      <c r="P26" s="68" t="e">
        <f>#REF!*COM!$P$4</f>
        <v>#REF!</v>
      </c>
      <c r="Q26" s="68" t="e">
        <f>#REF!*COM!$P$4</f>
        <v>#REF!</v>
      </c>
      <c r="R26" s="68" t="e">
        <f>#REF!*COM!$R$4</f>
        <v>#REF!</v>
      </c>
      <c r="S26" s="68" t="e">
        <f>#REF!*COM!$R$4</f>
        <v>#REF!</v>
      </c>
      <c r="T26" s="111" t="e">
        <f t="shared" si="1"/>
        <v>#REF!</v>
      </c>
    </row>
    <row r="27" spans="1:20" ht="18.75" x14ac:dyDescent="0.25">
      <c r="A27" s="88">
        <v>321</v>
      </c>
      <c r="B27" s="89">
        <v>25</v>
      </c>
      <c r="C27" s="89">
        <v>930</v>
      </c>
      <c r="D27" s="124">
        <v>70499</v>
      </c>
      <c r="E27" s="124" t="s">
        <v>172</v>
      </c>
      <c r="F27" s="92" t="s">
        <v>181</v>
      </c>
      <c r="G27" s="229"/>
      <c r="H27" s="68" t="e">
        <f>#REF!*COM!$H$4</f>
        <v>#REF!</v>
      </c>
      <c r="I27" s="68" t="e">
        <f>#REF!*COM!$H$4</f>
        <v>#REF!</v>
      </c>
      <c r="J27" s="68" t="e">
        <f>#REF!*COM!$J$4</f>
        <v>#REF!</v>
      </c>
      <c r="K27" s="68" t="e">
        <f>#REF!*COM!$J$4</f>
        <v>#REF!</v>
      </c>
      <c r="L27" s="68" t="e">
        <f>#REF!*COM!$L$4</f>
        <v>#REF!</v>
      </c>
      <c r="M27" s="68" t="e">
        <f>#REF!*COM!$L$4</f>
        <v>#REF!</v>
      </c>
      <c r="N27" s="68" t="e">
        <f>#REF!*COM!$N$4</f>
        <v>#REF!</v>
      </c>
      <c r="O27" s="68" t="e">
        <f>#REF!*COM!$N$4</f>
        <v>#REF!</v>
      </c>
      <c r="P27" s="68" t="e">
        <f>#REF!*COM!$P$4</f>
        <v>#REF!</v>
      </c>
      <c r="Q27" s="68" t="e">
        <f>#REF!*COM!$P$4</f>
        <v>#REF!</v>
      </c>
      <c r="R27" s="68" t="e">
        <f>#REF!*COM!$R$4</f>
        <v>#REF!</v>
      </c>
      <c r="S27" s="68" t="e">
        <f>#REF!*COM!$R$4</f>
        <v>#REF!</v>
      </c>
      <c r="T27" s="111" t="e">
        <f t="shared" si="1"/>
        <v>#REF!</v>
      </c>
    </row>
    <row r="28" spans="1:20" ht="37.5" x14ac:dyDescent="0.25">
      <c r="A28" s="88">
        <v>311</v>
      </c>
      <c r="B28" s="89">
        <v>25</v>
      </c>
      <c r="C28" s="89">
        <v>930</v>
      </c>
      <c r="D28" s="90">
        <v>70499</v>
      </c>
      <c r="E28" s="122" t="s">
        <v>172</v>
      </c>
      <c r="F28" s="92" t="s">
        <v>359</v>
      </c>
      <c r="G28" s="228" t="s">
        <v>356</v>
      </c>
      <c r="H28" s="68" t="e">
        <f>#REF!*COM!$H$4</f>
        <v>#REF!</v>
      </c>
      <c r="I28" s="68" t="e">
        <f>#REF!*COM!$H$4</f>
        <v>#REF!</v>
      </c>
      <c r="J28" s="68" t="e">
        <f>#REF!*COM!$J$4</f>
        <v>#REF!</v>
      </c>
      <c r="K28" s="68" t="e">
        <f>#REF!*COM!$J$4</f>
        <v>#REF!</v>
      </c>
      <c r="L28" s="68" t="e">
        <f>#REF!*COM!$L$4</f>
        <v>#REF!</v>
      </c>
      <c r="M28" s="68" t="e">
        <f>#REF!*COM!$L$4</f>
        <v>#REF!</v>
      </c>
      <c r="N28" s="68" t="e">
        <f>#REF!*COM!$N$4</f>
        <v>#REF!</v>
      </c>
      <c r="O28" s="68" t="e">
        <f>#REF!*COM!$N$4</f>
        <v>#REF!</v>
      </c>
      <c r="P28" s="68" t="e">
        <f>#REF!*COM!$P$4</f>
        <v>#REF!</v>
      </c>
      <c r="Q28" s="68" t="e">
        <f>#REF!*COM!$P$4</f>
        <v>#REF!</v>
      </c>
      <c r="R28" s="68" t="e">
        <f>#REF!*COM!$R$4</f>
        <v>#REF!</v>
      </c>
      <c r="S28" s="68" t="e">
        <f>#REF!*COM!$R$4</f>
        <v>#REF!</v>
      </c>
      <c r="T28" s="111" t="e">
        <f t="shared" si="1"/>
        <v>#REF!</v>
      </c>
    </row>
    <row r="29" spans="1:20" ht="37.5" x14ac:dyDescent="0.25">
      <c r="A29" s="88">
        <v>321</v>
      </c>
      <c r="B29" s="89">
        <v>25</v>
      </c>
      <c r="C29" s="89">
        <v>930</v>
      </c>
      <c r="D29" s="90">
        <v>70499</v>
      </c>
      <c r="E29" s="122" t="s">
        <v>172</v>
      </c>
      <c r="F29" s="92" t="s">
        <v>359</v>
      </c>
      <c r="G29" s="229"/>
      <c r="H29" s="68" t="e">
        <f>#REF!*COM!$H$4</f>
        <v>#REF!</v>
      </c>
      <c r="I29" s="68" t="e">
        <f>#REF!*COM!$H$4</f>
        <v>#REF!</v>
      </c>
      <c r="J29" s="68" t="e">
        <f>#REF!*COM!$J$4</f>
        <v>#REF!</v>
      </c>
      <c r="K29" s="68" t="e">
        <f>#REF!*COM!$J$4</f>
        <v>#REF!</v>
      </c>
      <c r="L29" s="68" t="e">
        <f>#REF!*COM!$L$4</f>
        <v>#REF!</v>
      </c>
      <c r="M29" s="68" t="e">
        <f>#REF!*COM!$L$4</f>
        <v>#REF!</v>
      </c>
      <c r="N29" s="68" t="e">
        <f>#REF!*COM!$N$4</f>
        <v>#REF!</v>
      </c>
      <c r="O29" s="68" t="e">
        <f>#REF!*COM!$N$4</f>
        <v>#REF!</v>
      </c>
      <c r="P29" s="68" t="e">
        <f>#REF!*COM!$P$4</f>
        <v>#REF!</v>
      </c>
      <c r="Q29" s="68" t="e">
        <f>#REF!*COM!$P$4</f>
        <v>#REF!</v>
      </c>
      <c r="R29" s="68" t="e">
        <f>#REF!*COM!$R$4</f>
        <v>#REF!</v>
      </c>
      <c r="S29" s="68" t="e">
        <f>#REF!*COM!$R$4</f>
        <v>#REF!</v>
      </c>
      <c r="T29" s="111" t="e">
        <f t="shared" si="1"/>
        <v>#REF!</v>
      </c>
    </row>
    <row r="30" spans="1:20" ht="37.5" x14ac:dyDescent="0.25">
      <c r="A30" s="114">
        <v>311</v>
      </c>
      <c r="B30" s="115">
        <v>25</v>
      </c>
      <c r="C30" s="115">
        <v>930</v>
      </c>
      <c r="D30" s="116">
        <v>70499</v>
      </c>
      <c r="E30" s="117" t="s">
        <v>172</v>
      </c>
      <c r="F30" s="112" t="s">
        <v>395</v>
      </c>
      <c r="G30" s="233" t="s">
        <v>396</v>
      </c>
      <c r="H30" s="68" t="e">
        <f>#REF!*COM!$H$4</f>
        <v>#REF!</v>
      </c>
      <c r="I30" s="68" t="e">
        <f>#REF!*COM!$H$4</f>
        <v>#REF!</v>
      </c>
      <c r="J30" s="68" t="e">
        <f>#REF!*COM!$J$4</f>
        <v>#REF!</v>
      </c>
      <c r="K30" s="68" t="e">
        <f>#REF!*COM!$J$4</f>
        <v>#REF!</v>
      </c>
      <c r="L30" s="68" t="e">
        <f>#REF!*COM!$L$4</f>
        <v>#REF!</v>
      </c>
      <c r="M30" s="68" t="e">
        <f>#REF!*COM!$L$4</f>
        <v>#REF!</v>
      </c>
      <c r="N30" s="68" t="e">
        <f>#REF!*COM!$N$4</f>
        <v>#REF!</v>
      </c>
      <c r="O30" s="68" t="e">
        <f>#REF!*COM!$N$4</f>
        <v>#REF!</v>
      </c>
      <c r="P30" s="68" t="e">
        <f>#REF!*COM!$P$4</f>
        <v>#REF!</v>
      </c>
      <c r="Q30" s="68" t="e">
        <f>#REF!*COM!$P$4</f>
        <v>#REF!</v>
      </c>
      <c r="R30" s="68" t="e">
        <f>#REF!*COM!$R$4</f>
        <v>#REF!</v>
      </c>
      <c r="S30" s="68" t="e">
        <f>#REF!*COM!$R$4</f>
        <v>#REF!</v>
      </c>
      <c r="T30" s="111" t="e">
        <f t="shared" si="1"/>
        <v>#REF!</v>
      </c>
    </row>
    <row r="31" spans="1:20" ht="37.5" x14ac:dyDescent="0.25">
      <c r="A31" s="114">
        <v>321</v>
      </c>
      <c r="B31" s="115">
        <v>25</v>
      </c>
      <c r="C31" s="115">
        <v>930</v>
      </c>
      <c r="D31" s="116">
        <v>70499</v>
      </c>
      <c r="E31" s="117" t="s">
        <v>172</v>
      </c>
      <c r="F31" s="112" t="s">
        <v>395</v>
      </c>
      <c r="G31" s="234"/>
      <c r="H31" s="68" t="e">
        <f>#REF!*COM!$H$4</f>
        <v>#REF!</v>
      </c>
      <c r="I31" s="68" t="e">
        <f>#REF!*COM!$H$4</f>
        <v>#REF!</v>
      </c>
      <c r="J31" s="68" t="e">
        <f>#REF!*COM!$J$4</f>
        <v>#REF!</v>
      </c>
      <c r="K31" s="68" t="e">
        <f>#REF!*COM!$J$4</f>
        <v>#REF!</v>
      </c>
      <c r="L31" s="68" t="e">
        <f>#REF!*COM!$L$4</f>
        <v>#REF!</v>
      </c>
      <c r="M31" s="68" t="e">
        <f>#REF!*COM!$L$4</f>
        <v>#REF!</v>
      </c>
      <c r="N31" s="68" t="e">
        <f>#REF!*COM!$N$4</f>
        <v>#REF!</v>
      </c>
      <c r="O31" s="68" t="e">
        <f>#REF!*COM!$N$4</f>
        <v>#REF!</v>
      </c>
      <c r="P31" s="68" t="e">
        <f>#REF!*COM!$P$4</f>
        <v>#REF!</v>
      </c>
      <c r="Q31" s="68" t="e">
        <f>#REF!*COM!$P$4</f>
        <v>#REF!</v>
      </c>
      <c r="R31" s="68" t="e">
        <f>#REF!*COM!$R$4</f>
        <v>#REF!</v>
      </c>
      <c r="S31" s="68" t="e">
        <f>#REF!*COM!$R$4</f>
        <v>#REF!</v>
      </c>
      <c r="T31" s="111" t="e">
        <f t="shared" si="1"/>
        <v>#REF!</v>
      </c>
    </row>
    <row r="32" spans="1:20" ht="18.75" x14ac:dyDescent="0.25">
      <c r="A32" s="114">
        <v>311</v>
      </c>
      <c r="B32" s="115">
        <v>25</v>
      </c>
      <c r="C32" s="115">
        <v>920</v>
      </c>
      <c r="D32" s="116">
        <v>70499</v>
      </c>
      <c r="E32" s="117" t="s">
        <v>172</v>
      </c>
      <c r="F32" s="118" t="s">
        <v>15</v>
      </c>
      <c r="G32" s="149"/>
      <c r="H32" s="68" t="e">
        <f>#REF!*COM!$H$4</f>
        <v>#REF!</v>
      </c>
      <c r="I32" s="68" t="e">
        <f>#REF!*COM!$H$4</f>
        <v>#REF!</v>
      </c>
      <c r="J32" s="68" t="e">
        <f>#REF!*COM!$J$4</f>
        <v>#REF!</v>
      </c>
      <c r="K32" s="68" t="e">
        <f>#REF!*COM!$J$4</f>
        <v>#REF!</v>
      </c>
      <c r="L32" s="68" t="e">
        <f>#REF!*COM!$L$4</f>
        <v>#REF!</v>
      </c>
      <c r="M32" s="68" t="e">
        <f>#REF!*COM!$L$4</f>
        <v>#REF!</v>
      </c>
      <c r="N32" s="68" t="e">
        <f>#REF!*COM!$N$4</f>
        <v>#REF!</v>
      </c>
      <c r="O32" s="68" t="e">
        <f>#REF!*COM!$N$4</f>
        <v>#REF!</v>
      </c>
      <c r="P32" s="68" t="e">
        <f>#REF!*COM!$P$4</f>
        <v>#REF!</v>
      </c>
      <c r="Q32" s="68" t="e">
        <f>#REF!*COM!$P$4</f>
        <v>#REF!</v>
      </c>
      <c r="R32" s="68" t="e">
        <f>#REF!*COM!$R$4</f>
        <v>#REF!</v>
      </c>
      <c r="S32" s="68" t="e">
        <f>#REF!*COM!$R$4</f>
        <v>#REF!</v>
      </c>
      <c r="T32" s="111"/>
    </row>
    <row r="33" spans="1:20" ht="18.75" x14ac:dyDescent="0.25">
      <c r="A33" s="114">
        <v>311</v>
      </c>
      <c r="B33" s="115">
        <v>25</v>
      </c>
      <c r="C33" s="115">
        <v>930</v>
      </c>
      <c r="D33" s="116">
        <v>70499</v>
      </c>
      <c r="E33" s="117" t="s">
        <v>172</v>
      </c>
      <c r="F33" s="118" t="s">
        <v>16</v>
      </c>
      <c r="G33" s="149"/>
      <c r="H33" s="68" t="e">
        <f>#REF!*COM!$H$4</f>
        <v>#REF!</v>
      </c>
      <c r="I33" s="68" t="e">
        <f>#REF!*COM!$H$4</f>
        <v>#REF!</v>
      </c>
      <c r="J33" s="68" t="e">
        <f>#REF!*COM!$J$4</f>
        <v>#REF!</v>
      </c>
      <c r="K33" s="68" t="e">
        <f>#REF!*COM!$J$4</f>
        <v>#REF!</v>
      </c>
      <c r="L33" s="68" t="e">
        <f>#REF!*COM!$L$4</f>
        <v>#REF!</v>
      </c>
      <c r="M33" s="68" t="e">
        <f>#REF!*COM!$L$4</f>
        <v>#REF!</v>
      </c>
      <c r="N33" s="68" t="e">
        <f>#REF!*COM!$N$4</f>
        <v>#REF!</v>
      </c>
      <c r="O33" s="68" t="e">
        <f>#REF!*COM!$N$4</f>
        <v>#REF!</v>
      </c>
      <c r="P33" s="68" t="e">
        <f>#REF!*COM!$P$4</f>
        <v>#REF!</v>
      </c>
      <c r="Q33" s="68" t="e">
        <f>#REF!*COM!$P$4</f>
        <v>#REF!</v>
      </c>
      <c r="R33" s="68" t="e">
        <f>#REF!*COM!$R$4</f>
        <v>#REF!</v>
      </c>
      <c r="S33" s="68" t="e">
        <f>#REF!*COM!$R$4</f>
        <v>#REF!</v>
      </c>
      <c r="T33" s="111"/>
    </row>
    <row r="34" spans="1:20" ht="18.75" x14ac:dyDescent="0.25">
      <c r="A34" s="4"/>
      <c r="B34" s="52"/>
      <c r="C34" s="52"/>
      <c r="D34" s="7"/>
      <c r="E34" s="20"/>
      <c r="F34" s="38"/>
      <c r="G34" s="3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11">
        <f t="shared" si="1"/>
        <v>0</v>
      </c>
    </row>
    <row r="35" spans="1:20" ht="18.75" x14ac:dyDescent="0.25">
      <c r="A35" s="4"/>
      <c r="B35" s="52"/>
      <c r="C35" s="52"/>
      <c r="D35" s="7"/>
      <c r="E35" s="20"/>
      <c r="F35" s="38"/>
      <c r="G35" s="3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11"/>
    </row>
    <row r="36" spans="1:20" ht="18.75" x14ac:dyDescent="0.25">
      <c r="A36" s="4"/>
      <c r="B36" s="52"/>
      <c r="C36" s="52"/>
      <c r="D36" s="7"/>
      <c r="E36" s="20"/>
      <c r="F36" s="38"/>
      <c r="G36" s="3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11">
        <f t="shared" si="1"/>
        <v>0</v>
      </c>
    </row>
    <row r="37" spans="1:20" ht="18.75" x14ac:dyDescent="0.25">
      <c r="A37" s="4"/>
      <c r="B37" s="52"/>
      <c r="C37" s="52"/>
      <c r="D37" s="7"/>
      <c r="E37" s="20"/>
      <c r="F37" s="38"/>
      <c r="G37" s="3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11">
        <f t="shared" si="1"/>
        <v>0</v>
      </c>
    </row>
    <row r="38" spans="1:20" ht="18.75" x14ac:dyDescent="0.25">
      <c r="A38" s="4"/>
      <c r="B38" s="52"/>
      <c r="C38" s="52"/>
      <c r="D38" s="7"/>
      <c r="E38" s="20"/>
      <c r="F38" s="38"/>
      <c r="G38" s="3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11">
        <f t="shared" si="1"/>
        <v>0</v>
      </c>
    </row>
    <row r="39" spans="1:20" ht="18.75" x14ac:dyDescent="0.25">
      <c r="A39" s="56"/>
      <c r="B39" s="50"/>
      <c r="C39" s="50"/>
      <c r="D39" s="50"/>
      <c r="E39" s="54"/>
      <c r="F39" s="36" t="s">
        <v>17</v>
      </c>
      <c r="G39" s="36"/>
      <c r="H39" s="99" t="e">
        <f>H40</f>
        <v>#REF!</v>
      </c>
      <c r="I39" s="99" t="e">
        <f t="shared" ref="I39:S39" si="3">I40</f>
        <v>#REF!</v>
      </c>
      <c r="J39" s="99" t="e">
        <f t="shared" si="3"/>
        <v>#REF!</v>
      </c>
      <c r="K39" s="99" t="e">
        <f t="shared" si="3"/>
        <v>#REF!</v>
      </c>
      <c r="L39" s="99" t="e">
        <f t="shared" si="3"/>
        <v>#REF!</v>
      </c>
      <c r="M39" s="99" t="e">
        <f t="shared" si="3"/>
        <v>#REF!</v>
      </c>
      <c r="N39" s="99" t="e">
        <f t="shared" si="3"/>
        <v>#REF!</v>
      </c>
      <c r="O39" s="99" t="e">
        <f t="shared" si="3"/>
        <v>#REF!</v>
      </c>
      <c r="P39" s="99" t="e">
        <f t="shared" si="3"/>
        <v>#REF!</v>
      </c>
      <c r="Q39" s="99" t="e">
        <f t="shared" si="3"/>
        <v>#REF!</v>
      </c>
      <c r="R39" s="99" t="e">
        <f t="shared" si="3"/>
        <v>#REF!</v>
      </c>
      <c r="S39" s="99" t="e">
        <f t="shared" si="3"/>
        <v>#REF!</v>
      </c>
      <c r="T39" s="111" t="e">
        <f t="shared" si="1"/>
        <v>#REF!</v>
      </c>
    </row>
    <row r="40" spans="1:20" ht="18.75" x14ac:dyDescent="0.25">
      <c r="A40" s="57"/>
      <c r="B40" s="51"/>
      <c r="C40" s="51"/>
      <c r="D40" s="51"/>
      <c r="E40" s="55"/>
      <c r="F40" s="37" t="s">
        <v>6</v>
      </c>
      <c r="G40" s="37"/>
      <c r="H40" s="100" t="e">
        <f t="shared" ref="H40:S40" si="4">SUM(H41:H68)</f>
        <v>#REF!</v>
      </c>
      <c r="I40" s="100" t="e">
        <f>SUM(I41:I68)</f>
        <v>#REF!</v>
      </c>
      <c r="J40" s="100" t="e">
        <f t="shared" si="4"/>
        <v>#REF!</v>
      </c>
      <c r="K40" s="100" t="e">
        <f t="shared" si="4"/>
        <v>#REF!</v>
      </c>
      <c r="L40" s="100" t="e">
        <f t="shared" si="4"/>
        <v>#REF!</v>
      </c>
      <c r="M40" s="100" t="e">
        <f t="shared" si="4"/>
        <v>#REF!</v>
      </c>
      <c r="N40" s="100" t="e">
        <f t="shared" si="4"/>
        <v>#REF!</v>
      </c>
      <c r="O40" s="100" t="e">
        <f t="shared" si="4"/>
        <v>#REF!</v>
      </c>
      <c r="P40" s="100" t="e">
        <f t="shared" si="4"/>
        <v>#REF!</v>
      </c>
      <c r="Q40" s="100" t="e">
        <f>SUM(Q41:Q68)</f>
        <v>#REF!</v>
      </c>
      <c r="R40" s="100" t="e">
        <f t="shared" si="4"/>
        <v>#REF!</v>
      </c>
      <c r="S40" s="100" t="e">
        <f t="shared" si="4"/>
        <v>#REF!</v>
      </c>
      <c r="T40" s="111" t="e">
        <f t="shared" si="1"/>
        <v>#REF!</v>
      </c>
    </row>
    <row r="41" spans="1:20" ht="37.5" x14ac:dyDescent="0.25">
      <c r="A41" s="4">
        <v>311</v>
      </c>
      <c r="B41" s="52">
        <v>28</v>
      </c>
      <c r="C41" s="52">
        <v>920</v>
      </c>
      <c r="D41" s="73">
        <v>70499</v>
      </c>
      <c r="E41" s="20" t="s">
        <v>172</v>
      </c>
      <c r="F41" s="74" t="s">
        <v>20</v>
      </c>
      <c r="G41" s="225" t="s">
        <v>279</v>
      </c>
      <c r="H41" s="68" t="e">
        <f>#REF!*COM!$H$4</f>
        <v>#REF!</v>
      </c>
      <c r="I41" s="68" t="e">
        <f>#REF!*COM!$H$4</f>
        <v>#REF!</v>
      </c>
      <c r="J41" s="68" t="e">
        <f>#REF!*COM!$J$4</f>
        <v>#REF!</v>
      </c>
      <c r="K41" s="68" t="e">
        <f>#REF!*COM!$J$4</f>
        <v>#REF!</v>
      </c>
      <c r="L41" s="68" t="e">
        <f>#REF!*COM!$L$4</f>
        <v>#REF!</v>
      </c>
      <c r="M41" s="68" t="e">
        <f>#REF!*COM!$L$4</f>
        <v>#REF!</v>
      </c>
      <c r="N41" s="68" t="e">
        <f>#REF!*COM!$N$4</f>
        <v>#REF!</v>
      </c>
      <c r="O41" s="68" t="e">
        <f>#REF!*COM!$N$4</f>
        <v>#REF!</v>
      </c>
      <c r="P41" s="68" t="e">
        <f>#REF!*COM!$P$4</f>
        <v>#REF!</v>
      </c>
      <c r="Q41" s="68" t="e">
        <f>#REF!*COM!$P$4</f>
        <v>#REF!</v>
      </c>
      <c r="R41" s="68" t="e">
        <f>#REF!*COM!$R$4</f>
        <v>#REF!</v>
      </c>
      <c r="S41" s="68" t="e">
        <f>#REF!*COM!$R$4</f>
        <v>#REF!</v>
      </c>
      <c r="T41" s="111" t="e">
        <f t="shared" si="1"/>
        <v>#REF!</v>
      </c>
    </row>
    <row r="42" spans="1:20" ht="37.5" x14ac:dyDescent="0.25">
      <c r="A42" s="4">
        <v>311</v>
      </c>
      <c r="B42" s="52">
        <v>28</v>
      </c>
      <c r="C42" s="52">
        <v>930</v>
      </c>
      <c r="D42" s="7">
        <v>70499</v>
      </c>
      <c r="E42" s="20" t="s">
        <v>172</v>
      </c>
      <c r="F42" s="74" t="s">
        <v>21</v>
      </c>
      <c r="G42" s="227"/>
      <c r="H42" s="68" t="e">
        <f>#REF!*COM!$H$4</f>
        <v>#REF!</v>
      </c>
      <c r="I42" s="68" t="e">
        <f>#REF!*COM!$H$4</f>
        <v>#REF!</v>
      </c>
      <c r="J42" s="68" t="e">
        <f>#REF!*COM!$J$4</f>
        <v>#REF!</v>
      </c>
      <c r="K42" s="68" t="e">
        <f>#REF!*COM!$J$4</f>
        <v>#REF!</v>
      </c>
      <c r="L42" s="68" t="e">
        <f>#REF!*COM!$L$4</f>
        <v>#REF!</v>
      </c>
      <c r="M42" s="68" t="e">
        <f>#REF!*COM!$L$4</f>
        <v>#REF!</v>
      </c>
      <c r="N42" s="68" t="e">
        <f>#REF!*COM!$N$4</f>
        <v>#REF!</v>
      </c>
      <c r="O42" s="68" t="e">
        <f>#REF!*COM!$N$4</f>
        <v>#REF!</v>
      </c>
      <c r="P42" s="68" t="e">
        <f>#REF!*COM!$P$4</f>
        <v>#REF!</v>
      </c>
      <c r="Q42" s="68" t="e">
        <f>#REF!*COM!$P$4</f>
        <v>#REF!</v>
      </c>
      <c r="R42" s="68" t="e">
        <f>#REF!*COM!$R$4</f>
        <v>#REF!</v>
      </c>
      <c r="S42" s="68" t="e">
        <f>#REF!*COM!$R$4</f>
        <v>#REF!</v>
      </c>
      <c r="T42" s="111" t="e">
        <f t="shared" si="1"/>
        <v>#REF!</v>
      </c>
    </row>
    <row r="43" spans="1:20" ht="37.5" x14ac:dyDescent="0.25">
      <c r="A43" s="4">
        <v>311</v>
      </c>
      <c r="B43" s="52">
        <v>28</v>
      </c>
      <c r="C43" s="52">
        <v>930</v>
      </c>
      <c r="D43" s="7">
        <v>70499</v>
      </c>
      <c r="E43" s="20" t="s">
        <v>172</v>
      </c>
      <c r="F43" s="74" t="s">
        <v>343</v>
      </c>
      <c r="G43" s="147"/>
      <c r="H43" s="68" t="e">
        <f>#REF!*COM!$H$4</f>
        <v>#REF!</v>
      </c>
      <c r="I43" s="68" t="e">
        <f>#REF!*COM!$H$4</f>
        <v>#REF!</v>
      </c>
      <c r="J43" s="68" t="e">
        <f>#REF!*COM!$J$4</f>
        <v>#REF!</v>
      </c>
      <c r="K43" s="68" t="e">
        <f>#REF!*COM!$J$4</f>
        <v>#REF!</v>
      </c>
      <c r="L43" s="68" t="e">
        <f>#REF!*COM!$L$4</f>
        <v>#REF!</v>
      </c>
      <c r="M43" s="68" t="e">
        <f>#REF!*COM!$L$4</f>
        <v>#REF!</v>
      </c>
      <c r="N43" s="68" t="e">
        <f>#REF!*COM!$N$4</f>
        <v>#REF!</v>
      </c>
      <c r="O43" s="68" t="e">
        <f>#REF!*COM!$N$4</f>
        <v>#REF!</v>
      </c>
      <c r="P43" s="68" t="e">
        <f>#REF!*COM!$P$4</f>
        <v>#REF!</v>
      </c>
      <c r="Q43" s="68" t="e">
        <f>#REF!*COM!$P$4</f>
        <v>#REF!</v>
      </c>
      <c r="R43" s="68" t="e">
        <f>#REF!*COM!$R$4</f>
        <v>#REF!</v>
      </c>
      <c r="S43" s="68" t="e">
        <f>#REF!*COM!$R$4</f>
        <v>#REF!</v>
      </c>
      <c r="T43" s="111" t="e">
        <f t="shared" si="1"/>
        <v>#REF!</v>
      </c>
    </row>
    <row r="44" spans="1:20" ht="37.5" x14ac:dyDescent="0.25">
      <c r="A44" s="4">
        <v>311</v>
      </c>
      <c r="B44" s="52">
        <v>28</v>
      </c>
      <c r="C44" s="52">
        <v>920</v>
      </c>
      <c r="D44" s="7">
        <v>70499</v>
      </c>
      <c r="E44" s="20" t="s">
        <v>172</v>
      </c>
      <c r="F44" s="62" t="s">
        <v>295</v>
      </c>
      <c r="G44" s="225" t="s">
        <v>280</v>
      </c>
      <c r="H44" s="68" t="e">
        <f>#REF!*COM!$H$4</f>
        <v>#REF!</v>
      </c>
      <c r="I44" s="68" t="e">
        <f>#REF!*COM!$H$4</f>
        <v>#REF!</v>
      </c>
      <c r="J44" s="68" t="e">
        <f>#REF!*COM!$J$4</f>
        <v>#REF!</v>
      </c>
      <c r="K44" s="68" t="e">
        <f>#REF!*COM!$J$4</f>
        <v>#REF!</v>
      </c>
      <c r="L44" s="68" t="e">
        <f>#REF!*COM!$L$4</f>
        <v>#REF!</v>
      </c>
      <c r="M44" s="68" t="e">
        <f>#REF!*COM!$L$4</f>
        <v>#REF!</v>
      </c>
      <c r="N44" s="68" t="e">
        <f>#REF!*COM!$N$4</f>
        <v>#REF!</v>
      </c>
      <c r="O44" s="68" t="e">
        <f>#REF!*COM!$N$4</f>
        <v>#REF!</v>
      </c>
      <c r="P44" s="68" t="e">
        <f>#REF!*COM!$P$4</f>
        <v>#REF!</v>
      </c>
      <c r="Q44" s="68" t="e">
        <f>#REF!*COM!$P$4</f>
        <v>#REF!</v>
      </c>
      <c r="R44" s="68" t="e">
        <f>#REF!*COM!$R$4</f>
        <v>#REF!</v>
      </c>
      <c r="S44" s="68" t="e">
        <f>#REF!*COM!$R$4</f>
        <v>#REF!</v>
      </c>
      <c r="T44" s="111" t="e">
        <f t="shared" si="1"/>
        <v>#REF!</v>
      </c>
    </row>
    <row r="45" spans="1:20" ht="37.5" x14ac:dyDescent="0.25">
      <c r="A45" s="4">
        <v>311</v>
      </c>
      <c r="B45" s="52">
        <v>28</v>
      </c>
      <c r="C45" s="52">
        <v>930</v>
      </c>
      <c r="D45" s="7">
        <v>70499</v>
      </c>
      <c r="E45" s="20" t="s">
        <v>172</v>
      </c>
      <c r="F45" s="62" t="s">
        <v>296</v>
      </c>
      <c r="G45" s="227"/>
      <c r="H45" s="68" t="e">
        <f>#REF!*COM!$H$4</f>
        <v>#REF!</v>
      </c>
      <c r="I45" s="68" t="e">
        <f>#REF!*COM!$H$4</f>
        <v>#REF!</v>
      </c>
      <c r="J45" s="68" t="e">
        <f>#REF!*COM!$J$4</f>
        <v>#REF!</v>
      </c>
      <c r="K45" s="68" t="e">
        <f>#REF!*COM!$J$4</f>
        <v>#REF!</v>
      </c>
      <c r="L45" s="68" t="e">
        <f>#REF!*COM!$L$4</f>
        <v>#REF!</v>
      </c>
      <c r="M45" s="68" t="e">
        <f>#REF!*COM!$L$4</f>
        <v>#REF!</v>
      </c>
      <c r="N45" s="68" t="e">
        <f>#REF!*COM!$N$4</f>
        <v>#REF!</v>
      </c>
      <c r="O45" s="68" t="e">
        <f>#REF!*COM!$N$4</f>
        <v>#REF!</v>
      </c>
      <c r="P45" s="68" t="e">
        <f>#REF!*COM!$P$4</f>
        <v>#REF!</v>
      </c>
      <c r="Q45" s="68" t="e">
        <f>#REF!*COM!$P$4</f>
        <v>#REF!</v>
      </c>
      <c r="R45" s="68" t="e">
        <f>#REF!*COM!$R$4</f>
        <v>#REF!</v>
      </c>
      <c r="S45" s="68" t="e">
        <f>#REF!*COM!$R$4</f>
        <v>#REF!</v>
      </c>
      <c r="T45" s="111" t="e">
        <f t="shared" si="1"/>
        <v>#REF!</v>
      </c>
    </row>
    <row r="46" spans="1:20" ht="18.75" x14ac:dyDescent="0.25">
      <c r="A46" s="4">
        <v>311</v>
      </c>
      <c r="B46" s="52">
        <v>28</v>
      </c>
      <c r="C46" s="52">
        <v>920</v>
      </c>
      <c r="D46" s="7">
        <v>70499</v>
      </c>
      <c r="E46" s="20" t="s">
        <v>172</v>
      </c>
      <c r="F46" s="62" t="s">
        <v>297</v>
      </c>
      <c r="G46" s="225" t="s">
        <v>342</v>
      </c>
      <c r="H46" s="68" t="e">
        <f>#REF!*COM!$H$4</f>
        <v>#REF!</v>
      </c>
      <c r="I46" s="68" t="e">
        <f>#REF!*COM!$H$4</f>
        <v>#REF!</v>
      </c>
      <c r="J46" s="68" t="e">
        <f>#REF!*COM!$J$4</f>
        <v>#REF!</v>
      </c>
      <c r="K46" s="68" t="e">
        <f>#REF!*COM!$J$4</f>
        <v>#REF!</v>
      </c>
      <c r="L46" s="68" t="e">
        <f>#REF!*COM!$L$4</f>
        <v>#REF!</v>
      </c>
      <c r="M46" s="68" t="e">
        <f>#REF!*COM!$L$4</f>
        <v>#REF!</v>
      </c>
      <c r="N46" s="68" t="e">
        <f>#REF!*COM!$N$4</f>
        <v>#REF!</v>
      </c>
      <c r="O46" s="68" t="e">
        <f>#REF!*COM!$N$4</f>
        <v>#REF!</v>
      </c>
      <c r="P46" s="68" t="e">
        <f>#REF!*COM!$P$4</f>
        <v>#REF!</v>
      </c>
      <c r="Q46" s="68" t="e">
        <f>#REF!*COM!$P$4</f>
        <v>#REF!</v>
      </c>
      <c r="R46" s="68" t="e">
        <f>#REF!*COM!$R$4</f>
        <v>#REF!</v>
      </c>
      <c r="S46" s="68" t="e">
        <f>#REF!*COM!$R$4</f>
        <v>#REF!</v>
      </c>
      <c r="T46" s="111" t="e">
        <f t="shared" si="1"/>
        <v>#REF!</v>
      </c>
    </row>
    <row r="47" spans="1:20" ht="18.75" x14ac:dyDescent="0.25">
      <c r="A47" s="4">
        <v>311</v>
      </c>
      <c r="B47" s="52">
        <v>28</v>
      </c>
      <c r="C47" s="52">
        <v>930</v>
      </c>
      <c r="D47" s="7">
        <v>70499</v>
      </c>
      <c r="E47" s="20" t="s">
        <v>172</v>
      </c>
      <c r="F47" s="62" t="s">
        <v>298</v>
      </c>
      <c r="G47" s="227"/>
      <c r="H47" s="68" t="e">
        <f>#REF!*COM!$H$4</f>
        <v>#REF!</v>
      </c>
      <c r="I47" s="68" t="e">
        <f>#REF!*COM!$H$4</f>
        <v>#REF!</v>
      </c>
      <c r="J47" s="68" t="e">
        <f>#REF!*COM!$J$4</f>
        <v>#REF!</v>
      </c>
      <c r="K47" s="68" t="e">
        <f>#REF!*COM!$J$4</f>
        <v>#REF!</v>
      </c>
      <c r="L47" s="68" t="e">
        <f>#REF!*COM!$L$4</f>
        <v>#REF!</v>
      </c>
      <c r="M47" s="68" t="e">
        <f>#REF!*COM!$L$4</f>
        <v>#REF!</v>
      </c>
      <c r="N47" s="68" t="e">
        <f>#REF!*COM!$N$4</f>
        <v>#REF!</v>
      </c>
      <c r="O47" s="68" t="e">
        <f>#REF!*COM!$N$4</f>
        <v>#REF!</v>
      </c>
      <c r="P47" s="68" t="e">
        <f>#REF!*COM!$P$4</f>
        <v>#REF!</v>
      </c>
      <c r="Q47" s="68" t="e">
        <f>#REF!*COM!$P$4</f>
        <v>#REF!</v>
      </c>
      <c r="R47" s="68" t="e">
        <f>#REF!*COM!$R$4</f>
        <v>#REF!</v>
      </c>
      <c r="S47" s="68" t="e">
        <f>#REF!*COM!$R$4</f>
        <v>#REF!</v>
      </c>
      <c r="T47" s="111" t="e">
        <f t="shared" si="1"/>
        <v>#REF!</v>
      </c>
    </row>
    <row r="48" spans="1:20" ht="18.75" x14ac:dyDescent="0.25">
      <c r="A48" s="88">
        <v>311</v>
      </c>
      <c r="B48" s="89">
        <v>28</v>
      </c>
      <c r="C48" s="89">
        <v>910</v>
      </c>
      <c r="D48" s="90">
        <v>70499</v>
      </c>
      <c r="E48" s="91"/>
      <c r="F48" s="92" t="s">
        <v>390</v>
      </c>
      <c r="G48" s="92"/>
      <c r="H48" s="68" t="e">
        <f>#REF!*COM!$H$4</f>
        <v>#REF!</v>
      </c>
      <c r="I48" s="68" t="e">
        <f>#REF!*COM!$H$4</f>
        <v>#REF!</v>
      </c>
      <c r="J48" s="68" t="e">
        <f>#REF!*COM!$J$4</f>
        <v>#REF!</v>
      </c>
      <c r="K48" s="68" t="e">
        <f>#REF!*COM!$J$4</f>
        <v>#REF!</v>
      </c>
      <c r="L48" s="68" t="e">
        <f>#REF!*COM!$L$4</f>
        <v>#REF!</v>
      </c>
      <c r="M48" s="68" t="e">
        <f>#REF!*COM!$L$4</f>
        <v>#REF!</v>
      </c>
      <c r="N48" s="68" t="e">
        <f>#REF!*COM!$N$4</f>
        <v>#REF!</v>
      </c>
      <c r="O48" s="68" t="e">
        <f>#REF!*COM!$N$4</f>
        <v>#REF!</v>
      </c>
      <c r="P48" s="68" t="e">
        <f>#REF!*COM!$P$4</f>
        <v>#REF!</v>
      </c>
      <c r="Q48" s="68" t="e">
        <f>#REF!*COM!$P$4</f>
        <v>#REF!</v>
      </c>
      <c r="R48" s="68" t="e">
        <f>#REF!*COM!$R$4</f>
        <v>#REF!</v>
      </c>
      <c r="S48" s="68" t="e">
        <f>#REF!*COM!$R$4</f>
        <v>#REF!</v>
      </c>
      <c r="T48" s="111"/>
    </row>
    <row r="49" spans="1:20" ht="37.5" x14ac:dyDescent="0.25">
      <c r="A49" s="88">
        <v>311</v>
      </c>
      <c r="B49" s="89">
        <v>28</v>
      </c>
      <c r="C49" s="89">
        <v>920</v>
      </c>
      <c r="D49" s="90">
        <v>70499</v>
      </c>
      <c r="E49" s="91" t="s">
        <v>173</v>
      </c>
      <c r="F49" s="92" t="s">
        <v>389</v>
      </c>
      <c r="G49" s="92"/>
      <c r="H49" s="68" t="e">
        <f>#REF!*COM!$H$4</f>
        <v>#REF!</v>
      </c>
      <c r="I49" s="68" t="e">
        <f>#REF!*COM!$H$4</f>
        <v>#REF!</v>
      </c>
      <c r="J49" s="68" t="e">
        <f>#REF!*COM!$J$4</f>
        <v>#REF!</v>
      </c>
      <c r="K49" s="68" t="e">
        <f>#REF!*COM!$J$4</f>
        <v>#REF!</v>
      </c>
      <c r="L49" s="68" t="e">
        <f>#REF!*COM!$L$4</f>
        <v>#REF!</v>
      </c>
      <c r="M49" s="68" t="e">
        <f>#REF!*COM!$L$4</f>
        <v>#REF!</v>
      </c>
      <c r="N49" s="68" t="e">
        <f>#REF!*COM!$N$4</f>
        <v>#REF!</v>
      </c>
      <c r="O49" s="68" t="e">
        <f>#REF!*COM!$N$4</f>
        <v>#REF!</v>
      </c>
      <c r="P49" s="68" t="e">
        <f>#REF!*COM!$P$4</f>
        <v>#REF!</v>
      </c>
      <c r="Q49" s="68" t="e">
        <f>#REF!*COM!$P$4</f>
        <v>#REF!</v>
      </c>
      <c r="R49" s="68" t="e">
        <f>#REF!*COM!$R$4</f>
        <v>#REF!</v>
      </c>
      <c r="S49" s="68" t="e">
        <f>#REF!*COM!$R$4</f>
        <v>#REF!</v>
      </c>
      <c r="T49" s="111"/>
    </row>
    <row r="50" spans="1:20" ht="18.75" x14ac:dyDescent="0.25">
      <c r="A50" s="114">
        <v>311</v>
      </c>
      <c r="B50" s="115">
        <v>28</v>
      </c>
      <c r="C50" s="115">
        <v>910</v>
      </c>
      <c r="D50" s="116">
        <v>70499</v>
      </c>
      <c r="E50" s="117"/>
      <c r="F50" s="118" t="s">
        <v>401</v>
      </c>
      <c r="G50" s="118"/>
      <c r="H50" s="68" t="e">
        <f>#REF!*COM!$H$4</f>
        <v>#REF!</v>
      </c>
      <c r="I50" s="68" t="e">
        <f>#REF!*COM!$H$4</f>
        <v>#REF!</v>
      </c>
      <c r="J50" s="68" t="e">
        <f>#REF!*COM!$J$4</f>
        <v>#REF!</v>
      </c>
      <c r="K50" s="68" t="e">
        <f>#REF!*COM!$J$4</f>
        <v>#REF!</v>
      </c>
      <c r="L50" s="68" t="e">
        <f>#REF!*COM!$L$4</f>
        <v>#REF!</v>
      </c>
      <c r="M50" s="68" t="e">
        <f>#REF!*COM!$L$4</f>
        <v>#REF!</v>
      </c>
      <c r="N50" s="68" t="e">
        <f>#REF!*COM!$N$4</f>
        <v>#REF!</v>
      </c>
      <c r="O50" s="68" t="e">
        <f>#REF!*COM!$N$4</f>
        <v>#REF!</v>
      </c>
      <c r="P50" s="68" t="e">
        <f>#REF!*COM!$P$4</f>
        <v>#REF!</v>
      </c>
      <c r="Q50" s="68" t="e">
        <f>#REF!*COM!$P$4</f>
        <v>#REF!</v>
      </c>
      <c r="R50" s="68" t="e">
        <f>#REF!*COM!$R$4</f>
        <v>#REF!</v>
      </c>
      <c r="S50" s="68" t="e">
        <f>#REF!*COM!$R$4</f>
        <v>#REF!</v>
      </c>
      <c r="T50" s="111"/>
    </row>
    <row r="51" spans="1:20" ht="18.75" x14ac:dyDescent="0.25">
      <c r="A51" s="114">
        <v>311</v>
      </c>
      <c r="B51" s="115">
        <v>28</v>
      </c>
      <c r="C51" s="115">
        <v>920</v>
      </c>
      <c r="D51" s="116">
        <v>70499</v>
      </c>
      <c r="E51" s="117" t="s">
        <v>173</v>
      </c>
      <c r="F51" s="118" t="s">
        <v>402</v>
      </c>
      <c r="G51" s="118"/>
      <c r="H51" s="68" t="e">
        <f>#REF!*COM!$H$4</f>
        <v>#REF!</v>
      </c>
      <c r="I51" s="68" t="e">
        <f>#REF!*COM!$H$4</f>
        <v>#REF!</v>
      </c>
      <c r="J51" s="68" t="e">
        <f>#REF!*COM!$J$4</f>
        <v>#REF!</v>
      </c>
      <c r="K51" s="68" t="e">
        <f>#REF!*COM!$J$4</f>
        <v>#REF!</v>
      </c>
      <c r="L51" s="68" t="e">
        <f>#REF!*COM!$L$4</f>
        <v>#REF!</v>
      </c>
      <c r="M51" s="68" t="e">
        <f>#REF!*COM!$L$4</f>
        <v>#REF!</v>
      </c>
      <c r="N51" s="68" t="e">
        <f>#REF!*COM!$N$4</f>
        <v>#REF!</v>
      </c>
      <c r="O51" s="68" t="e">
        <f>#REF!*COM!$N$4</f>
        <v>#REF!</v>
      </c>
      <c r="P51" s="68" t="e">
        <f>#REF!*COM!$P$4</f>
        <v>#REF!</v>
      </c>
      <c r="Q51" s="68" t="e">
        <f>#REF!*COM!$P$4</f>
        <v>#REF!</v>
      </c>
      <c r="R51" s="68" t="e">
        <f>#REF!*COM!$R$4</f>
        <v>#REF!</v>
      </c>
      <c r="S51" s="68" t="e">
        <f>#REF!*COM!$R$4</f>
        <v>#REF!</v>
      </c>
      <c r="T51" s="111"/>
    </row>
    <row r="52" spans="1:20" ht="18.75" x14ac:dyDescent="0.25">
      <c r="A52" s="114">
        <v>311</v>
      </c>
      <c r="B52" s="115">
        <v>28</v>
      </c>
      <c r="C52" s="115">
        <v>930</v>
      </c>
      <c r="D52" s="116">
        <v>70499</v>
      </c>
      <c r="E52" s="117" t="s">
        <v>173</v>
      </c>
      <c r="F52" s="118" t="s">
        <v>403</v>
      </c>
      <c r="G52" s="118"/>
      <c r="H52" s="68" t="e">
        <f>#REF!*COM!$H$4</f>
        <v>#REF!</v>
      </c>
      <c r="I52" s="68" t="e">
        <f>#REF!*COM!$H$4</f>
        <v>#REF!</v>
      </c>
      <c r="J52" s="68" t="e">
        <f>#REF!*COM!$J$4</f>
        <v>#REF!</v>
      </c>
      <c r="K52" s="68" t="e">
        <f>#REF!*COM!$J$4</f>
        <v>#REF!</v>
      </c>
      <c r="L52" s="68" t="e">
        <f>#REF!*COM!$L$4</f>
        <v>#REF!</v>
      </c>
      <c r="M52" s="68" t="e">
        <f>#REF!*COM!$L$4</f>
        <v>#REF!</v>
      </c>
      <c r="N52" s="68" t="e">
        <f>#REF!*COM!$N$4</f>
        <v>#REF!</v>
      </c>
      <c r="O52" s="68" t="e">
        <f>#REF!*COM!$N$4</f>
        <v>#REF!</v>
      </c>
      <c r="P52" s="68" t="e">
        <f>#REF!*COM!$P$4</f>
        <v>#REF!</v>
      </c>
      <c r="Q52" s="68" t="e">
        <f>#REF!*COM!$P$4</f>
        <v>#REF!</v>
      </c>
      <c r="R52" s="68" t="e">
        <f>#REF!*COM!$R$4</f>
        <v>#REF!</v>
      </c>
      <c r="S52" s="68" t="e">
        <f>#REF!*COM!$R$4</f>
        <v>#REF!</v>
      </c>
      <c r="T52" s="111"/>
    </row>
    <row r="53" spans="1:20" ht="18.75" x14ac:dyDescent="0.25">
      <c r="A53" s="88">
        <v>311</v>
      </c>
      <c r="B53" s="89">
        <v>28</v>
      </c>
      <c r="C53" s="89">
        <v>920</v>
      </c>
      <c r="D53" s="90">
        <v>70499</v>
      </c>
      <c r="E53" s="91" t="s">
        <v>164</v>
      </c>
      <c r="F53" s="108" t="s">
        <v>18</v>
      </c>
      <c r="G53" s="108"/>
      <c r="H53" s="68" t="e">
        <f>#REF!*COM!$H$4</f>
        <v>#REF!</v>
      </c>
      <c r="I53" s="68" t="e">
        <f>#REF!*COM!$H$4</f>
        <v>#REF!</v>
      </c>
      <c r="J53" s="68" t="e">
        <f>#REF!*COM!$J$4</f>
        <v>#REF!</v>
      </c>
      <c r="K53" s="68" t="e">
        <f>#REF!*COM!$J$4</f>
        <v>#REF!</v>
      </c>
      <c r="L53" s="68" t="e">
        <f>#REF!*COM!$L$4</f>
        <v>#REF!</v>
      </c>
      <c r="M53" s="68" t="e">
        <f>#REF!*COM!$L$4</f>
        <v>#REF!</v>
      </c>
      <c r="N53" s="68" t="e">
        <f>#REF!*COM!$N$4</f>
        <v>#REF!</v>
      </c>
      <c r="O53" s="68" t="e">
        <f>#REF!*COM!$N$4</f>
        <v>#REF!</v>
      </c>
      <c r="P53" s="68" t="e">
        <f>#REF!*COM!$P$4</f>
        <v>#REF!</v>
      </c>
      <c r="Q53" s="68" t="e">
        <f>#REF!*COM!$P$4</f>
        <v>#REF!</v>
      </c>
      <c r="R53" s="68" t="e">
        <f>#REF!*COM!$R$4</f>
        <v>#REF!</v>
      </c>
      <c r="S53" s="68" t="e">
        <f>#REF!*COM!$R$4</f>
        <v>#REF!</v>
      </c>
      <c r="T53" s="111" t="e">
        <f>I53+K53+M53+O53+Q53+S53</f>
        <v>#REF!</v>
      </c>
    </row>
    <row r="54" spans="1:20" ht="18.75" x14ac:dyDescent="0.25">
      <c r="A54" s="88">
        <v>311</v>
      </c>
      <c r="B54" s="89">
        <v>28</v>
      </c>
      <c r="C54" s="89">
        <v>920</v>
      </c>
      <c r="D54" s="90">
        <v>70499</v>
      </c>
      <c r="E54" s="91" t="s">
        <v>164</v>
      </c>
      <c r="F54" s="108" t="s">
        <v>19</v>
      </c>
      <c r="G54" s="108"/>
      <c r="H54" s="68" t="e">
        <f>#REF!*COM!$H$4</f>
        <v>#REF!</v>
      </c>
      <c r="I54" s="68" t="e">
        <f>#REF!*COM!$H$4</f>
        <v>#REF!</v>
      </c>
      <c r="J54" s="68" t="e">
        <f>#REF!*COM!$J$4</f>
        <v>#REF!</v>
      </c>
      <c r="K54" s="68" t="e">
        <f>#REF!*COM!$J$4</f>
        <v>#REF!</v>
      </c>
      <c r="L54" s="68" t="e">
        <f>#REF!*COM!$L$4</f>
        <v>#REF!</v>
      </c>
      <c r="M54" s="68" t="e">
        <f>#REF!*COM!$L$4</f>
        <v>#REF!</v>
      </c>
      <c r="N54" s="68" t="e">
        <f>#REF!*COM!$N$4</f>
        <v>#REF!</v>
      </c>
      <c r="O54" s="68" t="e">
        <f>#REF!*COM!$N$4</f>
        <v>#REF!</v>
      </c>
      <c r="P54" s="68" t="e">
        <f>#REF!*COM!$P$4</f>
        <v>#REF!</v>
      </c>
      <c r="Q54" s="68" t="e">
        <f>#REF!*COM!$P$4</f>
        <v>#REF!</v>
      </c>
      <c r="R54" s="68" t="e">
        <f>#REF!*COM!$R$4</f>
        <v>#REF!</v>
      </c>
      <c r="S54" s="68" t="e">
        <f>#REF!*COM!$R$4</f>
        <v>#REF!</v>
      </c>
      <c r="T54" s="111" t="e">
        <f>I54+K54+M54+O54+Q54+S54</f>
        <v>#REF!</v>
      </c>
    </row>
    <row r="55" spans="1:20" ht="18.75" x14ac:dyDescent="0.25">
      <c r="A55" s="88">
        <v>311</v>
      </c>
      <c r="B55" s="89">
        <v>28</v>
      </c>
      <c r="C55" s="89">
        <v>910</v>
      </c>
      <c r="D55" s="90">
        <v>70499</v>
      </c>
      <c r="E55" s="91"/>
      <c r="F55" s="108" t="s">
        <v>374</v>
      </c>
      <c r="G55" s="108"/>
      <c r="H55" s="68" t="e">
        <f>#REF!*COM!$H$4</f>
        <v>#REF!</v>
      </c>
      <c r="I55" s="68" t="e">
        <f>#REF!*COM!$H$4</f>
        <v>#REF!</v>
      </c>
      <c r="J55" s="68" t="e">
        <f>#REF!*COM!$J$4</f>
        <v>#REF!</v>
      </c>
      <c r="K55" s="68" t="e">
        <f>#REF!*COM!$J$4</f>
        <v>#REF!</v>
      </c>
      <c r="L55" s="68" t="e">
        <f>#REF!*COM!$L$4</f>
        <v>#REF!</v>
      </c>
      <c r="M55" s="68" t="e">
        <f>#REF!*COM!$L$4</f>
        <v>#REF!</v>
      </c>
      <c r="N55" s="68" t="e">
        <f>#REF!*COM!$N$4</f>
        <v>#REF!</v>
      </c>
      <c r="O55" s="68" t="e">
        <f>#REF!*COM!$N$4</f>
        <v>#REF!</v>
      </c>
      <c r="P55" s="68" t="e">
        <f>#REF!*COM!$P$4</f>
        <v>#REF!</v>
      </c>
      <c r="Q55" s="68" t="e">
        <f>#REF!*COM!$P$4</f>
        <v>#REF!</v>
      </c>
      <c r="R55" s="68" t="e">
        <f>#REF!*COM!$R$4</f>
        <v>#REF!</v>
      </c>
      <c r="S55" s="68" t="e">
        <f>#REF!*COM!$R$4</f>
        <v>#REF!</v>
      </c>
      <c r="T55" s="111"/>
    </row>
    <row r="56" spans="1:20" ht="37.5" x14ac:dyDescent="0.25">
      <c r="A56" s="88">
        <v>321</v>
      </c>
      <c r="B56" s="89">
        <v>28</v>
      </c>
      <c r="C56" s="89">
        <v>930</v>
      </c>
      <c r="D56" s="90">
        <v>70499</v>
      </c>
      <c r="E56" s="91" t="s">
        <v>166</v>
      </c>
      <c r="F56" s="92" t="s">
        <v>375</v>
      </c>
      <c r="G56" s="126" t="s">
        <v>351</v>
      </c>
      <c r="H56" s="68" t="e">
        <f>#REF!*COM!$H$4</f>
        <v>#REF!</v>
      </c>
      <c r="I56" s="68" t="e">
        <f>#REF!*COM!$H$4</f>
        <v>#REF!</v>
      </c>
      <c r="J56" s="68" t="e">
        <f>#REF!*COM!$J$4</f>
        <v>#REF!</v>
      </c>
      <c r="K56" s="68" t="e">
        <f>#REF!*COM!$J$4</f>
        <v>#REF!</v>
      </c>
      <c r="L56" s="68" t="e">
        <f>#REF!*COM!$L$4</f>
        <v>#REF!</v>
      </c>
      <c r="M56" s="68" t="e">
        <f>#REF!*COM!$L$4</f>
        <v>#REF!</v>
      </c>
      <c r="N56" s="68" t="e">
        <f>#REF!*COM!$N$4</f>
        <v>#REF!</v>
      </c>
      <c r="O56" s="68" t="e">
        <f>#REF!*COM!$N$4</f>
        <v>#REF!</v>
      </c>
      <c r="P56" s="68" t="e">
        <f>#REF!*COM!$P$4</f>
        <v>#REF!</v>
      </c>
      <c r="Q56" s="68" t="e">
        <f>#REF!*COM!$P$4</f>
        <v>#REF!</v>
      </c>
      <c r="R56" s="68" t="e">
        <f>#REF!*COM!$R$4</f>
        <v>#REF!</v>
      </c>
      <c r="S56" s="68" t="e">
        <f>#REF!*COM!$R$4</f>
        <v>#REF!</v>
      </c>
      <c r="T56" s="111" t="e">
        <f>I56+K56+M56+O56+Q56+S56</f>
        <v>#REF!</v>
      </c>
    </row>
    <row r="57" spans="1:20" ht="18.75" x14ac:dyDescent="0.25">
      <c r="A57" s="88">
        <v>311</v>
      </c>
      <c r="B57" s="89">
        <v>28</v>
      </c>
      <c r="C57" s="89">
        <v>910</v>
      </c>
      <c r="D57" s="90">
        <v>70499</v>
      </c>
      <c r="E57" s="91"/>
      <c r="F57" s="92" t="s">
        <v>376</v>
      </c>
      <c r="G57" s="128"/>
      <c r="H57" s="68" t="e">
        <f>#REF!*COM!$H$4</f>
        <v>#REF!</v>
      </c>
      <c r="I57" s="68" t="e">
        <f>#REF!*COM!$H$4</f>
        <v>#REF!</v>
      </c>
      <c r="J57" s="68" t="e">
        <f>#REF!*COM!$J$4</f>
        <v>#REF!</v>
      </c>
      <c r="K57" s="68" t="e">
        <f>#REF!*COM!$J$4</f>
        <v>#REF!</v>
      </c>
      <c r="L57" s="68" t="e">
        <f>#REF!*COM!$L$4</f>
        <v>#REF!</v>
      </c>
      <c r="M57" s="68" t="e">
        <f>#REF!*COM!$L$4</f>
        <v>#REF!</v>
      </c>
      <c r="N57" s="68" t="e">
        <f>#REF!*COM!$N$4</f>
        <v>#REF!</v>
      </c>
      <c r="O57" s="68" t="e">
        <f>#REF!*COM!$N$4</f>
        <v>#REF!</v>
      </c>
      <c r="P57" s="68" t="e">
        <f>#REF!*COM!$P$4</f>
        <v>#REF!</v>
      </c>
      <c r="Q57" s="68" t="e">
        <f>#REF!*COM!$P$4</f>
        <v>#REF!</v>
      </c>
      <c r="R57" s="68" t="e">
        <f>#REF!*COM!$R$4</f>
        <v>#REF!</v>
      </c>
      <c r="S57" s="68" t="e">
        <f>#REF!*COM!$R$4</f>
        <v>#REF!</v>
      </c>
      <c r="T57" s="111"/>
    </row>
    <row r="58" spans="1:20" ht="37.5" x14ac:dyDescent="0.25">
      <c r="A58" s="88">
        <v>311</v>
      </c>
      <c r="B58" s="89">
        <v>28</v>
      </c>
      <c r="C58" s="89">
        <v>930</v>
      </c>
      <c r="D58" s="90">
        <v>70499</v>
      </c>
      <c r="E58" s="91" t="s">
        <v>174</v>
      </c>
      <c r="F58" s="92" t="s">
        <v>377</v>
      </c>
      <c r="G58" s="228" t="s">
        <v>352</v>
      </c>
      <c r="H58" s="68" t="e">
        <f>#REF!*COM!$H$4</f>
        <v>#REF!</v>
      </c>
      <c r="I58" s="68" t="e">
        <f>#REF!*COM!$H$4</f>
        <v>#REF!</v>
      </c>
      <c r="J58" s="68" t="e">
        <f>#REF!*COM!$J$4</f>
        <v>#REF!</v>
      </c>
      <c r="K58" s="68" t="e">
        <f>#REF!*COM!$J$4</f>
        <v>#REF!</v>
      </c>
      <c r="L58" s="68" t="e">
        <f>#REF!*COM!$L$4</f>
        <v>#REF!</v>
      </c>
      <c r="M58" s="68" t="e">
        <f>#REF!*COM!$L$4</f>
        <v>#REF!</v>
      </c>
      <c r="N58" s="68" t="e">
        <f>#REF!*COM!$N$4</f>
        <v>#REF!</v>
      </c>
      <c r="O58" s="68" t="e">
        <f>#REF!*COM!$N$4</f>
        <v>#REF!</v>
      </c>
      <c r="P58" s="68" t="e">
        <f>#REF!*COM!$P$4</f>
        <v>#REF!</v>
      </c>
      <c r="Q58" s="68" t="e">
        <f>#REF!*COM!$P$4</f>
        <v>#REF!</v>
      </c>
      <c r="R58" s="68" t="e">
        <f>#REF!*COM!$R$4</f>
        <v>#REF!</v>
      </c>
      <c r="S58" s="68" t="e">
        <f>#REF!*COM!$R$4</f>
        <v>#REF!</v>
      </c>
      <c r="T58" s="111" t="e">
        <f>I58+K58+M58+O58+Q58+S58</f>
        <v>#REF!</v>
      </c>
    </row>
    <row r="59" spans="1:20" ht="37.5" x14ac:dyDescent="0.25">
      <c r="A59" s="88">
        <v>321</v>
      </c>
      <c r="B59" s="89">
        <v>28</v>
      </c>
      <c r="C59" s="89">
        <v>930</v>
      </c>
      <c r="D59" s="90">
        <v>70499</v>
      </c>
      <c r="E59" s="91" t="s">
        <v>174</v>
      </c>
      <c r="F59" s="92" t="s">
        <v>377</v>
      </c>
      <c r="G59" s="229"/>
      <c r="H59" s="68" t="e">
        <f>#REF!*COM!$H$4</f>
        <v>#REF!</v>
      </c>
      <c r="I59" s="68" t="e">
        <f>#REF!*COM!$H$4</f>
        <v>#REF!</v>
      </c>
      <c r="J59" s="68" t="e">
        <f>#REF!*COM!$J$4</f>
        <v>#REF!</v>
      </c>
      <c r="K59" s="68" t="e">
        <f>#REF!*COM!$J$4</f>
        <v>#REF!</v>
      </c>
      <c r="L59" s="68" t="e">
        <f>#REF!*COM!$L$4</f>
        <v>#REF!</v>
      </c>
      <c r="M59" s="68" t="e">
        <f>#REF!*COM!$L$4</f>
        <v>#REF!</v>
      </c>
      <c r="N59" s="68" t="e">
        <f>#REF!*COM!$N$4</f>
        <v>#REF!</v>
      </c>
      <c r="O59" s="68" t="e">
        <f>#REF!*COM!$N$4</f>
        <v>#REF!</v>
      </c>
      <c r="P59" s="68" t="e">
        <f>#REF!*COM!$P$4</f>
        <v>#REF!</v>
      </c>
      <c r="Q59" s="68" t="e">
        <f>#REF!*COM!$P$4</f>
        <v>#REF!</v>
      </c>
      <c r="R59" s="68" t="e">
        <f>#REF!*COM!$R$4</f>
        <v>#REF!</v>
      </c>
      <c r="S59" s="68" t="e">
        <f>#REF!*COM!$R$4</f>
        <v>#REF!</v>
      </c>
      <c r="T59" s="111" t="e">
        <f>I59+K59+M59+O59+Q59+S59</f>
        <v>#REF!</v>
      </c>
    </row>
    <row r="60" spans="1:20" s="121" customFormat="1" ht="37.5" x14ac:dyDescent="0.25">
      <c r="A60" s="88">
        <v>311</v>
      </c>
      <c r="B60" s="89">
        <v>28</v>
      </c>
      <c r="C60" s="89">
        <v>910</v>
      </c>
      <c r="D60" s="90">
        <v>70499</v>
      </c>
      <c r="E60" s="91"/>
      <c r="F60" s="92" t="s">
        <v>386</v>
      </c>
      <c r="G60" s="130"/>
      <c r="H60" s="68" t="e">
        <f>#REF!*COM!$H$4</f>
        <v>#REF!</v>
      </c>
      <c r="I60" s="68" t="e">
        <f>#REF!*COM!$H$4</f>
        <v>#REF!</v>
      </c>
      <c r="J60" s="68" t="e">
        <f>#REF!*COM!$J$4</f>
        <v>#REF!</v>
      </c>
      <c r="K60" s="68" t="e">
        <f>#REF!*COM!$J$4</f>
        <v>#REF!</v>
      </c>
      <c r="L60" s="68" t="e">
        <f>#REF!*COM!$L$4</f>
        <v>#REF!</v>
      </c>
      <c r="M60" s="68" t="e">
        <f>#REF!*COM!$L$4</f>
        <v>#REF!</v>
      </c>
      <c r="N60" s="68" t="e">
        <f>#REF!*COM!$N$4</f>
        <v>#REF!</v>
      </c>
      <c r="O60" s="68" t="e">
        <f>#REF!*COM!$N$4</f>
        <v>#REF!</v>
      </c>
      <c r="P60" s="68" t="e">
        <f>#REF!*COM!$P$4</f>
        <v>#REF!</v>
      </c>
      <c r="Q60" s="68" t="e">
        <f>#REF!*COM!$P$4</f>
        <v>#REF!</v>
      </c>
      <c r="R60" s="68" t="e">
        <f>#REF!*COM!$R$4</f>
        <v>#REF!</v>
      </c>
      <c r="S60" s="68" t="e">
        <f>#REF!*COM!$R$4</f>
        <v>#REF!</v>
      </c>
      <c r="T60" s="120"/>
    </row>
    <row r="61" spans="1:20" ht="37.5" x14ac:dyDescent="0.25">
      <c r="A61" s="88">
        <v>321</v>
      </c>
      <c r="B61" s="89">
        <v>28</v>
      </c>
      <c r="C61" s="89">
        <v>920</v>
      </c>
      <c r="D61" s="90">
        <v>70499</v>
      </c>
      <c r="E61" s="91" t="s">
        <v>173</v>
      </c>
      <c r="F61" s="92" t="s">
        <v>385</v>
      </c>
      <c r="G61" s="92"/>
      <c r="H61" s="68" t="e">
        <f>#REF!*COM!$H$4</f>
        <v>#REF!</v>
      </c>
      <c r="I61" s="68" t="e">
        <f>#REF!*COM!$H$4</f>
        <v>#REF!</v>
      </c>
      <c r="J61" s="68" t="e">
        <f>#REF!*COM!$J$4</f>
        <v>#REF!</v>
      </c>
      <c r="K61" s="68" t="e">
        <f>#REF!*COM!$J$4</f>
        <v>#REF!</v>
      </c>
      <c r="L61" s="68" t="e">
        <f>#REF!*COM!$L$4</f>
        <v>#REF!</v>
      </c>
      <c r="M61" s="68" t="e">
        <f>#REF!*COM!$L$4</f>
        <v>#REF!</v>
      </c>
      <c r="N61" s="68" t="e">
        <f>#REF!*COM!$N$4</f>
        <v>#REF!</v>
      </c>
      <c r="O61" s="68" t="e">
        <f>#REF!*COM!$N$4</f>
        <v>#REF!</v>
      </c>
      <c r="P61" s="68" t="e">
        <f>#REF!*COM!$P$4</f>
        <v>#REF!</v>
      </c>
      <c r="Q61" s="68" t="e">
        <f>#REF!*COM!$P$4</f>
        <v>#REF!</v>
      </c>
      <c r="R61" s="68" t="e">
        <f>#REF!*COM!$R$4</f>
        <v>#REF!</v>
      </c>
      <c r="S61" s="68" t="e">
        <f>#REF!*COM!$R$4</f>
        <v>#REF!</v>
      </c>
      <c r="T61" s="111" t="e">
        <f t="shared" si="1"/>
        <v>#REF!</v>
      </c>
    </row>
    <row r="62" spans="1:20" ht="37.5" x14ac:dyDescent="0.25">
      <c r="A62" s="88">
        <v>321</v>
      </c>
      <c r="B62" s="89">
        <v>28</v>
      </c>
      <c r="C62" s="89">
        <v>930</v>
      </c>
      <c r="D62" s="90">
        <v>70499</v>
      </c>
      <c r="E62" s="91" t="s">
        <v>173</v>
      </c>
      <c r="F62" s="92" t="s">
        <v>384</v>
      </c>
      <c r="G62" s="92"/>
      <c r="H62" s="68" t="e">
        <f>#REF!*COM!$H$4</f>
        <v>#REF!</v>
      </c>
      <c r="I62" s="68" t="e">
        <f>#REF!*COM!$H$4</f>
        <v>#REF!</v>
      </c>
      <c r="J62" s="68" t="e">
        <f>#REF!*COM!$J$4</f>
        <v>#REF!</v>
      </c>
      <c r="K62" s="68" t="e">
        <f>#REF!*COM!$J$4</f>
        <v>#REF!</v>
      </c>
      <c r="L62" s="68" t="e">
        <f>#REF!*COM!$L$4</f>
        <v>#REF!</v>
      </c>
      <c r="M62" s="68" t="e">
        <f>#REF!*COM!$L$4</f>
        <v>#REF!</v>
      </c>
      <c r="N62" s="68" t="e">
        <f>#REF!*COM!$N$4</f>
        <v>#REF!</v>
      </c>
      <c r="O62" s="68" t="e">
        <f>#REF!*COM!$N$4</f>
        <v>#REF!</v>
      </c>
      <c r="P62" s="68" t="e">
        <f>#REF!*COM!$P$4</f>
        <v>#REF!</v>
      </c>
      <c r="Q62" s="68" t="e">
        <f>#REF!*COM!$P$4</f>
        <v>#REF!</v>
      </c>
      <c r="R62" s="68" t="e">
        <f>#REF!*COM!$R$4</f>
        <v>#REF!</v>
      </c>
      <c r="S62" s="68" t="e">
        <f>#REF!*COM!$R$4</f>
        <v>#REF!</v>
      </c>
      <c r="T62" s="111" t="e">
        <f t="shared" si="1"/>
        <v>#REF!</v>
      </c>
    </row>
    <row r="63" spans="1:20" s="121" customFormat="1" ht="18.75" x14ac:dyDescent="0.25">
      <c r="A63" s="114">
        <v>321</v>
      </c>
      <c r="B63" s="115">
        <v>28</v>
      </c>
      <c r="C63" s="115">
        <v>930</v>
      </c>
      <c r="D63" s="116">
        <v>70499</v>
      </c>
      <c r="E63" s="117" t="s">
        <v>169</v>
      </c>
      <c r="F63" s="118" t="s">
        <v>404</v>
      </c>
      <c r="G63" s="118"/>
      <c r="H63" s="68" t="e">
        <f>#REF!*COM!$H$4</f>
        <v>#REF!</v>
      </c>
      <c r="I63" s="68" t="e">
        <f>#REF!*COM!$H$4</f>
        <v>#REF!</v>
      </c>
      <c r="J63" s="68" t="e">
        <f>#REF!*COM!$J$4</f>
        <v>#REF!</v>
      </c>
      <c r="K63" s="68" t="e">
        <f>#REF!*COM!$J$4</f>
        <v>#REF!</v>
      </c>
      <c r="L63" s="68" t="e">
        <f>#REF!*COM!$L$4</f>
        <v>#REF!</v>
      </c>
      <c r="M63" s="68" t="e">
        <f>#REF!*COM!$L$4</f>
        <v>#REF!</v>
      </c>
      <c r="N63" s="68" t="e">
        <f>#REF!*COM!$N$4</f>
        <v>#REF!</v>
      </c>
      <c r="O63" s="68" t="e">
        <f>#REF!*COM!$N$4</f>
        <v>#REF!</v>
      </c>
      <c r="P63" s="68" t="e">
        <f>#REF!*COM!$P$4</f>
        <v>#REF!</v>
      </c>
      <c r="Q63" s="68" t="e">
        <f>#REF!*COM!$P$4</f>
        <v>#REF!</v>
      </c>
      <c r="R63" s="68" t="e">
        <f>#REF!*COM!$R$4</f>
        <v>#REF!</v>
      </c>
      <c r="S63" s="68" t="e">
        <f>#REF!*COM!$R$4</f>
        <v>#REF!</v>
      </c>
      <c r="T63" s="120"/>
    </row>
    <row r="64" spans="1:20" s="121" customFormat="1" ht="18.75" x14ac:dyDescent="0.25">
      <c r="A64" s="114"/>
      <c r="B64" s="115"/>
      <c r="C64" s="115"/>
      <c r="D64" s="116"/>
      <c r="E64" s="117"/>
      <c r="F64" s="118"/>
      <c r="G64" s="118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20"/>
    </row>
    <row r="65" spans="1:20" s="121" customFormat="1" ht="18.75" x14ac:dyDescent="0.25">
      <c r="A65" s="114"/>
      <c r="B65" s="115"/>
      <c r="C65" s="115"/>
      <c r="D65" s="116"/>
      <c r="E65" s="117"/>
      <c r="F65" s="118"/>
      <c r="G65" s="118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20"/>
    </row>
    <row r="66" spans="1:20" ht="18.75" x14ac:dyDescent="0.25">
      <c r="A66" s="4"/>
      <c r="B66" s="52"/>
      <c r="C66" s="52"/>
      <c r="D66" s="7"/>
      <c r="E66" s="117"/>
      <c r="F66" s="118"/>
      <c r="G66" s="3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11"/>
    </row>
    <row r="67" spans="1:20" ht="18.75" x14ac:dyDescent="0.25">
      <c r="A67" s="4"/>
      <c r="B67" s="52"/>
      <c r="C67" s="52"/>
      <c r="D67" s="7"/>
      <c r="E67" s="20"/>
      <c r="F67" s="38"/>
      <c r="G67" s="3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11">
        <f t="shared" si="1"/>
        <v>0</v>
      </c>
    </row>
    <row r="68" spans="1:20" ht="18.75" x14ac:dyDescent="0.25">
      <c r="A68" s="4"/>
      <c r="B68" s="52"/>
      <c r="C68" s="52"/>
      <c r="D68" s="7"/>
      <c r="E68" s="20"/>
      <c r="F68" s="38"/>
      <c r="G68" s="3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11">
        <f t="shared" si="1"/>
        <v>0</v>
      </c>
    </row>
    <row r="69" spans="1:20" ht="18.75" x14ac:dyDescent="0.25">
      <c r="A69" s="56"/>
      <c r="B69" s="50"/>
      <c r="C69" s="50"/>
      <c r="D69" s="50"/>
      <c r="E69" s="54"/>
      <c r="F69" s="36" t="s">
        <v>22</v>
      </c>
      <c r="G69" s="36"/>
      <c r="H69" s="99" t="e">
        <f>H70</f>
        <v>#REF!</v>
      </c>
      <c r="I69" s="99" t="e">
        <f t="shared" ref="I69:S69" si="5">I70</f>
        <v>#REF!</v>
      </c>
      <c r="J69" s="99" t="e">
        <f t="shared" si="5"/>
        <v>#REF!</v>
      </c>
      <c r="K69" s="99" t="e">
        <f t="shared" si="5"/>
        <v>#REF!</v>
      </c>
      <c r="L69" s="99" t="e">
        <f t="shared" si="5"/>
        <v>#REF!</v>
      </c>
      <c r="M69" s="99" t="e">
        <f t="shared" si="5"/>
        <v>#REF!</v>
      </c>
      <c r="N69" s="99" t="e">
        <f t="shared" si="5"/>
        <v>#REF!</v>
      </c>
      <c r="O69" s="99" t="e">
        <f t="shared" si="5"/>
        <v>#REF!</v>
      </c>
      <c r="P69" s="99" t="e">
        <f t="shared" si="5"/>
        <v>#REF!</v>
      </c>
      <c r="Q69" s="99" t="e">
        <f t="shared" si="5"/>
        <v>#REF!</v>
      </c>
      <c r="R69" s="99" t="e">
        <f t="shared" si="5"/>
        <v>#REF!</v>
      </c>
      <c r="S69" s="99" t="e">
        <f t="shared" si="5"/>
        <v>#REF!</v>
      </c>
      <c r="T69" s="111" t="e">
        <f t="shared" si="1"/>
        <v>#REF!</v>
      </c>
    </row>
    <row r="70" spans="1:20" ht="18.75" x14ac:dyDescent="0.25">
      <c r="A70" s="57"/>
      <c r="B70" s="51"/>
      <c r="C70" s="51"/>
      <c r="D70" s="51"/>
      <c r="E70" s="55"/>
      <c r="F70" s="37" t="s">
        <v>6</v>
      </c>
      <c r="G70" s="37"/>
      <c r="H70" s="100" t="e">
        <f>SUM(H71:H72)</f>
        <v>#REF!</v>
      </c>
      <c r="I70" s="100" t="e">
        <f>SUM(I71:I72)</f>
        <v>#REF!</v>
      </c>
      <c r="J70" s="100" t="e">
        <f t="shared" ref="J70:S70" si="6">SUM(J71:J72)</f>
        <v>#REF!</v>
      </c>
      <c r="K70" s="100" t="e">
        <f t="shared" si="6"/>
        <v>#REF!</v>
      </c>
      <c r="L70" s="100" t="e">
        <f t="shared" si="6"/>
        <v>#REF!</v>
      </c>
      <c r="M70" s="100" t="e">
        <f t="shared" si="6"/>
        <v>#REF!</v>
      </c>
      <c r="N70" s="100" t="e">
        <f t="shared" si="6"/>
        <v>#REF!</v>
      </c>
      <c r="O70" s="100" t="e">
        <f t="shared" si="6"/>
        <v>#REF!</v>
      </c>
      <c r="P70" s="100" t="e">
        <f t="shared" si="6"/>
        <v>#REF!</v>
      </c>
      <c r="Q70" s="100" t="e">
        <f>SUM(Q71:Q72)</f>
        <v>#REF!</v>
      </c>
      <c r="R70" s="100" t="e">
        <f t="shared" si="6"/>
        <v>#REF!</v>
      </c>
      <c r="S70" s="100" t="e">
        <f t="shared" si="6"/>
        <v>#REF!</v>
      </c>
      <c r="T70" s="111" t="e">
        <f t="shared" si="1"/>
        <v>#REF!</v>
      </c>
    </row>
    <row r="71" spans="1:20" ht="37.5" x14ac:dyDescent="0.25">
      <c r="A71" s="88">
        <v>311</v>
      </c>
      <c r="B71" s="89">
        <v>25</v>
      </c>
      <c r="C71" s="89">
        <v>920</v>
      </c>
      <c r="D71" s="90">
        <v>70499</v>
      </c>
      <c r="E71" s="91" t="s">
        <v>172</v>
      </c>
      <c r="F71" s="109" t="s">
        <v>23</v>
      </c>
      <c r="G71" s="125"/>
      <c r="H71" s="68" t="e">
        <f>#REF!*COM!$H$4</f>
        <v>#REF!</v>
      </c>
      <c r="I71" s="68" t="e">
        <f>#REF!*COM!$H$4</f>
        <v>#REF!</v>
      </c>
      <c r="J71" s="68" t="e">
        <f>#REF!*COM!$J$4</f>
        <v>#REF!</v>
      </c>
      <c r="K71" s="68" t="e">
        <f>#REF!*COM!$J$4</f>
        <v>#REF!</v>
      </c>
      <c r="L71" s="68" t="e">
        <f>#REF!*COM!$L$4</f>
        <v>#REF!</v>
      </c>
      <c r="M71" s="68" t="e">
        <f>#REF!*COM!$L$4</f>
        <v>#REF!</v>
      </c>
      <c r="N71" s="68" t="e">
        <f>#REF!*COM!$N$4</f>
        <v>#REF!</v>
      </c>
      <c r="O71" s="68" t="e">
        <f>#REF!*COM!$N$4</f>
        <v>#REF!</v>
      </c>
      <c r="P71" s="68" t="e">
        <f>#REF!*COM!$P$4</f>
        <v>#REF!</v>
      </c>
      <c r="Q71" s="68" t="e">
        <f>#REF!*COM!$P$4</f>
        <v>#REF!</v>
      </c>
      <c r="R71" s="68" t="e">
        <f>#REF!*COM!$R$4</f>
        <v>#REF!</v>
      </c>
      <c r="S71" s="68" t="e">
        <f>#REF!*COM!$R$4</f>
        <v>#REF!</v>
      </c>
      <c r="T71" s="111" t="e">
        <f t="shared" si="1"/>
        <v>#REF!</v>
      </c>
    </row>
    <row r="72" spans="1:20" ht="37.5" x14ac:dyDescent="0.25">
      <c r="A72" s="88">
        <v>311</v>
      </c>
      <c r="B72" s="89">
        <v>25</v>
      </c>
      <c r="C72" s="89">
        <v>930</v>
      </c>
      <c r="D72" s="90">
        <v>70499</v>
      </c>
      <c r="E72" s="91" t="s">
        <v>172</v>
      </c>
      <c r="F72" s="112" t="s">
        <v>24</v>
      </c>
      <c r="G72" s="126" t="s">
        <v>380</v>
      </c>
      <c r="H72" s="68" t="e">
        <f>#REF!*COM!$H$4</f>
        <v>#REF!</v>
      </c>
      <c r="I72" s="68" t="e">
        <f>#REF!*COM!$H$4</f>
        <v>#REF!</v>
      </c>
      <c r="J72" s="68" t="e">
        <f>#REF!*COM!$J$4</f>
        <v>#REF!</v>
      </c>
      <c r="K72" s="68" t="e">
        <f>#REF!*COM!$J$4</f>
        <v>#REF!</v>
      </c>
      <c r="L72" s="68" t="e">
        <f>#REF!*COM!$L$4</f>
        <v>#REF!</v>
      </c>
      <c r="M72" s="68" t="e">
        <f>#REF!*COM!$L$4</f>
        <v>#REF!</v>
      </c>
      <c r="N72" s="68" t="e">
        <f>#REF!*COM!$N$4</f>
        <v>#REF!</v>
      </c>
      <c r="O72" s="68" t="e">
        <f>#REF!*COM!$N$4</f>
        <v>#REF!</v>
      </c>
      <c r="P72" s="68" t="e">
        <f>#REF!*COM!$P$4</f>
        <v>#REF!</v>
      </c>
      <c r="Q72" s="68" t="e">
        <f>#REF!*COM!$P$4</f>
        <v>#REF!</v>
      </c>
      <c r="R72" s="68" t="e">
        <f>#REF!*COM!$R$4</f>
        <v>#REF!</v>
      </c>
      <c r="S72" s="68" t="e">
        <f>#REF!*COM!$R$4</f>
        <v>#REF!</v>
      </c>
      <c r="T72" s="111" t="e">
        <f t="shared" si="1"/>
        <v>#REF!</v>
      </c>
    </row>
    <row r="73" spans="1:20" ht="18.75" x14ac:dyDescent="0.25">
      <c r="A73" s="4"/>
      <c r="B73" s="52"/>
      <c r="C73" s="52"/>
      <c r="D73" s="7"/>
      <c r="E73" s="20"/>
      <c r="F73" s="38"/>
      <c r="G73" s="3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11">
        <f t="shared" si="1"/>
        <v>0</v>
      </c>
    </row>
    <row r="74" spans="1:20" ht="18.75" x14ac:dyDescent="0.25">
      <c r="A74" s="4"/>
      <c r="B74" s="52"/>
      <c r="C74" s="52"/>
      <c r="D74" s="7"/>
      <c r="E74" s="20"/>
      <c r="F74" s="38"/>
      <c r="G74" s="3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11">
        <f t="shared" si="1"/>
        <v>0</v>
      </c>
    </row>
    <row r="75" spans="1:20" ht="18.75" x14ac:dyDescent="0.25">
      <c r="A75" s="4"/>
      <c r="B75" s="52"/>
      <c r="C75" s="52"/>
      <c r="D75" s="7"/>
      <c r="E75" s="20"/>
      <c r="F75" s="38"/>
      <c r="G75" s="3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11">
        <f t="shared" si="1"/>
        <v>0</v>
      </c>
    </row>
    <row r="76" spans="1:20" ht="18.75" x14ac:dyDescent="0.25">
      <c r="A76" s="4"/>
      <c r="B76" s="52"/>
      <c r="C76" s="52"/>
      <c r="D76" s="7"/>
      <c r="E76" s="20"/>
      <c r="F76" s="38"/>
      <c r="G76" s="3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11">
        <f t="shared" si="1"/>
        <v>0</v>
      </c>
    </row>
    <row r="77" spans="1:20" ht="18.75" x14ac:dyDescent="0.25">
      <c r="A77" s="4"/>
      <c r="B77" s="52"/>
      <c r="C77" s="52"/>
      <c r="D77" s="7"/>
      <c r="E77" s="20"/>
      <c r="F77" s="38"/>
      <c r="G77" s="3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11">
        <f t="shared" si="1"/>
        <v>0</v>
      </c>
    </row>
    <row r="78" spans="1:20" ht="18.75" x14ac:dyDescent="0.25">
      <c r="A78" s="56"/>
      <c r="B78" s="50"/>
      <c r="C78" s="50"/>
      <c r="D78" s="50"/>
      <c r="E78" s="54"/>
      <c r="F78" s="36" t="s">
        <v>25</v>
      </c>
      <c r="G78" s="36"/>
      <c r="H78" s="99" t="e">
        <f>H79</f>
        <v>#REF!</v>
      </c>
      <c r="I78" s="99" t="e">
        <f t="shared" ref="I78:S78" si="7">I79</f>
        <v>#REF!</v>
      </c>
      <c r="J78" s="99" t="e">
        <f t="shared" si="7"/>
        <v>#REF!</v>
      </c>
      <c r="K78" s="99" t="e">
        <f t="shared" si="7"/>
        <v>#REF!</v>
      </c>
      <c r="L78" s="99" t="e">
        <f t="shared" si="7"/>
        <v>#REF!</v>
      </c>
      <c r="M78" s="99" t="e">
        <f t="shared" si="7"/>
        <v>#REF!</v>
      </c>
      <c r="N78" s="99" t="e">
        <f t="shared" si="7"/>
        <v>#REF!</v>
      </c>
      <c r="O78" s="99" t="e">
        <f t="shared" si="7"/>
        <v>#REF!</v>
      </c>
      <c r="P78" s="99" t="e">
        <f t="shared" si="7"/>
        <v>#REF!</v>
      </c>
      <c r="Q78" s="99" t="e">
        <f t="shared" si="7"/>
        <v>#REF!</v>
      </c>
      <c r="R78" s="99" t="e">
        <f t="shared" si="7"/>
        <v>#REF!</v>
      </c>
      <c r="S78" s="99" t="e">
        <f t="shared" si="7"/>
        <v>#REF!</v>
      </c>
      <c r="T78" s="111" t="e">
        <f t="shared" si="1"/>
        <v>#REF!</v>
      </c>
    </row>
    <row r="79" spans="1:20" ht="18.75" x14ac:dyDescent="0.25">
      <c r="A79" s="57"/>
      <c r="B79" s="51"/>
      <c r="C79" s="51"/>
      <c r="D79" s="51"/>
      <c r="E79" s="55"/>
      <c r="F79" s="37" t="s">
        <v>6</v>
      </c>
      <c r="G79" s="37"/>
      <c r="H79" s="100" t="e">
        <f>SUM(H80:H94)</f>
        <v>#REF!</v>
      </c>
      <c r="I79" s="100" t="e">
        <f t="shared" ref="I79:S79" si="8">SUM(I80:I94)</f>
        <v>#REF!</v>
      </c>
      <c r="J79" s="100" t="e">
        <f t="shared" si="8"/>
        <v>#REF!</v>
      </c>
      <c r="K79" s="100" t="e">
        <f t="shared" si="8"/>
        <v>#REF!</v>
      </c>
      <c r="L79" s="100" t="e">
        <f t="shared" si="8"/>
        <v>#REF!</v>
      </c>
      <c r="M79" s="100" t="e">
        <f t="shared" si="8"/>
        <v>#REF!</v>
      </c>
      <c r="N79" s="100" t="e">
        <f t="shared" si="8"/>
        <v>#REF!</v>
      </c>
      <c r="O79" s="100" t="e">
        <f t="shared" si="8"/>
        <v>#REF!</v>
      </c>
      <c r="P79" s="100" t="e">
        <f t="shared" si="8"/>
        <v>#REF!</v>
      </c>
      <c r="Q79" s="100" t="e">
        <f>SUM(Q80:Q94)</f>
        <v>#REF!</v>
      </c>
      <c r="R79" s="100" t="e">
        <f t="shared" si="8"/>
        <v>#REF!</v>
      </c>
      <c r="S79" s="100" t="e">
        <f t="shared" si="8"/>
        <v>#REF!</v>
      </c>
      <c r="T79" s="111" t="e">
        <f t="shared" si="1"/>
        <v>#REF!</v>
      </c>
    </row>
    <row r="80" spans="1:20" ht="18.75" x14ac:dyDescent="0.25">
      <c r="A80" s="4">
        <v>311</v>
      </c>
      <c r="B80" s="52">
        <v>34</v>
      </c>
      <c r="C80" s="52">
        <v>920</v>
      </c>
      <c r="D80" s="7">
        <v>70989</v>
      </c>
      <c r="E80" s="20" t="s">
        <v>172</v>
      </c>
      <c r="F80" s="75" t="s">
        <v>26</v>
      </c>
      <c r="G80" s="126"/>
      <c r="H80" s="68" t="e">
        <f>#REF!*COM!$H$4</f>
        <v>#REF!</v>
      </c>
      <c r="I80" s="68" t="e">
        <f>#REF!*COM!$H$4</f>
        <v>#REF!</v>
      </c>
      <c r="J80" s="68" t="e">
        <f>#REF!*COM!$J$4</f>
        <v>#REF!</v>
      </c>
      <c r="K80" s="68" t="e">
        <f>#REF!*COM!$J$4</f>
        <v>#REF!</v>
      </c>
      <c r="L80" s="68" t="e">
        <f>#REF!*COM!$L$4</f>
        <v>#REF!</v>
      </c>
      <c r="M80" s="68" t="e">
        <f>#REF!*COM!$L$4</f>
        <v>#REF!</v>
      </c>
      <c r="N80" s="68" t="e">
        <f>#REF!*COM!$N$4</f>
        <v>#REF!</v>
      </c>
      <c r="O80" s="68" t="e">
        <f>#REF!*COM!$N$4</f>
        <v>#REF!</v>
      </c>
      <c r="P80" s="68" t="e">
        <f>#REF!*COM!$P$4</f>
        <v>#REF!</v>
      </c>
      <c r="Q80" s="68" t="e">
        <f>#REF!*COM!$P$4</f>
        <v>#REF!</v>
      </c>
      <c r="R80" s="68" t="e">
        <f>#REF!*COM!$R$4</f>
        <v>#REF!</v>
      </c>
      <c r="S80" s="68" t="e">
        <f>#REF!*COM!$R$4</f>
        <v>#REF!</v>
      </c>
      <c r="T80" s="111" t="e">
        <f t="shared" si="1"/>
        <v>#REF!</v>
      </c>
    </row>
    <row r="81" spans="1:20" ht="18.75" x14ac:dyDescent="0.25">
      <c r="A81" s="4">
        <v>311</v>
      </c>
      <c r="B81" s="52">
        <v>34</v>
      </c>
      <c r="C81" s="52">
        <v>930</v>
      </c>
      <c r="D81" s="7">
        <v>70989</v>
      </c>
      <c r="E81" s="20" t="s">
        <v>172</v>
      </c>
      <c r="F81" s="75" t="s">
        <v>27</v>
      </c>
      <c r="G81" s="126" t="s">
        <v>400</v>
      </c>
      <c r="H81" s="68" t="e">
        <f>#REF!*COM!$H$4</f>
        <v>#REF!</v>
      </c>
      <c r="I81" s="68" t="e">
        <f>#REF!*COM!$H$4</f>
        <v>#REF!</v>
      </c>
      <c r="J81" s="68" t="e">
        <f>#REF!*COM!$J$4</f>
        <v>#REF!</v>
      </c>
      <c r="K81" s="68" t="e">
        <f>#REF!*COM!$J$4</f>
        <v>#REF!</v>
      </c>
      <c r="L81" s="68" t="e">
        <f>#REF!*COM!$L$4</f>
        <v>#REF!</v>
      </c>
      <c r="M81" s="68" t="e">
        <f>#REF!*COM!$L$4</f>
        <v>#REF!</v>
      </c>
      <c r="N81" s="68" t="e">
        <f>#REF!*COM!$N$4</f>
        <v>#REF!</v>
      </c>
      <c r="O81" s="68" t="e">
        <f>#REF!*COM!$N$4</f>
        <v>#REF!</v>
      </c>
      <c r="P81" s="68" t="e">
        <f>#REF!*COM!$P$4</f>
        <v>#REF!</v>
      </c>
      <c r="Q81" s="68" t="e">
        <f>#REF!*COM!$P$4</f>
        <v>#REF!</v>
      </c>
      <c r="R81" s="68" t="e">
        <f>#REF!*COM!$R$4</f>
        <v>#REF!</v>
      </c>
      <c r="S81" s="68" t="e">
        <f>#REF!*COM!$R$4</f>
        <v>#REF!</v>
      </c>
      <c r="T81" s="111" t="e">
        <f t="shared" si="1"/>
        <v>#REF!</v>
      </c>
    </row>
    <row r="82" spans="1:20" ht="18.75" x14ac:dyDescent="0.25">
      <c r="A82" s="4">
        <v>311</v>
      </c>
      <c r="B82" s="52">
        <v>34</v>
      </c>
      <c r="C82" s="52">
        <v>920</v>
      </c>
      <c r="D82" s="7">
        <v>70989</v>
      </c>
      <c r="E82" s="20" t="s">
        <v>172</v>
      </c>
      <c r="F82" s="75" t="s">
        <v>28</v>
      </c>
      <c r="G82" s="126"/>
      <c r="H82" s="68" t="e">
        <f>#REF!*COM!$H$4</f>
        <v>#REF!</v>
      </c>
      <c r="I82" s="68" t="e">
        <f>#REF!*COM!$H$4</f>
        <v>#REF!</v>
      </c>
      <c r="J82" s="68" t="e">
        <f>#REF!*COM!$J$4</f>
        <v>#REF!</v>
      </c>
      <c r="K82" s="68" t="e">
        <f>#REF!*COM!$J$4</f>
        <v>#REF!</v>
      </c>
      <c r="L82" s="68" t="e">
        <f>#REF!*COM!$L$4</f>
        <v>#REF!</v>
      </c>
      <c r="M82" s="68" t="e">
        <f>#REF!*COM!$L$4</f>
        <v>#REF!</v>
      </c>
      <c r="N82" s="68" t="e">
        <f>#REF!*COM!$N$4</f>
        <v>#REF!</v>
      </c>
      <c r="O82" s="68" t="e">
        <f>#REF!*COM!$N$4</f>
        <v>#REF!</v>
      </c>
      <c r="P82" s="68" t="e">
        <f>#REF!*COM!$P$4</f>
        <v>#REF!</v>
      </c>
      <c r="Q82" s="68" t="e">
        <f>#REF!*COM!$P$4</f>
        <v>#REF!</v>
      </c>
      <c r="R82" s="68" t="e">
        <f>#REF!*COM!$R$4</f>
        <v>#REF!</v>
      </c>
      <c r="S82" s="68" t="e">
        <f>#REF!*COM!$R$4</f>
        <v>#REF!</v>
      </c>
      <c r="T82" s="111" t="e">
        <f t="shared" ref="T82:T147" si="9">I82+K82+M82+O82+Q82+S82</f>
        <v>#REF!</v>
      </c>
    </row>
    <row r="83" spans="1:20" ht="37.5" x14ac:dyDescent="0.25">
      <c r="A83" s="4">
        <v>311</v>
      </c>
      <c r="B83" s="52">
        <v>34</v>
      </c>
      <c r="C83" s="52">
        <v>910</v>
      </c>
      <c r="D83" s="7">
        <v>70989</v>
      </c>
      <c r="E83" s="20"/>
      <c r="F83" s="75" t="s">
        <v>29</v>
      </c>
      <c r="G83" s="126"/>
      <c r="H83" s="68" t="e">
        <f>#REF!*COM!$H$4</f>
        <v>#REF!</v>
      </c>
      <c r="I83" s="68" t="e">
        <f>#REF!*COM!$H$4</f>
        <v>#REF!</v>
      </c>
      <c r="J83" s="68" t="e">
        <f>#REF!*COM!$J$4</f>
        <v>#REF!</v>
      </c>
      <c r="K83" s="68" t="e">
        <f>#REF!*COM!$J$4</f>
        <v>#REF!</v>
      </c>
      <c r="L83" s="68" t="e">
        <f>#REF!*COM!$L$4</f>
        <v>#REF!</v>
      </c>
      <c r="M83" s="68" t="e">
        <f>#REF!*COM!$L$4</f>
        <v>#REF!</v>
      </c>
      <c r="N83" s="68" t="e">
        <f>#REF!*COM!$N$4</f>
        <v>#REF!</v>
      </c>
      <c r="O83" s="68" t="e">
        <f>#REF!*COM!$N$4</f>
        <v>#REF!</v>
      </c>
      <c r="P83" s="68" t="e">
        <f>#REF!*COM!$P$4</f>
        <v>#REF!</v>
      </c>
      <c r="Q83" s="68" t="e">
        <f>#REF!*COM!$P$4</f>
        <v>#REF!</v>
      </c>
      <c r="R83" s="68" t="e">
        <f>#REF!*COM!$R$4</f>
        <v>#REF!</v>
      </c>
      <c r="S83" s="68" t="e">
        <f>#REF!*COM!$R$4</f>
        <v>#REF!</v>
      </c>
      <c r="T83" s="111" t="e">
        <f t="shared" si="9"/>
        <v>#REF!</v>
      </c>
    </row>
    <row r="84" spans="1:20" ht="37.5" x14ac:dyDescent="0.25">
      <c r="A84" s="4">
        <v>311</v>
      </c>
      <c r="B84" s="52">
        <v>34</v>
      </c>
      <c r="C84" s="52">
        <v>920</v>
      </c>
      <c r="D84" s="7">
        <v>70989</v>
      </c>
      <c r="E84" s="20" t="s">
        <v>173</v>
      </c>
      <c r="F84" s="75" t="s">
        <v>30</v>
      </c>
      <c r="G84" s="126" t="s">
        <v>331</v>
      </c>
      <c r="H84" s="68" t="e">
        <f>#REF!*COM!$H$4</f>
        <v>#REF!</v>
      </c>
      <c r="I84" s="68" t="e">
        <f>#REF!*COM!$H$4</f>
        <v>#REF!</v>
      </c>
      <c r="J84" s="68" t="e">
        <f>#REF!*COM!$J$4</f>
        <v>#REF!</v>
      </c>
      <c r="K84" s="68" t="e">
        <f>#REF!*COM!$J$4</f>
        <v>#REF!</v>
      </c>
      <c r="L84" s="68" t="e">
        <f>#REF!*COM!$L$4</f>
        <v>#REF!</v>
      </c>
      <c r="M84" s="68" t="e">
        <f>#REF!*COM!$L$4</f>
        <v>#REF!</v>
      </c>
      <c r="N84" s="68" t="e">
        <f>#REF!*COM!$N$4</f>
        <v>#REF!</v>
      </c>
      <c r="O84" s="68" t="e">
        <f>#REF!*COM!$N$4</f>
        <v>#REF!</v>
      </c>
      <c r="P84" s="68" t="e">
        <f>#REF!*COM!$P$4</f>
        <v>#REF!</v>
      </c>
      <c r="Q84" s="68" t="e">
        <f>#REF!*COM!$P$4</f>
        <v>#REF!</v>
      </c>
      <c r="R84" s="68" t="e">
        <f>#REF!*COM!$R$4</f>
        <v>#REF!</v>
      </c>
      <c r="S84" s="68" t="e">
        <f>#REF!*COM!$R$4</f>
        <v>#REF!</v>
      </c>
      <c r="T84" s="111" t="e">
        <f t="shared" si="9"/>
        <v>#REF!</v>
      </c>
    </row>
    <row r="85" spans="1:20" ht="37.5" x14ac:dyDescent="0.25">
      <c r="A85" s="4">
        <v>311</v>
      </c>
      <c r="B85" s="52">
        <v>34</v>
      </c>
      <c r="C85" s="52">
        <v>930</v>
      </c>
      <c r="D85" s="7">
        <v>70989</v>
      </c>
      <c r="E85" s="20" t="s">
        <v>173</v>
      </c>
      <c r="F85" s="75" t="s">
        <v>31</v>
      </c>
      <c r="G85" s="126" t="s">
        <v>332</v>
      </c>
      <c r="H85" s="68" t="e">
        <f>#REF!*COM!$H$4</f>
        <v>#REF!</v>
      </c>
      <c r="I85" s="68" t="e">
        <f>#REF!*COM!$H$4</f>
        <v>#REF!</v>
      </c>
      <c r="J85" s="68" t="e">
        <f>#REF!*COM!$J$4</f>
        <v>#REF!</v>
      </c>
      <c r="K85" s="68" t="e">
        <f>#REF!*COM!$J$4</f>
        <v>#REF!</v>
      </c>
      <c r="L85" s="68" t="e">
        <f>#REF!*COM!$L$4</f>
        <v>#REF!</v>
      </c>
      <c r="M85" s="68" t="e">
        <f>#REF!*COM!$L$4</f>
        <v>#REF!</v>
      </c>
      <c r="N85" s="68" t="e">
        <f>#REF!*COM!$N$4</f>
        <v>#REF!</v>
      </c>
      <c r="O85" s="68" t="e">
        <f>#REF!*COM!$N$4</f>
        <v>#REF!</v>
      </c>
      <c r="P85" s="68" t="e">
        <f>#REF!*COM!$P$4</f>
        <v>#REF!</v>
      </c>
      <c r="Q85" s="68" t="e">
        <f>#REF!*COM!$P$4</f>
        <v>#REF!</v>
      </c>
      <c r="R85" s="68" t="e">
        <f>#REF!*COM!$R$4</f>
        <v>#REF!</v>
      </c>
      <c r="S85" s="68" t="e">
        <f>#REF!*COM!$R$4</f>
        <v>#REF!</v>
      </c>
      <c r="T85" s="111" t="e">
        <f t="shared" si="9"/>
        <v>#REF!</v>
      </c>
    </row>
    <row r="86" spans="1:20" ht="18.75" x14ac:dyDescent="0.25">
      <c r="A86" s="4">
        <v>311</v>
      </c>
      <c r="B86" s="52">
        <v>34</v>
      </c>
      <c r="C86" s="52">
        <v>930</v>
      </c>
      <c r="D86" s="7">
        <v>70989</v>
      </c>
      <c r="E86" s="20" t="s">
        <v>172</v>
      </c>
      <c r="F86" s="75" t="s">
        <v>264</v>
      </c>
      <c r="G86" s="126" t="s">
        <v>399</v>
      </c>
      <c r="H86" s="68" t="e">
        <f>#REF!*COM!$H$4</f>
        <v>#REF!</v>
      </c>
      <c r="I86" s="68" t="e">
        <f>#REF!*COM!$H$4</f>
        <v>#REF!</v>
      </c>
      <c r="J86" s="68" t="e">
        <f>#REF!*COM!$J$4</f>
        <v>#REF!</v>
      </c>
      <c r="K86" s="68" t="e">
        <f>#REF!*COM!$J$4</f>
        <v>#REF!</v>
      </c>
      <c r="L86" s="68" t="e">
        <f>#REF!*COM!$L$4</f>
        <v>#REF!</v>
      </c>
      <c r="M86" s="68" t="e">
        <f>#REF!*COM!$L$4</f>
        <v>#REF!</v>
      </c>
      <c r="N86" s="68" t="e">
        <f>#REF!*COM!$N$4</f>
        <v>#REF!</v>
      </c>
      <c r="O86" s="68" t="e">
        <f>#REF!*COM!$N$4</f>
        <v>#REF!</v>
      </c>
      <c r="P86" s="68" t="e">
        <f>#REF!*COM!$P$4</f>
        <v>#REF!</v>
      </c>
      <c r="Q86" s="68" t="e">
        <f>#REF!*COM!$P$4</f>
        <v>#REF!</v>
      </c>
      <c r="R86" s="68" t="e">
        <f>#REF!*COM!$R$4</f>
        <v>#REF!</v>
      </c>
      <c r="S86" s="68" t="e">
        <f>#REF!*COM!$R$4</f>
        <v>#REF!</v>
      </c>
      <c r="T86" s="111" t="e">
        <f t="shared" si="9"/>
        <v>#REF!</v>
      </c>
    </row>
    <row r="87" spans="1:20" ht="56.25" x14ac:dyDescent="0.25">
      <c r="A87" s="154">
        <v>311</v>
      </c>
      <c r="B87" s="155">
        <v>34</v>
      </c>
      <c r="C87" s="155">
        <v>920</v>
      </c>
      <c r="D87" s="156">
        <v>70989</v>
      </c>
      <c r="E87" s="157" t="s">
        <v>419</v>
      </c>
      <c r="F87" s="151" t="s">
        <v>425</v>
      </c>
      <c r="G87" s="38"/>
      <c r="H87" s="68" t="e">
        <f>#REF!*COM!$H$4</f>
        <v>#REF!</v>
      </c>
      <c r="I87" s="68" t="e">
        <f>#REF!*COM!$H$4</f>
        <v>#REF!</v>
      </c>
      <c r="J87" s="68" t="e">
        <f>#REF!*COM!$J$4</f>
        <v>#REF!</v>
      </c>
      <c r="K87" s="68" t="e">
        <f>#REF!*COM!$J$4</f>
        <v>#REF!</v>
      </c>
      <c r="L87" s="68" t="e">
        <f>#REF!*COM!$L$4</f>
        <v>#REF!</v>
      </c>
      <c r="M87" s="68" t="e">
        <f>#REF!*COM!$L$4</f>
        <v>#REF!</v>
      </c>
      <c r="N87" s="68" t="e">
        <f>#REF!*COM!$N$4</f>
        <v>#REF!</v>
      </c>
      <c r="O87" s="68" t="e">
        <f>#REF!*COM!$N$4</f>
        <v>#REF!</v>
      </c>
      <c r="P87" s="68" t="e">
        <f>#REF!*COM!$P$4</f>
        <v>#REF!</v>
      </c>
      <c r="Q87" s="68" t="e">
        <f>#REF!*COM!$P$4</f>
        <v>#REF!</v>
      </c>
      <c r="R87" s="68" t="e">
        <f>#REF!*COM!$R$4</f>
        <v>#REF!</v>
      </c>
      <c r="S87" s="68" t="e">
        <f>#REF!*COM!$R$4</f>
        <v>#REF!</v>
      </c>
      <c r="T87" s="111" t="e">
        <f>I87+K87+M87+O87+Q87+S87</f>
        <v>#REF!</v>
      </c>
    </row>
    <row r="88" spans="1:20" ht="56.25" x14ac:dyDescent="0.25">
      <c r="A88" s="154">
        <v>311</v>
      </c>
      <c r="B88" s="155">
        <v>34</v>
      </c>
      <c r="C88" s="155">
        <v>920</v>
      </c>
      <c r="D88" s="156">
        <v>70989</v>
      </c>
      <c r="E88" s="157" t="s">
        <v>174</v>
      </c>
      <c r="F88" s="151" t="s">
        <v>424</v>
      </c>
      <c r="G88" s="38"/>
      <c r="H88" s="68" t="e">
        <f>#REF!*COM!$H$4</f>
        <v>#REF!</v>
      </c>
      <c r="I88" s="68" t="e">
        <f>#REF!*COM!$H$4</f>
        <v>#REF!</v>
      </c>
      <c r="J88" s="68" t="e">
        <f>#REF!*COM!$J$4</f>
        <v>#REF!</v>
      </c>
      <c r="K88" s="68" t="e">
        <f>#REF!*COM!$J$4</f>
        <v>#REF!</v>
      </c>
      <c r="L88" s="68" t="e">
        <f>#REF!*COM!$L$4</f>
        <v>#REF!</v>
      </c>
      <c r="M88" s="68" t="e">
        <f>#REF!*COM!$L$4</f>
        <v>#REF!</v>
      </c>
      <c r="N88" s="68" t="e">
        <f>#REF!*COM!$N$4</f>
        <v>#REF!</v>
      </c>
      <c r="O88" s="68" t="e">
        <f>#REF!*COM!$N$4</f>
        <v>#REF!</v>
      </c>
      <c r="P88" s="68" t="e">
        <f>#REF!*COM!$P$4</f>
        <v>#REF!</v>
      </c>
      <c r="Q88" s="68" t="e">
        <f>#REF!*COM!$P$4</f>
        <v>#REF!</v>
      </c>
      <c r="R88" s="68" t="e">
        <f>#REF!*COM!$R$4</f>
        <v>#REF!</v>
      </c>
      <c r="S88" s="68" t="e">
        <f>#REF!*COM!$R$4</f>
        <v>#REF!</v>
      </c>
      <c r="T88" s="111"/>
    </row>
    <row r="89" spans="1:20" ht="56.25" x14ac:dyDescent="0.25">
      <c r="A89" s="154">
        <v>311</v>
      </c>
      <c r="B89" s="155">
        <v>34</v>
      </c>
      <c r="C89" s="155">
        <v>930</v>
      </c>
      <c r="D89" s="156">
        <v>70989</v>
      </c>
      <c r="E89" s="157" t="s">
        <v>174</v>
      </c>
      <c r="F89" s="151" t="s">
        <v>423</v>
      </c>
      <c r="G89" s="38"/>
      <c r="H89" s="68" t="e">
        <f>#REF!*COM!$H$4</f>
        <v>#REF!</v>
      </c>
      <c r="I89" s="68" t="e">
        <f>#REF!*COM!$H$4</f>
        <v>#REF!</v>
      </c>
      <c r="J89" s="68" t="e">
        <f>#REF!*COM!$J$4</f>
        <v>#REF!</v>
      </c>
      <c r="K89" s="68" t="e">
        <f>#REF!*COM!$J$4</f>
        <v>#REF!</v>
      </c>
      <c r="L89" s="68" t="e">
        <f>#REF!*COM!$L$4</f>
        <v>#REF!</v>
      </c>
      <c r="M89" s="68" t="e">
        <f>#REF!*COM!$L$4</f>
        <v>#REF!</v>
      </c>
      <c r="N89" s="68" t="e">
        <f>#REF!*COM!$N$4</f>
        <v>#REF!</v>
      </c>
      <c r="O89" s="68" t="e">
        <f>#REF!*COM!$N$4</f>
        <v>#REF!</v>
      </c>
      <c r="P89" s="68" t="e">
        <f>#REF!*COM!$P$4</f>
        <v>#REF!</v>
      </c>
      <c r="Q89" s="68" t="e">
        <f>#REF!*COM!$P$4</f>
        <v>#REF!</v>
      </c>
      <c r="R89" s="68" t="e">
        <f>#REF!*COM!$R$4</f>
        <v>#REF!</v>
      </c>
      <c r="S89" s="68" t="e">
        <f>#REF!*COM!$R$4</f>
        <v>#REF!</v>
      </c>
      <c r="T89" s="111" t="e">
        <f t="shared" si="9"/>
        <v>#REF!</v>
      </c>
    </row>
    <row r="90" spans="1:20" ht="37.5" x14ac:dyDescent="0.25">
      <c r="A90" s="154">
        <v>311</v>
      </c>
      <c r="B90" s="155">
        <v>34</v>
      </c>
      <c r="C90" s="155">
        <v>920</v>
      </c>
      <c r="D90" s="156">
        <v>70989</v>
      </c>
      <c r="E90" s="157" t="s">
        <v>420</v>
      </c>
      <c r="F90" s="151" t="s">
        <v>414</v>
      </c>
      <c r="H90" s="68" t="e">
        <f>#REF!*COM!$H$4</f>
        <v>#REF!</v>
      </c>
      <c r="I90" s="68" t="e">
        <f>#REF!*COM!$H$4</f>
        <v>#REF!</v>
      </c>
      <c r="J90" s="68" t="e">
        <f>#REF!*COM!$J$4</f>
        <v>#REF!</v>
      </c>
      <c r="K90" s="68" t="e">
        <f>#REF!*COM!$J$4</f>
        <v>#REF!</v>
      </c>
      <c r="L90" s="68" t="e">
        <f>#REF!*COM!$L$4</f>
        <v>#REF!</v>
      </c>
      <c r="M90" s="68" t="e">
        <f>#REF!*COM!$L$4</f>
        <v>#REF!</v>
      </c>
      <c r="N90" s="68" t="e">
        <f>#REF!*COM!$N$4</f>
        <v>#REF!</v>
      </c>
      <c r="O90" s="68" t="e">
        <f>#REF!*COM!$N$4</f>
        <v>#REF!</v>
      </c>
      <c r="P90" s="68" t="e">
        <f>#REF!*COM!$P$4</f>
        <v>#REF!</v>
      </c>
      <c r="Q90" s="68" t="e">
        <f>#REF!*COM!$P$4</f>
        <v>#REF!</v>
      </c>
      <c r="R90" s="68" t="e">
        <f>#REF!*COM!$R$4</f>
        <v>#REF!</v>
      </c>
      <c r="S90" s="68" t="e">
        <f>#REF!*COM!$R$4</f>
        <v>#REF!</v>
      </c>
    </row>
    <row r="91" spans="1:20" ht="18.75" x14ac:dyDescent="0.25">
      <c r="A91" s="154">
        <v>311</v>
      </c>
      <c r="B91" s="155">
        <v>34</v>
      </c>
      <c r="C91" s="155">
        <v>920</v>
      </c>
      <c r="D91" s="156">
        <v>70989</v>
      </c>
      <c r="E91" s="157" t="s">
        <v>172</v>
      </c>
      <c r="F91" s="151" t="s">
        <v>421</v>
      </c>
      <c r="G91" s="38"/>
      <c r="H91" s="68" t="e">
        <f>#REF!*COM!$H$4</f>
        <v>#REF!</v>
      </c>
      <c r="I91" s="68" t="e">
        <f>#REF!*COM!$H$4</f>
        <v>#REF!</v>
      </c>
      <c r="J91" s="68" t="e">
        <f>#REF!*COM!$J$4</f>
        <v>#REF!</v>
      </c>
      <c r="K91" s="68" t="e">
        <f>#REF!*COM!$J$4</f>
        <v>#REF!</v>
      </c>
      <c r="L91" s="68" t="e">
        <f>#REF!*COM!$L$4</f>
        <v>#REF!</v>
      </c>
      <c r="M91" s="68" t="e">
        <f>#REF!*COM!$L$4</f>
        <v>#REF!</v>
      </c>
      <c r="N91" s="68" t="e">
        <f>#REF!*COM!$N$4</f>
        <v>#REF!</v>
      </c>
      <c r="O91" s="68" t="e">
        <f>#REF!*COM!$N$4</f>
        <v>#REF!</v>
      </c>
      <c r="P91" s="68" t="e">
        <f>#REF!*COM!$P$4</f>
        <v>#REF!</v>
      </c>
      <c r="Q91" s="68" t="e">
        <f>#REF!*COM!$P$4</f>
        <v>#REF!</v>
      </c>
      <c r="R91" s="68" t="e">
        <f>#REF!*COM!$R$4</f>
        <v>#REF!</v>
      </c>
      <c r="S91" s="68" t="e">
        <f>#REF!*COM!$R$4</f>
        <v>#REF!</v>
      </c>
      <c r="T91" s="111" t="e">
        <f t="shared" si="9"/>
        <v>#REF!</v>
      </c>
    </row>
    <row r="92" spans="1:20" ht="18.75" x14ac:dyDescent="0.25">
      <c r="G92" s="3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11"/>
    </row>
    <row r="93" spans="1:20" ht="18.75" x14ac:dyDescent="0.25">
      <c r="A93" s="4"/>
      <c r="B93" s="52"/>
      <c r="C93" s="52"/>
      <c r="D93" s="7"/>
      <c r="E93" s="20"/>
      <c r="F93" s="38"/>
      <c r="G93" s="3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11">
        <f t="shared" si="9"/>
        <v>0</v>
      </c>
    </row>
    <row r="94" spans="1:20" ht="18.75" x14ac:dyDescent="0.25">
      <c r="A94" s="4"/>
      <c r="B94" s="52"/>
      <c r="C94" s="52"/>
      <c r="D94" s="7"/>
      <c r="E94" s="20"/>
      <c r="F94" s="38"/>
      <c r="G94" s="3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11">
        <f t="shared" si="9"/>
        <v>0</v>
      </c>
    </row>
    <row r="95" spans="1:20" s="58" customFormat="1" ht="18.75" x14ac:dyDescent="0.25">
      <c r="A95" s="56"/>
      <c r="B95" s="50"/>
      <c r="C95" s="50"/>
      <c r="D95" s="50"/>
      <c r="E95" s="54"/>
      <c r="F95" s="36" t="s">
        <v>32</v>
      </c>
      <c r="G95" s="36"/>
      <c r="H95" s="99" t="e">
        <f>H96</f>
        <v>#REF!</v>
      </c>
      <c r="I95" s="99" t="e">
        <f t="shared" ref="I95:S95" si="10">I96</f>
        <v>#REF!</v>
      </c>
      <c r="J95" s="99" t="e">
        <f t="shared" si="10"/>
        <v>#REF!</v>
      </c>
      <c r="K95" s="99" t="e">
        <f t="shared" si="10"/>
        <v>#REF!</v>
      </c>
      <c r="L95" s="99" t="e">
        <f t="shared" si="10"/>
        <v>#REF!</v>
      </c>
      <c r="M95" s="99" t="e">
        <f t="shared" si="10"/>
        <v>#REF!</v>
      </c>
      <c r="N95" s="99" t="e">
        <f t="shared" si="10"/>
        <v>#REF!</v>
      </c>
      <c r="O95" s="99" t="e">
        <f t="shared" si="10"/>
        <v>#REF!</v>
      </c>
      <c r="P95" s="99" t="e">
        <f t="shared" si="10"/>
        <v>#REF!</v>
      </c>
      <c r="Q95" s="99" t="e">
        <f t="shared" si="10"/>
        <v>#REF!</v>
      </c>
      <c r="R95" s="99" t="e">
        <f t="shared" si="10"/>
        <v>#REF!</v>
      </c>
      <c r="S95" s="99" t="e">
        <f t="shared" si="10"/>
        <v>#REF!</v>
      </c>
      <c r="T95" s="111" t="e">
        <f t="shared" si="9"/>
        <v>#REF!</v>
      </c>
    </row>
    <row r="96" spans="1:20" s="58" customFormat="1" ht="18.75" x14ac:dyDescent="0.25">
      <c r="A96" s="57"/>
      <c r="B96" s="51"/>
      <c r="C96" s="51"/>
      <c r="D96" s="51"/>
      <c r="E96" s="55"/>
      <c r="F96" s="37" t="s">
        <v>6</v>
      </c>
      <c r="G96" s="37"/>
      <c r="H96" s="100" t="e">
        <f>SUM(H97:H126)</f>
        <v>#REF!</v>
      </c>
      <c r="I96" s="100" t="e">
        <f>SUM(I97:I126)</f>
        <v>#REF!</v>
      </c>
      <c r="J96" s="100" t="e">
        <f>SUM(J97:J126)</f>
        <v>#REF!</v>
      </c>
      <c r="K96" s="100" t="e">
        <f t="shared" ref="K96:S96" si="11">SUM(K97:K126)</f>
        <v>#REF!</v>
      </c>
      <c r="L96" s="100" t="e">
        <f t="shared" si="11"/>
        <v>#REF!</v>
      </c>
      <c r="M96" s="100" t="e">
        <f t="shared" si="11"/>
        <v>#REF!</v>
      </c>
      <c r="N96" s="100" t="e">
        <f t="shared" si="11"/>
        <v>#REF!</v>
      </c>
      <c r="O96" s="100" t="e">
        <f t="shared" si="11"/>
        <v>#REF!</v>
      </c>
      <c r="P96" s="100" t="e">
        <f t="shared" si="11"/>
        <v>#REF!</v>
      </c>
      <c r="Q96" s="100" t="e">
        <f>SUM(Q97:Q126)</f>
        <v>#REF!</v>
      </c>
      <c r="R96" s="100" t="e">
        <f t="shared" si="11"/>
        <v>#REF!</v>
      </c>
      <c r="S96" s="100" t="e">
        <f t="shared" si="11"/>
        <v>#REF!</v>
      </c>
      <c r="T96" s="111" t="e">
        <f t="shared" si="9"/>
        <v>#REF!</v>
      </c>
    </row>
    <row r="97" spans="1:20" ht="37.5" x14ac:dyDescent="0.25">
      <c r="A97" s="61">
        <v>311</v>
      </c>
      <c r="B97" s="61">
        <v>37</v>
      </c>
      <c r="C97" s="61">
        <v>920</v>
      </c>
      <c r="D97" s="7">
        <v>70769</v>
      </c>
      <c r="E97" s="20" t="s">
        <v>164</v>
      </c>
      <c r="F97" s="112" t="s">
        <v>33</v>
      </c>
      <c r="G97" s="38"/>
      <c r="H97" s="68" t="e">
        <f>#REF!*COM!$H$4</f>
        <v>#REF!</v>
      </c>
      <c r="I97" s="68" t="e">
        <f>#REF!*COM!$H$4</f>
        <v>#REF!</v>
      </c>
      <c r="J97" s="68" t="e">
        <f>#REF!*COM!$J$4</f>
        <v>#REF!</v>
      </c>
      <c r="K97" s="68" t="e">
        <f>#REF!*COM!$J$4</f>
        <v>#REF!</v>
      </c>
      <c r="L97" s="68" t="e">
        <f>#REF!*COM!$L$4</f>
        <v>#REF!</v>
      </c>
      <c r="M97" s="68" t="e">
        <f>#REF!*COM!$L$4</f>
        <v>#REF!</v>
      </c>
      <c r="N97" s="68" t="e">
        <f>#REF!*COM!$N$4</f>
        <v>#REF!</v>
      </c>
      <c r="O97" s="68" t="e">
        <f>#REF!*COM!$N$4</f>
        <v>#REF!</v>
      </c>
      <c r="P97" s="68" t="e">
        <f>#REF!*COM!$P$4</f>
        <v>#REF!</v>
      </c>
      <c r="Q97" s="68" t="e">
        <f>#REF!*COM!$P$4</f>
        <v>#REF!</v>
      </c>
      <c r="R97" s="68" t="e">
        <f>#REF!*COM!$R$4</f>
        <v>#REF!</v>
      </c>
      <c r="S97" s="68" t="e">
        <f>#REF!*COM!$R$4</f>
        <v>#REF!</v>
      </c>
      <c r="T97" s="111" t="e">
        <f t="shared" si="9"/>
        <v>#REF!</v>
      </c>
    </row>
    <row r="98" spans="1:20" ht="18.75" x14ac:dyDescent="0.25">
      <c r="A98" s="61">
        <v>311</v>
      </c>
      <c r="B98" s="61">
        <v>37</v>
      </c>
      <c r="C98" s="61">
        <v>910</v>
      </c>
      <c r="D98" s="7">
        <v>70769</v>
      </c>
      <c r="E98" s="20"/>
      <c r="F98" s="112" t="s">
        <v>34</v>
      </c>
      <c r="G98" s="38"/>
      <c r="H98" s="68" t="e">
        <f>#REF!*COM!$H$4</f>
        <v>#REF!</v>
      </c>
      <c r="I98" s="68" t="e">
        <f>#REF!*COM!$H$4</f>
        <v>#REF!</v>
      </c>
      <c r="J98" s="68" t="e">
        <f>#REF!*COM!$J$4</f>
        <v>#REF!</v>
      </c>
      <c r="K98" s="68" t="e">
        <f>#REF!*COM!$J$4</f>
        <v>#REF!</v>
      </c>
      <c r="L98" s="68" t="e">
        <f>#REF!*COM!$L$4</f>
        <v>#REF!</v>
      </c>
      <c r="M98" s="68" t="e">
        <f>#REF!*COM!$L$4</f>
        <v>#REF!</v>
      </c>
      <c r="N98" s="68" t="e">
        <f>#REF!*COM!$N$4</f>
        <v>#REF!</v>
      </c>
      <c r="O98" s="68" t="e">
        <f>#REF!*COM!$N$4</f>
        <v>#REF!</v>
      </c>
      <c r="P98" s="68" t="e">
        <f>#REF!*COM!$P$4</f>
        <v>#REF!</v>
      </c>
      <c r="Q98" s="68" t="e">
        <f>#REF!*COM!$P$4</f>
        <v>#REF!</v>
      </c>
      <c r="R98" s="68" t="e">
        <f>#REF!*COM!$R$4</f>
        <v>#REF!</v>
      </c>
      <c r="S98" s="68" t="e">
        <f>#REF!*COM!$R$4</f>
        <v>#REF!</v>
      </c>
      <c r="T98" s="111" t="e">
        <f t="shared" si="9"/>
        <v>#REF!</v>
      </c>
    </row>
    <row r="99" spans="1:20" ht="56.25" x14ac:dyDescent="0.25">
      <c r="A99" s="4">
        <v>311</v>
      </c>
      <c r="B99" s="52">
        <v>37</v>
      </c>
      <c r="C99" s="52">
        <v>920</v>
      </c>
      <c r="D99" s="7">
        <v>70769</v>
      </c>
      <c r="E99" s="20" t="s">
        <v>164</v>
      </c>
      <c r="F99" s="76" t="s">
        <v>35</v>
      </c>
      <c r="G99" s="126" t="s">
        <v>335</v>
      </c>
      <c r="H99" s="68" t="e">
        <f>#REF!*COM!$H$4</f>
        <v>#REF!</v>
      </c>
      <c r="I99" s="68" t="e">
        <f>#REF!*COM!$H$4</f>
        <v>#REF!</v>
      </c>
      <c r="J99" s="68" t="e">
        <f>#REF!*COM!$J$4</f>
        <v>#REF!</v>
      </c>
      <c r="K99" s="68" t="e">
        <f>#REF!*COM!$J$4</f>
        <v>#REF!</v>
      </c>
      <c r="L99" s="68" t="e">
        <f>#REF!*COM!$L$4</f>
        <v>#REF!</v>
      </c>
      <c r="M99" s="68" t="e">
        <f>#REF!*COM!$L$4</f>
        <v>#REF!</v>
      </c>
      <c r="N99" s="68" t="e">
        <f>#REF!*COM!$N$4</f>
        <v>#REF!</v>
      </c>
      <c r="O99" s="68" t="e">
        <f>#REF!*COM!$N$4</f>
        <v>#REF!</v>
      </c>
      <c r="P99" s="68" t="e">
        <f>#REF!*COM!$P$4</f>
        <v>#REF!</v>
      </c>
      <c r="Q99" s="68" t="e">
        <f>#REF!*COM!$P$4</f>
        <v>#REF!</v>
      </c>
      <c r="R99" s="68" t="e">
        <f>#REF!*COM!$R$4</f>
        <v>#REF!</v>
      </c>
      <c r="S99" s="68" t="e">
        <f>#REF!*COM!$R$4</f>
        <v>#REF!</v>
      </c>
      <c r="T99" s="111" t="e">
        <f t="shared" si="9"/>
        <v>#REF!</v>
      </c>
    </row>
    <row r="100" spans="1:20" ht="18.75" x14ac:dyDescent="0.25">
      <c r="A100" s="4">
        <v>311</v>
      </c>
      <c r="B100" s="52">
        <v>37</v>
      </c>
      <c r="C100" s="52">
        <v>910</v>
      </c>
      <c r="D100" s="7">
        <v>70769</v>
      </c>
      <c r="E100" s="20"/>
      <c r="F100" s="112" t="s">
        <v>36</v>
      </c>
      <c r="G100" s="38"/>
      <c r="H100" s="68" t="e">
        <f>#REF!*COM!$H$4</f>
        <v>#REF!</v>
      </c>
      <c r="I100" s="68" t="e">
        <f>#REF!*COM!$H$4</f>
        <v>#REF!</v>
      </c>
      <c r="J100" s="68" t="e">
        <f>#REF!*COM!$J$4</f>
        <v>#REF!</v>
      </c>
      <c r="K100" s="68" t="e">
        <f>#REF!*COM!$J$4</f>
        <v>#REF!</v>
      </c>
      <c r="L100" s="68" t="e">
        <f>#REF!*COM!$L$4</f>
        <v>#REF!</v>
      </c>
      <c r="M100" s="68" t="e">
        <f>#REF!*COM!$L$4</f>
        <v>#REF!</v>
      </c>
      <c r="N100" s="68" t="e">
        <f>#REF!*COM!$N$4</f>
        <v>#REF!</v>
      </c>
      <c r="O100" s="68" t="e">
        <f>#REF!*COM!$N$4</f>
        <v>#REF!</v>
      </c>
      <c r="P100" s="68" t="e">
        <f>#REF!*COM!$P$4</f>
        <v>#REF!</v>
      </c>
      <c r="Q100" s="68" t="e">
        <f>#REF!*COM!$P$4</f>
        <v>#REF!</v>
      </c>
      <c r="R100" s="68" t="e">
        <f>#REF!*COM!$R$4</f>
        <v>#REF!</v>
      </c>
      <c r="S100" s="68" t="e">
        <f>#REF!*COM!$R$4</f>
        <v>#REF!</v>
      </c>
      <c r="T100" s="111" t="e">
        <f t="shared" si="9"/>
        <v>#REF!</v>
      </c>
    </row>
    <row r="101" spans="1:20" ht="18.75" x14ac:dyDescent="0.25">
      <c r="A101" s="4">
        <v>311</v>
      </c>
      <c r="B101" s="52">
        <v>37</v>
      </c>
      <c r="C101" s="52">
        <v>920</v>
      </c>
      <c r="D101" s="7">
        <v>70769</v>
      </c>
      <c r="E101" s="20" t="s">
        <v>164</v>
      </c>
      <c r="F101" s="112" t="s">
        <v>37</v>
      </c>
      <c r="G101" s="38"/>
      <c r="H101" s="68" t="e">
        <f>#REF!*COM!$H$4</f>
        <v>#REF!</v>
      </c>
      <c r="I101" s="68" t="e">
        <f>#REF!*COM!$H$4</f>
        <v>#REF!</v>
      </c>
      <c r="J101" s="68" t="e">
        <f>#REF!*COM!$J$4</f>
        <v>#REF!</v>
      </c>
      <c r="K101" s="68" t="e">
        <f>#REF!*COM!$J$4</f>
        <v>#REF!</v>
      </c>
      <c r="L101" s="68" t="e">
        <f>#REF!*COM!$L$4</f>
        <v>#REF!</v>
      </c>
      <c r="M101" s="68" t="e">
        <f>#REF!*COM!$L$4</f>
        <v>#REF!</v>
      </c>
      <c r="N101" s="68" t="e">
        <f>#REF!*COM!$N$4</f>
        <v>#REF!</v>
      </c>
      <c r="O101" s="68" t="e">
        <f>#REF!*COM!$N$4</f>
        <v>#REF!</v>
      </c>
      <c r="P101" s="68" t="e">
        <f>#REF!*COM!$P$4</f>
        <v>#REF!</v>
      </c>
      <c r="Q101" s="68" t="e">
        <f>#REF!*COM!$P$4</f>
        <v>#REF!</v>
      </c>
      <c r="R101" s="68" t="e">
        <f>#REF!*COM!$R$4</f>
        <v>#REF!</v>
      </c>
      <c r="S101" s="68" t="e">
        <f>#REF!*COM!$R$4</f>
        <v>#REF!</v>
      </c>
      <c r="T101" s="111" t="e">
        <f t="shared" si="9"/>
        <v>#REF!</v>
      </c>
    </row>
    <row r="102" spans="1:20" ht="18.75" x14ac:dyDescent="0.25">
      <c r="A102" s="4">
        <v>311</v>
      </c>
      <c r="B102" s="52">
        <v>37</v>
      </c>
      <c r="C102" s="52">
        <v>910</v>
      </c>
      <c r="D102" s="7">
        <v>70769</v>
      </c>
      <c r="E102" s="20"/>
      <c r="F102" s="112" t="s">
        <v>38</v>
      </c>
      <c r="G102" s="112"/>
      <c r="H102" s="68" t="e">
        <f>#REF!*COM!$H$4</f>
        <v>#REF!</v>
      </c>
      <c r="I102" s="68" t="e">
        <f>#REF!*COM!$H$4</f>
        <v>#REF!</v>
      </c>
      <c r="J102" s="68" t="e">
        <f>#REF!*COM!$J$4</f>
        <v>#REF!</v>
      </c>
      <c r="K102" s="68" t="e">
        <f>#REF!*COM!$J$4</f>
        <v>#REF!</v>
      </c>
      <c r="L102" s="68" t="e">
        <f>#REF!*COM!$L$4</f>
        <v>#REF!</v>
      </c>
      <c r="M102" s="68" t="e">
        <f>#REF!*COM!$L$4</f>
        <v>#REF!</v>
      </c>
      <c r="N102" s="68" t="e">
        <f>#REF!*COM!$N$4</f>
        <v>#REF!</v>
      </c>
      <c r="O102" s="68" t="e">
        <f>#REF!*COM!$N$4</f>
        <v>#REF!</v>
      </c>
      <c r="P102" s="68" t="e">
        <f>#REF!*COM!$P$4</f>
        <v>#REF!</v>
      </c>
      <c r="Q102" s="68" t="e">
        <f>#REF!*COM!$P$4</f>
        <v>#REF!</v>
      </c>
      <c r="R102" s="68" t="e">
        <f>#REF!*COM!$R$4</f>
        <v>#REF!</v>
      </c>
      <c r="S102" s="68" t="e">
        <f>#REF!*COM!$R$4</f>
        <v>#REF!</v>
      </c>
      <c r="T102" s="111" t="e">
        <f t="shared" si="9"/>
        <v>#REF!</v>
      </c>
    </row>
    <row r="103" spans="1:20" ht="56.25" x14ac:dyDescent="0.25">
      <c r="A103" s="4">
        <v>311</v>
      </c>
      <c r="B103" s="52">
        <v>37</v>
      </c>
      <c r="C103" s="52">
        <v>920</v>
      </c>
      <c r="D103" s="7">
        <v>70769</v>
      </c>
      <c r="E103" s="20" t="s">
        <v>164</v>
      </c>
      <c r="F103" s="75" t="s">
        <v>39</v>
      </c>
      <c r="G103" s="126" t="s">
        <v>336</v>
      </c>
      <c r="H103" s="68" t="e">
        <f>#REF!*COM!$H$4</f>
        <v>#REF!</v>
      </c>
      <c r="I103" s="68" t="e">
        <f>#REF!*COM!$H$4</f>
        <v>#REF!</v>
      </c>
      <c r="J103" s="68" t="e">
        <f>#REF!*COM!$J$4</f>
        <v>#REF!</v>
      </c>
      <c r="K103" s="68" t="e">
        <f>#REF!*COM!$J$4</f>
        <v>#REF!</v>
      </c>
      <c r="L103" s="68" t="e">
        <f>#REF!*COM!$L$4</f>
        <v>#REF!</v>
      </c>
      <c r="M103" s="68" t="e">
        <f>#REF!*COM!$L$4</f>
        <v>#REF!</v>
      </c>
      <c r="N103" s="68" t="e">
        <f>#REF!*COM!$N$4</f>
        <v>#REF!</v>
      </c>
      <c r="O103" s="68" t="e">
        <f>#REF!*COM!$N$4</f>
        <v>#REF!</v>
      </c>
      <c r="P103" s="68" t="e">
        <f>#REF!*COM!$P$4</f>
        <v>#REF!</v>
      </c>
      <c r="Q103" s="68" t="e">
        <f>#REF!*COM!$P$4</f>
        <v>#REF!</v>
      </c>
      <c r="R103" s="68" t="e">
        <f>#REF!*COM!$R$4</f>
        <v>#REF!</v>
      </c>
      <c r="S103" s="68" t="e">
        <f>#REF!*COM!$R$4</f>
        <v>#REF!</v>
      </c>
      <c r="T103" s="111" t="e">
        <f t="shared" si="9"/>
        <v>#REF!</v>
      </c>
    </row>
    <row r="104" spans="1:20" ht="56.25" x14ac:dyDescent="0.25">
      <c r="A104" s="4">
        <v>311</v>
      </c>
      <c r="B104" s="52">
        <v>37</v>
      </c>
      <c r="C104" s="52">
        <v>930</v>
      </c>
      <c r="D104" s="7">
        <v>70769</v>
      </c>
      <c r="E104" s="20" t="s">
        <v>166</v>
      </c>
      <c r="F104" s="76" t="s">
        <v>40</v>
      </c>
      <c r="G104" s="132" t="s">
        <v>289</v>
      </c>
      <c r="H104" s="68" t="e">
        <f>#REF!*COM!$H$4</f>
        <v>#REF!</v>
      </c>
      <c r="I104" s="68" t="e">
        <f>#REF!*COM!$H$4</f>
        <v>#REF!</v>
      </c>
      <c r="J104" s="68" t="e">
        <f>#REF!*COM!$J$4</f>
        <v>#REF!</v>
      </c>
      <c r="K104" s="68" t="e">
        <f>#REF!*COM!$J$4</f>
        <v>#REF!</v>
      </c>
      <c r="L104" s="68" t="e">
        <f>#REF!*COM!$L$4</f>
        <v>#REF!</v>
      </c>
      <c r="M104" s="68" t="e">
        <f>#REF!*COM!$L$4</f>
        <v>#REF!</v>
      </c>
      <c r="N104" s="68" t="e">
        <f>#REF!*COM!$N$4</f>
        <v>#REF!</v>
      </c>
      <c r="O104" s="68" t="e">
        <f>#REF!*COM!$N$4</f>
        <v>#REF!</v>
      </c>
      <c r="P104" s="68" t="e">
        <f>#REF!*COM!$P$4</f>
        <v>#REF!</v>
      </c>
      <c r="Q104" s="68" t="e">
        <f>#REF!*COM!$P$4</f>
        <v>#REF!</v>
      </c>
      <c r="R104" s="68" t="e">
        <f>#REF!*COM!$R$4</f>
        <v>#REF!</v>
      </c>
      <c r="S104" s="68" t="e">
        <f>#REF!*COM!$R$4</f>
        <v>#REF!</v>
      </c>
      <c r="T104" s="111" t="e">
        <f t="shared" si="9"/>
        <v>#REF!</v>
      </c>
    </row>
    <row r="105" spans="1:20" ht="37.5" x14ac:dyDescent="0.25">
      <c r="A105" s="4">
        <v>311</v>
      </c>
      <c r="B105" s="52">
        <v>37</v>
      </c>
      <c r="C105" s="52">
        <v>910</v>
      </c>
      <c r="D105" s="7">
        <v>70769</v>
      </c>
      <c r="E105" s="20"/>
      <c r="F105" s="112" t="s">
        <v>41</v>
      </c>
      <c r="G105" s="38"/>
      <c r="H105" s="68" t="e">
        <f>#REF!*COM!$H$4</f>
        <v>#REF!</v>
      </c>
      <c r="I105" s="68" t="e">
        <f>#REF!*COM!$H$4</f>
        <v>#REF!</v>
      </c>
      <c r="J105" s="68" t="e">
        <f>#REF!*COM!$J$4</f>
        <v>#REF!</v>
      </c>
      <c r="K105" s="68" t="e">
        <f>#REF!*COM!$J$4</f>
        <v>#REF!</v>
      </c>
      <c r="L105" s="68" t="e">
        <f>#REF!*COM!$L$4</f>
        <v>#REF!</v>
      </c>
      <c r="M105" s="68" t="e">
        <f>#REF!*COM!$L$4</f>
        <v>#REF!</v>
      </c>
      <c r="N105" s="68" t="e">
        <f>#REF!*COM!$N$4</f>
        <v>#REF!</v>
      </c>
      <c r="O105" s="68" t="e">
        <f>#REF!*COM!$N$4</f>
        <v>#REF!</v>
      </c>
      <c r="P105" s="68" t="e">
        <f>#REF!*COM!$P$4</f>
        <v>#REF!</v>
      </c>
      <c r="Q105" s="68" t="e">
        <f>#REF!*COM!$P$4</f>
        <v>#REF!</v>
      </c>
      <c r="R105" s="68" t="e">
        <f>#REF!*COM!$R$4</f>
        <v>#REF!</v>
      </c>
      <c r="S105" s="68" t="e">
        <f>#REF!*COM!$R$4</f>
        <v>#REF!</v>
      </c>
      <c r="T105" s="111" t="e">
        <f t="shared" si="9"/>
        <v>#REF!</v>
      </c>
    </row>
    <row r="106" spans="1:20" ht="37.5" x14ac:dyDescent="0.25">
      <c r="A106" s="4">
        <v>311</v>
      </c>
      <c r="B106" s="52">
        <v>37</v>
      </c>
      <c r="C106" s="52">
        <v>930</v>
      </c>
      <c r="D106" s="7">
        <v>70769</v>
      </c>
      <c r="E106" s="20" t="s">
        <v>165</v>
      </c>
      <c r="F106" s="112" t="s">
        <v>42</v>
      </c>
      <c r="G106" s="38"/>
      <c r="H106" s="68" t="e">
        <f>#REF!*COM!$H$4</f>
        <v>#REF!</v>
      </c>
      <c r="I106" s="68" t="e">
        <f>#REF!*COM!$H$4</f>
        <v>#REF!</v>
      </c>
      <c r="J106" s="68" t="e">
        <f>#REF!*COM!$J$4</f>
        <v>#REF!</v>
      </c>
      <c r="K106" s="68" t="e">
        <f>#REF!*COM!$J$4</f>
        <v>#REF!</v>
      </c>
      <c r="L106" s="68" t="e">
        <f>#REF!*COM!$L$4</f>
        <v>#REF!</v>
      </c>
      <c r="M106" s="68" t="e">
        <f>#REF!*COM!$L$4</f>
        <v>#REF!</v>
      </c>
      <c r="N106" s="68" t="e">
        <f>#REF!*COM!$N$4</f>
        <v>#REF!</v>
      </c>
      <c r="O106" s="68" t="e">
        <f>#REF!*COM!$N$4</f>
        <v>#REF!</v>
      </c>
      <c r="P106" s="68" t="e">
        <f>#REF!*COM!$P$4</f>
        <v>#REF!</v>
      </c>
      <c r="Q106" s="68" t="e">
        <f>#REF!*COM!$P$4</f>
        <v>#REF!</v>
      </c>
      <c r="R106" s="68" t="e">
        <f>#REF!*COM!$R$4</f>
        <v>#REF!</v>
      </c>
      <c r="S106" s="68" t="e">
        <f>#REF!*COM!$R$4</f>
        <v>#REF!</v>
      </c>
      <c r="T106" s="111" t="e">
        <f t="shared" si="9"/>
        <v>#REF!</v>
      </c>
    </row>
    <row r="107" spans="1:20" ht="56.25" x14ac:dyDescent="0.25">
      <c r="A107" s="4">
        <v>311</v>
      </c>
      <c r="B107" s="52">
        <v>37</v>
      </c>
      <c r="C107" s="52">
        <v>920</v>
      </c>
      <c r="D107" s="7">
        <v>70769</v>
      </c>
      <c r="E107" s="20" t="s">
        <v>164</v>
      </c>
      <c r="F107" s="76" t="s">
        <v>43</v>
      </c>
      <c r="G107" s="132" t="s">
        <v>337</v>
      </c>
      <c r="H107" s="68" t="e">
        <f>#REF!*COM!$H$4</f>
        <v>#REF!</v>
      </c>
      <c r="I107" s="68" t="e">
        <f>#REF!*COM!$H$4</f>
        <v>#REF!</v>
      </c>
      <c r="J107" s="68" t="e">
        <f>#REF!*COM!$J$4</f>
        <v>#REF!</v>
      </c>
      <c r="K107" s="68" t="e">
        <f>#REF!*COM!$J$4</f>
        <v>#REF!</v>
      </c>
      <c r="L107" s="68" t="e">
        <f>#REF!*COM!$L$4</f>
        <v>#REF!</v>
      </c>
      <c r="M107" s="68" t="e">
        <f>#REF!*COM!$L$4</f>
        <v>#REF!</v>
      </c>
      <c r="N107" s="68" t="e">
        <f>#REF!*COM!$N$4</f>
        <v>#REF!</v>
      </c>
      <c r="O107" s="68" t="e">
        <f>#REF!*COM!$N$4</f>
        <v>#REF!</v>
      </c>
      <c r="P107" s="68" t="e">
        <f>#REF!*COM!$P$4</f>
        <v>#REF!</v>
      </c>
      <c r="Q107" s="68" t="e">
        <f>#REF!*COM!$P$4</f>
        <v>#REF!</v>
      </c>
      <c r="R107" s="68" t="e">
        <f>#REF!*COM!$R$4</f>
        <v>#REF!</v>
      </c>
      <c r="S107" s="68" t="e">
        <f>#REF!*COM!$R$4</f>
        <v>#REF!</v>
      </c>
      <c r="T107" s="111" t="e">
        <f t="shared" si="9"/>
        <v>#REF!</v>
      </c>
    </row>
    <row r="108" spans="1:20" ht="37.5" x14ac:dyDescent="0.25">
      <c r="A108" s="4">
        <v>311</v>
      </c>
      <c r="B108" s="52">
        <v>37</v>
      </c>
      <c r="C108" s="52">
        <v>920</v>
      </c>
      <c r="D108" s="7">
        <v>70769</v>
      </c>
      <c r="E108" s="20" t="s">
        <v>164</v>
      </c>
      <c r="F108" s="76" t="s">
        <v>44</v>
      </c>
      <c r="G108" s="132" t="s">
        <v>338</v>
      </c>
      <c r="H108" s="68" t="e">
        <f>#REF!*COM!$H$4</f>
        <v>#REF!</v>
      </c>
      <c r="I108" s="68" t="e">
        <f>#REF!*COM!$H$4</f>
        <v>#REF!</v>
      </c>
      <c r="J108" s="68" t="e">
        <f>#REF!*COM!$J$4</f>
        <v>#REF!</v>
      </c>
      <c r="K108" s="68" t="e">
        <f>#REF!*COM!$J$4</f>
        <v>#REF!</v>
      </c>
      <c r="L108" s="68" t="e">
        <f>#REF!*COM!$L$4</f>
        <v>#REF!</v>
      </c>
      <c r="M108" s="68" t="e">
        <f>#REF!*COM!$L$4</f>
        <v>#REF!</v>
      </c>
      <c r="N108" s="68" t="e">
        <f>#REF!*COM!$N$4</f>
        <v>#REF!</v>
      </c>
      <c r="O108" s="68" t="e">
        <f>#REF!*COM!$N$4</f>
        <v>#REF!</v>
      </c>
      <c r="P108" s="68" t="e">
        <f>#REF!*COM!$P$4</f>
        <v>#REF!</v>
      </c>
      <c r="Q108" s="68" t="e">
        <f>#REF!*COM!$P$4</f>
        <v>#REF!</v>
      </c>
      <c r="R108" s="68" t="e">
        <f>#REF!*COM!$R$4</f>
        <v>#REF!</v>
      </c>
      <c r="S108" s="68" t="e">
        <f>#REF!*COM!$R$4</f>
        <v>#REF!</v>
      </c>
      <c r="T108" s="111" t="e">
        <f t="shared" si="9"/>
        <v>#REF!</v>
      </c>
    </row>
    <row r="109" spans="1:20" ht="37.5" x14ac:dyDescent="0.25">
      <c r="A109" s="4">
        <v>311</v>
      </c>
      <c r="B109" s="52">
        <v>37</v>
      </c>
      <c r="C109" s="52">
        <v>920</v>
      </c>
      <c r="D109" s="7">
        <v>70769</v>
      </c>
      <c r="E109" s="20" t="s">
        <v>172</v>
      </c>
      <c r="F109" s="41" t="s">
        <v>45</v>
      </c>
      <c r="G109" s="41"/>
      <c r="H109" s="68" t="e">
        <f>#REF!*COM!$H$4</f>
        <v>#REF!</v>
      </c>
      <c r="I109" s="68" t="e">
        <f>#REF!*COM!$H$4</f>
        <v>#REF!</v>
      </c>
      <c r="J109" s="68" t="e">
        <f>#REF!*COM!$J$4</f>
        <v>#REF!</v>
      </c>
      <c r="K109" s="68" t="e">
        <f>#REF!*COM!$J$4</f>
        <v>#REF!</v>
      </c>
      <c r="L109" s="68" t="e">
        <f>#REF!*COM!$L$4</f>
        <v>#REF!</v>
      </c>
      <c r="M109" s="68" t="e">
        <f>#REF!*COM!$L$4</f>
        <v>#REF!</v>
      </c>
      <c r="N109" s="68" t="e">
        <f>#REF!*COM!$N$4</f>
        <v>#REF!</v>
      </c>
      <c r="O109" s="68" t="e">
        <f>#REF!*COM!$N$4</f>
        <v>#REF!</v>
      </c>
      <c r="P109" s="68" t="e">
        <f>#REF!*COM!$P$4</f>
        <v>#REF!</v>
      </c>
      <c r="Q109" s="68" t="e">
        <f>#REF!*COM!$P$4</f>
        <v>#REF!</v>
      </c>
      <c r="R109" s="68" t="e">
        <f>#REF!*COM!$R$4</f>
        <v>#REF!</v>
      </c>
      <c r="S109" s="68" t="e">
        <f>#REF!*COM!$R$4</f>
        <v>#REF!</v>
      </c>
      <c r="T109" s="111" t="e">
        <f t="shared" si="9"/>
        <v>#REF!</v>
      </c>
    </row>
    <row r="110" spans="1:20" ht="37.5" x14ac:dyDescent="0.25">
      <c r="A110" s="4">
        <v>311</v>
      </c>
      <c r="B110" s="52">
        <v>37</v>
      </c>
      <c r="C110" s="52">
        <v>930</v>
      </c>
      <c r="D110" s="7">
        <v>70769</v>
      </c>
      <c r="E110" s="20" t="s">
        <v>172</v>
      </c>
      <c r="F110" s="41" t="s">
        <v>46</v>
      </c>
      <c r="G110" s="41"/>
      <c r="H110" s="68" t="e">
        <f>#REF!*COM!$H$4</f>
        <v>#REF!</v>
      </c>
      <c r="I110" s="68" t="e">
        <f>#REF!*COM!$H$4</f>
        <v>#REF!</v>
      </c>
      <c r="J110" s="68" t="e">
        <f>#REF!*COM!$J$4</f>
        <v>#REF!</v>
      </c>
      <c r="K110" s="68" t="e">
        <f>#REF!*COM!$J$4</f>
        <v>#REF!</v>
      </c>
      <c r="L110" s="68" t="e">
        <f>#REF!*COM!$L$4</f>
        <v>#REF!</v>
      </c>
      <c r="M110" s="68" t="e">
        <f>#REF!*COM!$L$4</f>
        <v>#REF!</v>
      </c>
      <c r="N110" s="68" t="e">
        <f>#REF!*COM!$N$4</f>
        <v>#REF!</v>
      </c>
      <c r="O110" s="68" t="e">
        <f>#REF!*COM!$N$4</f>
        <v>#REF!</v>
      </c>
      <c r="P110" s="68" t="e">
        <f>#REF!*COM!$P$4</f>
        <v>#REF!</v>
      </c>
      <c r="Q110" s="68" t="e">
        <f>#REF!*COM!$P$4</f>
        <v>#REF!</v>
      </c>
      <c r="R110" s="68" t="e">
        <f>#REF!*COM!$R$4</f>
        <v>#REF!</v>
      </c>
      <c r="S110" s="68" t="e">
        <f>#REF!*COM!$R$4</f>
        <v>#REF!</v>
      </c>
      <c r="T110" s="111" t="e">
        <f t="shared" si="9"/>
        <v>#REF!</v>
      </c>
    </row>
    <row r="111" spans="1:20" ht="18.75" x14ac:dyDescent="0.25">
      <c r="A111" s="4">
        <v>311</v>
      </c>
      <c r="B111" s="52">
        <v>37</v>
      </c>
      <c r="C111" s="52">
        <v>920</v>
      </c>
      <c r="D111" s="7">
        <v>70769</v>
      </c>
      <c r="E111" s="20" t="s">
        <v>173</v>
      </c>
      <c r="F111" s="38" t="s">
        <v>47</v>
      </c>
      <c r="G111" s="38"/>
      <c r="H111" s="68" t="e">
        <f>#REF!*COM!$H$4</f>
        <v>#REF!</v>
      </c>
      <c r="I111" s="68" t="e">
        <f>#REF!*COM!$H$4</f>
        <v>#REF!</v>
      </c>
      <c r="J111" s="68" t="e">
        <f>#REF!*COM!$J$4</f>
        <v>#REF!</v>
      </c>
      <c r="K111" s="68" t="e">
        <f>#REF!*COM!$J$4</f>
        <v>#REF!</v>
      </c>
      <c r="L111" s="68" t="e">
        <f>#REF!*COM!$L$4</f>
        <v>#REF!</v>
      </c>
      <c r="M111" s="68" t="e">
        <f>#REF!*COM!$L$4</f>
        <v>#REF!</v>
      </c>
      <c r="N111" s="68" t="e">
        <f>#REF!*COM!$N$4</f>
        <v>#REF!</v>
      </c>
      <c r="O111" s="68" t="e">
        <f>#REF!*COM!$N$4</f>
        <v>#REF!</v>
      </c>
      <c r="P111" s="68" t="e">
        <f>#REF!*COM!$P$4</f>
        <v>#REF!</v>
      </c>
      <c r="Q111" s="68" t="e">
        <f>#REF!*COM!$P$4</f>
        <v>#REF!</v>
      </c>
      <c r="R111" s="68" t="e">
        <f>#REF!*COM!$R$4</f>
        <v>#REF!</v>
      </c>
      <c r="S111" s="68" t="e">
        <f>#REF!*COM!$R$4</f>
        <v>#REF!</v>
      </c>
      <c r="T111" s="111" t="e">
        <f t="shared" si="9"/>
        <v>#REF!</v>
      </c>
    </row>
    <row r="112" spans="1:20" ht="37.5" x14ac:dyDescent="0.25">
      <c r="A112" s="4">
        <v>311</v>
      </c>
      <c r="B112" s="52">
        <v>37</v>
      </c>
      <c r="C112" s="52">
        <v>930</v>
      </c>
      <c r="D112" s="7">
        <v>70769</v>
      </c>
      <c r="E112" s="20" t="s">
        <v>173</v>
      </c>
      <c r="F112" s="38" t="s">
        <v>48</v>
      </c>
      <c r="G112" s="38"/>
      <c r="H112" s="68" t="e">
        <f>#REF!*COM!$H$4</f>
        <v>#REF!</v>
      </c>
      <c r="I112" s="68" t="e">
        <f>#REF!*COM!$H$4</f>
        <v>#REF!</v>
      </c>
      <c r="J112" s="68" t="e">
        <f>#REF!*COM!$J$4</f>
        <v>#REF!</v>
      </c>
      <c r="K112" s="68" t="e">
        <f>#REF!*COM!$J$4</f>
        <v>#REF!</v>
      </c>
      <c r="L112" s="68" t="e">
        <f>#REF!*COM!$L$4</f>
        <v>#REF!</v>
      </c>
      <c r="M112" s="68" t="e">
        <f>#REF!*COM!$L$4</f>
        <v>#REF!</v>
      </c>
      <c r="N112" s="68" t="e">
        <f>#REF!*COM!$N$4</f>
        <v>#REF!</v>
      </c>
      <c r="O112" s="68" t="e">
        <f>#REF!*COM!$N$4</f>
        <v>#REF!</v>
      </c>
      <c r="P112" s="68" t="e">
        <f>#REF!*COM!$P$4</f>
        <v>#REF!</v>
      </c>
      <c r="Q112" s="68" t="e">
        <f>#REF!*COM!$P$4</f>
        <v>#REF!</v>
      </c>
      <c r="R112" s="68" t="e">
        <f>#REF!*COM!$R$4</f>
        <v>#REF!</v>
      </c>
      <c r="S112" s="68" t="e">
        <f>#REF!*COM!$R$4</f>
        <v>#REF!</v>
      </c>
      <c r="T112" s="111" t="e">
        <f t="shared" si="9"/>
        <v>#REF!</v>
      </c>
    </row>
    <row r="113" spans="1:20" ht="37.5" x14ac:dyDescent="0.25">
      <c r="A113" s="4">
        <v>311</v>
      </c>
      <c r="B113" s="52">
        <v>37</v>
      </c>
      <c r="C113" s="52">
        <v>910</v>
      </c>
      <c r="D113" s="7">
        <v>70769</v>
      </c>
      <c r="E113" s="20"/>
      <c r="F113" s="112" t="s">
        <v>49</v>
      </c>
      <c r="G113" s="38"/>
      <c r="H113" s="68" t="e">
        <f>#REF!*COM!$H$4</f>
        <v>#REF!</v>
      </c>
      <c r="I113" s="68" t="e">
        <f>#REF!*COM!$H$4</f>
        <v>#REF!</v>
      </c>
      <c r="J113" s="68" t="e">
        <f>#REF!*COM!$J$4</f>
        <v>#REF!</v>
      </c>
      <c r="K113" s="68" t="e">
        <f>#REF!*COM!$J$4</f>
        <v>#REF!</v>
      </c>
      <c r="L113" s="68" t="e">
        <f>#REF!*COM!$L$4</f>
        <v>#REF!</v>
      </c>
      <c r="M113" s="68" t="e">
        <f>#REF!*COM!$L$4</f>
        <v>#REF!</v>
      </c>
      <c r="N113" s="68" t="e">
        <f>#REF!*COM!$N$4</f>
        <v>#REF!</v>
      </c>
      <c r="O113" s="68" t="e">
        <f>#REF!*COM!$N$4</f>
        <v>#REF!</v>
      </c>
      <c r="P113" s="68" t="e">
        <f>#REF!*COM!$P$4</f>
        <v>#REF!</v>
      </c>
      <c r="Q113" s="68" t="e">
        <f>#REF!*COM!$P$4</f>
        <v>#REF!</v>
      </c>
      <c r="R113" s="68" t="e">
        <f>#REF!*COM!$R$4</f>
        <v>#REF!</v>
      </c>
      <c r="S113" s="68" t="e">
        <f>#REF!*COM!$R$4</f>
        <v>#REF!</v>
      </c>
      <c r="T113" s="111" t="e">
        <f t="shared" si="9"/>
        <v>#REF!</v>
      </c>
    </row>
    <row r="114" spans="1:20" ht="37.5" x14ac:dyDescent="0.25">
      <c r="A114" s="4">
        <v>311</v>
      </c>
      <c r="B114" s="52">
        <v>37</v>
      </c>
      <c r="C114" s="52">
        <v>930</v>
      </c>
      <c r="D114" s="7">
        <v>70769</v>
      </c>
      <c r="E114" s="20" t="s">
        <v>169</v>
      </c>
      <c r="F114" s="112" t="s">
        <v>50</v>
      </c>
      <c r="G114" s="38"/>
      <c r="H114" s="68" t="e">
        <f>#REF!*COM!$H$4</f>
        <v>#REF!</v>
      </c>
      <c r="I114" s="68" t="e">
        <f>#REF!*COM!$H$4</f>
        <v>#REF!</v>
      </c>
      <c r="J114" s="68" t="e">
        <f>#REF!*COM!$J$4</f>
        <v>#REF!</v>
      </c>
      <c r="K114" s="68" t="e">
        <f>#REF!*COM!$J$4</f>
        <v>#REF!</v>
      </c>
      <c r="L114" s="68" t="e">
        <f>#REF!*COM!$L$4</f>
        <v>#REF!</v>
      </c>
      <c r="M114" s="68" t="e">
        <f>#REF!*COM!$L$4</f>
        <v>#REF!</v>
      </c>
      <c r="N114" s="68" t="e">
        <f>#REF!*COM!$N$4</f>
        <v>#REF!</v>
      </c>
      <c r="O114" s="68" t="e">
        <f>#REF!*COM!$N$4</f>
        <v>#REF!</v>
      </c>
      <c r="P114" s="68" t="e">
        <f>#REF!*COM!$P$4</f>
        <v>#REF!</v>
      </c>
      <c r="Q114" s="68" t="e">
        <f>#REF!*COM!$P$4</f>
        <v>#REF!</v>
      </c>
      <c r="R114" s="68" t="e">
        <f>#REF!*COM!$R$4</f>
        <v>#REF!</v>
      </c>
      <c r="S114" s="68" t="e">
        <f>#REF!*COM!$R$4</f>
        <v>#REF!</v>
      </c>
      <c r="T114" s="111" t="e">
        <f t="shared" si="9"/>
        <v>#REF!</v>
      </c>
    </row>
    <row r="115" spans="1:20" ht="54.75" customHeight="1" x14ac:dyDescent="0.25">
      <c r="A115" s="4">
        <v>311</v>
      </c>
      <c r="B115" s="52">
        <v>37</v>
      </c>
      <c r="C115" s="52">
        <v>910</v>
      </c>
      <c r="D115" s="7">
        <v>70769</v>
      </c>
      <c r="E115" s="7"/>
      <c r="F115" s="85" t="s">
        <v>51</v>
      </c>
      <c r="G115" s="133"/>
      <c r="H115" s="68" t="e">
        <f>#REF!*COM!$H$4</f>
        <v>#REF!</v>
      </c>
      <c r="I115" s="68" t="e">
        <f>#REF!*COM!$H$4</f>
        <v>#REF!</v>
      </c>
      <c r="J115" s="68" t="e">
        <f>#REF!*COM!$J$4</f>
        <v>#REF!</v>
      </c>
      <c r="K115" s="68" t="e">
        <f>#REF!*COM!$J$4</f>
        <v>#REF!</v>
      </c>
      <c r="L115" s="68" t="e">
        <f>#REF!*COM!$L$4</f>
        <v>#REF!</v>
      </c>
      <c r="M115" s="68" t="e">
        <f>#REF!*COM!$L$4</f>
        <v>#REF!</v>
      </c>
      <c r="N115" s="68" t="e">
        <f>#REF!*COM!$N$4</f>
        <v>#REF!</v>
      </c>
      <c r="O115" s="68" t="e">
        <f>#REF!*COM!$N$4</f>
        <v>#REF!</v>
      </c>
      <c r="P115" s="68" t="e">
        <f>#REF!*COM!$P$4</f>
        <v>#REF!</v>
      </c>
      <c r="Q115" s="68" t="e">
        <f>#REF!*COM!$P$4</f>
        <v>#REF!</v>
      </c>
      <c r="R115" s="68" t="e">
        <f>#REF!*COM!$R$4</f>
        <v>#REF!</v>
      </c>
      <c r="S115" s="68" t="e">
        <f>#REF!*COM!$R$4</f>
        <v>#REF!</v>
      </c>
      <c r="T115" s="111" t="e">
        <f t="shared" si="9"/>
        <v>#REF!</v>
      </c>
    </row>
    <row r="116" spans="1:20" ht="60.75" customHeight="1" x14ac:dyDescent="0.25">
      <c r="A116" s="4">
        <v>311</v>
      </c>
      <c r="B116" s="52">
        <v>37</v>
      </c>
      <c r="C116" s="52">
        <v>920</v>
      </c>
      <c r="D116" s="7">
        <v>70769</v>
      </c>
      <c r="E116" s="7" t="s">
        <v>173</v>
      </c>
      <c r="F116" s="85" t="s">
        <v>52</v>
      </c>
      <c r="G116" s="133" t="s">
        <v>333</v>
      </c>
      <c r="H116" s="68" t="e">
        <f>#REF!*COM!$H$4</f>
        <v>#REF!</v>
      </c>
      <c r="I116" s="68" t="e">
        <f>#REF!*COM!$H$4</f>
        <v>#REF!</v>
      </c>
      <c r="J116" s="68" t="e">
        <f>#REF!*COM!$J$4</f>
        <v>#REF!</v>
      </c>
      <c r="K116" s="68" t="e">
        <f>#REF!*COM!$J$4</f>
        <v>#REF!</v>
      </c>
      <c r="L116" s="68" t="e">
        <f>#REF!*COM!$L$4</f>
        <v>#REF!</v>
      </c>
      <c r="M116" s="68" t="e">
        <f>#REF!*COM!$L$4</f>
        <v>#REF!</v>
      </c>
      <c r="N116" s="68" t="e">
        <f>#REF!*COM!$N$4</f>
        <v>#REF!</v>
      </c>
      <c r="O116" s="68" t="e">
        <f>#REF!*COM!$N$4</f>
        <v>#REF!</v>
      </c>
      <c r="P116" s="68" t="e">
        <f>#REF!*COM!$P$4</f>
        <v>#REF!</v>
      </c>
      <c r="Q116" s="68" t="e">
        <f>#REF!*COM!$P$4</f>
        <v>#REF!</v>
      </c>
      <c r="R116" s="68" t="e">
        <f>#REF!*COM!$R$4</f>
        <v>#REF!</v>
      </c>
      <c r="S116" s="68" t="e">
        <f>#REF!*COM!$R$4</f>
        <v>#REF!</v>
      </c>
      <c r="T116" s="111" t="e">
        <f t="shared" si="9"/>
        <v>#REF!</v>
      </c>
    </row>
    <row r="117" spans="1:20" ht="57.75" customHeight="1" x14ac:dyDescent="0.25">
      <c r="A117" s="4">
        <v>311</v>
      </c>
      <c r="B117" s="52">
        <v>37</v>
      </c>
      <c r="C117" s="52">
        <v>930</v>
      </c>
      <c r="D117" s="7">
        <v>70769</v>
      </c>
      <c r="E117" s="7" t="s">
        <v>173</v>
      </c>
      <c r="F117" s="85" t="s">
        <v>53</v>
      </c>
      <c r="G117" s="133" t="s">
        <v>330</v>
      </c>
      <c r="H117" s="68" t="e">
        <f>#REF!*COM!$H$4</f>
        <v>#REF!</v>
      </c>
      <c r="I117" s="68" t="e">
        <f>#REF!*COM!$H$4</f>
        <v>#REF!</v>
      </c>
      <c r="J117" s="68" t="e">
        <f>#REF!*COM!$J$4</f>
        <v>#REF!</v>
      </c>
      <c r="K117" s="68" t="e">
        <f>#REF!*COM!$J$4</f>
        <v>#REF!</v>
      </c>
      <c r="L117" s="68" t="e">
        <f>#REF!*COM!$L$4</f>
        <v>#REF!</v>
      </c>
      <c r="M117" s="68" t="e">
        <f>#REF!*COM!$L$4</f>
        <v>#REF!</v>
      </c>
      <c r="N117" s="68" t="e">
        <f>#REF!*COM!$N$4</f>
        <v>#REF!</v>
      </c>
      <c r="O117" s="68" t="e">
        <f>#REF!*COM!$N$4</f>
        <v>#REF!</v>
      </c>
      <c r="P117" s="68" t="e">
        <f>#REF!*COM!$P$4</f>
        <v>#REF!</v>
      </c>
      <c r="Q117" s="68" t="e">
        <f>#REF!*COM!$P$4</f>
        <v>#REF!</v>
      </c>
      <c r="R117" s="68" t="e">
        <f>#REF!*COM!$R$4</f>
        <v>#REF!</v>
      </c>
      <c r="S117" s="68" t="e">
        <f>#REF!*COM!$R$4</f>
        <v>#REF!</v>
      </c>
      <c r="T117" s="111" t="e">
        <f t="shared" si="9"/>
        <v>#REF!</v>
      </c>
    </row>
    <row r="118" spans="1:20" ht="57.75" customHeight="1" x14ac:dyDescent="0.25">
      <c r="A118" s="4">
        <v>311</v>
      </c>
      <c r="B118" s="52">
        <v>37</v>
      </c>
      <c r="C118" s="52">
        <v>930</v>
      </c>
      <c r="D118" s="7">
        <v>70769</v>
      </c>
      <c r="E118" s="20" t="s">
        <v>172</v>
      </c>
      <c r="F118" s="144" t="s">
        <v>418</v>
      </c>
      <c r="G118" s="143"/>
      <c r="H118" s="68" t="e">
        <f>#REF!*COM!$H$4</f>
        <v>#REF!</v>
      </c>
      <c r="I118" s="68" t="e">
        <f>#REF!*COM!$H$4</f>
        <v>#REF!</v>
      </c>
      <c r="J118" s="68" t="e">
        <f>#REF!*COM!$J$4</f>
        <v>#REF!</v>
      </c>
      <c r="K118" s="68" t="e">
        <f>#REF!*COM!$J$4</f>
        <v>#REF!</v>
      </c>
      <c r="L118" s="68" t="e">
        <f>#REF!*COM!$L$4</f>
        <v>#REF!</v>
      </c>
      <c r="M118" s="68" t="e">
        <f>#REF!*COM!$L$4</f>
        <v>#REF!</v>
      </c>
      <c r="N118" s="68" t="e">
        <f>#REF!*COM!$N$4</f>
        <v>#REF!</v>
      </c>
      <c r="O118" s="68" t="e">
        <f>#REF!*COM!$N$4</f>
        <v>#REF!</v>
      </c>
      <c r="P118" s="68" t="e">
        <f>#REF!*COM!$P$4</f>
        <v>#REF!</v>
      </c>
      <c r="Q118" s="68" t="e">
        <f>#REF!*COM!$P$4</f>
        <v>#REF!</v>
      </c>
      <c r="R118" s="68" t="e">
        <f>#REF!*COM!$R$4</f>
        <v>#REF!</v>
      </c>
      <c r="S118" s="68" t="e">
        <f>#REF!*COM!$R$4</f>
        <v>#REF!</v>
      </c>
      <c r="T118" s="111" t="e">
        <f t="shared" si="9"/>
        <v>#REF!</v>
      </c>
    </row>
    <row r="119" spans="1:20" ht="39" customHeight="1" x14ac:dyDescent="0.25">
      <c r="A119" s="154">
        <v>311</v>
      </c>
      <c r="B119" s="155">
        <v>37</v>
      </c>
      <c r="C119" s="155">
        <v>930</v>
      </c>
      <c r="D119" s="156">
        <v>70769</v>
      </c>
      <c r="E119" s="157" t="s">
        <v>169</v>
      </c>
      <c r="F119" s="158" t="s">
        <v>411</v>
      </c>
      <c r="G119" s="42"/>
      <c r="H119" s="68" t="e">
        <f>#REF!*COM!$H$4</f>
        <v>#REF!</v>
      </c>
      <c r="I119" s="68" t="e">
        <f>#REF!*COM!$H$4</f>
        <v>#REF!</v>
      </c>
      <c r="J119" s="68" t="e">
        <f>#REF!*COM!$J$4</f>
        <v>#REF!</v>
      </c>
      <c r="K119" s="68" t="e">
        <f>#REF!*COM!$J$4</f>
        <v>#REF!</v>
      </c>
      <c r="L119" s="68" t="e">
        <f>#REF!*COM!$L$4</f>
        <v>#REF!</v>
      </c>
      <c r="M119" s="68" t="e">
        <f>#REF!*COM!$L$4</f>
        <v>#REF!</v>
      </c>
      <c r="N119" s="68" t="e">
        <f>#REF!*COM!$N$4</f>
        <v>#REF!</v>
      </c>
      <c r="O119" s="68" t="e">
        <f>#REF!*COM!$N$4</f>
        <v>#REF!</v>
      </c>
      <c r="P119" s="68" t="e">
        <f>#REF!*COM!$P$4</f>
        <v>#REF!</v>
      </c>
      <c r="Q119" s="68" t="e">
        <f>#REF!*COM!$P$4</f>
        <v>#REF!</v>
      </c>
      <c r="R119" s="68" t="e">
        <f>#REF!*COM!$R$4</f>
        <v>#REF!</v>
      </c>
      <c r="S119" s="68" t="e">
        <f>#REF!*COM!$R$4</f>
        <v>#REF!</v>
      </c>
      <c r="T119" s="111" t="e">
        <f t="shared" si="9"/>
        <v>#REF!</v>
      </c>
    </row>
    <row r="120" spans="1:20" ht="54" customHeight="1" x14ac:dyDescent="0.25">
      <c r="A120" s="154">
        <v>311</v>
      </c>
      <c r="B120" s="155">
        <v>37</v>
      </c>
      <c r="C120" s="155">
        <v>930</v>
      </c>
      <c r="D120" s="156">
        <v>70769</v>
      </c>
      <c r="E120" s="157" t="s">
        <v>169</v>
      </c>
      <c r="F120" s="158" t="s">
        <v>412</v>
      </c>
      <c r="G120" s="42"/>
      <c r="H120" s="68" t="e">
        <f>#REF!*COM!$H$4</f>
        <v>#REF!</v>
      </c>
      <c r="I120" s="68" t="e">
        <f>#REF!*COM!$H$4</f>
        <v>#REF!</v>
      </c>
      <c r="J120" s="68" t="e">
        <f>#REF!*COM!$J$4</f>
        <v>#REF!</v>
      </c>
      <c r="K120" s="68" t="e">
        <f>#REF!*COM!$J$4</f>
        <v>#REF!</v>
      </c>
      <c r="L120" s="68" t="e">
        <f>#REF!*COM!$L$4</f>
        <v>#REF!</v>
      </c>
      <c r="M120" s="68" t="e">
        <f>#REF!*COM!$L$4</f>
        <v>#REF!</v>
      </c>
      <c r="N120" s="68" t="e">
        <f>#REF!*COM!$N$4</f>
        <v>#REF!</v>
      </c>
      <c r="O120" s="68" t="e">
        <f>#REF!*COM!$N$4</f>
        <v>#REF!</v>
      </c>
      <c r="P120" s="68" t="e">
        <f>#REF!*COM!$P$4</f>
        <v>#REF!</v>
      </c>
      <c r="Q120" s="68" t="e">
        <f>#REF!*COM!$P$4</f>
        <v>#REF!</v>
      </c>
      <c r="R120" s="68" t="e">
        <f>#REF!*COM!$R$4</f>
        <v>#REF!</v>
      </c>
      <c r="S120" s="68" t="e">
        <f>#REF!*COM!$R$4</f>
        <v>#REF!</v>
      </c>
      <c r="T120" s="111" t="e">
        <f t="shared" si="9"/>
        <v>#REF!</v>
      </c>
    </row>
    <row r="121" spans="1:20" ht="40.5" customHeight="1" x14ac:dyDescent="0.25">
      <c r="A121" s="154">
        <v>311</v>
      </c>
      <c r="B121" s="155">
        <v>37</v>
      </c>
      <c r="C121" s="155">
        <v>930</v>
      </c>
      <c r="D121" s="156">
        <v>70769</v>
      </c>
      <c r="E121" s="157" t="s">
        <v>169</v>
      </c>
      <c r="F121" s="158" t="s">
        <v>413</v>
      </c>
      <c r="G121" s="42"/>
      <c r="H121" s="68" t="e">
        <f>#REF!*COM!$H$4</f>
        <v>#REF!</v>
      </c>
      <c r="I121" s="68" t="e">
        <f>#REF!*COM!$H$4</f>
        <v>#REF!</v>
      </c>
      <c r="J121" s="68" t="e">
        <f>#REF!*COM!$J$4</f>
        <v>#REF!</v>
      </c>
      <c r="K121" s="68" t="e">
        <f>#REF!*COM!$J$4</f>
        <v>#REF!</v>
      </c>
      <c r="L121" s="68" t="e">
        <f>#REF!*COM!$L$4</f>
        <v>#REF!</v>
      </c>
      <c r="M121" s="68" t="e">
        <f>#REF!*COM!$L$4</f>
        <v>#REF!</v>
      </c>
      <c r="N121" s="68" t="e">
        <f>#REF!*COM!$N$4</f>
        <v>#REF!</v>
      </c>
      <c r="O121" s="68" t="e">
        <f>#REF!*COM!$N$4</f>
        <v>#REF!</v>
      </c>
      <c r="P121" s="68" t="e">
        <f>#REF!*COM!$P$4</f>
        <v>#REF!</v>
      </c>
      <c r="Q121" s="68" t="e">
        <f>#REF!*COM!$P$4</f>
        <v>#REF!</v>
      </c>
      <c r="R121" s="68" t="e">
        <f>#REF!*COM!$R$4</f>
        <v>#REF!</v>
      </c>
      <c r="S121" s="68" t="e">
        <f>#REF!*COM!$R$4</f>
        <v>#REF!</v>
      </c>
      <c r="T121" s="111" t="e">
        <f t="shared" si="9"/>
        <v>#REF!</v>
      </c>
    </row>
    <row r="122" spans="1:20" ht="46.5" customHeight="1" x14ac:dyDescent="0.25">
      <c r="A122" s="154">
        <v>311</v>
      </c>
      <c r="B122" s="155">
        <v>37</v>
      </c>
      <c r="C122" s="155">
        <v>930</v>
      </c>
      <c r="D122" s="156">
        <v>70769</v>
      </c>
      <c r="E122" s="157" t="s">
        <v>172</v>
      </c>
      <c r="F122" s="158" t="s">
        <v>422</v>
      </c>
      <c r="G122" s="42"/>
      <c r="H122" s="68" t="e">
        <f>#REF!*COM!$H$4</f>
        <v>#REF!</v>
      </c>
      <c r="I122" s="68" t="e">
        <f>#REF!*COM!$H$4</f>
        <v>#REF!</v>
      </c>
      <c r="J122" s="68" t="e">
        <f>#REF!*COM!$J$4</f>
        <v>#REF!</v>
      </c>
      <c r="K122" s="68" t="e">
        <f>#REF!*COM!$J$4</f>
        <v>#REF!</v>
      </c>
      <c r="L122" s="68" t="e">
        <f>#REF!*COM!$L$4</f>
        <v>#REF!</v>
      </c>
      <c r="M122" s="68" t="e">
        <f>#REF!*COM!$L$4</f>
        <v>#REF!</v>
      </c>
      <c r="N122" s="68" t="e">
        <f>#REF!*COM!$N$4</f>
        <v>#REF!</v>
      </c>
      <c r="O122" s="68" t="e">
        <f>#REF!*COM!$N$4</f>
        <v>#REF!</v>
      </c>
      <c r="P122" s="68" t="e">
        <f>#REF!*COM!$P$4</f>
        <v>#REF!</v>
      </c>
      <c r="Q122" s="68" t="e">
        <f>#REF!*COM!$P$4</f>
        <v>#REF!</v>
      </c>
      <c r="R122" s="68" t="e">
        <f>#REF!*COM!$R$4</f>
        <v>#REF!</v>
      </c>
      <c r="S122" s="68" t="e">
        <f>#REF!*COM!$R$4</f>
        <v>#REF!</v>
      </c>
      <c r="T122" s="111" t="e">
        <f t="shared" si="9"/>
        <v>#REF!</v>
      </c>
    </row>
    <row r="123" spans="1:20" ht="18.75" customHeight="1" x14ac:dyDescent="0.25">
      <c r="A123" s="4"/>
      <c r="B123" s="52"/>
      <c r="C123" s="52"/>
      <c r="D123" s="7"/>
      <c r="E123" s="20"/>
      <c r="F123" s="42"/>
      <c r="G123" s="42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11">
        <f t="shared" si="9"/>
        <v>0</v>
      </c>
    </row>
    <row r="124" spans="1:20" ht="18.75" customHeight="1" x14ac:dyDescent="0.25">
      <c r="A124" s="4"/>
      <c r="B124" s="52"/>
      <c r="C124" s="52"/>
      <c r="D124" s="7"/>
      <c r="E124" s="20"/>
      <c r="F124" s="42"/>
      <c r="G124" s="42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11">
        <f t="shared" si="9"/>
        <v>0</v>
      </c>
    </row>
    <row r="125" spans="1:20" ht="18.75" customHeight="1" x14ac:dyDescent="0.25">
      <c r="A125" s="4"/>
      <c r="B125" s="52"/>
      <c r="C125" s="52"/>
      <c r="D125" s="7"/>
      <c r="E125" s="20"/>
      <c r="F125" s="42"/>
      <c r="G125" s="42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11">
        <f t="shared" si="9"/>
        <v>0</v>
      </c>
    </row>
    <row r="126" spans="1:20" ht="18.75" customHeight="1" x14ac:dyDescent="0.25">
      <c r="A126" s="4"/>
      <c r="B126" s="52"/>
      <c r="C126" s="52"/>
      <c r="D126" s="7"/>
      <c r="E126" s="20"/>
      <c r="F126" s="42"/>
      <c r="G126" s="42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11">
        <f t="shared" si="9"/>
        <v>0</v>
      </c>
    </row>
    <row r="127" spans="1:20" s="47" customFormat="1" ht="18.75" customHeight="1" x14ac:dyDescent="0.25">
      <c r="A127" s="56"/>
      <c r="B127" s="50"/>
      <c r="C127" s="50"/>
      <c r="D127" s="50"/>
      <c r="E127" s="54"/>
      <c r="F127" s="36" t="s">
        <v>54</v>
      </c>
      <c r="G127" s="36"/>
      <c r="H127" s="99" t="e">
        <f>H128</f>
        <v>#REF!</v>
      </c>
      <c r="I127" s="99" t="e">
        <f t="shared" ref="I127:S127" si="12">I128</f>
        <v>#REF!</v>
      </c>
      <c r="J127" s="99" t="e">
        <f t="shared" si="12"/>
        <v>#REF!</v>
      </c>
      <c r="K127" s="99" t="e">
        <f t="shared" si="12"/>
        <v>#REF!</v>
      </c>
      <c r="L127" s="99" t="e">
        <f t="shared" si="12"/>
        <v>#REF!</v>
      </c>
      <c r="M127" s="99" t="e">
        <f t="shared" si="12"/>
        <v>#REF!</v>
      </c>
      <c r="N127" s="99" t="e">
        <f t="shared" si="12"/>
        <v>#REF!</v>
      </c>
      <c r="O127" s="99" t="e">
        <f t="shared" si="12"/>
        <v>#REF!</v>
      </c>
      <c r="P127" s="99" t="e">
        <f t="shared" si="12"/>
        <v>#REF!</v>
      </c>
      <c r="Q127" s="99" t="e">
        <f t="shared" si="12"/>
        <v>#REF!</v>
      </c>
      <c r="R127" s="99" t="e">
        <f t="shared" si="12"/>
        <v>#REF!</v>
      </c>
      <c r="S127" s="99" t="e">
        <f t="shared" si="12"/>
        <v>#REF!</v>
      </c>
      <c r="T127" s="111" t="e">
        <f t="shared" si="9"/>
        <v>#REF!</v>
      </c>
    </row>
    <row r="128" spans="1:20" s="47" customFormat="1" ht="18.75" customHeight="1" x14ac:dyDescent="0.25">
      <c r="A128" s="57"/>
      <c r="B128" s="51"/>
      <c r="C128" s="51"/>
      <c r="D128" s="51"/>
      <c r="E128" s="55"/>
      <c r="F128" s="37" t="s">
        <v>6</v>
      </c>
      <c r="G128" s="37"/>
      <c r="H128" s="100" t="e">
        <f>SUM(H129:H135)</f>
        <v>#REF!</v>
      </c>
      <c r="I128" s="100" t="e">
        <f t="shared" ref="I128:S128" si="13">SUM(I129:I135)</f>
        <v>#REF!</v>
      </c>
      <c r="J128" s="100" t="e">
        <f t="shared" si="13"/>
        <v>#REF!</v>
      </c>
      <c r="K128" s="100" t="e">
        <f t="shared" si="13"/>
        <v>#REF!</v>
      </c>
      <c r="L128" s="100" t="e">
        <f t="shared" si="13"/>
        <v>#REF!</v>
      </c>
      <c r="M128" s="100" t="e">
        <f t="shared" si="13"/>
        <v>#REF!</v>
      </c>
      <c r="N128" s="100" t="e">
        <f t="shared" si="13"/>
        <v>#REF!</v>
      </c>
      <c r="O128" s="100" t="e">
        <f t="shared" si="13"/>
        <v>#REF!</v>
      </c>
      <c r="P128" s="100" t="e">
        <f t="shared" si="13"/>
        <v>#REF!</v>
      </c>
      <c r="Q128" s="100" t="e">
        <f t="shared" si="13"/>
        <v>#REF!</v>
      </c>
      <c r="R128" s="100" t="e">
        <f t="shared" si="13"/>
        <v>#REF!</v>
      </c>
      <c r="S128" s="100" t="e">
        <f t="shared" si="13"/>
        <v>#REF!</v>
      </c>
      <c r="T128" s="111" t="e">
        <f t="shared" si="9"/>
        <v>#REF!</v>
      </c>
    </row>
    <row r="129" spans="1:22" ht="37.5" customHeight="1" x14ac:dyDescent="0.25">
      <c r="A129" s="4">
        <v>311</v>
      </c>
      <c r="B129" s="52">
        <v>38</v>
      </c>
      <c r="C129" s="52">
        <v>930</v>
      </c>
      <c r="D129" s="7">
        <v>70499</v>
      </c>
      <c r="E129" s="20" t="s">
        <v>172</v>
      </c>
      <c r="F129" s="75" t="s">
        <v>55</v>
      </c>
      <c r="G129" s="131" t="s">
        <v>398</v>
      </c>
      <c r="H129" s="68" t="e">
        <f>#REF!*COM!$H$4</f>
        <v>#REF!</v>
      </c>
      <c r="I129" s="68" t="e">
        <f>#REF!*COM!$H$4</f>
        <v>#REF!</v>
      </c>
      <c r="J129" s="68" t="e">
        <f>#REF!*COM!$J$4</f>
        <v>#REF!</v>
      </c>
      <c r="K129" s="68" t="e">
        <f>#REF!*COM!$J$4</f>
        <v>#REF!</v>
      </c>
      <c r="L129" s="68" t="e">
        <f>#REF!*COM!$L$4</f>
        <v>#REF!</v>
      </c>
      <c r="M129" s="68" t="e">
        <f>#REF!*COM!$L$4</f>
        <v>#REF!</v>
      </c>
      <c r="N129" s="68" t="e">
        <f>#REF!*COM!$N$4</f>
        <v>#REF!</v>
      </c>
      <c r="O129" s="68" t="e">
        <f>#REF!*COM!$N$4</f>
        <v>#REF!</v>
      </c>
      <c r="P129" s="68" t="e">
        <f>#REF!*COM!$P$4</f>
        <v>#REF!</v>
      </c>
      <c r="Q129" s="68" t="e">
        <f>#REF!*COM!$P$4</f>
        <v>#REF!</v>
      </c>
      <c r="R129" s="68" t="e">
        <f>#REF!*COM!$R$4</f>
        <v>#REF!</v>
      </c>
      <c r="S129" s="68" t="e">
        <f>#REF!*COM!$R$4</f>
        <v>#REF!</v>
      </c>
      <c r="T129" s="111" t="e">
        <f t="shared" si="9"/>
        <v>#REF!</v>
      </c>
      <c r="V129" s="105" t="e">
        <f>T129+19492.2</f>
        <v>#REF!</v>
      </c>
    </row>
    <row r="130" spans="1:22" ht="37.5" customHeight="1" x14ac:dyDescent="0.25">
      <c r="A130" s="4">
        <v>311</v>
      </c>
      <c r="B130" s="52">
        <v>38</v>
      </c>
      <c r="C130" s="52">
        <v>920</v>
      </c>
      <c r="D130" s="7">
        <v>70499</v>
      </c>
      <c r="E130" s="20" t="s">
        <v>172</v>
      </c>
      <c r="F130" s="38" t="s">
        <v>56</v>
      </c>
      <c r="G130" s="38"/>
      <c r="H130" s="68" t="e">
        <f>#REF!*COM!$H$4</f>
        <v>#REF!</v>
      </c>
      <c r="I130" s="68" t="e">
        <f>#REF!*COM!$H$4</f>
        <v>#REF!</v>
      </c>
      <c r="J130" s="68" t="e">
        <f>#REF!*COM!$J$4</f>
        <v>#REF!</v>
      </c>
      <c r="K130" s="68" t="e">
        <f>#REF!*COM!$J$4</f>
        <v>#REF!</v>
      </c>
      <c r="L130" s="68" t="e">
        <f>#REF!*COM!$L$4</f>
        <v>#REF!</v>
      </c>
      <c r="M130" s="68" t="e">
        <f>#REF!*COM!$L$4</f>
        <v>#REF!</v>
      </c>
      <c r="N130" s="68" t="e">
        <f>#REF!*COM!$N$4</f>
        <v>#REF!</v>
      </c>
      <c r="O130" s="68" t="e">
        <f>#REF!*COM!$N$4</f>
        <v>#REF!</v>
      </c>
      <c r="P130" s="68" t="e">
        <f>#REF!*COM!$P$4</f>
        <v>#REF!</v>
      </c>
      <c r="Q130" s="68" t="e">
        <f>#REF!*COM!$P$4</f>
        <v>#REF!</v>
      </c>
      <c r="R130" s="68" t="e">
        <f>#REF!*COM!$R$4</f>
        <v>#REF!</v>
      </c>
      <c r="S130" s="68" t="e">
        <f>#REF!*COM!$R$4</f>
        <v>#REF!</v>
      </c>
      <c r="T130" s="111" t="e">
        <f t="shared" si="9"/>
        <v>#REF!</v>
      </c>
    </row>
    <row r="131" spans="1:22" ht="18.75" x14ac:dyDescent="0.25">
      <c r="A131" s="4"/>
      <c r="B131" s="52"/>
      <c r="C131" s="52"/>
      <c r="D131" s="7"/>
      <c r="E131" s="20"/>
      <c r="F131" s="38"/>
      <c r="G131" s="3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11">
        <f t="shared" si="9"/>
        <v>0</v>
      </c>
    </row>
    <row r="132" spans="1:22" ht="18.75" x14ac:dyDescent="0.25">
      <c r="A132" s="4"/>
      <c r="B132" s="52"/>
      <c r="C132" s="52"/>
      <c r="D132" s="7"/>
      <c r="E132" s="20"/>
      <c r="F132" s="38"/>
      <c r="G132" s="3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11">
        <f t="shared" si="9"/>
        <v>0</v>
      </c>
    </row>
    <row r="133" spans="1:22" ht="18.75" x14ac:dyDescent="0.25">
      <c r="A133" s="4"/>
      <c r="B133" s="52"/>
      <c r="C133" s="52"/>
      <c r="D133" s="7"/>
      <c r="E133" s="20"/>
      <c r="F133" s="38"/>
      <c r="G133" s="3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11">
        <f t="shared" si="9"/>
        <v>0</v>
      </c>
    </row>
    <row r="134" spans="1:22" ht="18.75" x14ac:dyDescent="0.25">
      <c r="A134" s="4"/>
      <c r="B134" s="52"/>
      <c r="C134" s="52"/>
      <c r="D134" s="7"/>
      <c r="E134" s="20"/>
      <c r="F134" s="38"/>
      <c r="G134" s="3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11">
        <f t="shared" si="9"/>
        <v>0</v>
      </c>
    </row>
    <row r="135" spans="1:22" ht="18.75" x14ac:dyDescent="0.25">
      <c r="A135" s="4"/>
      <c r="B135" s="52"/>
      <c r="C135" s="52"/>
      <c r="D135" s="7"/>
      <c r="E135" s="20"/>
      <c r="F135" s="38"/>
      <c r="G135" s="3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11">
        <f t="shared" si="9"/>
        <v>0</v>
      </c>
    </row>
    <row r="136" spans="1:22" s="47" customFormat="1" ht="37.5" x14ac:dyDescent="0.25">
      <c r="A136" s="56"/>
      <c r="B136" s="50"/>
      <c r="C136" s="50"/>
      <c r="D136" s="50"/>
      <c r="E136" s="54"/>
      <c r="F136" s="40" t="s">
        <v>266</v>
      </c>
      <c r="G136" s="36"/>
      <c r="H136" s="99" t="e">
        <f>H137</f>
        <v>#REF!</v>
      </c>
      <c r="I136" s="99" t="e">
        <f t="shared" ref="I136:S136" si="14">I137</f>
        <v>#REF!</v>
      </c>
      <c r="J136" s="99" t="e">
        <f t="shared" si="14"/>
        <v>#REF!</v>
      </c>
      <c r="K136" s="99" t="e">
        <f t="shared" si="14"/>
        <v>#REF!</v>
      </c>
      <c r="L136" s="99" t="e">
        <f t="shared" si="14"/>
        <v>#REF!</v>
      </c>
      <c r="M136" s="99" t="e">
        <f t="shared" si="14"/>
        <v>#REF!</v>
      </c>
      <c r="N136" s="99" t="e">
        <f t="shared" si="14"/>
        <v>#REF!</v>
      </c>
      <c r="O136" s="99" t="e">
        <f t="shared" si="14"/>
        <v>#REF!</v>
      </c>
      <c r="P136" s="99" t="e">
        <f t="shared" si="14"/>
        <v>#REF!</v>
      </c>
      <c r="Q136" s="99" t="e">
        <f t="shared" si="14"/>
        <v>#REF!</v>
      </c>
      <c r="R136" s="99" t="e">
        <f t="shared" si="14"/>
        <v>#REF!</v>
      </c>
      <c r="S136" s="99" t="e">
        <f t="shared" si="14"/>
        <v>#REF!</v>
      </c>
      <c r="T136" s="111" t="e">
        <f t="shared" si="9"/>
        <v>#REF!</v>
      </c>
    </row>
    <row r="137" spans="1:22" s="47" customFormat="1" ht="18.75" x14ac:dyDescent="0.25">
      <c r="A137" s="57"/>
      <c r="B137" s="51"/>
      <c r="C137" s="51"/>
      <c r="D137" s="51"/>
      <c r="E137" s="55"/>
      <c r="F137" s="37" t="s">
        <v>6</v>
      </c>
      <c r="G137" s="37"/>
      <c r="H137" s="100" t="e">
        <f>SUM(H138:H159)</f>
        <v>#REF!</v>
      </c>
      <c r="I137" s="100" t="e">
        <f t="shared" ref="I137:S137" si="15">SUM(I138:I159)</f>
        <v>#REF!</v>
      </c>
      <c r="J137" s="100" t="e">
        <f t="shared" si="15"/>
        <v>#REF!</v>
      </c>
      <c r="K137" s="100" t="e">
        <f t="shared" si="15"/>
        <v>#REF!</v>
      </c>
      <c r="L137" s="100" t="e">
        <f t="shared" si="15"/>
        <v>#REF!</v>
      </c>
      <c r="M137" s="100" t="e">
        <f t="shared" si="15"/>
        <v>#REF!</v>
      </c>
      <c r="N137" s="100" t="e">
        <f t="shared" si="15"/>
        <v>#REF!</v>
      </c>
      <c r="O137" s="100" t="e">
        <f t="shared" si="15"/>
        <v>#REF!</v>
      </c>
      <c r="P137" s="100" t="e">
        <f t="shared" si="15"/>
        <v>#REF!</v>
      </c>
      <c r="Q137" s="100" t="e">
        <f>SUM(Q138:Q159)</f>
        <v>#REF!</v>
      </c>
      <c r="R137" s="100" t="e">
        <f t="shared" si="15"/>
        <v>#REF!</v>
      </c>
      <c r="S137" s="100" t="e">
        <f t="shared" si="15"/>
        <v>#REF!</v>
      </c>
      <c r="T137" s="111" t="e">
        <f t="shared" si="9"/>
        <v>#REF!</v>
      </c>
    </row>
    <row r="138" spans="1:22" ht="37.5" x14ac:dyDescent="0.25">
      <c r="A138" s="88">
        <v>311</v>
      </c>
      <c r="B138" s="89">
        <v>41</v>
      </c>
      <c r="C138" s="89">
        <v>920</v>
      </c>
      <c r="D138" s="90">
        <v>70499</v>
      </c>
      <c r="E138" s="91" t="s">
        <v>172</v>
      </c>
      <c r="F138" s="92" t="s">
        <v>8</v>
      </c>
      <c r="G138" s="92"/>
      <c r="H138" s="68" t="e">
        <f>#REF!*COM!$H$4</f>
        <v>#REF!</v>
      </c>
      <c r="I138" s="68" t="e">
        <f>#REF!*COM!$H$4</f>
        <v>#REF!</v>
      </c>
      <c r="J138" s="68" t="e">
        <f>#REF!*COM!$J$4</f>
        <v>#REF!</v>
      </c>
      <c r="K138" s="68" t="e">
        <f>#REF!*COM!$J$4</f>
        <v>#REF!</v>
      </c>
      <c r="L138" s="68" t="e">
        <f>#REF!*COM!$L$4</f>
        <v>#REF!</v>
      </c>
      <c r="M138" s="68" t="e">
        <f>#REF!*COM!$L$4</f>
        <v>#REF!</v>
      </c>
      <c r="N138" s="68" t="e">
        <f>#REF!*COM!$N$4</f>
        <v>#REF!</v>
      </c>
      <c r="O138" s="68" t="e">
        <f>#REF!*COM!$N$4</f>
        <v>#REF!</v>
      </c>
      <c r="P138" s="68" t="e">
        <f>#REF!*COM!$P$4</f>
        <v>#REF!</v>
      </c>
      <c r="Q138" s="68" t="e">
        <f>#REF!*COM!$P$4</f>
        <v>#REF!</v>
      </c>
      <c r="R138" s="68" t="e">
        <f>#REF!*COM!$R$4</f>
        <v>#REF!</v>
      </c>
      <c r="S138" s="68" t="e">
        <f>#REF!*COM!$R$4</f>
        <v>#REF!</v>
      </c>
      <c r="T138" s="111" t="e">
        <f t="shared" si="9"/>
        <v>#REF!</v>
      </c>
    </row>
    <row r="139" spans="1:22" ht="37.5" x14ac:dyDescent="0.25">
      <c r="A139" s="88">
        <v>321</v>
      </c>
      <c r="B139" s="89">
        <v>41</v>
      </c>
      <c r="C139" s="89">
        <v>920</v>
      </c>
      <c r="D139" s="90">
        <v>70499</v>
      </c>
      <c r="E139" s="91" t="s">
        <v>172</v>
      </c>
      <c r="F139" s="92" t="s">
        <v>8</v>
      </c>
      <c r="G139" s="92"/>
      <c r="H139" s="68" t="e">
        <f>#REF!*COM!$H$4</f>
        <v>#REF!</v>
      </c>
      <c r="I139" s="68" t="e">
        <f>#REF!*COM!$H$4</f>
        <v>#REF!</v>
      </c>
      <c r="J139" s="68" t="e">
        <f>#REF!*COM!$J$4</f>
        <v>#REF!</v>
      </c>
      <c r="K139" s="68" t="e">
        <f>#REF!*COM!$J$4</f>
        <v>#REF!</v>
      </c>
      <c r="L139" s="68" t="e">
        <f>#REF!*COM!$L$4</f>
        <v>#REF!</v>
      </c>
      <c r="M139" s="68" t="e">
        <f>#REF!*COM!$L$4</f>
        <v>#REF!</v>
      </c>
      <c r="N139" s="68" t="e">
        <f>#REF!*COM!$N$4</f>
        <v>#REF!</v>
      </c>
      <c r="O139" s="68" t="e">
        <f>#REF!*COM!$N$4</f>
        <v>#REF!</v>
      </c>
      <c r="P139" s="68" t="e">
        <f>#REF!*COM!$P$4</f>
        <v>#REF!</v>
      </c>
      <c r="Q139" s="68" t="e">
        <f>#REF!*COM!$P$4</f>
        <v>#REF!</v>
      </c>
      <c r="R139" s="68" t="e">
        <f>#REF!*COM!$R$4</f>
        <v>#REF!</v>
      </c>
      <c r="S139" s="68" t="e">
        <f>#REF!*COM!$R$4</f>
        <v>#REF!</v>
      </c>
      <c r="T139" s="111" t="e">
        <f t="shared" si="9"/>
        <v>#REF!</v>
      </c>
    </row>
    <row r="140" spans="1:22" ht="37.5" x14ac:dyDescent="0.25">
      <c r="A140" s="88">
        <v>311</v>
      </c>
      <c r="B140" s="89">
        <v>41</v>
      </c>
      <c r="C140" s="89">
        <v>930</v>
      </c>
      <c r="D140" s="90">
        <v>70499</v>
      </c>
      <c r="E140" s="91" t="s">
        <v>172</v>
      </c>
      <c r="F140" s="92" t="s">
        <v>9</v>
      </c>
      <c r="G140" s="228" t="s">
        <v>354</v>
      </c>
      <c r="H140" s="68" t="e">
        <f>#REF!*COM!$H$4</f>
        <v>#REF!</v>
      </c>
      <c r="I140" s="68" t="e">
        <f>#REF!*COM!$H$4</f>
        <v>#REF!</v>
      </c>
      <c r="J140" s="68" t="e">
        <f>#REF!*COM!$J$4</f>
        <v>#REF!</v>
      </c>
      <c r="K140" s="68" t="e">
        <f>#REF!*COM!$J$4</f>
        <v>#REF!</v>
      </c>
      <c r="L140" s="68" t="e">
        <f>#REF!*COM!$L$4</f>
        <v>#REF!</v>
      </c>
      <c r="M140" s="68" t="e">
        <f>#REF!*COM!$L$4</f>
        <v>#REF!</v>
      </c>
      <c r="N140" s="68" t="e">
        <f>#REF!*COM!$N$4</f>
        <v>#REF!</v>
      </c>
      <c r="O140" s="68" t="e">
        <f>#REF!*COM!$N$4</f>
        <v>#REF!</v>
      </c>
      <c r="P140" s="68" t="e">
        <f>#REF!*COM!$P$4</f>
        <v>#REF!</v>
      </c>
      <c r="Q140" s="68" t="e">
        <f>#REF!*COM!$P$4</f>
        <v>#REF!</v>
      </c>
      <c r="R140" s="68" t="e">
        <f>#REF!*COM!$R$4</f>
        <v>#REF!</v>
      </c>
      <c r="S140" s="68" t="e">
        <f>#REF!*COM!$R$4</f>
        <v>#REF!</v>
      </c>
      <c r="T140" s="111" t="e">
        <f t="shared" si="9"/>
        <v>#REF!</v>
      </c>
    </row>
    <row r="141" spans="1:22" ht="37.5" x14ac:dyDescent="0.25">
      <c r="A141" s="88">
        <v>321</v>
      </c>
      <c r="B141" s="89">
        <v>41</v>
      </c>
      <c r="C141" s="89">
        <v>930</v>
      </c>
      <c r="D141" s="90">
        <v>70499</v>
      </c>
      <c r="E141" s="91" t="s">
        <v>172</v>
      </c>
      <c r="F141" s="92" t="s">
        <v>9</v>
      </c>
      <c r="G141" s="229"/>
      <c r="H141" s="68" t="e">
        <f>#REF!*COM!$H$4</f>
        <v>#REF!</v>
      </c>
      <c r="I141" s="68" t="e">
        <f>#REF!*COM!$H$4</f>
        <v>#REF!</v>
      </c>
      <c r="J141" s="68" t="e">
        <f>#REF!*COM!$J$4</f>
        <v>#REF!</v>
      </c>
      <c r="K141" s="68" t="e">
        <f>#REF!*COM!$J$4</f>
        <v>#REF!</v>
      </c>
      <c r="L141" s="68" t="e">
        <f>#REF!*COM!$L$4</f>
        <v>#REF!</v>
      </c>
      <c r="M141" s="68" t="e">
        <f>#REF!*COM!$L$4</f>
        <v>#REF!</v>
      </c>
      <c r="N141" s="68" t="e">
        <f>#REF!*COM!$N$4</f>
        <v>#REF!</v>
      </c>
      <c r="O141" s="68" t="e">
        <f>#REF!*COM!$N$4</f>
        <v>#REF!</v>
      </c>
      <c r="P141" s="68" t="e">
        <f>#REF!*COM!$P$4</f>
        <v>#REF!</v>
      </c>
      <c r="Q141" s="68" t="e">
        <f>#REF!*COM!$P$4</f>
        <v>#REF!</v>
      </c>
      <c r="R141" s="68" t="e">
        <f>#REF!*COM!$R$4</f>
        <v>#REF!</v>
      </c>
      <c r="S141" s="68" t="e">
        <f>#REF!*COM!$R$4</f>
        <v>#REF!</v>
      </c>
      <c r="T141" s="111" t="e">
        <f t="shared" si="9"/>
        <v>#REF!</v>
      </c>
    </row>
    <row r="142" spans="1:22" ht="37.5" x14ac:dyDescent="0.25">
      <c r="A142" s="4">
        <v>311</v>
      </c>
      <c r="B142" s="52">
        <v>41</v>
      </c>
      <c r="C142" s="52">
        <v>920</v>
      </c>
      <c r="D142" s="7">
        <v>70499</v>
      </c>
      <c r="E142" s="20" t="s">
        <v>166</v>
      </c>
      <c r="F142" s="112" t="s">
        <v>57</v>
      </c>
      <c r="G142" s="38"/>
      <c r="H142" s="68" t="e">
        <f>#REF!*COM!$H$4</f>
        <v>#REF!</v>
      </c>
      <c r="I142" s="68" t="e">
        <f>#REF!*COM!$H$4</f>
        <v>#REF!</v>
      </c>
      <c r="J142" s="68" t="e">
        <f>#REF!*COM!$J$4</f>
        <v>#REF!</v>
      </c>
      <c r="K142" s="68" t="e">
        <f>#REF!*COM!$J$4</f>
        <v>#REF!</v>
      </c>
      <c r="L142" s="68" t="e">
        <f>#REF!*COM!$L$4</f>
        <v>#REF!</v>
      </c>
      <c r="M142" s="68" t="e">
        <f>#REF!*COM!$L$4</f>
        <v>#REF!</v>
      </c>
      <c r="N142" s="68" t="e">
        <f>#REF!*COM!$N$4</f>
        <v>#REF!</v>
      </c>
      <c r="O142" s="68" t="e">
        <f>#REF!*COM!$N$4</f>
        <v>#REF!</v>
      </c>
      <c r="P142" s="68" t="e">
        <f>#REF!*COM!$P$4</f>
        <v>#REF!</v>
      </c>
      <c r="Q142" s="68" t="e">
        <f>#REF!*COM!$P$4</f>
        <v>#REF!</v>
      </c>
      <c r="R142" s="68" t="e">
        <f>#REF!*COM!$R$4</f>
        <v>#REF!</v>
      </c>
      <c r="S142" s="68" t="e">
        <f>#REF!*COM!$R$4</f>
        <v>#REF!</v>
      </c>
      <c r="T142" s="111" t="e">
        <f t="shared" si="9"/>
        <v>#REF!</v>
      </c>
    </row>
    <row r="143" spans="1:22" ht="37.5" x14ac:dyDescent="0.25">
      <c r="A143" s="88">
        <v>311</v>
      </c>
      <c r="B143" s="89">
        <v>41</v>
      </c>
      <c r="C143" s="89">
        <v>910</v>
      </c>
      <c r="D143" s="90">
        <v>70499</v>
      </c>
      <c r="E143" s="91"/>
      <c r="F143" s="92" t="s">
        <v>160</v>
      </c>
      <c r="G143" s="92"/>
      <c r="H143" s="68" t="e">
        <f>#REF!*COM!$H$4</f>
        <v>#REF!</v>
      </c>
      <c r="I143" s="68" t="e">
        <f>#REF!*COM!$H$4</f>
        <v>#REF!</v>
      </c>
      <c r="J143" s="68" t="e">
        <f>#REF!*COM!$J$4</f>
        <v>#REF!</v>
      </c>
      <c r="K143" s="68" t="e">
        <f>#REF!*COM!$J$4</f>
        <v>#REF!</v>
      </c>
      <c r="L143" s="68" t="e">
        <f>#REF!*COM!$L$4</f>
        <v>#REF!</v>
      </c>
      <c r="M143" s="68" t="e">
        <f>#REF!*COM!$L$4</f>
        <v>#REF!</v>
      </c>
      <c r="N143" s="68" t="e">
        <f>#REF!*COM!$N$4</f>
        <v>#REF!</v>
      </c>
      <c r="O143" s="68" t="e">
        <f>#REF!*COM!$N$4</f>
        <v>#REF!</v>
      </c>
      <c r="P143" s="68" t="e">
        <f>#REF!*COM!$P$4</f>
        <v>#REF!</v>
      </c>
      <c r="Q143" s="68" t="e">
        <f>#REF!*COM!$P$4</f>
        <v>#REF!</v>
      </c>
      <c r="R143" s="68" t="e">
        <f>#REF!*COM!$R$4</f>
        <v>#REF!</v>
      </c>
      <c r="S143" s="68" t="e">
        <f>#REF!*COM!$R$4</f>
        <v>#REF!</v>
      </c>
      <c r="T143" s="111" t="e">
        <f t="shared" si="9"/>
        <v>#REF!</v>
      </c>
    </row>
    <row r="144" spans="1:22" ht="37.5" x14ac:dyDescent="0.25">
      <c r="A144" s="88">
        <v>311</v>
      </c>
      <c r="B144" s="89">
        <v>41</v>
      </c>
      <c r="C144" s="89">
        <v>920</v>
      </c>
      <c r="D144" s="90">
        <v>70499</v>
      </c>
      <c r="E144" s="91" t="s">
        <v>173</v>
      </c>
      <c r="F144" s="112" t="s">
        <v>161</v>
      </c>
      <c r="G144" s="92"/>
      <c r="H144" s="68" t="e">
        <f>#REF!*COM!$H$4</f>
        <v>#REF!</v>
      </c>
      <c r="I144" s="68" t="e">
        <f>#REF!*COM!$H$4</f>
        <v>#REF!</v>
      </c>
      <c r="J144" s="68" t="e">
        <f>#REF!*COM!$J$4</f>
        <v>#REF!</v>
      </c>
      <c r="K144" s="68" t="e">
        <f>#REF!*COM!$J$4</f>
        <v>#REF!</v>
      </c>
      <c r="L144" s="68" t="e">
        <f>#REF!*COM!$L$4</f>
        <v>#REF!</v>
      </c>
      <c r="M144" s="68" t="e">
        <f>#REF!*COM!$L$4</f>
        <v>#REF!</v>
      </c>
      <c r="N144" s="68" t="e">
        <f>#REF!*COM!$N$4</f>
        <v>#REF!</v>
      </c>
      <c r="O144" s="68" t="e">
        <f>#REF!*COM!$N$4</f>
        <v>#REF!</v>
      </c>
      <c r="P144" s="68" t="e">
        <f>#REF!*COM!$P$4</f>
        <v>#REF!</v>
      </c>
      <c r="Q144" s="68" t="e">
        <f>#REF!*COM!$P$4</f>
        <v>#REF!</v>
      </c>
      <c r="R144" s="68" t="e">
        <f>#REF!*COM!$R$4</f>
        <v>#REF!</v>
      </c>
      <c r="S144" s="68" t="e">
        <f>#REF!*COM!$R$4</f>
        <v>#REF!</v>
      </c>
      <c r="T144" s="113" t="e">
        <f t="shared" si="9"/>
        <v>#REF!</v>
      </c>
      <c r="U144" s="105" t="e">
        <f>4000-T144</f>
        <v>#REF!</v>
      </c>
    </row>
    <row r="145" spans="1:20" ht="37.5" x14ac:dyDescent="0.25">
      <c r="A145" s="88">
        <v>321</v>
      </c>
      <c r="B145" s="89">
        <v>41</v>
      </c>
      <c r="C145" s="89">
        <v>920</v>
      </c>
      <c r="D145" s="90">
        <v>70499</v>
      </c>
      <c r="E145" s="91" t="s">
        <v>173</v>
      </c>
      <c r="F145" s="112" t="s">
        <v>161</v>
      </c>
      <c r="G145" s="92"/>
      <c r="H145" s="68" t="e">
        <f>#REF!*COM!$H$4</f>
        <v>#REF!</v>
      </c>
      <c r="I145" s="68" t="e">
        <f>#REF!*COM!$H$4</f>
        <v>#REF!</v>
      </c>
      <c r="J145" s="68" t="e">
        <f>#REF!*COM!$J$4</f>
        <v>#REF!</v>
      </c>
      <c r="K145" s="68" t="e">
        <f>#REF!*COM!$J$4</f>
        <v>#REF!</v>
      </c>
      <c r="L145" s="68" t="e">
        <f>#REF!*COM!$L$4</f>
        <v>#REF!</v>
      </c>
      <c r="M145" s="68" t="e">
        <f>#REF!*COM!$L$4</f>
        <v>#REF!</v>
      </c>
      <c r="N145" s="68" t="e">
        <f>#REF!*COM!$N$4</f>
        <v>#REF!</v>
      </c>
      <c r="O145" s="68" t="e">
        <f>#REF!*COM!$N$4</f>
        <v>#REF!</v>
      </c>
      <c r="P145" s="68" t="e">
        <f>#REF!*COM!$P$4</f>
        <v>#REF!</v>
      </c>
      <c r="Q145" s="68" t="e">
        <f>#REF!*COM!$P$4</f>
        <v>#REF!</v>
      </c>
      <c r="R145" s="68" t="e">
        <f>#REF!*COM!$R$4</f>
        <v>#REF!</v>
      </c>
      <c r="S145" s="68" t="e">
        <f>#REF!*COM!$R$4</f>
        <v>#REF!</v>
      </c>
      <c r="T145" s="113" t="e">
        <f t="shared" si="9"/>
        <v>#REF!</v>
      </c>
    </row>
    <row r="146" spans="1:20" ht="37.5" x14ac:dyDescent="0.25">
      <c r="A146" s="88">
        <v>321</v>
      </c>
      <c r="B146" s="89">
        <v>41</v>
      </c>
      <c r="C146" s="89">
        <v>930</v>
      </c>
      <c r="D146" s="90">
        <v>70499</v>
      </c>
      <c r="E146" s="91" t="s">
        <v>173</v>
      </c>
      <c r="F146" s="112" t="s">
        <v>162</v>
      </c>
      <c r="G146" s="148" t="s">
        <v>394</v>
      </c>
      <c r="H146" s="68" t="e">
        <f>#REF!*COM!$H$4</f>
        <v>#REF!</v>
      </c>
      <c r="I146" s="68" t="e">
        <f>#REF!*COM!$H$4</f>
        <v>#REF!</v>
      </c>
      <c r="J146" s="68" t="e">
        <f>#REF!*COM!$J$4</f>
        <v>#REF!</v>
      </c>
      <c r="K146" s="68" t="e">
        <f>#REF!*COM!$J$4</f>
        <v>#REF!</v>
      </c>
      <c r="L146" s="68" t="e">
        <f>#REF!*COM!$L$4</f>
        <v>#REF!</v>
      </c>
      <c r="M146" s="68" t="e">
        <f>#REF!*COM!$L$4</f>
        <v>#REF!</v>
      </c>
      <c r="N146" s="68" t="e">
        <f>#REF!*COM!$N$4</f>
        <v>#REF!</v>
      </c>
      <c r="O146" s="68" t="e">
        <f>#REF!*COM!$N$4</f>
        <v>#REF!</v>
      </c>
      <c r="P146" s="68" t="e">
        <f>#REF!*COM!$P$4</f>
        <v>#REF!</v>
      </c>
      <c r="Q146" s="68" t="e">
        <f>#REF!*COM!$P$4</f>
        <v>#REF!</v>
      </c>
      <c r="R146" s="68" t="e">
        <f>#REF!*COM!$R$4</f>
        <v>#REF!</v>
      </c>
      <c r="S146" s="68" t="e">
        <f>#REF!*COM!$R$4</f>
        <v>#REF!</v>
      </c>
      <c r="T146" s="113" t="e">
        <f t="shared" si="9"/>
        <v>#REF!</v>
      </c>
    </row>
    <row r="147" spans="1:20" ht="37.5" customHeight="1" x14ac:dyDescent="0.25">
      <c r="A147" s="88">
        <v>311</v>
      </c>
      <c r="B147" s="89">
        <v>41</v>
      </c>
      <c r="C147" s="89">
        <v>920</v>
      </c>
      <c r="D147" s="90">
        <v>70499</v>
      </c>
      <c r="E147" s="122" t="s">
        <v>172</v>
      </c>
      <c r="F147" s="92" t="s">
        <v>379</v>
      </c>
      <c r="G147" s="130"/>
      <c r="H147" s="68" t="e">
        <f>#REF!*COM!$H$4</f>
        <v>#REF!</v>
      </c>
      <c r="I147" s="68" t="e">
        <f>#REF!*COM!$H$4</f>
        <v>#REF!</v>
      </c>
      <c r="J147" s="68" t="e">
        <f>#REF!*COM!$J$4</f>
        <v>#REF!</v>
      </c>
      <c r="K147" s="68" t="e">
        <f>#REF!*COM!$J$4</f>
        <v>#REF!</v>
      </c>
      <c r="L147" s="68" t="e">
        <f>#REF!*COM!$L$4</f>
        <v>#REF!</v>
      </c>
      <c r="M147" s="68" t="e">
        <f>#REF!*COM!$L$4</f>
        <v>#REF!</v>
      </c>
      <c r="N147" s="68" t="e">
        <f>#REF!*COM!$N$4</f>
        <v>#REF!</v>
      </c>
      <c r="O147" s="68" t="e">
        <f>#REF!*COM!$N$4</f>
        <v>#REF!</v>
      </c>
      <c r="P147" s="68" t="e">
        <f>#REF!*COM!$P$4</f>
        <v>#REF!</v>
      </c>
      <c r="Q147" s="68" t="e">
        <f>#REF!*COM!$P$4</f>
        <v>#REF!</v>
      </c>
      <c r="R147" s="68" t="e">
        <f>#REF!*COM!$R$4</f>
        <v>#REF!</v>
      </c>
      <c r="S147" s="68" t="e">
        <f>#REF!*COM!$R$4</f>
        <v>#REF!</v>
      </c>
      <c r="T147" s="113" t="e">
        <f t="shared" si="9"/>
        <v>#REF!</v>
      </c>
    </row>
    <row r="148" spans="1:20" ht="45.75" customHeight="1" x14ac:dyDescent="0.25">
      <c r="A148" s="88">
        <v>311</v>
      </c>
      <c r="B148" s="89">
        <v>41</v>
      </c>
      <c r="C148" s="89">
        <v>930</v>
      </c>
      <c r="D148" s="90">
        <v>70499</v>
      </c>
      <c r="E148" s="122" t="s">
        <v>172</v>
      </c>
      <c r="F148" s="92" t="s">
        <v>359</v>
      </c>
      <c r="G148" s="126" t="s">
        <v>356</v>
      </c>
      <c r="H148" s="68" t="e">
        <f>#REF!*COM!$H$4</f>
        <v>#REF!</v>
      </c>
      <c r="I148" s="68" t="e">
        <f>#REF!*COM!$H$4</f>
        <v>#REF!</v>
      </c>
      <c r="J148" s="68" t="e">
        <f>#REF!*COM!$J$4</f>
        <v>#REF!</v>
      </c>
      <c r="K148" s="68" t="e">
        <f>#REF!*COM!$J$4</f>
        <v>#REF!</v>
      </c>
      <c r="L148" s="68" t="e">
        <f>#REF!*COM!$L$4</f>
        <v>#REF!</v>
      </c>
      <c r="M148" s="68" t="e">
        <f>#REF!*COM!$L$4</f>
        <v>#REF!</v>
      </c>
      <c r="N148" s="68" t="e">
        <f>#REF!*COM!$N$4</f>
        <v>#REF!</v>
      </c>
      <c r="O148" s="68" t="e">
        <f>#REF!*COM!$N$4</f>
        <v>#REF!</v>
      </c>
      <c r="P148" s="68" t="e">
        <f>#REF!*COM!$P$4</f>
        <v>#REF!</v>
      </c>
      <c r="Q148" s="68" t="e">
        <f>#REF!*COM!$P$4</f>
        <v>#REF!</v>
      </c>
      <c r="R148" s="68" t="e">
        <f>#REF!*COM!$R$4</f>
        <v>#REF!</v>
      </c>
      <c r="S148" s="68" t="e">
        <f>#REF!*COM!$R$4</f>
        <v>#REF!</v>
      </c>
      <c r="T148" s="111" t="e">
        <f t="shared" ref="T148:T211" si="16">I148+K148+M148+O148+Q148+S148</f>
        <v>#REF!</v>
      </c>
    </row>
    <row r="149" spans="1:20" ht="45.75" customHeight="1" x14ac:dyDescent="0.25">
      <c r="A149" s="114">
        <v>311</v>
      </c>
      <c r="B149" s="115">
        <v>41</v>
      </c>
      <c r="C149" s="115">
        <v>910</v>
      </c>
      <c r="D149" s="116">
        <v>70499</v>
      </c>
      <c r="E149" s="123"/>
      <c r="F149" s="112" t="s">
        <v>373</v>
      </c>
      <c r="G149" s="73"/>
      <c r="H149" s="68" t="e">
        <f>#REF!*COM!$H$4</f>
        <v>#REF!</v>
      </c>
      <c r="I149" s="68" t="e">
        <f>#REF!*COM!$H$4</f>
        <v>#REF!</v>
      </c>
      <c r="J149" s="68" t="e">
        <f>#REF!*COM!$J$4</f>
        <v>#REF!</v>
      </c>
      <c r="K149" s="68" t="e">
        <f>#REF!*COM!$J$4</f>
        <v>#REF!</v>
      </c>
      <c r="L149" s="68" t="e">
        <f>#REF!*COM!$L$4</f>
        <v>#REF!</v>
      </c>
      <c r="M149" s="68" t="e">
        <f>#REF!*COM!$L$4</f>
        <v>#REF!</v>
      </c>
      <c r="N149" s="68" t="e">
        <f>#REF!*COM!$N$4</f>
        <v>#REF!</v>
      </c>
      <c r="O149" s="68" t="e">
        <f>#REF!*COM!$N$4</f>
        <v>#REF!</v>
      </c>
      <c r="P149" s="68" t="e">
        <f>#REF!*COM!$P$4</f>
        <v>#REF!</v>
      </c>
      <c r="Q149" s="68" t="e">
        <f>#REF!*COM!$P$4</f>
        <v>#REF!</v>
      </c>
      <c r="R149" s="68" t="e">
        <f>#REF!*COM!$R$4</f>
        <v>#REF!</v>
      </c>
      <c r="S149" s="68" t="e">
        <f>#REF!*COM!$R$4</f>
        <v>#REF!</v>
      </c>
      <c r="T149" s="111" t="e">
        <f>H149+J149+L149+N149+P149+R149</f>
        <v>#REF!</v>
      </c>
    </row>
    <row r="150" spans="1:20" ht="45.75" customHeight="1" x14ac:dyDescent="0.25">
      <c r="A150" s="4">
        <v>311</v>
      </c>
      <c r="B150" s="52">
        <v>41</v>
      </c>
      <c r="C150" s="52">
        <v>920</v>
      </c>
      <c r="D150" s="7">
        <v>70499</v>
      </c>
      <c r="E150" s="48" t="s">
        <v>174</v>
      </c>
      <c r="F150" s="112" t="s">
        <v>391</v>
      </c>
      <c r="G150" s="129"/>
      <c r="H150" s="68" t="e">
        <f>#REF!*COM!$H$4</f>
        <v>#REF!</v>
      </c>
      <c r="I150" s="68" t="e">
        <f>#REF!*COM!$H$4</f>
        <v>#REF!</v>
      </c>
      <c r="J150" s="68" t="e">
        <f>#REF!*COM!$J$4</f>
        <v>#REF!</v>
      </c>
      <c r="K150" s="68" t="e">
        <f>#REF!*COM!$J$4</f>
        <v>#REF!</v>
      </c>
      <c r="L150" s="68" t="e">
        <f>#REF!*COM!$L$4</f>
        <v>#REF!</v>
      </c>
      <c r="M150" s="68" t="e">
        <f>#REF!*COM!$L$4</f>
        <v>#REF!</v>
      </c>
      <c r="N150" s="68" t="e">
        <f>#REF!*COM!$N$4</f>
        <v>#REF!</v>
      </c>
      <c r="O150" s="68" t="e">
        <f>#REF!*COM!$N$4</f>
        <v>#REF!</v>
      </c>
      <c r="P150" s="68" t="e">
        <f>#REF!*COM!$P$4</f>
        <v>#REF!</v>
      </c>
      <c r="Q150" s="68" t="e">
        <f>#REF!*COM!$P$4</f>
        <v>#REF!</v>
      </c>
      <c r="R150" s="68" t="e">
        <f>#REF!*COM!$R$4</f>
        <v>#REF!</v>
      </c>
      <c r="S150" s="68" t="e">
        <f>#REF!*COM!$R$4</f>
        <v>#REF!</v>
      </c>
      <c r="T150" s="111" t="e">
        <f t="shared" si="16"/>
        <v>#REF!</v>
      </c>
    </row>
    <row r="151" spans="1:20" ht="45.75" customHeight="1" x14ac:dyDescent="0.25">
      <c r="A151" s="4">
        <v>311</v>
      </c>
      <c r="B151" s="52">
        <v>41</v>
      </c>
      <c r="C151" s="52">
        <v>930</v>
      </c>
      <c r="D151" s="7">
        <v>70499</v>
      </c>
      <c r="E151" s="48" t="s">
        <v>174</v>
      </c>
      <c r="F151" s="112" t="s">
        <v>392</v>
      </c>
      <c r="G151" s="225" t="s">
        <v>393</v>
      </c>
      <c r="H151" s="68" t="e">
        <f>#REF!*COM!$H$4</f>
        <v>#REF!</v>
      </c>
      <c r="I151" s="68" t="e">
        <f>#REF!*COM!$H$4</f>
        <v>#REF!</v>
      </c>
      <c r="J151" s="68" t="e">
        <f>#REF!*COM!$J$4</f>
        <v>#REF!</v>
      </c>
      <c r="K151" s="68" t="e">
        <f>#REF!*COM!$J$4</f>
        <v>#REF!</v>
      </c>
      <c r="L151" s="68" t="e">
        <f>#REF!*COM!$L$4</f>
        <v>#REF!</v>
      </c>
      <c r="M151" s="68" t="e">
        <f>#REF!*COM!$L$4</f>
        <v>#REF!</v>
      </c>
      <c r="N151" s="68" t="e">
        <f>#REF!*COM!$N$4</f>
        <v>#REF!</v>
      </c>
      <c r="O151" s="68" t="e">
        <f>#REF!*COM!$N$4</f>
        <v>#REF!</v>
      </c>
      <c r="P151" s="68" t="e">
        <f>#REF!*COM!$P$4</f>
        <v>#REF!</v>
      </c>
      <c r="Q151" s="68" t="e">
        <f>#REF!*COM!$P$4</f>
        <v>#REF!</v>
      </c>
      <c r="R151" s="68" t="e">
        <f>#REF!*COM!$R$4</f>
        <v>#REF!</v>
      </c>
      <c r="S151" s="68" t="e">
        <f>#REF!*COM!$R$4</f>
        <v>#REF!</v>
      </c>
      <c r="T151" s="111" t="e">
        <f t="shared" si="16"/>
        <v>#REF!</v>
      </c>
    </row>
    <row r="152" spans="1:20" ht="51" customHeight="1" x14ac:dyDescent="0.25">
      <c r="A152" s="4">
        <v>321</v>
      </c>
      <c r="B152" s="52">
        <v>41</v>
      </c>
      <c r="C152" s="52">
        <v>930</v>
      </c>
      <c r="D152" s="7">
        <v>70499</v>
      </c>
      <c r="E152" s="48" t="s">
        <v>174</v>
      </c>
      <c r="F152" s="112" t="s">
        <v>392</v>
      </c>
      <c r="G152" s="227"/>
      <c r="H152" s="68" t="e">
        <f>#REF!*COM!$H$4</f>
        <v>#REF!</v>
      </c>
      <c r="I152" s="68" t="e">
        <f>#REF!*COM!$H$4</f>
        <v>#REF!</v>
      </c>
      <c r="J152" s="68" t="e">
        <f>#REF!*COM!$J$4</f>
        <v>#REF!</v>
      </c>
      <c r="K152" s="68" t="e">
        <f>#REF!*COM!$J$4</f>
        <v>#REF!</v>
      </c>
      <c r="L152" s="68" t="e">
        <f>#REF!*COM!$L$4</f>
        <v>#REF!</v>
      </c>
      <c r="M152" s="68" t="e">
        <f>#REF!*COM!$L$4</f>
        <v>#REF!</v>
      </c>
      <c r="N152" s="68" t="e">
        <f>#REF!*COM!$N$4</f>
        <v>#REF!</v>
      </c>
      <c r="O152" s="68" t="e">
        <f>#REF!*COM!$N$4</f>
        <v>#REF!</v>
      </c>
      <c r="P152" s="68" t="e">
        <f>#REF!*COM!$P$4</f>
        <v>#REF!</v>
      </c>
      <c r="Q152" s="68" t="e">
        <f>#REF!*COM!$P$4</f>
        <v>#REF!</v>
      </c>
      <c r="R152" s="68" t="e">
        <f>#REF!*COM!$R$4</f>
        <v>#REF!</v>
      </c>
      <c r="S152" s="68" t="e">
        <f>#REF!*COM!$R$4</f>
        <v>#REF!</v>
      </c>
      <c r="T152" s="111" t="e">
        <f t="shared" si="16"/>
        <v>#REF!</v>
      </c>
    </row>
    <row r="153" spans="1:20" ht="83.25" customHeight="1" x14ac:dyDescent="0.25">
      <c r="A153" s="88">
        <v>311</v>
      </c>
      <c r="B153" s="89">
        <v>41</v>
      </c>
      <c r="C153" s="89">
        <v>920</v>
      </c>
      <c r="D153" s="90">
        <v>70499</v>
      </c>
      <c r="E153" s="122" t="s">
        <v>172</v>
      </c>
      <c r="F153" s="92" t="s">
        <v>387</v>
      </c>
      <c r="G153" s="92"/>
      <c r="H153" s="68" t="e">
        <f>#REF!*COM!$H$4</f>
        <v>#REF!</v>
      </c>
      <c r="I153" s="68" t="e">
        <f>#REF!*COM!$H$4</f>
        <v>#REF!</v>
      </c>
      <c r="J153" s="68" t="e">
        <f>#REF!*COM!$J$4</f>
        <v>#REF!</v>
      </c>
      <c r="K153" s="68" t="e">
        <f>#REF!*COM!$J$4</f>
        <v>#REF!</v>
      </c>
      <c r="L153" s="68" t="e">
        <f>#REF!*COM!$L$4</f>
        <v>#REF!</v>
      </c>
      <c r="M153" s="68" t="e">
        <f>#REF!*COM!$L$4</f>
        <v>#REF!</v>
      </c>
      <c r="N153" s="68" t="e">
        <f>#REF!*COM!$N$4</f>
        <v>#REF!</v>
      </c>
      <c r="O153" s="68" t="e">
        <f>#REF!*COM!$N$4</f>
        <v>#REF!</v>
      </c>
      <c r="P153" s="68" t="e">
        <f>#REF!*COM!$P$4</f>
        <v>#REF!</v>
      </c>
      <c r="Q153" s="68" t="e">
        <f>#REF!*COM!$P$4</f>
        <v>#REF!</v>
      </c>
      <c r="R153" s="68" t="e">
        <f>#REF!*COM!$R$4</f>
        <v>#REF!</v>
      </c>
      <c r="S153" s="68" t="e">
        <f>#REF!*COM!$R$4</f>
        <v>#REF!</v>
      </c>
      <c r="T153" s="111" t="e">
        <f t="shared" si="16"/>
        <v>#REF!</v>
      </c>
    </row>
    <row r="154" spans="1:20" ht="83.25" customHeight="1" x14ac:dyDescent="0.25">
      <c r="A154" s="88">
        <v>311</v>
      </c>
      <c r="B154" s="89">
        <v>41</v>
      </c>
      <c r="C154" s="89">
        <v>930</v>
      </c>
      <c r="D154" s="90">
        <v>70499</v>
      </c>
      <c r="E154" s="122" t="s">
        <v>172</v>
      </c>
      <c r="F154" s="92" t="s">
        <v>388</v>
      </c>
      <c r="G154" s="92"/>
      <c r="H154" s="68" t="e">
        <f>#REF!*COM!$H$4</f>
        <v>#REF!</v>
      </c>
      <c r="I154" s="68" t="e">
        <f>#REF!*COM!$H$4</f>
        <v>#REF!</v>
      </c>
      <c r="J154" s="68" t="e">
        <f>#REF!*COM!$J$4</f>
        <v>#REF!</v>
      </c>
      <c r="K154" s="68" t="e">
        <f>#REF!*COM!$J$4</f>
        <v>#REF!</v>
      </c>
      <c r="L154" s="68" t="e">
        <f>#REF!*COM!$L$4</f>
        <v>#REF!</v>
      </c>
      <c r="M154" s="68" t="e">
        <f>#REF!*COM!$L$4</f>
        <v>#REF!</v>
      </c>
      <c r="N154" s="68" t="e">
        <f>#REF!*COM!$N$4</f>
        <v>#REF!</v>
      </c>
      <c r="O154" s="68" t="e">
        <f>#REF!*COM!$N$4</f>
        <v>#REF!</v>
      </c>
      <c r="P154" s="68" t="e">
        <f>#REF!*COM!$P$4</f>
        <v>#REF!</v>
      </c>
      <c r="Q154" s="68" t="e">
        <f>#REF!*COM!$P$4</f>
        <v>#REF!</v>
      </c>
      <c r="R154" s="68" t="e">
        <f>#REF!*COM!$R$4</f>
        <v>#REF!</v>
      </c>
      <c r="S154" s="68" t="e">
        <f>#REF!*COM!$R$4</f>
        <v>#REF!</v>
      </c>
      <c r="T154" s="111" t="e">
        <f t="shared" si="16"/>
        <v>#REF!</v>
      </c>
    </row>
    <row r="155" spans="1:20" ht="18.75" customHeight="1" x14ac:dyDescent="0.25">
      <c r="A155" s="4"/>
      <c r="B155" s="52"/>
      <c r="C155" s="52"/>
      <c r="D155" s="7"/>
      <c r="E155" s="20"/>
      <c r="F155" s="38"/>
      <c r="G155" s="3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11">
        <f t="shared" si="16"/>
        <v>0</v>
      </c>
    </row>
    <row r="156" spans="1:20" ht="18.75" customHeight="1" x14ac:dyDescent="0.25">
      <c r="A156" s="4"/>
      <c r="B156" s="52"/>
      <c r="C156" s="52"/>
      <c r="D156" s="7"/>
      <c r="E156" s="20"/>
      <c r="F156" s="38"/>
      <c r="G156" s="3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11">
        <f t="shared" si="16"/>
        <v>0</v>
      </c>
    </row>
    <row r="157" spans="1:20" ht="18.75" customHeight="1" x14ac:dyDescent="0.25">
      <c r="A157" s="4"/>
      <c r="B157" s="52"/>
      <c r="C157" s="52"/>
      <c r="D157" s="7"/>
      <c r="E157" s="20"/>
      <c r="F157" s="38"/>
      <c r="G157" s="3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11">
        <f t="shared" si="16"/>
        <v>0</v>
      </c>
    </row>
    <row r="158" spans="1:20" ht="18.75" customHeight="1" x14ac:dyDescent="0.25">
      <c r="A158" s="4"/>
      <c r="B158" s="52"/>
      <c r="C158" s="52"/>
      <c r="D158" s="7"/>
      <c r="E158" s="20"/>
      <c r="F158" s="38"/>
      <c r="G158" s="3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11">
        <f t="shared" si="16"/>
        <v>0</v>
      </c>
    </row>
    <row r="159" spans="1:20" ht="18.75" customHeight="1" x14ac:dyDescent="0.25">
      <c r="A159" s="4"/>
      <c r="B159" s="52"/>
      <c r="C159" s="52"/>
      <c r="D159" s="7"/>
      <c r="E159" s="20"/>
      <c r="F159" s="38"/>
      <c r="G159" s="3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11">
        <f t="shared" si="16"/>
        <v>0</v>
      </c>
    </row>
    <row r="160" spans="1:20" s="47" customFormat="1" ht="69" customHeight="1" x14ac:dyDescent="0.25">
      <c r="A160" s="56"/>
      <c r="B160" s="50"/>
      <c r="C160" s="50"/>
      <c r="D160" s="50"/>
      <c r="E160" s="54"/>
      <c r="F160" s="40" t="s">
        <v>226</v>
      </c>
      <c r="G160" s="40"/>
      <c r="H160" s="99" t="e">
        <f>H161</f>
        <v>#REF!</v>
      </c>
      <c r="I160" s="99" t="e">
        <f>I161</f>
        <v>#REF!</v>
      </c>
      <c r="J160" s="99" t="e">
        <f t="shared" ref="J160:S160" si="17">J161</f>
        <v>#REF!</v>
      </c>
      <c r="K160" s="99" t="e">
        <f t="shared" si="17"/>
        <v>#REF!</v>
      </c>
      <c r="L160" s="99" t="e">
        <f t="shared" si="17"/>
        <v>#REF!</v>
      </c>
      <c r="M160" s="99" t="e">
        <f t="shared" si="17"/>
        <v>#REF!</v>
      </c>
      <c r="N160" s="99" t="e">
        <f t="shared" si="17"/>
        <v>#REF!</v>
      </c>
      <c r="O160" s="99" t="e">
        <f t="shared" si="17"/>
        <v>#REF!</v>
      </c>
      <c r="P160" s="99" t="e">
        <f t="shared" si="17"/>
        <v>#REF!</v>
      </c>
      <c r="Q160" s="99" t="e">
        <f t="shared" si="17"/>
        <v>#REF!</v>
      </c>
      <c r="R160" s="99" t="e">
        <f t="shared" si="17"/>
        <v>#REF!</v>
      </c>
      <c r="S160" s="99" t="e">
        <f t="shared" si="17"/>
        <v>#REF!</v>
      </c>
      <c r="T160" s="111" t="e">
        <f t="shared" si="16"/>
        <v>#REF!</v>
      </c>
    </row>
    <row r="161" spans="1:20" s="47" customFormat="1" ht="38.25" customHeight="1" x14ac:dyDescent="0.25">
      <c r="A161" s="57"/>
      <c r="B161" s="51"/>
      <c r="C161" s="51"/>
      <c r="D161" s="51"/>
      <c r="E161" s="55"/>
      <c r="F161" s="37" t="s">
        <v>6</v>
      </c>
      <c r="G161" s="37"/>
      <c r="H161" s="100" t="e">
        <f>SUM(H162:H253)</f>
        <v>#REF!</v>
      </c>
      <c r="I161" s="100" t="e">
        <f t="shared" ref="I161:S161" si="18">SUM(I162:I253)</f>
        <v>#REF!</v>
      </c>
      <c r="J161" s="100" t="e">
        <f t="shared" si="18"/>
        <v>#REF!</v>
      </c>
      <c r="K161" s="100" t="e">
        <f t="shared" si="18"/>
        <v>#REF!</v>
      </c>
      <c r="L161" s="100" t="e">
        <f t="shared" si="18"/>
        <v>#REF!</v>
      </c>
      <c r="M161" s="100" t="e">
        <f t="shared" si="18"/>
        <v>#REF!</v>
      </c>
      <c r="N161" s="100" t="e">
        <f t="shared" si="18"/>
        <v>#REF!</v>
      </c>
      <c r="O161" s="100" t="e">
        <f t="shared" si="18"/>
        <v>#REF!</v>
      </c>
      <c r="P161" s="100" t="e">
        <f t="shared" si="18"/>
        <v>#REF!</v>
      </c>
      <c r="Q161" s="100" t="e">
        <f t="shared" si="18"/>
        <v>#REF!</v>
      </c>
      <c r="R161" s="100" t="e">
        <f t="shared" si="18"/>
        <v>#REF!</v>
      </c>
      <c r="S161" s="100" t="e">
        <f t="shared" si="18"/>
        <v>#REF!</v>
      </c>
      <c r="T161" s="111" t="e">
        <f t="shared" si="16"/>
        <v>#REF!</v>
      </c>
    </row>
    <row r="162" spans="1:20" s="121" customFormat="1" ht="38.25" customHeight="1" x14ac:dyDescent="0.25">
      <c r="A162" s="49">
        <v>311</v>
      </c>
      <c r="B162" s="52">
        <v>41</v>
      </c>
      <c r="C162" s="52">
        <v>920</v>
      </c>
      <c r="D162" s="53">
        <v>70499</v>
      </c>
      <c r="E162" s="48" t="s">
        <v>172</v>
      </c>
      <c r="F162" s="151" t="s">
        <v>58</v>
      </c>
      <c r="G162" s="150"/>
      <c r="H162" s="68" t="e">
        <f>#REF!*COM!$H$4</f>
        <v>#REF!</v>
      </c>
      <c r="I162" s="68" t="e">
        <f>#REF!*COM!$H$4</f>
        <v>#REF!</v>
      </c>
      <c r="J162" s="68" t="e">
        <f>#REF!*COM!$J$4</f>
        <v>#REF!</v>
      </c>
      <c r="K162" s="68" t="e">
        <f>#REF!*COM!$J$4</f>
        <v>#REF!</v>
      </c>
      <c r="L162" s="68" t="e">
        <f>#REF!*COM!$L$4</f>
        <v>#REF!</v>
      </c>
      <c r="M162" s="68" t="e">
        <f>#REF!*COM!$L$4</f>
        <v>#REF!</v>
      </c>
      <c r="N162" s="68" t="e">
        <f>#REF!*COM!$N$4</f>
        <v>#REF!</v>
      </c>
      <c r="O162" s="68" t="e">
        <f>#REF!*COM!$N$4</f>
        <v>#REF!</v>
      </c>
      <c r="P162" s="68" t="e">
        <f>#REF!*COM!$P$4</f>
        <v>#REF!</v>
      </c>
      <c r="Q162" s="68" t="e">
        <f>#REF!*COM!$P$4</f>
        <v>#REF!</v>
      </c>
      <c r="R162" s="68" t="e">
        <f>#REF!*COM!$R$4</f>
        <v>#REF!</v>
      </c>
      <c r="S162" s="68" t="e">
        <f>#REF!*COM!$R$4</f>
        <v>#REF!</v>
      </c>
      <c r="T162" s="120"/>
    </row>
    <row r="163" spans="1:20" ht="80.25" customHeight="1" x14ac:dyDescent="0.25">
      <c r="A163" s="49">
        <v>311</v>
      </c>
      <c r="B163" s="52">
        <v>41</v>
      </c>
      <c r="C163" s="52">
        <v>920</v>
      </c>
      <c r="D163" s="53">
        <v>70499</v>
      </c>
      <c r="E163" s="48" t="s">
        <v>172</v>
      </c>
      <c r="F163" s="62" t="s">
        <v>224</v>
      </c>
      <c r="G163" s="225" t="s">
        <v>290</v>
      </c>
      <c r="H163" s="68" t="e">
        <f>#REF!*COM!$H$4</f>
        <v>#REF!</v>
      </c>
      <c r="I163" s="68" t="e">
        <f>#REF!*COM!$H$4</f>
        <v>#REF!</v>
      </c>
      <c r="J163" s="68" t="e">
        <f>#REF!*COM!$J$4</f>
        <v>#REF!</v>
      </c>
      <c r="K163" s="68" t="e">
        <f>#REF!*COM!$J$4</f>
        <v>#REF!</v>
      </c>
      <c r="L163" s="68" t="e">
        <f>#REF!*COM!$L$4</f>
        <v>#REF!</v>
      </c>
      <c r="M163" s="68" t="e">
        <f>#REF!*COM!$L$4</f>
        <v>#REF!</v>
      </c>
      <c r="N163" s="68" t="e">
        <f>#REF!*COM!$N$4</f>
        <v>#REF!</v>
      </c>
      <c r="O163" s="68" t="e">
        <f>#REF!*COM!$N$4</f>
        <v>#REF!</v>
      </c>
      <c r="P163" s="68" t="e">
        <f>#REF!*COM!$P$4</f>
        <v>#REF!</v>
      </c>
      <c r="Q163" s="68" t="e">
        <f>#REF!*COM!$P$4</f>
        <v>#REF!</v>
      </c>
      <c r="R163" s="68" t="e">
        <f>#REF!*COM!$R$4</f>
        <v>#REF!</v>
      </c>
      <c r="S163" s="68" t="e">
        <f>#REF!*COM!$R$4</f>
        <v>#REF!</v>
      </c>
      <c r="T163" s="111" t="e">
        <f t="shared" si="16"/>
        <v>#REF!</v>
      </c>
    </row>
    <row r="164" spans="1:20" ht="83.25" customHeight="1" x14ac:dyDescent="0.25">
      <c r="A164" s="49">
        <v>311</v>
      </c>
      <c r="B164" s="52">
        <v>41</v>
      </c>
      <c r="C164" s="52">
        <v>930</v>
      </c>
      <c r="D164" s="53">
        <v>70499</v>
      </c>
      <c r="E164" s="48" t="s">
        <v>172</v>
      </c>
      <c r="F164" s="62" t="s">
        <v>225</v>
      </c>
      <c r="G164" s="227"/>
      <c r="H164" s="68" t="e">
        <f>#REF!*COM!$H$4</f>
        <v>#REF!</v>
      </c>
      <c r="I164" s="68" t="e">
        <f>#REF!*COM!$H$4</f>
        <v>#REF!</v>
      </c>
      <c r="J164" s="68" t="e">
        <f>#REF!*COM!$J$4</f>
        <v>#REF!</v>
      </c>
      <c r="K164" s="68" t="e">
        <f>#REF!*COM!$J$4</f>
        <v>#REF!</v>
      </c>
      <c r="L164" s="68" t="e">
        <f>#REF!*COM!$L$4</f>
        <v>#REF!</v>
      </c>
      <c r="M164" s="68" t="e">
        <f>#REF!*COM!$L$4</f>
        <v>#REF!</v>
      </c>
      <c r="N164" s="68" t="e">
        <f>#REF!*COM!$N$4</f>
        <v>#REF!</v>
      </c>
      <c r="O164" s="68" t="e">
        <f>#REF!*COM!$N$4</f>
        <v>#REF!</v>
      </c>
      <c r="P164" s="68" t="e">
        <f>#REF!*COM!$P$4</f>
        <v>#REF!</v>
      </c>
      <c r="Q164" s="68" t="e">
        <f>#REF!*COM!$P$4</f>
        <v>#REF!</v>
      </c>
      <c r="R164" s="68" t="e">
        <f>#REF!*COM!$R$4</f>
        <v>#REF!</v>
      </c>
      <c r="S164" s="68" t="e">
        <f>#REF!*COM!$R$4</f>
        <v>#REF!</v>
      </c>
      <c r="T164" s="111" t="e">
        <f t="shared" si="16"/>
        <v>#REF!</v>
      </c>
    </row>
    <row r="165" spans="1:20" ht="81.75" customHeight="1" x14ac:dyDescent="0.25">
      <c r="A165" s="49">
        <v>311</v>
      </c>
      <c r="B165" s="52">
        <v>41</v>
      </c>
      <c r="C165" s="52">
        <v>910</v>
      </c>
      <c r="D165" s="53">
        <v>70499</v>
      </c>
      <c r="E165" s="48"/>
      <c r="F165" s="62" t="s">
        <v>59</v>
      </c>
      <c r="G165" s="225" t="s">
        <v>323</v>
      </c>
      <c r="H165" s="68" t="e">
        <f>#REF!*COM!$H$4</f>
        <v>#REF!</v>
      </c>
      <c r="I165" s="68" t="e">
        <f>#REF!*COM!$H$4</f>
        <v>#REF!</v>
      </c>
      <c r="J165" s="68" t="e">
        <f>#REF!*COM!$J$4</f>
        <v>#REF!</v>
      </c>
      <c r="K165" s="68" t="e">
        <f>#REF!*COM!$J$4</f>
        <v>#REF!</v>
      </c>
      <c r="L165" s="68" t="e">
        <f>#REF!*COM!$L$4</f>
        <v>#REF!</v>
      </c>
      <c r="M165" s="68" t="e">
        <f>#REF!*COM!$L$4</f>
        <v>#REF!</v>
      </c>
      <c r="N165" s="68" t="e">
        <f>#REF!*COM!$N$4</f>
        <v>#REF!</v>
      </c>
      <c r="O165" s="68" t="e">
        <f>#REF!*COM!$N$4</f>
        <v>#REF!</v>
      </c>
      <c r="P165" s="68" t="e">
        <f>#REF!*COM!$P$4</f>
        <v>#REF!</v>
      </c>
      <c r="Q165" s="68" t="e">
        <f>#REF!*COM!$P$4</f>
        <v>#REF!</v>
      </c>
      <c r="R165" s="68" t="e">
        <f>#REF!*COM!$R$4</f>
        <v>#REF!</v>
      </c>
      <c r="S165" s="68" t="e">
        <f>#REF!*COM!$R$4</f>
        <v>#REF!</v>
      </c>
      <c r="T165" s="111" t="e">
        <f t="shared" si="16"/>
        <v>#REF!</v>
      </c>
    </row>
    <row r="166" spans="1:20" ht="72" customHeight="1" x14ac:dyDescent="0.25">
      <c r="A166" s="49">
        <v>311</v>
      </c>
      <c r="B166" s="52">
        <v>41</v>
      </c>
      <c r="C166" s="52">
        <v>930</v>
      </c>
      <c r="D166" s="53">
        <v>70499</v>
      </c>
      <c r="E166" s="48" t="s">
        <v>174</v>
      </c>
      <c r="F166" s="62" t="s">
        <v>60</v>
      </c>
      <c r="G166" s="226"/>
      <c r="H166" s="68" t="e">
        <f>#REF!*COM!$H$4</f>
        <v>#REF!</v>
      </c>
      <c r="I166" s="68" t="e">
        <f>#REF!*COM!$H$4</f>
        <v>#REF!</v>
      </c>
      <c r="J166" s="68" t="e">
        <f>#REF!*COM!$J$4</f>
        <v>#REF!</v>
      </c>
      <c r="K166" s="68" t="e">
        <f>#REF!*COM!$J$4</f>
        <v>#REF!</v>
      </c>
      <c r="L166" s="68" t="e">
        <f>#REF!*COM!$L$4</f>
        <v>#REF!</v>
      </c>
      <c r="M166" s="68" t="e">
        <f>#REF!*COM!$L$4</f>
        <v>#REF!</v>
      </c>
      <c r="N166" s="68" t="e">
        <f>#REF!*COM!$N$4</f>
        <v>#REF!</v>
      </c>
      <c r="O166" s="68" t="e">
        <f>#REF!*COM!$N$4</f>
        <v>#REF!</v>
      </c>
      <c r="P166" s="68" t="e">
        <f>#REF!*COM!$P$4</f>
        <v>#REF!</v>
      </c>
      <c r="Q166" s="68" t="e">
        <f>#REF!*COM!$P$4</f>
        <v>#REF!</v>
      </c>
      <c r="R166" s="68" t="e">
        <f>#REF!*COM!$R$4</f>
        <v>#REF!</v>
      </c>
      <c r="S166" s="68" t="e">
        <f>#REF!*COM!$R$4</f>
        <v>#REF!</v>
      </c>
      <c r="T166" s="111" t="e">
        <f t="shared" si="16"/>
        <v>#REF!</v>
      </c>
    </row>
    <row r="167" spans="1:20" ht="89.25" customHeight="1" x14ac:dyDescent="0.25">
      <c r="A167" s="49">
        <v>311</v>
      </c>
      <c r="B167" s="52">
        <v>41</v>
      </c>
      <c r="C167" s="52">
        <v>930</v>
      </c>
      <c r="D167" s="53">
        <v>70499</v>
      </c>
      <c r="E167" s="48" t="s">
        <v>166</v>
      </c>
      <c r="F167" s="74" t="s">
        <v>61</v>
      </c>
      <c r="G167" s="227"/>
      <c r="H167" s="68" t="e">
        <f>#REF!*COM!$H$4</f>
        <v>#REF!</v>
      </c>
      <c r="I167" s="68" t="e">
        <f>#REF!*COM!$H$4</f>
        <v>#REF!</v>
      </c>
      <c r="J167" s="68" t="e">
        <f>#REF!*COM!$J$4</f>
        <v>#REF!</v>
      </c>
      <c r="K167" s="68" t="e">
        <f>#REF!*COM!$J$4</f>
        <v>#REF!</v>
      </c>
      <c r="L167" s="68" t="e">
        <f>#REF!*COM!$L$4</f>
        <v>#REF!</v>
      </c>
      <c r="M167" s="68" t="e">
        <f>#REF!*COM!$L$4</f>
        <v>#REF!</v>
      </c>
      <c r="N167" s="68" t="e">
        <f>#REF!*COM!$N$4</f>
        <v>#REF!</v>
      </c>
      <c r="O167" s="68" t="e">
        <f>#REF!*COM!$N$4</f>
        <v>#REF!</v>
      </c>
      <c r="P167" s="68" t="e">
        <f>#REF!*COM!$P$4</f>
        <v>#REF!</v>
      </c>
      <c r="Q167" s="68" t="e">
        <f>#REF!*COM!$P$4</f>
        <v>#REF!</v>
      </c>
      <c r="R167" s="68" t="e">
        <f>#REF!*COM!$R$4</f>
        <v>#REF!</v>
      </c>
      <c r="S167" s="68" t="e">
        <f>#REF!*COM!$R$4</f>
        <v>#REF!</v>
      </c>
      <c r="T167" s="111" t="e">
        <f t="shared" si="16"/>
        <v>#REF!</v>
      </c>
    </row>
    <row r="168" spans="1:20" ht="80.25" customHeight="1" x14ac:dyDescent="0.25">
      <c r="A168" s="49">
        <v>311</v>
      </c>
      <c r="B168" s="52">
        <v>41</v>
      </c>
      <c r="C168" s="52">
        <v>910</v>
      </c>
      <c r="D168" s="53">
        <v>70499</v>
      </c>
      <c r="E168" s="48"/>
      <c r="F168" s="62" t="s">
        <v>62</v>
      </c>
      <c r="G168" s="225" t="s">
        <v>300</v>
      </c>
      <c r="H168" s="68" t="e">
        <f>#REF!*COM!$H$4</f>
        <v>#REF!</v>
      </c>
      <c r="I168" s="68" t="e">
        <f>#REF!*COM!$H$4</f>
        <v>#REF!</v>
      </c>
      <c r="J168" s="68" t="e">
        <f>#REF!*COM!$J$4</f>
        <v>#REF!</v>
      </c>
      <c r="K168" s="68" t="e">
        <f>#REF!*COM!$J$4</f>
        <v>#REF!</v>
      </c>
      <c r="L168" s="68" t="e">
        <f>#REF!*COM!$L$4</f>
        <v>#REF!</v>
      </c>
      <c r="M168" s="68" t="e">
        <f>#REF!*COM!$L$4</f>
        <v>#REF!</v>
      </c>
      <c r="N168" s="68" t="e">
        <f>#REF!*COM!$N$4</f>
        <v>#REF!</v>
      </c>
      <c r="O168" s="68" t="e">
        <f>#REF!*COM!$N$4</f>
        <v>#REF!</v>
      </c>
      <c r="P168" s="68" t="e">
        <f>#REF!*COM!$P$4</f>
        <v>#REF!</v>
      </c>
      <c r="Q168" s="68" t="e">
        <f>#REF!*COM!$P$4</f>
        <v>#REF!</v>
      </c>
      <c r="R168" s="68" t="e">
        <f>#REF!*COM!$R$4</f>
        <v>#REF!</v>
      </c>
      <c r="S168" s="68" t="e">
        <f>#REF!*COM!$R$4</f>
        <v>#REF!</v>
      </c>
      <c r="T168" s="111" t="e">
        <f t="shared" si="16"/>
        <v>#REF!</v>
      </c>
    </row>
    <row r="169" spans="1:20" ht="93.75" customHeight="1" x14ac:dyDescent="0.25">
      <c r="A169" s="49">
        <v>311</v>
      </c>
      <c r="B169" s="52">
        <v>41</v>
      </c>
      <c r="C169" s="52">
        <v>920</v>
      </c>
      <c r="D169" s="53">
        <v>70499</v>
      </c>
      <c r="E169" s="48" t="s">
        <v>173</v>
      </c>
      <c r="F169" s="62" t="s">
        <v>63</v>
      </c>
      <c r="G169" s="226"/>
      <c r="H169" s="68" t="e">
        <f>#REF!*COM!$H$4</f>
        <v>#REF!</v>
      </c>
      <c r="I169" s="68" t="e">
        <f>#REF!*COM!$H$4</f>
        <v>#REF!</v>
      </c>
      <c r="J169" s="68" t="e">
        <f>#REF!*COM!$J$4</f>
        <v>#REF!</v>
      </c>
      <c r="K169" s="68" t="e">
        <f>#REF!*COM!$J$4</f>
        <v>#REF!</v>
      </c>
      <c r="L169" s="68" t="e">
        <f>#REF!*COM!$L$4</f>
        <v>#REF!</v>
      </c>
      <c r="M169" s="68" t="e">
        <f>#REF!*COM!$L$4</f>
        <v>#REF!</v>
      </c>
      <c r="N169" s="68" t="e">
        <f>#REF!*COM!$N$4</f>
        <v>#REF!</v>
      </c>
      <c r="O169" s="68" t="e">
        <f>#REF!*COM!$N$4</f>
        <v>#REF!</v>
      </c>
      <c r="P169" s="68" t="e">
        <f>#REF!*COM!$P$4</f>
        <v>#REF!</v>
      </c>
      <c r="Q169" s="68" t="e">
        <f>#REF!*COM!$P$4</f>
        <v>#REF!</v>
      </c>
      <c r="R169" s="68" t="e">
        <f>#REF!*COM!$R$4</f>
        <v>#REF!</v>
      </c>
      <c r="S169" s="68" t="e">
        <f>#REF!*COM!$R$4</f>
        <v>#REF!</v>
      </c>
      <c r="T169" s="111" t="e">
        <f t="shared" si="16"/>
        <v>#REF!</v>
      </c>
    </row>
    <row r="170" spans="1:20" ht="97.5" customHeight="1" x14ac:dyDescent="0.25">
      <c r="A170" s="49">
        <v>311</v>
      </c>
      <c r="B170" s="52">
        <v>41</v>
      </c>
      <c r="C170" s="52">
        <v>930</v>
      </c>
      <c r="D170" s="53">
        <v>70499</v>
      </c>
      <c r="E170" s="48" t="s">
        <v>173</v>
      </c>
      <c r="F170" s="62" t="s">
        <v>64</v>
      </c>
      <c r="G170" s="227"/>
      <c r="H170" s="68" t="e">
        <f>#REF!*COM!$H$4</f>
        <v>#REF!</v>
      </c>
      <c r="I170" s="68" t="e">
        <f>#REF!*COM!$H$4</f>
        <v>#REF!</v>
      </c>
      <c r="J170" s="68" t="e">
        <f>#REF!*COM!$J$4</f>
        <v>#REF!</v>
      </c>
      <c r="K170" s="68" t="e">
        <f>#REF!*COM!$J$4</f>
        <v>#REF!</v>
      </c>
      <c r="L170" s="68" t="e">
        <f>#REF!*COM!$L$4</f>
        <v>#REF!</v>
      </c>
      <c r="M170" s="68" t="e">
        <f>#REF!*COM!$L$4</f>
        <v>#REF!</v>
      </c>
      <c r="N170" s="68" t="e">
        <f>#REF!*COM!$N$4</f>
        <v>#REF!</v>
      </c>
      <c r="O170" s="68" t="e">
        <f>#REF!*COM!$N$4</f>
        <v>#REF!</v>
      </c>
      <c r="P170" s="68" t="e">
        <f>#REF!*COM!$P$4</f>
        <v>#REF!</v>
      </c>
      <c r="Q170" s="68" t="e">
        <f>#REF!*COM!$P$4</f>
        <v>#REF!</v>
      </c>
      <c r="R170" s="68" t="e">
        <f>#REF!*COM!$R$4</f>
        <v>#REF!</v>
      </c>
      <c r="S170" s="68" t="e">
        <f>#REF!*COM!$R$4</f>
        <v>#REF!</v>
      </c>
      <c r="T170" s="111" t="e">
        <f t="shared" si="16"/>
        <v>#REF!</v>
      </c>
    </row>
    <row r="171" spans="1:20" ht="80.25" customHeight="1" x14ac:dyDescent="0.25">
      <c r="A171" s="49">
        <v>311</v>
      </c>
      <c r="B171" s="52">
        <v>41</v>
      </c>
      <c r="C171" s="52">
        <v>920</v>
      </c>
      <c r="D171" s="53">
        <v>70499</v>
      </c>
      <c r="E171" s="48" t="s">
        <v>176</v>
      </c>
      <c r="F171" s="62" t="s">
        <v>209</v>
      </c>
      <c r="G171" s="225" t="s">
        <v>272</v>
      </c>
      <c r="H171" s="68" t="e">
        <f>#REF!*COM!$H$4</f>
        <v>#REF!</v>
      </c>
      <c r="I171" s="68" t="e">
        <f>#REF!*COM!$H$4</f>
        <v>#REF!</v>
      </c>
      <c r="J171" s="68" t="e">
        <f>#REF!*COM!$J$4</f>
        <v>#REF!</v>
      </c>
      <c r="K171" s="68" t="e">
        <f>#REF!*COM!$J$4</f>
        <v>#REF!</v>
      </c>
      <c r="L171" s="68" t="e">
        <f>#REF!*COM!$L$4</f>
        <v>#REF!</v>
      </c>
      <c r="M171" s="68" t="e">
        <f>#REF!*COM!$L$4</f>
        <v>#REF!</v>
      </c>
      <c r="N171" s="68" t="e">
        <f>#REF!*COM!$N$4</f>
        <v>#REF!</v>
      </c>
      <c r="O171" s="68" t="e">
        <f>#REF!*COM!$N$4</f>
        <v>#REF!</v>
      </c>
      <c r="P171" s="68" t="e">
        <f>#REF!*COM!$P$4</f>
        <v>#REF!</v>
      </c>
      <c r="Q171" s="68" t="e">
        <f>#REF!*COM!$P$4</f>
        <v>#REF!</v>
      </c>
      <c r="R171" s="68" t="e">
        <f>#REF!*COM!$R$4</f>
        <v>#REF!</v>
      </c>
      <c r="S171" s="68" t="e">
        <f>#REF!*COM!$R$4</f>
        <v>#REF!</v>
      </c>
      <c r="T171" s="111" t="e">
        <f t="shared" si="16"/>
        <v>#REF!</v>
      </c>
    </row>
    <row r="172" spans="1:20" ht="92.25" customHeight="1" x14ac:dyDescent="0.25">
      <c r="A172" s="49">
        <v>311</v>
      </c>
      <c r="B172" s="52">
        <v>41</v>
      </c>
      <c r="C172" s="52">
        <v>930</v>
      </c>
      <c r="D172" s="53">
        <v>70499</v>
      </c>
      <c r="E172" s="48" t="s">
        <v>176</v>
      </c>
      <c r="F172" s="62" t="s">
        <v>218</v>
      </c>
      <c r="G172" s="227"/>
      <c r="H172" s="68" t="e">
        <f>#REF!*COM!$H$4</f>
        <v>#REF!</v>
      </c>
      <c r="I172" s="68" t="e">
        <f>#REF!*COM!$H$4</f>
        <v>#REF!</v>
      </c>
      <c r="J172" s="68" t="e">
        <f>#REF!*COM!$J$4</f>
        <v>#REF!</v>
      </c>
      <c r="K172" s="68" t="e">
        <f>#REF!*COM!$J$4</f>
        <v>#REF!</v>
      </c>
      <c r="L172" s="68" t="e">
        <f>#REF!*COM!$L$4</f>
        <v>#REF!</v>
      </c>
      <c r="M172" s="68" t="e">
        <f>#REF!*COM!$L$4</f>
        <v>#REF!</v>
      </c>
      <c r="N172" s="68" t="e">
        <f>#REF!*COM!$N$4</f>
        <v>#REF!</v>
      </c>
      <c r="O172" s="68" t="e">
        <f>#REF!*COM!$N$4</f>
        <v>#REF!</v>
      </c>
      <c r="P172" s="68" t="e">
        <f>#REF!*COM!$P$4</f>
        <v>#REF!</v>
      </c>
      <c r="Q172" s="68" t="e">
        <f>#REF!*COM!$P$4</f>
        <v>#REF!</v>
      </c>
      <c r="R172" s="68" t="e">
        <f>#REF!*COM!$R$4</f>
        <v>#REF!</v>
      </c>
      <c r="S172" s="68" t="e">
        <f>#REF!*COM!$R$4</f>
        <v>#REF!</v>
      </c>
      <c r="T172" s="111" t="e">
        <f t="shared" si="16"/>
        <v>#REF!</v>
      </c>
    </row>
    <row r="173" spans="1:20" ht="104.25" customHeight="1" x14ac:dyDescent="0.25">
      <c r="A173" s="49">
        <v>311</v>
      </c>
      <c r="B173" s="52">
        <v>41</v>
      </c>
      <c r="C173" s="52">
        <v>910</v>
      </c>
      <c r="D173" s="53">
        <v>70499</v>
      </c>
      <c r="E173" s="48"/>
      <c r="F173" s="62" t="s">
        <v>221</v>
      </c>
      <c r="G173" s="225" t="s">
        <v>320</v>
      </c>
      <c r="H173" s="68" t="e">
        <f>#REF!*COM!$H$4</f>
        <v>#REF!</v>
      </c>
      <c r="I173" s="68" t="e">
        <f>#REF!*COM!$H$4</f>
        <v>#REF!</v>
      </c>
      <c r="J173" s="68" t="e">
        <f>#REF!*COM!$J$4</f>
        <v>#REF!</v>
      </c>
      <c r="K173" s="68" t="e">
        <f>#REF!*COM!$J$4</f>
        <v>#REF!</v>
      </c>
      <c r="L173" s="68" t="e">
        <f>#REF!*COM!$L$4</f>
        <v>#REF!</v>
      </c>
      <c r="M173" s="68" t="e">
        <f>#REF!*COM!$L$4</f>
        <v>#REF!</v>
      </c>
      <c r="N173" s="68" t="e">
        <f>#REF!*COM!$N$4</f>
        <v>#REF!</v>
      </c>
      <c r="O173" s="68" t="e">
        <f>#REF!*COM!$N$4</f>
        <v>#REF!</v>
      </c>
      <c r="P173" s="68" t="e">
        <f>#REF!*COM!$P$4</f>
        <v>#REF!</v>
      </c>
      <c r="Q173" s="68" t="e">
        <f>#REF!*COM!$P$4</f>
        <v>#REF!</v>
      </c>
      <c r="R173" s="68" t="e">
        <f>#REF!*COM!$R$4</f>
        <v>#REF!</v>
      </c>
      <c r="S173" s="68" t="e">
        <f>#REF!*COM!$R$4</f>
        <v>#REF!</v>
      </c>
      <c r="T173" s="111" t="e">
        <f t="shared" si="16"/>
        <v>#REF!</v>
      </c>
    </row>
    <row r="174" spans="1:20" ht="101.25" customHeight="1" x14ac:dyDescent="0.25">
      <c r="A174" s="49">
        <v>311</v>
      </c>
      <c r="B174" s="52">
        <v>41</v>
      </c>
      <c r="C174" s="52">
        <v>920</v>
      </c>
      <c r="D174" s="53">
        <v>70499</v>
      </c>
      <c r="E174" s="48" t="s">
        <v>173</v>
      </c>
      <c r="F174" s="62" t="s">
        <v>222</v>
      </c>
      <c r="G174" s="227"/>
      <c r="H174" s="68" t="e">
        <f>#REF!*COM!$H$4</f>
        <v>#REF!</v>
      </c>
      <c r="I174" s="68" t="e">
        <f>#REF!*COM!$H$4</f>
        <v>#REF!</v>
      </c>
      <c r="J174" s="68" t="e">
        <f>#REF!*COM!$J$4</f>
        <v>#REF!</v>
      </c>
      <c r="K174" s="68" t="e">
        <f>#REF!*COM!$J$4</f>
        <v>#REF!</v>
      </c>
      <c r="L174" s="68" t="e">
        <f>#REF!*COM!$L$4</f>
        <v>#REF!</v>
      </c>
      <c r="M174" s="68" t="e">
        <f>#REF!*COM!$L$4</f>
        <v>#REF!</v>
      </c>
      <c r="N174" s="68" t="e">
        <f>#REF!*COM!$N$4</f>
        <v>#REF!</v>
      </c>
      <c r="O174" s="68" t="e">
        <f>#REF!*COM!$N$4</f>
        <v>#REF!</v>
      </c>
      <c r="P174" s="68" t="e">
        <f>#REF!*COM!$P$4</f>
        <v>#REF!</v>
      </c>
      <c r="Q174" s="68" t="e">
        <f>#REF!*COM!$P$4</f>
        <v>#REF!</v>
      </c>
      <c r="R174" s="68" t="e">
        <f>#REF!*COM!$R$4</f>
        <v>#REF!</v>
      </c>
      <c r="S174" s="68" t="e">
        <f>#REF!*COM!$R$4</f>
        <v>#REF!</v>
      </c>
      <c r="T174" s="111" t="e">
        <f t="shared" si="16"/>
        <v>#REF!</v>
      </c>
    </row>
    <row r="175" spans="1:20" ht="101.25" customHeight="1" x14ac:dyDescent="0.25">
      <c r="A175" s="49">
        <v>311</v>
      </c>
      <c r="B175" s="52">
        <v>41</v>
      </c>
      <c r="C175" s="52">
        <v>920</v>
      </c>
      <c r="D175" s="53">
        <v>70499</v>
      </c>
      <c r="E175" s="48" t="s">
        <v>178</v>
      </c>
      <c r="F175" s="62" t="s">
        <v>325</v>
      </c>
      <c r="G175" s="225" t="s">
        <v>272</v>
      </c>
      <c r="H175" s="68" t="e">
        <f>#REF!*COM!$H$4</f>
        <v>#REF!</v>
      </c>
      <c r="I175" s="68" t="e">
        <f>#REF!*COM!$H$4</f>
        <v>#REF!</v>
      </c>
      <c r="J175" s="68" t="e">
        <f>#REF!*COM!$J$4</f>
        <v>#REF!</v>
      </c>
      <c r="K175" s="68" t="e">
        <f>#REF!*COM!$J$4</f>
        <v>#REF!</v>
      </c>
      <c r="L175" s="68" t="e">
        <f>#REF!*COM!$L$4</f>
        <v>#REF!</v>
      </c>
      <c r="M175" s="68" t="e">
        <f>#REF!*COM!$L$4</f>
        <v>#REF!</v>
      </c>
      <c r="N175" s="68" t="e">
        <f>#REF!*COM!$N$4</f>
        <v>#REF!</v>
      </c>
      <c r="O175" s="68" t="e">
        <f>#REF!*COM!$N$4</f>
        <v>#REF!</v>
      </c>
      <c r="P175" s="68" t="e">
        <f>#REF!*COM!$P$4</f>
        <v>#REF!</v>
      </c>
      <c r="Q175" s="68" t="e">
        <f>#REF!*COM!$P$4</f>
        <v>#REF!</v>
      </c>
      <c r="R175" s="68" t="e">
        <f>#REF!*COM!$R$4</f>
        <v>#REF!</v>
      </c>
      <c r="S175" s="68" t="e">
        <f>#REF!*COM!$R$4</f>
        <v>#REF!</v>
      </c>
      <c r="T175" s="111" t="e">
        <f t="shared" si="16"/>
        <v>#REF!</v>
      </c>
    </row>
    <row r="176" spans="1:20" ht="101.25" customHeight="1" x14ac:dyDescent="0.25">
      <c r="A176" s="49">
        <v>311</v>
      </c>
      <c r="B176" s="52">
        <v>41</v>
      </c>
      <c r="C176" s="52">
        <v>930</v>
      </c>
      <c r="D176" s="53">
        <v>70499</v>
      </c>
      <c r="E176" s="48" t="s">
        <v>176</v>
      </c>
      <c r="F176" s="62" t="s">
        <v>326</v>
      </c>
      <c r="G176" s="227"/>
      <c r="H176" s="68" t="e">
        <f>#REF!*COM!$H$4</f>
        <v>#REF!</v>
      </c>
      <c r="I176" s="68" t="e">
        <f>#REF!*COM!$H$4</f>
        <v>#REF!</v>
      </c>
      <c r="J176" s="68" t="e">
        <f>#REF!*COM!$J$4</f>
        <v>#REF!</v>
      </c>
      <c r="K176" s="68" t="e">
        <f>#REF!*COM!$J$4</f>
        <v>#REF!</v>
      </c>
      <c r="L176" s="68" t="e">
        <f>#REF!*COM!$L$4</f>
        <v>#REF!</v>
      </c>
      <c r="M176" s="68" t="e">
        <f>#REF!*COM!$L$4</f>
        <v>#REF!</v>
      </c>
      <c r="N176" s="68" t="e">
        <f>#REF!*COM!$N$4</f>
        <v>#REF!</v>
      </c>
      <c r="O176" s="68" t="e">
        <f>#REF!*COM!$N$4</f>
        <v>#REF!</v>
      </c>
      <c r="P176" s="68" t="e">
        <f>#REF!*COM!$P$4</f>
        <v>#REF!</v>
      </c>
      <c r="Q176" s="68" t="e">
        <f>#REF!*COM!$P$4</f>
        <v>#REF!</v>
      </c>
      <c r="R176" s="68" t="e">
        <f>#REF!*COM!$R$4</f>
        <v>#REF!</v>
      </c>
      <c r="S176" s="68" t="e">
        <f>#REF!*COM!$R$4</f>
        <v>#REF!</v>
      </c>
      <c r="T176" s="111" t="e">
        <f t="shared" si="16"/>
        <v>#REF!</v>
      </c>
    </row>
    <row r="177" spans="1:20" ht="101.25" customHeight="1" x14ac:dyDescent="0.25">
      <c r="A177" s="49">
        <v>311</v>
      </c>
      <c r="B177" s="52">
        <v>41</v>
      </c>
      <c r="C177" s="52">
        <v>920</v>
      </c>
      <c r="D177" s="53">
        <v>70499</v>
      </c>
      <c r="E177" s="48" t="s">
        <v>178</v>
      </c>
      <c r="F177" s="62" t="s">
        <v>327</v>
      </c>
      <c r="G177" s="225" t="s">
        <v>329</v>
      </c>
      <c r="H177" s="68" t="e">
        <f>#REF!*COM!$H$4</f>
        <v>#REF!</v>
      </c>
      <c r="I177" s="68" t="e">
        <f>#REF!*COM!$H$4</f>
        <v>#REF!</v>
      </c>
      <c r="J177" s="68" t="e">
        <f>#REF!*COM!$J$4</f>
        <v>#REF!</v>
      </c>
      <c r="K177" s="68" t="e">
        <f>#REF!*COM!$J$4</f>
        <v>#REF!</v>
      </c>
      <c r="L177" s="68" t="e">
        <f>#REF!*COM!$L$4</f>
        <v>#REF!</v>
      </c>
      <c r="M177" s="68" t="e">
        <f>#REF!*COM!$L$4</f>
        <v>#REF!</v>
      </c>
      <c r="N177" s="68" t="e">
        <f>#REF!*COM!$N$4</f>
        <v>#REF!</v>
      </c>
      <c r="O177" s="68" t="e">
        <f>#REF!*COM!$N$4</f>
        <v>#REF!</v>
      </c>
      <c r="P177" s="68" t="e">
        <f>#REF!*COM!$P$4</f>
        <v>#REF!</v>
      </c>
      <c r="Q177" s="68" t="e">
        <f>#REF!*COM!$P$4</f>
        <v>#REF!</v>
      </c>
      <c r="R177" s="68" t="e">
        <f>#REF!*COM!$R$4</f>
        <v>#REF!</v>
      </c>
      <c r="S177" s="68" t="e">
        <f>#REF!*COM!$R$4</f>
        <v>#REF!</v>
      </c>
      <c r="T177" s="111" t="e">
        <f t="shared" si="16"/>
        <v>#REF!</v>
      </c>
    </row>
    <row r="178" spans="1:20" ht="101.25" customHeight="1" x14ac:dyDescent="0.25">
      <c r="A178" s="49">
        <v>311</v>
      </c>
      <c r="B178" s="52">
        <v>41</v>
      </c>
      <c r="C178" s="52">
        <v>930</v>
      </c>
      <c r="D178" s="53">
        <v>70499</v>
      </c>
      <c r="E178" s="48" t="s">
        <v>176</v>
      </c>
      <c r="F178" s="62" t="s">
        <v>328</v>
      </c>
      <c r="G178" s="227"/>
      <c r="H178" s="68" t="e">
        <f>#REF!*COM!$H$4</f>
        <v>#REF!</v>
      </c>
      <c r="I178" s="68" t="e">
        <f>#REF!*COM!$H$4</f>
        <v>#REF!</v>
      </c>
      <c r="J178" s="68" t="e">
        <f>#REF!*COM!$J$4</f>
        <v>#REF!</v>
      </c>
      <c r="K178" s="68" t="e">
        <f>#REF!*COM!$J$4</f>
        <v>#REF!</v>
      </c>
      <c r="L178" s="68" t="e">
        <f>#REF!*COM!$L$4</f>
        <v>#REF!</v>
      </c>
      <c r="M178" s="68" t="e">
        <f>#REF!*COM!$L$4</f>
        <v>#REF!</v>
      </c>
      <c r="N178" s="68" t="e">
        <f>#REF!*COM!$N$4</f>
        <v>#REF!</v>
      </c>
      <c r="O178" s="68" t="e">
        <f>#REF!*COM!$N$4</f>
        <v>#REF!</v>
      </c>
      <c r="P178" s="68" t="e">
        <f>#REF!*COM!$P$4</f>
        <v>#REF!</v>
      </c>
      <c r="Q178" s="68" t="e">
        <f>#REF!*COM!$P$4</f>
        <v>#REF!</v>
      </c>
      <c r="R178" s="68" t="e">
        <f>#REF!*COM!$R$4</f>
        <v>#REF!</v>
      </c>
      <c r="S178" s="68" t="e">
        <f>#REF!*COM!$R$4</f>
        <v>#REF!</v>
      </c>
      <c r="T178" s="111" t="e">
        <f t="shared" si="16"/>
        <v>#REF!</v>
      </c>
    </row>
    <row r="179" spans="1:20" ht="101.25" customHeight="1" x14ac:dyDescent="0.25">
      <c r="A179" s="49">
        <v>311</v>
      </c>
      <c r="B179" s="52">
        <v>41</v>
      </c>
      <c r="C179" s="52">
        <v>910</v>
      </c>
      <c r="D179" s="53">
        <v>70499</v>
      </c>
      <c r="E179" s="48" t="s">
        <v>173</v>
      </c>
      <c r="F179" s="62" t="s">
        <v>339</v>
      </c>
      <c r="G179" s="225" t="s">
        <v>300</v>
      </c>
      <c r="H179" s="68" t="e">
        <f>#REF!*COM!$H$4</f>
        <v>#REF!</v>
      </c>
      <c r="I179" s="68" t="e">
        <f>#REF!*COM!$H$4</f>
        <v>#REF!</v>
      </c>
      <c r="J179" s="68" t="e">
        <f>#REF!*COM!$J$4</f>
        <v>#REF!</v>
      </c>
      <c r="K179" s="68" t="e">
        <f>#REF!*COM!$J$4</f>
        <v>#REF!</v>
      </c>
      <c r="L179" s="68" t="e">
        <f>#REF!*COM!$L$4</f>
        <v>#REF!</v>
      </c>
      <c r="M179" s="68" t="e">
        <f>#REF!*COM!$L$4</f>
        <v>#REF!</v>
      </c>
      <c r="N179" s="68" t="e">
        <f>#REF!*COM!$N$4</f>
        <v>#REF!</v>
      </c>
      <c r="O179" s="68" t="e">
        <f>#REF!*COM!$N$4</f>
        <v>#REF!</v>
      </c>
      <c r="P179" s="68" t="e">
        <f>#REF!*COM!$P$4</f>
        <v>#REF!</v>
      </c>
      <c r="Q179" s="68" t="e">
        <f>#REF!*COM!$P$4</f>
        <v>#REF!</v>
      </c>
      <c r="R179" s="68" t="e">
        <f>#REF!*COM!$R$4</f>
        <v>#REF!</v>
      </c>
      <c r="S179" s="68" t="e">
        <f>#REF!*COM!$R$4</f>
        <v>#REF!</v>
      </c>
      <c r="T179" s="111" t="e">
        <f t="shared" si="16"/>
        <v>#REF!</v>
      </c>
    </row>
    <row r="180" spans="1:20" ht="101.25" customHeight="1" x14ac:dyDescent="0.25">
      <c r="A180" s="49">
        <v>311</v>
      </c>
      <c r="B180" s="52">
        <v>41</v>
      </c>
      <c r="C180" s="52">
        <v>920</v>
      </c>
      <c r="D180" s="53">
        <v>70499</v>
      </c>
      <c r="E180" s="48" t="s">
        <v>173</v>
      </c>
      <c r="F180" s="62" t="s">
        <v>340</v>
      </c>
      <c r="G180" s="226"/>
      <c r="H180" s="68" t="e">
        <f>#REF!*COM!$H$4</f>
        <v>#REF!</v>
      </c>
      <c r="I180" s="68" t="e">
        <f>#REF!*COM!$H$4</f>
        <v>#REF!</v>
      </c>
      <c r="J180" s="68" t="e">
        <f>#REF!*COM!$J$4</f>
        <v>#REF!</v>
      </c>
      <c r="K180" s="68" t="e">
        <f>#REF!*COM!$J$4</f>
        <v>#REF!</v>
      </c>
      <c r="L180" s="68" t="e">
        <f>#REF!*COM!$L$4</f>
        <v>#REF!</v>
      </c>
      <c r="M180" s="68" t="e">
        <f>#REF!*COM!$L$4</f>
        <v>#REF!</v>
      </c>
      <c r="N180" s="68" t="e">
        <f>#REF!*COM!$N$4</f>
        <v>#REF!</v>
      </c>
      <c r="O180" s="68" t="e">
        <f>#REF!*COM!$N$4</f>
        <v>#REF!</v>
      </c>
      <c r="P180" s="68" t="e">
        <f>#REF!*COM!$P$4</f>
        <v>#REF!</v>
      </c>
      <c r="Q180" s="68" t="e">
        <f>#REF!*COM!$P$4</f>
        <v>#REF!</v>
      </c>
      <c r="R180" s="68" t="e">
        <f>#REF!*COM!$R$4</f>
        <v>#REF!</v>
      </c>
      <c r="S180" s="68" t="e">
        <f>#REF!*COM!$R$4</f>
        <v>#REF!</v>
      </c>
      <c r="T180" s="111" t="e">
        <f t="shared" si="16"/>
        <v>#REF!</v>
      </c>
    </row>
    <row r="181" spans="1:20" ht="101.25" customHeight="1" x14ac:dyDescent="0.25">
      <c r="A181" s="49">
        <v>311</v>
      </c>
      <c r="B181" s="52">
        <v>41</v>
      </c>
      <c r="C181" s="52">
        <v>930</v>
      </c>
      <c r="D181" s="53">
        <v>70499</v>
      </c>
      <c r="E181" s="48" t="s">
        <v>173</v>
      </c>
      <c r="F181" s="62" t="s">
        <v>341</v>
      </c>
      <c r="G181" s="227"/>
      <c r="H181" s="68" t="e">
        <f>#REF!*COM!$H$4</f>
        <v>#REF!</v>
      </c>
      <c r="I181" s="68" t="e">
        <f>#REF!*COM!$H$4</f>
        <v>#REF!</v>
      </c>
      <c r="J181" s="68" t="e">
        <f>#REF!*COM!$J$4</f>
        <v>#REF!</v>
      </c>
      <c r="K181" s="68" t="e">
        <f>#REF!*COM!$J$4</f>
        <v>#REF!</v>
      </c>
      <c r="L181" s="68" t="e">
        <f>#REF!*COM!$L$4</f>
        <v>#REF!</v>
      </c>
      <c r="M181" s="68" t="e">
        <f>#REF!*COM!$L$4</f>
        <v>#REF!</v>
      </c>
      <c r="N181" s="68" t="e">
        <f>#REF!*COM!$N$4</f>
        <v>#REF!</v>
      </c>
      <c r="O181" s="68" t="e">
        <f>#REF!*COM!$N$4</f>
        <v>#REF!</v>
      </c>
      <c r="P181" s="68" t="e">
        <f>#REF!*COM!$P$4</f>
        <v>#REF!</v>
      </c>
      <c r="Q181" s="68" t="e">
        <f>#REF!*COM!$P$4</f>
        <v>#REF!</v>
      </c>
      <c r="R181" s="68" t="e">
        <f>#REF!*COM!$R$4</f>
        <v>#REF!</v>
      </c>
      <c r="S181" s="68" t="e">
        <f>#REF!*COM!$R$4</f>
        <v>#REF!</v>
      </c>
      <c r="T181" s="111" t="e">
        <f t="shared" si="16"/>
        <v>#REF!</v>
      </c>
    </row>
    <row r="182" spans="1:20" ht="68.25" customHeight="1" x14ac:dyDescent="0.25">
      <c r="A182" s="4">
        <v>311</v>
      </c>
      <c r="B182" s="52">
        <v>41</v>
      </c>
      <c r="C182" s="52">
        <v>920</v>
      </c>
      <c r="D182" s="7">
        <v>70499</v>
      </c>
      <c r="E182" s="20" t="s">
        <v>170</v>
      </c>
      <c r="F182" s="38" t="s">
        <v>78</v>
      </c>
      <c r="G182" s="38"/>
      <c r="H182" s="68" t="e">
        <f>#REF!*COM!$H$4</f>
        <v>#REF!</v>
      </c>
      <c r="I182" s="68" t="e">
        <f>#REF!*COM!$H$4</f>
        <v>#REF!</v>
      </c>
      <c r="J182" s="68" t="e">
        <f>#REF!*COM!$J$4</f>
        <v>#REF!</v>
      </c>
      <c r="K182" s="68" t="e">
        <f>#REF!*COM!$J$4</f>
        <v>#REF!</v>
      </c>
      <c r="L182" s="68" t="e">
        <f>#REF!*COM!$L$4</f>
        <v>#REF!</v>
      </c>
      <c r="M182" s="68" t="e">
        <f>#REF!*COM!$L$4</f>
        <v>#REF!</v>
      </c>
      <c r="N182" s="68" t="e">
        <f>#REF!*COM!$N$4</f>
        <v>#REF!</v>
      </c>
      <c r="O182" s="68" t="e">
        <f>#REF!*COM!$N$4</f>
        <v>#REF!</v>
      </c>
      <c r="P182" s="68" t="e">
        <f>#REF!*COM!$P$4</f>
        <v>#REF!</v>
      </c>
      <c r="Q182" s="68" t="e">
        <f>#REF!*COM!$P$4</f>
        <v>#REF!</v>
      </c>
      <c r="R182" s="68" t="e">
        <f>#REF!*COM!$R$4</f>
        <v>#REF!</v>
      </c>
      <c r="S182" s="68" t="e">
        <f>#REF!*COM!$R$4</f>
        <v>#REF!</v>
      </c>
      <c r="T182" s="111" t="e">
        <f t="shared" si="16"/>
        <v>#REF!</v>
      </c>
    </row>
    <row r="183" spans="1:20" ht="78" customHeight="1" x14ac:dyDescent="0.25">
      <c r="A183" s="4">
        <v>321</v>
      </c>
      <c r="B183" s="52">
        <v>41</v>
      </c>
      <c r="C183" s="52">
        <v>930</v>
      </c>
      <c r="D183" s="7">
        <v>70499</v>
      </c>
      <c r="E183" s="20" t="s">
        <v>176</v>
      </c>
      <c r="F183" s="38" t="s">
        <v>79</v>
      </c>
      <c r="G183" s="38"/>
      <c r="H183" s="68" t="e">
        <f>#REF!*COM!$H$4</f>
        <v>#REF!</v>
      </c>
      <c r="I183" s="68" t="e">
        <f>#REF!*COM!$H$4</f>
        <v>#REF!</v>
      </c>
      <c r="J183" s="68" t="e">
        <f>#REF!*COM!$J$4</f>
        <v>#REF!</v>
      </c>
      <c r="K183" s="68" t="e">
        <f>#REF!*COM!$J$4</f>
        <v>#REF!</v>
      </c>
      <c r="L183" s="68" t="e">
        <f>#REF!*COM!$L$4</f>
        <v>#REF!</v>
      </c>
      <c r="M183" s="68" t="e">
        <f>#REF!*COM!$L$4</f>
        <v>#REF!</v>
      </c>
      <c r="N183" s="68" t="e">
        <f>#REF!*COM!$N$4</f>
        <v>#REF!</v>
      </c>
      <c r="O183" s="68" t="e">
        <f>#REF!*COM!$N$4</f>
        <v>#REF!</v>
      </c>
      <c r="P183" s="68" t="e">
        <f>#REF!*COM!$P$4</f>
        <v>#REF!</v>
      </c>
      <c r="Q183" s="68" t="e">
        <f>#REF!*COM!$P$4</f>
        <v>#REF!</v>
      </c>
      <c r="R183" s="68" t="e">
        <f>#REF!*COM!$R$4</f>
        <v>#REF!</v>
      </c>
      <c r="S183" s="68" t="e">
        <f>#REF!*COM!$R$4</f>
        <v>#REF!</v>
      </c>
      <c r="T183" s="111" t="e">
        <f t="shared" si="16"/>
        <v>#REF!</v>
      </c>
    </row>
    <row r="184" spans="1:20" ht="55.5" customHeight="1" x14ac:dyDescent="0.25">
      <c r="A184" s="4">
        <v>311</v>
      </c>
      <c r="B184" s="52">
        <v>41</v>
      </c>
      <c r="C184" s="52">
        <v>920</v>
      </c>
      <c r="D184" s="7">
        <v>70499</v>
      </c>
      <c r="E184" s="20" t="s">
        <v>178</v>
      </c>
      <c r="F184" s="86" t="s">
        <v>80</v>
      </c>
      <c r="G184" s="225" t="s">
        <v>361</v>
      </c>
      <c r="H184" s="68" t="e">
        <f>#REF!*COM!$H$4</f>
        <v>#REF!</v>
      </c>
      <c r="I184" s="68" t="e">
        <f>#REF!*COM!$H$4</f>
        <v>#REF!</v>
      </c>
      <c r="J184" s="68" t="e">
        <f>#REF!*COM!$J$4</f>
        <v>#REF!</v>
      </c>
      <c r="K184" s="68" t="e">
        <f>#REF!*COM!$J$4</f>
        <v>#REF!</v>
      </c>
      <c r="L184" s="68" t="e">
        <f>#REF!*COM!$L$4</f>
        <v>#REF!</v>
      </c>
      <c r="M184" s="68" t="e">
        <f>#REF!*COM!$L$4</f>
        <v>#REF!</v>
      </c>
      <c r="N184" s="68" t="e">
        <f>#REF!*COM!$N$4</f>
        <v>#REF!</v>
      </c>
      <c r="O184" s="68" t="e">
        <f>#REF!*COM!$N$4</f>
        <v>#REF!</v>
      </c>
      <c r="P184" s="68" t="e">
        <f>#REF!*COM!$P$4</f>
        <v>#REF!</v>
      </c>
      <c r="Q184" s="68" t="e">
        <f>#REF!*COM!$P$4</f>
        <v>#REF!</v>
      </c>
      <c r="R184" s="68" t="e">
        <f>#REF!*COM!$R$4</f>
        <v>#REF!</v>
      </c>
      <c r="S184" s="68" t="e">
        <f>#REF!*COM!$R$4</f>
        <v>#REF!</v>
      </c>
      <c r="T184" s="111" t="e">
        <f t="shared" si="16"/>
        <v>#REF!</v>
      </c>
    </row>
    <row r="185" spans="1:20" ht="55.5" customHeight="1" x14ac:dyDescent="0.25">
      <c r="A185" s="4">
        <v>321</v>
      </c>
      <c r="B185" s="52">
        <v>41</v>
      </c>
      <c r="C185" s="52">
        <v>930</v>
      </c>
      <c r="D185" s="7">
        <v>70499</v>
      </c>
      <c r="E185" s="20" t="s">
        <v>171</v>
      </c>
      <c r="F185" s="86" t="s">
        <v>81</v>
      </c>
      <c r="G185" s="226"/>
      <c r="H185" s="68" t="e">
        <f>#REF!*COM!$H$4</f>
        <v>#REF!</v>
      </c>
      <c r="I185" s="68" t="e">
        <f>#REF!*COM!$H$4</f>
        <v>#REF!</v>
      </c>
      <c r="J185" s="68" t="e">
        <f>#REF!*COM!$J$4</f>
        <v>#REF!</v>
      </c>
      <c r="K185" s="68" t="e">
        <f>#REF!*COM!$J$4</f>
        <v>#REF!</v>
      </c>
      <c r="L185" s="68" t="e">
        <f>#REF!*COM!$L$4</f>
        <v>#REF!</v>
      </c>
      <c r="M185" s="68" t="e">
        <f>#REF!*COM!$L$4</f>
        <v>#REF!</v>
      </c>
      <c r="N185" s="68" t="e">
        <f>#REF!*COM!$N$4</f>
        <v>#REF!</v>
      </c>
      <c r="O185" s="68" t="e">
        <f>#REF!*COM!$N$4</f>
        <v>#REF!</v>
      </c>
      <c r="P185" s="68" t="e">
        <f>#REF!*COM!$P$4</f>
        <v>#REF!</v>
      </c>
      <c r="Q185" s="68" t="e">
        <f>#REF!*COM!$P$4</f>
        <v>#REF!</v>
      </c>
      <c r="R185" s="68" t="e">
        <f>#REF!*COM!$R$4</f>
        <v>#REF!</v>
      </c>
      <c r="S185" s="68" t="e">
        <f>#REF!*COM!$R$4</f>
        <v>#REF!</v>
      </c>
      <c r="T185" s="111" t="e">
        <f t="shared" si="16"/>
        <v>#REF!</v>
      </c>
    </row>
    <row r="186" spans="1:20" ht="48.75" customHeight="1" x14ac:dyDescent="0.25">
      <c r="A186" s="4">
        <v>321</v>
      </c>
      <c r="B186" s="52">
        <v>41</v>
      </c>
      <c r="C186" s="52">
        <v>930</v>
      </c>
      <c r="D186" s="7">
        <v>70499</v>
      </c>
      <c r="E186" s="20" t="s">
        <v>176</v>
      </c>
      <c r="F186" s="86" t="s">
        <v>220</v>
      </c>
      <c r="G186" s="227"/>
      <c r="H186" s="68" t="e">
        <f>#REF!*COM!$H$4</f>
        <v>#REF!</v>
      </c>
      <c r="I186" s="68" t="e">
        <f>#REF!*COM!$H$4</f>
        <v>#REF!</v>
      </c>
      <c r="J186" s="68" t="e">
        <f>#REF!*COM!$J$4</f>
        <v>#REF!</v>
      </c>
      <c r="K186" s="68" t="e">
        <f>#REF!*COM!$J$4</f>
        <v>#REF!</v>
      </c>
      <c r="L186" s="68" t="e">
        <f>#REF!*COM!$L$4</f>
        <v>#REF!</v>
      </c>
      <c r="M186" s="68" t="e">
        <f>#REF!*COM!$L$4</f>
        <v>#REF!</v>
      </c>
      <c r="N186" s="68" t="e">
        <f>#REF!*COM!$N$4</f>
        <v>#REF!</v>
      </c>
      <c r="O186" s="68" t="e">
        <f>#REF!*COM!$N$4</f>
        <v>#REF!</v>
      </c>
      <c r="P186" s="68" t="e">
        <f>#REF!*COM!$P$4</f>
        <v>#REF!</v>
      </c>
      <c r="Q186" s="68" t="e">
        <f>#REF!*COM!$P$4</f>
        <v>#REF!</v>
      </c>
      <c r="R186" s="68" t="e">
        <f>#REF!*COM!$R$4</f>
        <v>#REF!</v>
      </c>
      <c r="S186" s="68" t="e">
        <f>#REF!*COM!$R$4</f>
        <v>#REF!</v>
      </c>
      <c r="T186" s="111" t="e">
        <f t="shared" si="16"/>
        <v>#REF!</v>
      </c>
    </row>
    <row r="187" spans="1:20" ht="51" customHeight="1" x14ac:dyDescent="0.25">
      <c r="A187" s="4">
        <v>311</v>
      </c>
      <c r="B187" s="52">
        <v>41</v>
      </c>
      <c r="C187" s="52">
        <v>920</v>
      </c>
      <c r="D187" s="7">
        <v>70499</v>
      </c>
      <c r="E187" s="20" t="s">
        <v>178</v>
      </c>
      <c r="F187" s="86" t="s">
        <v>82</v>
      </c>
      <c r="G187" s="225" t="s">
        <v>362</v>
      </c>
      <c r="H187" s="68" t="e">
        <f>#REF!*COM!$H$4</f>
        <v>#REF!</v>
      </c>
      <c r="I187" s="68" t="e">
        <f>#REF!*COM!$H$4</f>
        <v>#REF!</v>
      </c>
      <c r="J187" s="68" t="e">
        <f>#REF!*COM!$J$4</f>
        <v>#REF!</v>
      </c>
      <c r="K187" s="68" t="e">
        <f>#REF!*COM!$J$4</f>
        <v>#REF!</v>
      </c>
      <c r="L187" s="68" t="e">
        <f>#REF!*COM!$L$4</f>
        <v>#REF!</v>
      </c>
      <c r="M187" s="68" t="e">
        <f>#REF!*COM!$L$4</f>
        <v>#REF!</v>
      </c>
      <c r="N187" s="68" t="e">
        <f>#REF!*COM!$N$4</f>
        <v>#REF!</v>
      </c>
      <c r="O187" s="68" t="e">
        <f>#REF!*COM!$N$4</f>
        <v>#REF!</v>
      </c>
      <c r="P187" s="68" t="e">
        <f>#REF!*COM!$P$4</f>
        <v>#REF!</v>
      </c>
      <c r="Q187" s="68" t="e">
        <f>#REF!*COM!$P$4</f>
        <v>#REF!</v>
      </c>
      <c r="R187" s="68" t="e">
        <f>#REF!*COM!$R$4</f>
        <v>#REF!</v>
      </c>
      <c r="S187" s="68" t="e">
        <f>#REF!*COM!$R$4</f>
        <v>#REF!</v>
      </c>
      <c r="T187" s="111" t="e">
        <f t="shared" si="16"/>
        <v>#REF!</v>
      </c>
    </row>
    <row r="188" spans="1:20" ht="56.25" customHeight="1" x14ac:dyDescent="0.25">
      <c r="A188" s="4">
        <v>321</v>
      </c>
      <c r="B188" s="52">
        <v>41</v>
      </c>
      <c r="C188" s="52">
        <v>930</v>
      </c>
      <c r="D188" s="7">
        <v>70499</v>
      </c>
      <c r="E188" s="20" t="s">
        <v>176</v>
      </c>
      <c r="F188" s="86" t="s">
        <v>83</v>
      </c>
      <c r="G188" s="226"/>
      <c r="H188" s="68" t="e">
        <f>#REF!*COM!$H$4</f>
        <v>#REF!</v>
      </c>
      <c r="I188" s="68" t="e">
        <f>#REF!*COM!$H$4</f>
        <v>#REF!</v>
      </c>
      <c r="J188" s="68" t="e">
        <f>#REF!*COM!$J$4</f>
        <v>#REF!</v>
      </c>
      <c r="K188" s="68" t="e">
        <f>#REF!*COM!$J$4</f>
        <v>#REF!</v>
      </c>
      <c r="L188" s="68" t="e">
        <f>#REF!*COM!$L$4</f>
        <v>#REF!</v>
      </c>
      <c r="M188" s="68" t="e">
        <f>#REF!*COM!$L$4</f>
        <v>#REF!</v>
      </c>
      <c r="N188" s="68" t="e">
        <f>#REF!*COM!$N$4</f>
        <v>#REF!</v>
      </c>
      <c r="O188" s="68" t="e">
        <f>#REF!*COM!$N$4</f>
        <v>#REF!</v>
      </c>
      <c r="P188" s="68" t="e">
        <f>#REF!*COM!$P$4</f>
        <v>#REF!</v>
      </c>
      <c r="Q188" s="68" t="e">
        <f>#REF!*COM!$P$4</f>
        <v>#REF!</v>
      </c>
      <c r="R188" s="68" t="e">
        <f>#REF!*COM!$R$4</f>
        <v>#REF!</v>
      </c>
      <c r="S188" s="68" t="e">
        <f>#REF!*COM!$R$4</f>
        <v>#REF!</v>
      </c>
      <c r="T188" s="111" t="e">
        <f t="shared" si="16"/>
        <v>#REF!</v>
      </c>
    </row>
    <row r="189" spans="1:20" ht="57.75" customHeight="1" x14ac:dyDescent="0.25">
      <c r="A189" s="4">
        <v>321</v>
      </c>
      <c r="B189" s="52">
        <v>41</v>
      </c>
      <c r="C189" s="52">
        <v>930</v>
      </c>
      <c r="D189" s="7">
        <v>70499</v>
      </c>
      <c r="E189" s="20" t="s">
        <v>171</v>
      </c>
      <c r="F189" s="86" t="s">
        <v>84</v>
      </c>
      <c r="G189" s="227"/>
      <c r="H189" s="68" t="e">
        <f>#REF!*COM!$H$4</f>
        <v>#REF!</v>
      </c>
      <c r="I189" s="68" t="e">
        <f>#REF!*COM!$H$4</f>
        <v>#REF!</v>
      </c>
      <c r="J189" s="68" t="e">
        <f>#REF!*COM!$J$4</f>
        <v>#REF!</v>
      </c>
      <c r="K189" s="68" t="e">
        <f>#REF!*COM!$J$4</f>
        <v>#REF!</v>
      </c>
      <c r="L189" s="68" t="e">
        <f>#REF!*COM!$L$4</f>
        <v>#REF!</v>
      </c>
      <c r="M189" s="68" t="e">
        <f>#REF!*COM!$L$4</f>
        <v>#REF!</v>
      </c>
      <c r="N189" s="68" t="e">
        <f>#REF!*COM!$N$4</f>
        <v>#REF!</v>
      </c>
      <c r="O189" s="68" t="e">
        <f>#REF!*COM!$N$4</f>
        <v>#REF!</v>
      </c>
      <c r="P189" s="68" t="e">
        <f>#REF!*COM!$P$4</f>
        <v>#REF!</v>
      </c>
      <c r="Q189" s="68" t="e">
        <f>#REF!*COM!$P$4</f>
        <v>#REF!</v>
      </c>
      <c r="R189" s="68" t="e">
        <f>#REF!*COM!$R$4</f>
        <v>#REF!</v>
      </c>
      <c r="S189" s="68" t="e">
        <f>#REF!*COM!$R$4</f>
        <v>#REF!</v>
      </c>
      <c r="T189" s="111" t="e">
        <f t="shared" si="16"/>
        <v>#REF!</v>
      </c>
    </row>
    <row r="190" spans="1:20" ht="42.75" customHeight="1" x14ac:dyDescent="0.25">
      <c r="A190" s="4">
        <v>311</v>
      </c>
      <c r="B190" s="52">
        <v>41</v>
      </c>
      <c r="C190" s="52">
        <v>920</v>
      </c>
      <c r="D190" s="7">
        <v>70499</v>
      </c>
      <c r="E190" s="20" t="s">
        <v>178</v>
      </c>
      <c r="F190" s="86" t="s">
        <v>85</v>
      </c>
      <c r="G190" s="225" t="s">
        <v>363</v>
      </c>
      <c r="H190" s="68" t="e">
        <f>#REF!*COM!$H$4</f>
        <v>#REF!</v>
      </c>
      <c r="I190" s="68" t="e">
        <f>#REF!*COM!$H$4</f>
        <v>#REF!</v>
      </c>
      <c r="J190" s="68" t="e">
        <f>#REF!*COM!$J$4</f>
        <v>#REF!</v>
      </c>
      <c r="K190" s="68" t="e">
        <f>#REF!*COM!$J$4</f>
        <v>#REF!</v>
      </c>
      <c r="L190" s="68" t="e">
        <f>#REF!*COM!$L$4</f>
        <v>#REF!</v>
      </c>
      <c r="M190" s="68" t="e">
        <f>#REF!*COM!$L$4</f>
        <v>#REF!</v>
      </c>
      <c r="N190" s="68" t="e">
        <f>#REF!*COM!$N$4</f>
        <v>#REF!</v>
      </c>
      <c r="O190" s="68" t="e">
        <f>#REF!*COM!$N$4</f>
        <v>#REF!</v>
      </c>
      <c r="P190" s="68" t="e">
        <f>#REF!*COM!$P$4</f>
        <v>#REF!</v>
      </c>
      <c r="Q190" s="68" t="e">
        <f>#REF!*COM!$P$4</f>
        <v>#REF!</v>
      </c>
      <c r="R190" s="68" t="e">
        <f>#REF!*COM!$R$4</f>
        <v>#REF!</v>
      </c>
      <c r="S190" s="68" t="e">
        <f>#REF!*COM!$R$4</f>
        <v>#REF!</v>
      </c>
      <c r="T190" s="111" t="e">
        <f t="shared" si="16"/>
        <v>#REF!</v>
      </c>
    </row>
    <row r="191" spans="1:20" ht="66" customHeight="1" x14ac:dyDescent="0.25">
      <c r="A191" s="4">
        <v>321</v>
      </c>
      <c r="B191" s="52">
        <v>41</v>
      </c>
      <c r="C191" s="52">
        <v>930</v>
      </c>
      <c r="D191" s="7">
        <v>70499</v>
      </c>
      <c r="E191" s="20" t="s">
        <v>176</v>
      </c>
      <c r="F191" s="86" t="s">
        <v>86</v>
      </c>
      <c r="G191" s="226"/>
      <c r="H191" s="68" t="e">
        <f>#REF!*COM!$H$4</f>
        <v>#REF!</v>
      </c>
      <c r="I191" s="68" t="e">
        <f>#REF!*COM!$H$4</f>
        <v>#REF!</v>
      </c>
      <c r="J191" s="68" t="e">
        <f>#REF!*COM!$J$4</f>
        <v>#REF!</v>
      </c>
      <c r="K191" s="68" t="e">
        <f>#REF!*COM!$J$4</f>
        <v>#REF!</v>
      </c>
      <c r="L191" s="68" t="e">
        <f>#REF!*COM!$L$4</f>
        <v>#REF!</v>
      </c>
      <c r="M191" s="68" t="e">
        <f>#REF!*COM!$L$4</f>
        <v>#REF!</v>
      </c>
      <c r="N191" s="68" t="e">
        <f>#REF!*COM!$N$4</f>
        <v>#REF!</v>
      </c>
      <c r="O191" s="68" t="e">
        <f>#REF!*COM!$N$4</f>
        <v>#REF!</v>
      </c>
      <c r="P191" s="68" t="e">
        <f>#REF!*COM!$P$4</f>
        <v>#REF!</v>
      </c>
      <c r="Q191" s="68" t="e">
        <f>#REF!*COM!$P$4</f>
        <v>#REF!</v>
      </c>
      <c r="R191" s="68" t="e">
        <f>#REF!*COM!$R$4</f>
        <v>#REF!</v>
      </c>
      <c r="S191" s="68" t="e">
        <f>#REF!*COM!$R$4</f>
        <v>#REF!</v>
      </c>
      <c r="T191" s="111" t="e">
        <f t="shared" si="16"/>
        <v>#REF!</v>
      </c>
    </row>
    <row r="192" spans="1:20" ht="65.25" customHeight="1" x14ac:dyDescent="0.25">
      <c r="A192" s="4">
        <v>321</v>
      </c>
      <c r="B192" s="52">
        <v>41</v>
      </c>
      <c r="C192" s="52">
        <v>930</v>
      </c>
      <c r="D192" s="7">
        <v>70499</v>
      </c>
      <c r="E192" s="20" t="s">
        <v>171</v>
      </c>
      <c r="F192" s="86" t="s">
        <v>219</v>
      </c>
      <c r="G192" s="227"/>
      <c r="H192" s="68" t="e">
        <f>#REF!*COM!$H$4</f>
        <v>#REF!</v>
      </c>
      <c r="I192" s="68" t="e">
        <f>#REF!*COM!$H$4</f>
        <v>#REF!</v>
      </c>
      <c r="J192" s="68" t="e">
        <f>#REF!*COM!$J$4</f>
        <v>#REF!</v>
      </c>
      <c r="K192" s="68" t="e">
        <f>#REF!*COM!$J$4</f>
        <v>#REF!</v>
      </c>
      <c r="L192" s="68" t="e">
        <f>#REF!*COM!$L$4</f>
        <v>#REF!</v>
      </c>
      <c r="M192" s="68" t="e">
        <f>#REF!*COM!$L$4</f>
        <v>#REF!</v>
      </c>
      <c r="N192" s="68" t="e">
        <f>#REF!*COM!$N$4</f>
        <v>#REF!</v>
      </c>
      <c r="O192" s="68" t="e">
        <f>#REF!*COM!$N$4</f>
        <v>#REF!</v>
      </c>
      <c r="P192" s="68" t="e">
        <f>#REF!*COM!$P$4</f>
        <v>#REF!</v>
      </c>
      <c r="Q192" s="68" t="e">
        <f>#REF!*COM!$P$4</f>
        <v>#REF!</v>
      </c>
      <c r="R192" s="68" t="e">
        <f>#REF!*COM!$R$4</f>
        <v>#REF!</v>
      </c>
      <c r="S192" s="68" t="e">
        <f>#REF!*COM!$R$4</f>
        <v>#REF!</v>
      </c>
      <c r="T192" s="111" t="e">
        <f t="shared" si="16"/>
        <v>#REF!</v>
      </c>
    </row>
    <row r="193" spans="1:20" ht="59.25" customHeight="1" x14ac:dyDescent="0.25">
      <c r="A193" s="4">
        <v>311</v>
      </c>
      <c r="B193" s="52">
        <v>41</v>
      </c>
      <c r="C193" s="52">
        <v>920</v>
      </c>
      <c r="D193" s="7">
        <v>70499</v>
      </c>
      <c r="E193" s="20" t="s">
        <v>178</v>
      </c>
      <c r="F193" s="86" t="s">
        <v>87</v>
      </c>
      <c r="G193" s="225" t="s">
        <v>372</v>
      </c>
      <c r="H193" s="68" t="e">
        <f>#REF!*COM!$H$4</f>
        <v>#REF!</v>
      </c>
      <c r="I193" s="68" t="e">
        <f>#REF!*COM!$H$4</f>
        <v>#REF!</v>
      </c>
      <c r="J193" s="68" t="e">
        <f>#REF!*COM!$J$4</f>
        <v>#REF!</v>
      </c>
      <c r="K193" s="68" t="e">
        <f>#REF!*COM!$J$4</f>
        <v>#REF!</v>
      </c>
      <c r="L193" s="68" t="e">
        <f>#REF!*COM!$L$4</f>
        <v>#REF!</v>
      </c>
      <c r="M193" s="68" t="e">
        <f>#REF!*COM!$L$4</f>
        <v>#REF!</v>
      </c>
      <c r="N193" s="68" t="e">
        <f>#REF!*COM!$N$4</f>
        <v>#REF!</v>
      </c>
      <c r="O193" s="68" t="e">
        <f>#REF!*COM!$N$4</f>
        <v>#REF!</v>
      </c>
      <c r="P193" s="68" t="e">
        <f>#REF!*COM!$P$4</f>
        <v>#REF!</v>
      </c>
      <c r="Q193" s="68" t="e">
        <f>#REF!*COM!$P$4</f>
        <v>#REF!</v>
      </c>
      <c r="R193" s="68" t="e">
        <f>#REF!*COM!$R$4</f>
        <v>#REF!</v>
      </c>
      <c r="S193" s="68" t="e">
        <f>#REF!*COM!$R$4</f>
        <v>#REF!</v>
      </c>
      <c r="T193" s="111" t="e">
        <f t="shared" si="16"/>
        <v>#REF!</v>
      </c>
    </row>
    <row r="194" spans="1:20" ht="62.25" customHeight="1" x14ac:dyDescent="0.25">
      <c r="A194" s="4">
        <v>321</v>
      </c>
      <c r="B194" s="52">
        <v>41</v>
      </c>
      <c r="C194" s="52">
        <v>930</v>
      </c>
      <c r="D194" s="7">
        <v>70499</v>
      </c>
      <c r="E194" s="20" t="s">
        <v>176</v>
      </c>
      <c r="F194" s="86" t="s">
        <v>88</v>
      </c>
      <c r="G194" s="227"/>
      <c r="H194" s="68" t="e">
        <f>#REF!*COM!$H$4</f>
        <v>#REF!</v>
      </c>
      <c r="I194" s="68" t="e">
        <f>#REF!*COM!$H$4</f>
        <v>#REF!</v>
      </c>
      <c r="J194" s="68" t="e">
        <f>#REF!*COM!$J$4</f>
        <v>#REF!</v>
      </c>
      <c r="K194" s="68" t="e">
        <f>#REF!*COM!$J$4</f>
        <v>#REF!</v>
      </c>
      <c r="L194" s="68" t="e">
        <f>#REF!*COM!$L$4</f>
        <v>#REF!</v>
      </c>
      <c r="M194" s="68" t="e">
        <f>#REF!*COM!$L$4</f>
        <v>#REF!</v>
      </c>
      <c r="N194" s="68" t="e">
        <f>#REF!*COM!$N$4</f>
        <v>#REF!</v>
      </c>
      <c r="O194" s="68" t="e">
        <f>#REF!*COM!$N$4</f>
        <v>#REF!</v>
      </c>
      <c r="P194" s="68" t="e">
        <f>#REF!*COM!$P$4</f>
        <v>#REF!</v>
      </c>
      <c r="Q194" s="68" t="e">
        <f>#REF!*COM!$P$4</f>
        <v>#REF!</v>
      </c>
      <c r="R194" s="68" t="e">
        <f>#REF!*COM!$R$4</f>
        <v>#REF!</v>
      </c>
      <c r="S194" s="68" t="e">
        <f>#REF!*COM!$R$4</f>
        <v>#REF!</v>
      </c>
      <c r="T194" s="111" t="e">
        <f t="shared" si="16"/>
        <v>#REF!</v>
      </c>
    </row>
    <row r="195" spans="1:20" ht="67.5" customHeight="1" x14ac:dyDescent="0.25">
      <c r="A195" s="4">
        <v>311</v>
      </c>
      <c r="B195" s="52">
        <v>41</v>
      </c>
      <c r="C195" s="52">
        <v>920</v>
      </c>
      <c r="D195" s="7">
        <v>70499</v>
      </c>
      <c r="E195" s="20" t="s">
        <v>178</v>
      </c>
      <c r="F195" s="86" t="s">
        <v>89</v>
      </c>
      <c r="G195" s="225" t="s">
        <v>365</v>
      </c>
      <c r="H195" s="68" t="e">
        <f>#REF!*COM!$H$4</f>
        <v>#REF!</v>
      </c>
      <c r="I195" s="68" t="e">
        <f>#REF!*COM!$H$4</f>
        <v>#REF!</v>
      </c>
      <c r="J195" s="68" t="e">
        <f>#REF!*COM!$J$4</f>
        <v>#REF!</v>
      </c>
      <c r="K195" s="68" t="e">
        <f>#REF!*COM!$J$4</f>
        <v>#REF!</v>
      </c>
      <c r="L195" s="68" t="e">
        <f>#REF!*COM!$L$4</f>
        <v>#REF!</v>
      </c>
      <c r="M195" s="68" t="e">
        <f>#REF!*COM!$L$4</f>
        <v>#REF!</v>
      </c>
      <c r="N195" s="68" t="e">
        <f>#REF!*COM!$N$4</f>
        <v>#REF!</v>
      </c>
      <c r="O195" s="68" t="e">
        <f>#REF!*COM!$N$4</f>
        <v>#REF!</v>
      </c>
      <c r="P195" s="68" t="e">
        <f>#REF!*COM!$P$4</f>
        <v>#REF!</v>
      </c>
      <c r="Q195" s="68" t="e">
        <f>#REF!*COM!$P$4</f>
        <v>#REF!</v>
      </c>
      <c r="R195" s="68" t="e">
        <f>#REF!*COM!$R$4</f>
        <v>#REF!</v>
      </c>
      <c r="S195" s="68" t="e">
        <f>#REF!*COM!$R$4</f>
        <v>#REF!</v>
      </c>
      <c r="T195" s="111" t="e">
        <f t="shared" si="16"/>
        <v>#REF!</v>
      </c>
    </row>
    <row r="196" spans="1:20" ht="63" customHeight="1" x14ac:dyDescent="0.25">
      <c r="A196" s="4">
        <v>321</v>
      </c>
      <c r="B196" s="52">
        <v>41</v>
      </c>
      <c r="C196" s="52">
        <v>930</v>
      </c>
      <c r="D196" s="7">
        <v>70499</v>
      </c>
      <c r="E196" s="20" t="s">
        <v>176</v>
      </c>
      <c r="F196" s="86" t="s">
        <v>90</v>
      </c>
      <c r="G196" s="227"/>
      <c r="H196" s="68" t="e">
        <f>#REF!*COM!$H$4</f>
        <v>#REF!</v>
      </c>
      <c r="I196" s="68" t="e">
        <f>#REF!*COM!$H$4</f>
        <v>#REF!</v>
      </c>
      <c r="J196" s="68" t="e">
        <f>#REF!*COM!$J$4</f>
        <v>#REF!</v>
      </c>
      <c r="K196" s="68" t="e">
        <f>#REF!*COM!$J$4</f>
        <v>#REF!</v>
      </c>
      <c r="L196" s="68" t="e">
        <f>#REF!*COM!$L$4</f>
        <v>#REF!</v>
      </c>
      <c r="M196" s="68" t="e">
        <f>#REF!*COM!$L$4</f>
        <v>#REF!</v>
      </c>
      <c r="N196" s="68" t="e">
        <f>#REF!*COM!$N$4</f>
        <v>#REF!</v>
      </c>
      <c r="O196" s="68" t="e">
        <f>#REF!*COM!$N$4</f>
        <v>#REF!</v>
      </c>
      <c r="P196" s="68" t="e">
        <f>#REF!*COM!$P$4</f>
        <v>#REF!</v>
      </c>
      <c r="Q196" s="68" t="e">
        <f>#REF!*COM!$P$4</f>
        <v>#REF!</v>
      </c>
      <c r="R196" s="68" t="e">
        <f>#REF!*COM!$R$4</f>
        <v>#REF!</v>
      </c>
      <c r="S196" s="68" t="e">
        <f>#REF!*COM!$R$4</f>
        <v>#REF!</v>
      </c>
      <c r="T196" s="111" t="e">
        <f t="shared" si="16"/>
        <v>#REF!</v>
      </c>
    </row>
    <row r="197" spans="1:20" ht="64.5" customHeight="1" x14ac:dyDescent="0.25">
      <c r="A197" s="4">
        <v>311</v>
      </c>
      <c r="B197" s="52">
        <v>41</v>
      </c>
      <c r="C197" s="52">
        <v>920</v>
      </c>
      <c r="D197" s="7">
        <v>70499</v>
      </c>
      <c r="E197" s="20" t="s">
        <v>170</v>
      </c>
      <c r="F197" s="86" t="s">
        <v>91</v>
      </c>
      <c r="G197" s="225" t="s">
        <v>371</v>
      </c>
      <c r="H197" s="68" t="e">
        <f>#REF!*COM!$H$4</f>
        <v>#REF!</v>
      </c>
      <c r="I197" s="68" t="e">
        <f>#REF!*COM!$H$4</f>
        <v>#REF!</v>
      </c>
      <c r="J197" s="68" t="e">
        <f>#REF!*COM!$J$4</f>
        <v>#REF!</v>
      </c>
      <c r="K197" s="68" t="e">
        <f>#REF!*COM!$J$4</f>
        <v>#REF!</v>
      </c>
      <c r="L197" s="68" t="e">
        <f>#REF!*COM!$L$4</f>
        <v>#REF!</v>
      </c>
      <c r="M197" s="68" t="e">
        <f>#REF!*COM!$L$4</f>
        <v>#REF!</v>
      </c>
      <c r="N197" s="68" t="e">
        <f>#REF!*COM!$N$4</f>
        <v>#REF!</v>
      </c>
      <c r="O197" s="68" t="e">
        <f>#REF!*COM!$N$4</f>
        <v>#REF!</v>
      </c>
      <c r="P197" s="68" t="e">
        <f>#REF!*COM!$P$4</f>
        <v>#REF!</v>
      </c>
      <c r="Q197" s="68" t="e">
        <f>#REF!*COM!$P$4</f>
        <v>#REF!</v>
      </c>
      <c r="R197" s="68" t="e">
        <f>#REF!*COM!$R$4</f>
        <v>#REF!</v>
      </c>
      <c r="S197" s="68" t="e">
        <f>#REF!*COM!$R$4</f>
        <v>#REF!</v>
      </c>
      <c r="T197" s="111" t="e">
        <f t="shared" si="16"/>
        <v>#REF!</v>
      </c>
    </row>
    <row r="198" spans="1:20" ht="70.5" customHeight="1" x14ac:dyDescent="0.25">
      <c r="A198" s="4">
        <v>321</v>
      </c>
      <c r="B198" s="52">
        <v>41</v>
      </c>
      <c r="C198" s="52">
        <v>930</v>
      </c>
      <c r="D198" s="7">
        <v>70499</v>
      </c>
      <c r="E198" s="20" t="s">
        <v>176</v>
      </c>
      <c r="F198" s="86" t="s">
        <v>92</v>
      </c>
      <c r="G198" s="227"/>
      <c r="H198" s="68" t="e">
        <f>#REF!*COM!$H$4</f>
        <v>#REF!</v>
      </c>
      <c r="I198" s="68" t="e">
        <f>#REF!*COM!$H$4</f>
        <v>#REF!</v>
      </c>
      <c r="J198" s="68" t="e">
        <f>#REF!*COM!$J$4</f>
        <v>#REF!</v>
      </c>
      <c r="K198" s="68" t="e">
        <f>#REF!*COM!$J$4</f>
        <v>#REF!</v>
      </c>
      <c r="L198" s="68" t="e">
        <f>#REF!*COM!$L$4</f>
        <v>#REF!</v>
      </c>
      <c r="M198" s="68" t="e">
        <f>#REF!*COM!$L$4</f>
        <v>#REF!</v>
      </c>
      <c r="N198" s="68" t="e">
        <f>#REF!*COM!$N$4</f>
        <v>#REF!</v>
      </c>
      <c r="O198" s="68" t="e">
        <f>#REF!*COM!$N$4</f>
        <v>#REF!</v>
      </c>
      <c r="P198" s="68" t="e">
        <f>#REF!*COM!$P$4</f>
        <v>#REF!</v>
      </c>
      <c r="Q198" s="68" t="e">
        <f>#REF!*COM!$P$4</f>
        <v>#REF!</v>
      </c>
      <c r="R198" s="68" t="e">
        <f>#REF!*COM!$R$4</f>
        <v>#REF!</v>
      </c>
      <c r="S198" s="68" t="e">
        <f>#REF!*COM!$R$4</f>
        <v>#REF!</v>
      </c>
      <c r="T198" s="111" t="e">
        <f t="shared" si="16"/>
        <v>#REF!</v>
      </c>
    </row>
    <row r="199" spans="1:20" ht="56.25" customHeight="1" x14ac:dyDescent="0.25">
      <c r="A199" s="4">
        <v>311</v>
      </c>
      <c r="B199" s="52">
        <v>41</v>
      </c>
      <c r="C199" s="52">
        <v>920</v>
      </c>
      <c r="D199" s="7">
        <v>70499</v>
      </c>
      <c r="E199" s="20" t="s">
        <v>176</v>
      </c>
      <c r="F199" s="86" t="s">
        <v>93</v>
      </c>
      <c r="G199" s="38"/>
      <c r="H199" s="68" t="e">
        <f>#REF!*COM!$H$4</f>
        <v>#REF!</v>
      </c>
      <c r="I199" s="68" t="e">
        <f>#REF!*COM!$H$4</f>
        <v>#REF!</v>
      </c>
      <c r="J199" s="68" t="e">
        <f>#REF!*COM!$J$4</f>
        <v>#REF!</v>
      </c>
      <c r="K199" s="68" t="e">
        <f>#REF!*COM!$J$4</f>
        <v>#REF!</v>
      </c>
      <c r="L199" s="68" t="e">
        <f>#REF!*COM!$L$4</f>
        <v>#REF!</v>
      </c>
      <c r="M199" s="68" t="e">
        <f>#REF!*COM!$L$4</f>
        <v>#REF!</v>
      </c>
      <c r="N199" s="68" t="e">
        <f>#REF!*COM!$N$4</f>
        <v>#REF!</v>
      </c>
      <c r="O199" s="68" t="e">
        <f>#REF!*COM!$N$4</f>
        <v>#REF!</v>
      </c>
      <c r="P199" s="68" t="e">
        <f>#REF!*COM!$P$4</f>
        <v>#REF!</v>
      </c>
      <c r="Q199" s="68" t="e">
        <f>#REF!*COM!$P$4</f>
        <v>#REF!</v>
      </c>
      <c r="R199" s="68" t="e">
        <f>#REF!*COM!$R$4</f>
        <v>#REF!</v>
      </c>
      <c r="S199" s="68" t="e">
        <f>#REF!*COM!$R$4</f>
        <v>#REF!</v>
      </c>
      <c r="T199" s="111" t="e">
        <f t="shared" si="16"/>
        <v>#REF!</v>
      </c>
    </row>
    <row r="200" spans="1:20" ht="56.25" customHeight="1" x14ac:dyDescent="0.25">
      <c r="A200" s="4">
        <v>321</v>
      </c>
      <c r="B200" s="52">
        <v>41</v>
      </c>
      <c r="C200" s="52">
        <v>930</v>
      </c>
      <c r="D200" s="7">
        <v>70499</v>
      </c>
      <c r="E200" s="20" t="s">
        <v>176</v>
      </c>
      <c r="F200" s="86" t="s">
        <v>94</v>
      </c>
      <c r="G200" s="38"/>
      <c r="H200" s="68" t="e">
        <f>#REF!*COM!$H$4</f>
        <v>#REF!</v>
      </c>
      <c r="I200" s="68" t="e">
        <f>#REF!*COM!$H$4</f>
        <v>#REF!</v>
      </c>
      <c r="J200" s="68" t="e">
        <f>#REF!*COM!$J$4</f>
        <v>#REF!</v>
      </c>
      <c r="K200" s="68" t="e">
        <f>#REF!*COM!$J$4</f>
        <v>#REF!</v>
      </c>
      <c r="L200" s="68" t="e">
        <f>#REF!*COM!$L$4</f>
        <v>#REF!</v>
      </c>
      <c r="M200" s="68" t="e">
        <f>#REF!*COM!$L$4</f>
        <v>#REF!</v>
      </c>
      <c r="N200" s="68" t="e">
        <f>#REF!*COM!$N$4</f>
        <v>#REF!</v>
      </c>
      <c r="O200" s="68" t="e">
        <f>#REF!*COM!$N$4</f>
        <v>#REF!</v>
      </c>
      <c r="P200" s="68" t="e">
        <f>#REF!*COM!$P$4</f>
        <v>#REF!</v>
      </c>
      <c r="Q200" s="68" t="e">
        <f>#REF!*COM!$P$4</f>
        <v>#REF!</v>
      </c>
      <c r="R200" s="68" t="e">
        <f>#REF!*COM!$R$4</f>
        <v>#REF!</v>
      </c>
      <c r="S200" s="68" t="e">
        <f>#REF!*COM!$R$4</f>
        <v>#REF!</v>
      </c>
      <c r="T200" s="111" t="e">
        <f t="shared" si="16"/>
        <v>#REF!</v>
      </c>
    </row>
    <row r="201" spans="1:20" ht="56.25" customHeight="1" x14ac:dyDescent="0.25">
      <c r="A201" s="4">
        <v>311</v>
      </c>
      <c r="B201" s="52">
        <v>41</v>
      </c>
      <c r="C201" s="52">
        <v>920</v>
      </c>
      <c r="D201" s="7">
        <v>70499</v>
      </c>
      <c r="E201" s="20" t="s">
        <v>178</v>
      </c>
      <c r="F201" s="86" t="s">
        <v>95</v>
      </c>
      <c r="G201" s="38"/>
      <c r="H201" s="68" t="e">
        <f>#REF!*COM!$H$4</f>
        <v>#REF!</v>
      </c>
      <c r="I201" s="68" t="e">
        <f>#REF!*COM!$H$4</f>
        <v>#REF!</v>
      </c>
      <c r="J201" s="68" t="e">
        <f>#REF!*COM!$J$4</f>
        <v>#REF!</v>
      </c>
      <c r="K201" s="68" t="e">
        <f>#REF!*COM!$J$4</f>
        <v>#REF!</v>
      </c>
      <c r="L201" s="68" t="e">
        <f>#REF!*COM!$L$4</f>
        <v>#REF!</v>
      </c>
      <c r="M201" s="68" t="e">
        <f>#REF!*COM!$L$4</f>
        <v>#REF!</v>
      </c>
      <c r="N201" s="68" t="e">
        <f>#REF!*COM!$N$4</f>
        <v>#REF!</v>
      </c>
      <c r="O201" s="68" t="e">
        <f>#REF!*COM!$N$4</f>
        <v>#REF!</v>
      </c>
      <c r="P201" s="68" t="e">
        <f>#REF!*COM!$P$4</f>
        <v>#REF!</v>
      </c>
      <c r="Q201" s="68" t="e">
        <f>#REF!*COM!$P$4</f>
        <v>#REF!</v>
      </c>
      <c r="R201" s="68" t="e">
        <f>#REF!*COM!$R$4</f>
        <v>#REF!</v>
      </c>
      <c r="S201" s="68" t="e">
        <f>#REF!*COM!$R$4</f>
        <v>#REF!</v>
      </c>
      <c r="T201" s="111" t="e">
        <f t="shared" si="16"/>
        <v>#REF!</v>
      </c>
    </row>
    <row r="202" spans="1:20" ht="56.25" customHeight="1" x14ac:dyDescent="0.25">
      <c r="A202" s="4">
        <v>321</v>
      </c>
      <c r="B202" s="52">
        <v>41</v>
      </c>
      <c r="C202" s="52">
        <v>930</v>
      </c>
      <c r="D202" s="7">
        <v>70499</v>
      </c>
      <c r="E202" s="20" t="s">
        <v>176</v>
      </c>
      <c r="F202" s="86" t="s">
        <v>96</v>
      </c>
      <c r="G202" s="38"/>
      <c r="H202" s="68" t="e">
        <f>#REF!*COM!$H$4</f>
        <v>#REF!</v>
      </c>
      <c r="I202" s="68" t="e">
        <f>#REF!*COM!$H$4</f>
        <v>#REF!</v>
      </c>
      <c r="J202" s="68" t="e">
        <f>#REF!*COM!$J$4</f>
        <v>#REF!</v>
      </c>
      <c r="K202" s="68" t="e">
        <f>#REF!*COM!$J$4</f>
        <v>#REF!</v>
      </c>
      <c r="L202" s="68" t="e">
        <f>#REF!*COM!$L$4</f>
        <v>#REF!</v>
      </c>
      <c r="M202" s="68" t="e">
        <f>#REF!*COM!$L$4</f>
        <v>#REF!</v>
      </c>
      <c r="N202" s="68" t="e">
        <f>#REF!*COM!$N$4</f>
        <v>#REF!</v>
      </c>
      <c r="O202" s="68" t="e">
        <f>#REF!*COM!$N$4</f>
        <v>#REF!</v>
      </c>
      <c r="P202" s="68" t="e">
        <f>#REF!*COM!$P$4</f>
        <v>#REF!</v>
      </c>
      <c r="Q202" s="68" t="e">
        <f>#REF!*COM!$P$4</f>
        <v>#REF!</v>
      </c>
      <c r="R202" s="68" t="e">
        <f>#REF!*COM!$R$4</f>
        <v>#REF!</v>
      </c>
      <c r="S202" s="68" t="e">
        <f>#REF!*COM!$R$4</f>
        <v>#REF!</v>
      </c>
      <c r="T202" s="111" t="e">
        <f t="shared" si="16"/>
        <v>#REF!</v>
      </c>
    </row>
    <row r="203" spans="1:20" ht="60.75" customHeight="1" x14ac:dyDescent="0.25">
      <c r="A203" s="4">
        <v>311</v>
      </c>
      <c r="B203" s="52">
        <v>41</v>
      </c>
      <c r="C203" s="52">
        <v>920</v>
      </c>
      <c r="D203" s="7">
        <v>70499</v>
      </c>
      <c r="E203" s="20" t="s">
        <v>178</v>
      </c>
      <c r="F203" s="86" t="s">
        <v>216</v>
      </c>
      <c r="G203" s="233" t="s">
        <v>370</v>
      </c>
      <c r="H203" s="68" t="e">
        <f>#REF!*COM!$H$4</f>
        <v>#REF!</v>
      </c>
      <c r="I203" s="68" t="e">
        <f>#REF!*COM!$H$4</f>
        <v>#REF!</v>
      </c>
      <c r="J203" s="68" t="e">
        <f>#REF!*COM!$J$4</f>
        <v>#REF!</v>
      </c>
      <c r="K203" s="68" t="e">
        <f>#REF!*COM!$J$4</f>
        <v>#REF!</v>
      </c>
      <c r="L203" s="68" t="e">
        <f>#REF!*COM!$L$4</f>
        <v>#REF!</v>
      </c>
      <c r="M203" s="68" t="e">
        <f>#REF!*COM!$L$4</f>
        <v>#REF!</v>
      </c>
      <c r="N203" s="68" t="e">
        <f>#REF!*COM!$N$4</f>
        <v>#REF!</v>
      </c>
      <c r="O203" s="68" t="e">
        <f>#REF!*COM!$N$4</f>
        <v>#REF!</v>
      </c>
      <c r="P203" s="68" t="e">
        <f>#REF!*COM!$P$4</f>
        <v>#REF!</v>
      </c>
      <c r="Q203" s="68" t="e">
        <f>#REF!*COM!$P$4</f>
        <v>#REF!</v>
      </c>
      <c r="R203" s="68" t="e">
        <f>#REF!*COM!$R$4</f>
        <v>#REF!</v>
      </c>
      <c r="S203" s="68" t="e">
        <f>#REF!*COM!$R$4</f>
        <v>#REF!</v>
      </c>
      <c r="T203" s="111" t="e">
        <f t="shared" si="16"/>
        <v>#REF!</v>
      </c>
    </row>
    <row r="204" spans="1:20" ht="55.5" customHeight="1" x14ac:dyDescent="0.25">
      <c r="A204" s="4">
        <v>321</v>
      </c>
      <c r="B204" s="52">
        <v>41</v>
      </c>
      <c r="C204" s="52">
        <v>930</v>
      </c>
      <c r="D204" s="7">
        <v>70499</v>
      </c>
      <c r="E204" s="20" t="s">
        <v>176</v>
      </c>
      <c r="F204" s="86" t="s">
        <v>210</v>
      </c>
      <c r="G204" s="234"/>
      <c r="H204" s="68" t="e">
        <f>#REF!*COM!$H$4</f>
        <v>#REF!</v>
      </c>
      <c r="I204" s="68" t="e">
        <f>#REF!*COM!$H$4</f>
        <v>#REF!</v>
      </c>
      <c r="J204" s="68" t="e">
        <f>#REF!*COM!$J$4</f>
        <v>#REF!</v>
      </c>
      <c r="K204" s="68" t="e">
        <f>#REF!*COM!$J$4</f>
        <v>#REF!</v>
      </c>
      <c r="L204" s="68" t="e">
        <f>#REF!*COM!$L$4</f>
        <v>#REF!</v>
      </c>
      <c r="M204" s="68" t="e">
        <f>#REF!*COM!$L$4</f>
        <v>#REF!</v>
      </c>
      <c r="N204" s="68" t="e">
        <f>#REF!*COM!$N$4</f>
        <v>#REF!</v>
      </c>
      <c r="O204" s="68" t="e">
        <f>#REF!*COM!$N$4</f>
        <v>#REF!</v>
      </c>
      <c r="P204" s="68" t="e">
        <f>#REF!*COM!$P$4</f>
        <v>#REF!</v>
      </c>
      <c r="Q204" s="68" t="e">
        <f>#REF!*COM!$P$4</f>
        <v>#REF!</v>
      </c>
      <c r="R204" s="68" t="e">
        <f>#REF!*COM!$R$4</f>
        <v>#REF!</v>
      </c>
      <c r="S204" s="68" t="e">
        <f>#REF!*COM!$R$4</f>
        <v>#REF!</v>
      </c>
      <c r="T204" s="111" t="e">
        <f t="shared" si="16"/>
        <v>#REF!</v>
      </c>
    </row>
    <row r="205" spans="1:20" ht="51" customHeight="1" x14ac:dyDescent="0.25">
      <c r="A205" s="4">
        <v>311</v>
      </c>
      <c r="B205" s="52">
        <v>41</v>
      </c>
      <c r="C205" s="52">
        <v>920</v>
      </c>
      <c r="D205" s="7">
        <v>70499</v>
      </c>
      <c r="E205" s="20" t="s">
        <v>178</v>
      </c>
      <c r="F205" s="86" t="s">
        <v>217</v>
      </c>
      <c r="G205" s="38"/>
      <c r="H205" s="68" t="e">
        <f>#REF!*COM!$H$4</f>
        <v>#REF!</v>
      </c>
      <c r="I205" s="68" t="e">
        <f>#REF!*COM!$H$4</f>
        <v>#REF!</v>
      </c>
      <c r="J205" s="68" t="e">
        <f>#REF!*COM!$J$4</f>
        <v>#REF!</v>
      </c>
      <c r="K205" s="68" t="e">
        <f>#REF!*COM!$J$4</f>
        <v>#REF!</v>
      </c>
      <c r="L205" s="68" t="e">
        <f>#REF!*COM!$L$4</f>
        <v>#REF!</v>
      </c>
      <c r="M205" s="68" t="e">
        <f>#REF!*COM!$L$4</f>
        <v>#REF!</v>
      </c>
      <c r="N205" s="68" t="e">
        <f>#REF!*COM!$N$4</f>
        <v>#REF!</v>
      </c>
      <c r="O205" s="68" t="e">
        <f>#REF!*COM!$N$4</f>
        <v>#REF!</v>
      </c>
      <c r="P205" s="68" t="e">
        <f>#REF!*COM!$P$4</f>
        <v>#REF!</v>
      </c>
      <c r="Q205" s="68" t="e">
        <f>#REF!*COM!$P$4</f>
        <v>#REF!</v>
      </c>
      <c r="R205" s="68" t="e">
        <f>#REF!*COM!$R$4</f>
        <v>#REF!</v>
      </c>
      <c r="S205" s="68" t="e">
        <f>#REF!*COM!$R$4</f>
        <v>#REF!</v>
      </c>
      <c r="T205" s="111" t="e">
        <f t="shared" si="16"/>
        <v>#REF!</v>
      </c>
    </row>
    <row r="206" spans="1:20" ht="62.25" customHeight="1" x14ac:dyDescent="0.25">
      <c r="A206" s="4">
        <v>321</v>
      </c>
      <c r="B206" s="52">
        <v>41</v>
      </c>
      <c r="C206" s="52">
        <v>930</v>
      </c>
      <c r="D206" s="7">
        <v>70499</v>
      </c>
      <c r="E206" s="20" t="s">
        <v>176</v>
      </c>
      <c r="F206" s="86" t="s">
        <v>211</v>
      </c>
      <c r="G206" s="38"/>
      <c r="H206" s="68" t="e">
        <f>#REF!*COM!$H$4</f>
        <v>#REF!</v>
      </c>
      <c r="I206" s="68" t="e">
        <f>#REF!*COM!$H$4</f>
        <v>#REF!</v>
      </c>
      <c r="J206" s="68" t="e">
        <f>#REF!*COM!$J$4</f>
        <v>#REF!</v>
      </c>
      <c r="K206" s="68" t="e">
        <f>#REF!*COM!$J$4</f>
        <v>#REF!</v>
      </c>
      <c r="L206" s="68" t="e">
        <f>#REF!*COM!$L$4</f>
        <v>#REF!</v>
      </c>
      <c r="M206" s="68" t="e">
        <f>#REF!*COM!$L$4</f>
        <v>#REF!</v>
      </c>
      <c r="N206" s="68" t="e">
        <f>#REF!*COM!$N$4</f>
        <v>#REF!</v>
      </c>
      <c r="O206" s="68" t="e">
        <f>#REF!*COM!$N$4</f>
        <v>#REF!</v>
      </c>
      <c r="P206" s="68" t="e">
        <f>#REF!*COM!$P$4</f>
        <v>#REF!</v>
      </c>
      <c r="Q206" s="68" t="e">
        <f>#REF!*COM!$P$4</f>
        <v>#REF!</v>
      </c>
      <c r="R206" s="68" t="e">
        <f>#REF!*COM!$R$4</f>
        <v>#REF!</v>
      </c>
      <c r="S206" s="68" t="e">
        <f>#REF!*COM!$R$4</f>
        <v>#REF!</v>
      </c>
      <c r="T206" s="111" t="e">
        <f t="shared" si="16"/>
        <v>#REF!</v>
      </c>
    </row>
    <row r="207" spans="1:20" ht="48" customHeight="1" x14ac:dyDescent="0.25">
      <c r="A207" s="4">
        <v>311</v>
      </c>
      <c r="B207" s="52">
        <v>41</v>
      </c>
      <c r="C207" s="52">
        <v>920</v>
      </c>
      <c r="D207" s="7">
        <v>70499</v>
      </c>
      <c r="E207" s="20" t="s">
        <v>178</v>
      </c>
      <c r="F207" s="86" t="s">
        <v>212</v>
      </c>
      <c r="G207" s="225" t="s">
        <v>369</v>
      </c>
      <c r="H207" s="68" t="e">
        <f>#REF!*COM!$H$4</f>
        <v>#REF!</v>
      </c>
      <c r="I207" s="68" t="e">
        <f>#REF!*COM!$H$4</f>
        <v>#REF!</v>
      </c>
      <c r="J207" s="68" t="e">
        <f>#REF!*COM!$J$4</f>
        <v>#REF!</v>
      </c>
      <c r="K207" s="68" t="e">
        <f>#REF!*COM!$J$4</f>
        <v>#REF!</v>
      </c>
      <c r="L207" s="68" t="e">
        <f>#REF!*COM!$L$4</f>
        <v>#REF!</v>
      </c>
      <c r="M207" s="68" t="e">
        <f>#REF!*COM!$L$4</f>
        <v>#REF!</v>
      </c>
      <c r="N207" s="68" t="e">
        <f>#REF!*COM!$N$4</f>
        <v>#REF!</v>
      </c>
      <c r="O207" s="68" t="e">
        <f>#REF!*COM!$N$4</f>
        <v>#REF!</v>
      </c>
      <c r="P207" s="68" t="e">
        <f>#REF!*COM!$P$4</f>
        <v>#REF!</v>
      </c>
      <c r="Q207" s="68" t="e">
        <f>#REF!*COM!$P$4</f>
        <v>#REF!</v>
      </c>
      <c r="R207" s="68" t="e">
        <f>#REF!*COM!$R$4</f>
        <v>#REF!</v>
      </c>
      <c r="S207" s="68" t="e">
        <f>#REF!*COM!$R$4</f>
        <v>#REF!</v>
      </c>
      <c r="T207" s="111" t="e">
        <f t="shared" si="16"/>
        <v>#REF!</v>
      </c>
    </row>
    <row r="208" spans="1:20" ht="56.25" customHeight="1" x14ac:dyDescent="0.25">
      <c r="A208" s="4">
        <v>321</v>
      </c>
      <c r="B208" s="52">
        <v>41</v>
      </c>
      <c r="C208" s="52">
        <v>930</v>
      </c>
      <c r="D208" s="7">
        <v>70499</v>
      </c>
      <c r="E208" s="20" t="s">
        <v>176</v>
      </c>
      <c r="F208" s="86" t="s">
        <v>213</v>
      </c>
      <c r="G208" s="227"/>
      <c r="H208" s="68" t="e">
        <f>#REF!*COM!$H$4</f>
        <v>#REF!</v>
      </c>
      <c r="I208" s="68" t="e">
        <f>#REF!*COM!$H$4</f>
        <v>#REF!</v>
      </c>
      <c r="J208" s="68" t="e">
        <f>#REF!*COM!$J$4</f>
        <v>#REF!</v>
      </c>
      <c r="K208" s="68" t="e">
        <f>#REF!*COM!$J$4</f>
        <v>#REF!</v>
      </c>
      <c r="L208" s="68" t="e">
        <f>#REF!*COM!$L$4</f>
        <v>#REF!</v>
      </c>
      <c r="M208" s="68" t="e">
        <f>#REF!*COM!$L$4</f>
        <v>#REF!</v>
      </c>
      <c r="N208" s="68" t="e">
        <f>#REF!*COM!$N$4</f>
        <v>#REF!</v>
      </c>
      <c r="O208" s="68" t="e">
        <f>#REF!*COM!$N$4</f>
        <v>#REF!</v>
      </c>
      <c r="P208" s="68" t="e">
        <f>#REF!*COM!$P$4</f>
        <v>#REF!</v>
      </c>
      <c r="Q208" s="68" t="e">
        <f>#REF!*COM!$P$4</f>
        <v>#REF!</v>
      </c>
      <c r="R208" s="68" t="e">
        <f>#REF!*COM!$R$4</f>
        <v>#REF!</v>
      </c>
      <c r="S208" s="68" t="e">
        <f>#REF!*COM!$R$4</f>
        <v>#REF!</v>
      </c>
      <c r="T208" s="111" t="e">
        <f t="shared" si="16"/>
        <v>#REF!</v>
      </c>
    </row>
    <row r="209" spans="1:20" ht="51" customHeight="1" x14ac:dyDescent="0.25">
      <c r="A209" s="4">
        <v>311</v>
      </c>
      <c r="B209" s="52">
        <v>41</v>
      </c>
      <c r="C209" s="52">
        <v>920</v>
      </c>
      <c r="D209" s="7">
        <v>70499</v>
      </c>
      <c r="E209" s="20" t="s">
        <v>178</v>
      </c>
      <c r="F209" s="86" t="s">
        <v>214</v>
      </c>
      <c r="G209" s="225" t="s">
        <v>368</v>
      </c>
      <c r="H209" s="68" t="e">
        <f>#REF!*COM!$H$4</f>
        <v>#REF!</v>
      </c>
      <c r="I209" s="68" t="e">
        <f>#REF!*COM!$H$4</f>
        <v>#REF!</v>
      </c>
      <c r="J209" s="68" t="e">
        <f>#REF!*COM!$J$4</f>
        <v>#REF!</v>
      </c>
      <c r="K209" s="68" t="e">
        <f>#REF!*COM!$J$4</f>
        <v>#REF!</v>
      </c>
      <c r="L209" s="68" t="e">
        <f>#REF!*COM!$L$4</f>
        <v>#REF!</v>
      </c>
      <c r="M209" s="68" t="e">
        <f>#REF!*COM!$L$4</f>
        <v>#REF!</v>
      </c>
      <c r="N209" s="68" t="e">
        <f>#REF!*COM!$N$4</f>
        <v>#REF!</v>
      </c>
      <c r="O209" s="68" t="e">
        <f>#REF!*COM!$N$4</f>
        <v>#REF!</v>
      </c>
      <c r="P209" s="68" t="e">
        <f>#REF!*COM!$P$4</f>
        <v>#REF!</v>
      </c>
      <c r="Q209" s="68" t="e">
        <f>#REF!*COM!$P$4</f>
        <v>#REF!</v>
      </c>
      <c r="R209" s="68" t="e">
        <f>#REF!*COM!$R$4</f>
        <v>#REF!</v>
      </c>
      <c r="S209" s="68" t="e">
        <f>#REF!*COM!$R$4</f>
        <v>#REF!</v>
      </c>
      <c r="T209" s="111" t="e">
        <f t="shared" si="16"/>
        <v>#REF!</v>
      </c>
    </row>
    <row r="210" spans="1:20" ht="63" customHeight="1" x14ac:dyDescent="0.25">
      <c r="A210" s="4">
        <v>321</v>
      </c>
      <c r="B210" s="52">
        <v>41</v>
      </c>
      <c r="C210" s="52">
        <v>930</v>
      </c>
      <c r="D210" s="7">
        <v>70499</v>
      </c>
      <c r="E210" s="20" t="s">
        <v>176</v>
      </c>
      <c r="F210" s="86" t="s">
        <v>215</v>
      </c>
      <c r="G210" s="227"/>
      <c r="H210" s="68" t="e">
        <f>#REF!*COM!$H$4</f>
        <v>#REF!</v>
      </c>
      <c r="I210" s="68" t="e">
        <f>#REF!*COM!$H$4</f>
        <v>#REF!</v>
      </c>
      <c r="J210" s="68" t="e">
        <f>#REF!*COM!$J$4</f>
        <v>#REF!</v>
      </c>
      <c r="K210" s="68" t="e">
        <f>#REF!*COM!$J$4</f>
        <v>#REF!</v>
      </c>
      <c r="L210" s="68" t="e">
        <f>#REF!*COM!$L$4</f>
        <v>#REF!</v>
      </c>
      <c r="M210" s="68" t="e">
        <f>#REF!*COM!$L$4</f>
        <v>#REF!</v>
      </c>
      <c r="N210" s="68" t="e">
        <f>#REF!*COM!$N$4</f>
        <v>#REF!</v>
      </c>
      <c r="O210" s="68" t="e">
        <f>#REF!*COM!$N$4</f>
        <v>#REF!</v>
      </c>
      <c r="P210" s="68" t="e">
        <f>#REF!*COM!$P$4</f>
        <v>#REF!</v>
      </c>
      <c r="Q210" s="68" t="e">
        <f>#REF!*COM!$P$4</f>
        <v>#REF!</v>
      </c>
      <c r="R210" s="68" t="e">
        <f>#REF!*COM!$R$4</f>
        <v>#REF!</v>
      </c>
      <c r="S210" s="68" t="e">
        <f>#REF!*COM!$R$4</f>
        <v>#REF!</v>
      </c>
      <c r="T210" s="111" t="e">
        <f t="shared" si="16"/>
        <v>#REF!</v>
      </c>
    </row>
    <row r="211" spans="1:20" ht="64.5" customHeight="1" x14ac:dyDescent="0.25">
      <c r="A211" s="4">
        <v>311</v>
      </c>
      <c r="B211" s="52">
        <v>41</v>
      </c>
      <c r="C211" s="52">
        <v>920</v>
      </c>
      <c r="D211" s="7">
        <v>70499</v>
      </c>
      <c r="E211" s="20" t="s">
        <v>176</v>
      </c>
      <c r="F211" s="86" t="s">
        <v>201</v>
      </c>
      <c r="G211" s="225" t="s">
        <v>367</v>
      </c>
      <c r="H211" s="68" t="e">
        <f>#REF!*COM!$H$4</f>
        <v>#REF!</v>
      </c>
      <c r="I211" s="68" t="e">
        <f>#REF!*COM!$H$4</f>
        <v>#REF!</v>
      </c>
      <c r="J211" s="68" t="e">
        <f>#REF!*COM!$J$4</f>
        <v>#REF!</v>
      </c>
      <c r="K211" s="68" t="e">
        <f>#REF!*COM!$J$4</f>
        <v>#REF!</v>
      </c>
      <c r="L211" s="68" t="e">
        <f>#REF!*COM!$L$4</f>
        <v>#REF!</v>
      </c>
      <c r="M211" s="68" t="e">
        <f>#REF!*COM!$L$4</f>
        <v>#REF!</v>
      </c>
      <c r="N211" s="68" t="e">
        <f>#REF!*COM!$N$4</f>
        <v>#REF!</v>
      </c>
      <c r="O211" s="68" t="e">
        <f>#REF!*COM!$N$4</f>
        <v>#REF!</v>
      </c>
      <c r="P211" s="68" t="e">
        <f>#REF!*COM!$P$4</f>
        <v>#REF!</v>
      </c>
      <c r="Q211" s="68" t="e">
        <f>#REF!*COM!$P$4</f>
        <v>#REF!</v>
      </c>
      <c r="R211" s="68" t="e">
        <f>#REF!*COM!$R$4</f>
        <v>#REF!</v>
      </c>
      <c r="S211" s="68" t="e">
        <f>#REF!*COM!$R$4</f>
        <v>#REF!</v>
      </c>
      <c r="T211" s="111" t="e">
        <f t="shared" si="16"/>
        <v>#REF!</v>
      </c>
    </row>
    <row r="212" spans="1:20" ht="54" customHeight="1" x14ac:dyDescent="0.25">
      <c r="A212" s="4">
        <v>321</v>
      </c>
      <c r="B212" s="52">
        <v>41</v>
      </c>
      <c r="C212" s="52">
        <v>930</v>
      </c>
      <c r="D212" s="7">
        <v>70499</v>
      </c>
      <c r="E212" s="20" t="s">
        <v>176</v>
      </c>
      <c r="F212" s="86" t="s">
        <v>200</v>
      </c>
      <c r="G212" s="227"/>
      <c r="H212" s="68" t="e">
        <f>#REF!*COM!$H$4</f>
        <v>#REF!</v>
      </c>
      <c r="I212" s="68" t="e">
        <f>#REF!*COM!$H$4</f>
        <v>#REF!</v>
      </c>
      <c r="J212" s="68" t="e">
        <f>#REF!*COM!$J$4</f>
        <v>#REF!</v>
      </c>
      <c r="K212" s="68" t="e">
        <f>#REF!*COM!$J$4</f>
        <v>#REF!</v>
      </c>
      <c r="L212" s="68" t="e">
        <f>#REF!*COM!$L$4</f>
        <v>#REF!</v>
      </c>
      <c r="M212" s="68" t="e">
        <f>#REF!*COM!$L$4</f>
        <v>#REF!</v>
      </c>
      <c r="N212" s="68" t="e">
        <f>#REF!*COM!$N$4</f>
        <v>#REF!</v>
      </c>
      <c r="O212" s="68" t="e">
        <f>#REF!*COM!$N$4</f>
        <v>#REF!</v>
      </c>
      <c r="P212" s="68" t="e">
        <f>#REF!*COM!$P$4</f>
        <v>#REF!</v>
      </c>
      <c r="Q212" s="68" t="e">
        <f>#REF!*COM!$P$4</f>
        <v>#REF!</v>
      </c>
      <c r="R212" s="68" t="e">
        <f>#REF!*COM!$R$4</f>
        <v>#REF!</v>
      </c>
      <c r="S212" s="68" t="e">
        <f>#REF!*COM!$R$4</f>
        <v>#REF!</v>
      </c>
      <c r="T212" s="111" t="e">
        <f t="shared" ref="T212:T275" si="19">I212+K212+M212+O212+Q212+S212</f>
        <v>#REF!</v>
      </c>
    </row>
    <row r="213" spans="1:20" ht="55.5" customHeight="1" x14ac:dyDescent="0.25">
      <c r="A213" s="4">
        <v>311</v>
      </c>
      <c r="B213" s="52">
        <v>41</v>
      </c>
      <c r="C213" s="52">
        <v>920</v>
      </c>
      <c r="D213" s="7">
        <v>70499</v>
      </c>
      <c r="E213" s="20" t="s">
        <v>176</v>
      </c>
      <c r="F213" s="86" t="s">
        <v>202</v>
      </c>
      <c r="G213" s="38"/>
      <c r="H213" s="68" t="e">
        <f>#REF!*COM!$H$4</f>
        <v>#REF!</v>
      </c>
      <c r="I213" s="68" t="e">
        <f>#REF!*COM!$H$4</f>
        <v>#REF!</v>
      </c>
      <c r="J213" s="68" t="e">
        <f>#REF!*COM!$J$4</f>
        <v>#REF!</v>
      </c>
      <c r="K213" s="68" t="e">
        <f>#REF!*COM!$J$4</f>
        <v>#REF!</v>
      </c>
      <c r="L213" s="68" t="e">
        <f>#REF!*COM!$L$4</f>
        <v>#REF!</v>
      </c>
      <c r="M213" s="68" t="e">
        <f>#REF!*COM!$L$4</f>
        <v>#REF!</v>
      </c>
      <c r="N213" s="68" t="e">
        <f>#REF!*COM!$N$4</f>
        <v>#REF!</v>
      </c>
      <c r="O213" s="68" t="e">
        <f>#REF!*COM!$N$4</f>
        <v>#REF!</v>
      </c>
      <c r="P213" s="68" t="e">
        <f>#REF!*COM!$P$4</f>
        <v>#REF!</v>
      </c>
      <c r="Q213" s="68" t="e">
        <f>#REF!*COM!$P$4</f>
        <v>#REF!</v>
      </c>
      <c r="R213" s="68" t="e">
        <f>#REF!*COM!$R$4</f>
        <v>#REF!</v>
      </c>
      <c r="S213" s="68" t="e">
        <f>#REF!*COM!$R$4</f>
        <v>#REF!</v>
      </c>
      <c r="T213" s="111" t="e">
        <f t="shared" si="19"/>
        <v>#REF!</v>
      </c>
    </row>
    <row r="214" spans="1:20" ht="54" customHeight="1" x14ac:dyDescent="0.25">
      <c r="A214" s="4">
        <v>321</v>
      </c>
      <c r="B214" s="52">
        <v>41</v>
      </c>
      <c r="C214" s="52">
        <v>930</v>
      </c>
      <c r="D214" s="7">
        <v>70499</v>
      </c>
      <c r="E214" s="20" t="s">
        <v>176</v>
      </c>
      <c r="F214" s="86" t="s">
        <v>203</v>
      </c>
      <c r="G214" s="38"/>
      <c r="H214" s="68" t="e">
        <f>#REF!*COM!$H$4</f>
        <v>#REF!</v>
      </c>
      <c r="I214" s="68" t="e">
        <f>#REF!*COM!$H$4</f>
        <v>#REF!</v>
      </c>
      <c r="J214" s="68" t="e">
        <f>#REF!*COM!$J$4</f>
        <v>#REF!</v>
      </c>
      <c r="K214" s="68" t="e">
        <f>#REF!*COM!$J$4</f>
        <v>#REF!</v>
      </c>
      <c r="L214" s="68" t="e">
        <f>#REF!*COM!$L$4</f>
        <v>#REF!</v>
      </c>
      <c r="M214" s="68" t="e">
        <f>#REF!*COM!$L$4</f>
        <v>#REF!</v>
      </c>
      <c r="N214" s="68" t="e">
        <f>#REF!*COM!$N$4</f>
        <v>#REF!</v>
      </c>
      <c r="O214" s="68" t="e">
        <f>#REF!*COM!$N$4</f>
        <v>#REF!</v>
      </c>
      <c r="P214" s="68" t="e">
        <f>#REF!*COM!$P$4</f>
        <v>#REF!</v>
      </c>
      <c r="Q214" s="68" t="e">
        <f>#REF!*COM!$P$4</f>
        <v>#REF!</v>
      </c>
      <c r="R214" s="68" t="e">
        <f>#REF!*COM!$R$4</f>
        <v>#REF!</v>
      </c>
      <c r="S214" s="68" t="e">
        <f>#REF!*COM!$R$4</f>
        <v>#REF!</v>
      </c>
      <c r="T214" s="111" t="e">
        <f t="shared" si="19"/>
        <v>#REF!</v>
      </c>
    </row>
    <row r="215" spans="1:20" ht="66.75" customHeight="1" x14ac:dyDescent="0.25">
      <c r="A215" s="4">
        <v>311</v>
      </c>
      <c r="B215" s="52">
        <v>41</v>
      </c>
      <c r="C215" s="52">
        <v>920</v>
      </c>
      <c r="D215" s="7">
        <v>70499</v>
      </c>
      <c r="E215" s="20" t="s">
        <v>176</v>
      </c>
      <c r="F215" s="86" t="s">
        <v>204</v>
      </c>
      <c r="G215" s="38"/>
      <c r="H215" s="68" t="e">
        <f>#REF!*COM!$H$4</f>
        <v>#REF!</v>
      </c>
      <c r="I215" s="68" t="e">
        <f>#REF!*COM!$H$4</f>
        <v>#REF!</v>
      </c>
      <c r="J215" s="68" t="e">
        <f>#REF!*COM!$J$4</f>
        <v>#REF!</v>
      </c>
      <c r="K215" s="68" t="e">
        <f>#REF!*COM!$J$4</f>
        <v>#REF!</v>
      </c>
      <c r="L215" s="68" t="e">
        <f>#REF!*COM!$L$4</f>
        <v>#REF!</v>
      </c>
      <c r="M215" s="68" t="e">
        <f>#REF!*COM!$L$4</f>
        <v>#REF!</v>
      </c>
      <c r="N215" s="68" t="e">
        <f>#REF!*COM!$N$4</f>
        <v>#REF!</v>
      </c>
      <c r="O215" s="68" t="e">
        <f>#REF!*COM!$N$4</f>
        <v>#REF!</v>
      </c>
      <c r="P215" s="68" t="e">
        <f>#REF!*COM!$P$4</f>
        <v>#REF!</v>
      </c>
      <c r="Q215" s="68" t="e">
        <f>#REF!*COM!$P$4</f>
        <v>#REF!</v>
      </c>
      <c r="R215" s="68" t="e">
        <f>#REF!*COM!$R$4</f>
        <v>#REF!</v>
      </c>
      <c r="S215" s="68" t="e">
        <f>#REF!*COM!$R$4</f>
        <v>#REF!</v>
      </c>
      <c r="T215" s="111" t="e">
        <f t="shared" si="19"/>
        <v>#REF!</v>
      </c>
    </row>
    <row r="216" spans="1:20" ht="65.25" customHeight="1" x14ac:dyDescent="0.25">
      <c r="A216" s="4">
        <v>321</v>
      </c>
      <c r="B216" s="52">
        <v>41</v>
      </c>
      <c r="C216" s="52">
        <v>930</v>
      </c>
      <c r="D216" s="7">
        <v>70499</v>
      </c>
      <c r="E216" s="20" t="s">
        <v>176</v>
      </c>
      <c r="F216" s="86" t="s">
        <v>205</v>
      </c>
      <c r="G216" s="38"/>
      <c r="H216" s="68" t="e">
        <f>#REF!*COM!$H$4</f>
        <v>#REF!</v>
      </c>
      <c r="I216" s="68" t="e">
        <f>#REF!*COM!$H$4</f>
        <v>#REF!</v>
      </c>
      <c r="J216" s="68" t="e">
        <f>#REF!*COM!$J$4</f>
        <v>#REF!</v>
      </c>
      <c r="K216" s="68" t="e">
        <f>#REF!*COM!$J$4</f>
        <v>#REF!</v>
      </c>
      <c r="L216" s="68" t="e">
        <f>#REF!*COM!$L$4</f>
        <v>#REF!</v>
      </c>
      <c r="M216" s="68" t="e">
        <f>#REF!*COM!$L$4</f>
        <v>#REF!</v>
      </c>
      <c r="N216" s="68" t="e">
        <f>#REF!*COM!$N$4</f>
        <v>#REF!</v>
      </c>
      <c r="O216" s="68" t="e">
        <f>#REF!*COM!$N$4</f>
        <v>#REF!</v>
      </c>
      <c r="P216" s="68" t="e">
        <f>#REF!*COM!$P$4</f>
        <v>#REF!</v>
      </c>
      <c r="Q216" s="68" t="e">
        <f>#REF!*COM!$P$4</f>
        <v>#REF!</v>
      </c>
      <c r="R216" s="68" t="e">
        <f>#REF!*COM!$R$4</f>
        <v>#REF!</v>
      </c>
      <c r="S216" s="68" t="e">
        <f>#REF!*COM!$R$4</f>
        <v>#REF!</v>
      </c>
      <c r="T216" s="111" t="e">
        <f t="shared" si="19"/>
        <v>#REF!</v>
      </c>
    </row>
    <row r="217" spans="1:20" ht="79.5" customHeight="1" x14ac:dyDescent="0.25">
      <c r="A217" s="4">
        <v>311</v>
      </c>
      <c r="B217" s="52">
        <v>41</v>
      </c>
      <c r="C217" s="52">
        <v>920</v>
      </c>
      <c r="D217" s="7">
        <v>70499</v>
      </c>
      <c r="E217" s="20" t="s">
        <v>176</v>
      </c>
      <c r="F217" s="86" t="s">
        <v>360</v>
      </c>
      <c r="G217" s="225" t="s">
        <v>366</v>
      </c>
      <c r="H217" s="68" t="e">
        <f>#REF!*COM!$H$4</f>
        <v>#REF!</v>
      </c>
      <c r="I217" s="68" t="e">
        <f>#REF!*COM!$H$4</f>
        <v>#REF!</v>
      </c>
      <c r="J217" s="68" t="e">
        <f>#REF!*COM!$J$4</f>
        <v>#REF!</v>
      </c>
      <c r="K217" s="68" t="e">
        <f>#REF!*COM!$J$4</f>
        <v>#REF!</v>
      </c>
      <c r="L217" s="68" t="e">
        <f>#REF!*COM!$L$4</f>
        <v>#REF!</v>
      </c>
      <c r="M217" s="68" t="e">
        <f>#REF!*COM!$L$4</f>
        <v>#REF!</v>
      </c>
      <c r="N217" s="68" t="e">
        <f>#REF!*COM!$N$4</f>
        <v>#REF!</v>
      </c>
      <c r="O217" s="68" t="e">
        <f>#REF!*COM!$N$4</f>
        <v>#REF!</v>
      </c>
      <c r="P217" s="68" t="e">
        <f>#REF!*COM!$P$4</f>
        <v>#REF!</v>
      </c>
      <c r="Q217" s="68" t="e">
        <f>#REF!*COM!$P$4</f>
        <v>#REF!</v>
      </c>
      <c r="R217" s="68" t="e">
        <f>#REF!*COM!$R$4</f>
        <v>#REF!</v>
      </c>
      <c r="S217" s="68" t="e">
        <f>#REF!*COM!$R$4</f>
        <v>#REF!</v>
      </c>
      <c r="T217" s="111" t="e">
        <f>I217+K217+M217+O218+Q217+S217</f>
        <v>#REF!</v>
      </c>
    </row>
    <row r="218" spans="1:20" ht="78" customHeight="1" x14ac:dyDescent="0.25">
      <c r="A218" s="4">
        <v>321</v>
      </c>
      <c r="B218" s="52">
        <v>41</v>
      </c>
      <c r="C218" s="52">
        <v>930</v>
      </c>
      <c r="D218" s="7">
        <v>70499</v>
      </c>
      <c r="E218" s="20" t="s">
        <v>176</v>
      </c>
      <c r="F218" s="86" t="s">
        <v>206</v>
      </c>
      <c r="G218" s="227"/>
      <c r="H218" s="68" t="e">
        <f>#REF!*COM!$H$4</f>
        <v>#REF!</v>
      </c>
      <c r="I218" s="68" t="e">
        <f>#REF!*COM!$H$4</f>
        <v>#REF!</v>
      </c>
      <c r="J218" s="68" t="e">
        <f>#REF!*COM!$J$4</f>
        <v>#REF!</v>
      </c>
      <c r="K218" s="68" t="e">
        <f>#REF!*COM!$J$4</f>
        <v>#REF!</v>
      </c>
      <c r="L218" s="68" t="e">
        <f>#REF!*COM!$L$4</f>
        <v>#REF!</v>
      </c>
      <c r="M218" s="68" t="e">
        <f>#REF!*COM!$L$4</f>
        <v>#REF!</v>
      </c>
      <c r="N218" s="68" t="e">
        <f>#REF!*COM!$N$4</f>
        <v>#REF!</v>
      </c>
      <c r="O218" s="68" t="e">
        <f>#REF!*COM!$N$4</f>
        <v>#REF!</v>
      </c>
      <c r="P218" s="68" t="e">
        <f>#REF!*COM!$P$4</f>
        <v>#REF!</v>
      </c>
      <c r="Q218" s="68" t="e">
        <f>#REF!*COM!$P$4</f>
        <v>#REF!</v>
      </c>
      <c r="R218" s="68" t="e">
        <f>#REF!*COM!$R$4</f>
        <v>#REF!</v>
      </c>
      <c r="S218" s="68" t="e">
        <f>#REF!*COM!$R$4</f>
        <v>#REF!</v>
      </c>
      <c r="T218" s="111" t="e">
        <f>I218+K218+M218+#REF!+Q218+S218</f>
        <v>#REF!</v>
      </c>
    </row>
    <row r="219" spans="1:20" ht="83.25" customHeight="1" x14ac:dyDescent="0.25">
      <c r="A219" s="4">
        <v>311</v>
      </c>
      <c r="B219" s="52">
        <v>41</v>
      </c>
      <c r="C219" s="52">
        <v>920</v>
      </c>
      <c r="D219" s="7">
        <v>70499</v>
      </c>
      <c r="E219" s="20" t="s">
        <v>176</v>
      </c>
      <c r="F219" s="86" t="s">
        <v>208</v>
      </c>
      <c r="G219" s="225" t="s">
        <v>365</v>
      </c>
      <c r="H219" s="68" t="e">
        <f>#REF!*COM!$H$4</f>
        <v>#REF!</v>
      </c>
      <c r="I219" s="68" t="e">
        <f>#REF!*COM!$H$4</f>
        <v>#REF!</v>
      </c>
      <c r="J219" s="68" t="e">
        <f>#REF!*COM!$J$4</f>
        <v>#REF!</v>
      </c>
      <c r="K219" s="68" t="e">
        <f>#REF!*COM!$J$4</f>
        <v>#REF!</v>
      </c>
      <c r="L219" s="68" t="e">
        <f>#REF!*COM!$L$4</f>
        <v>#REF!</v>
      </c>
      <c r="M219" s="68" t="e">
        <f>#REF!*COM!$L$4</f>
        <v>#REF!</v>
      </c>
      <c r="N219" s="68" t="e">
        <f>#REF!*COM!$N$4</f>
        <v>#REF!</v>
      </c>
      <c r="O219" s="68" t="e">
        <f>#REF!*COM!$N$4</f>
        <v>#REF!</v>
      </c>
      <c r="P219" s="68" t="e">
        <f>#REF!*COM!$P$4</f>
        <v>#REF!</v>
      </c>
      <c r="Q219" s="68" t="e">
        <f>#REF!*COM!$P$4</f>
        <v>#REF!</v>
      </c>
      <c r="R219" s="68" t="e">
        <f>#REF!*COM!$R$4</f>
        <v>#REF!</v>
      </c>
      <c r="S219" s="68" t="e">
        <f>#REF!*COM!$R$4</f>
        <v>#REF!</v>
      </c>
      <c r="T219" s="111" t="e">
        <f>K219+#REF!+M219+O219+Q219+S219</f>
        <v>#REF!</v>
      </c>
    </row>
    <row r="220" spans="1:20" ht="90" customHeight="1" x14ac:dyDescent="0.25">
      <c r="A220" s="4">
        <v>321</v>
      </c>
      <c r="B220" s="52">
        <v>41</v>
      </c>
      <c r="C220" s="52">
        <v>930</v>
      </c>
      <c r="D220" s="7">
        <v>70499</v>
      </c>
      <c r="E220" s="20" t="s">
        <v>176</v>
      </c>
      <c r="F220" s="86" t="s">
        <v>207</v>
      </c>
      <c r="G220" s="227"/>
      <c r="H220" s="68" t="e">
        <f>#REF!*COM!$H$4</f>
        <v>#REF!</v>
      </c>
      <c r="I220" s="68" t="e">
        <f>#REF!*COM!$H$4</f>
        <v>#REF!</v>
      </c>
      <c r="J220" s="68" t="e">
        <f>#REF!*COM!$J$4</f>
        <v>#REF!</v>
      </c>
      <c r="K220" s="68" t="e">
        <f>#REF!*COM!$J$4</f>
        <v>#REF!</v>
      </c>
      <c r="L220" s="68" t="e">
        <f>#REF!*COM!$L$4</f>
        <v>#REF!</v>
      </c>
      <c r="M220" s="68" t="e">
        <f>#REF!*COM!$L$4</f>
        <v>#REF!</v>
      </c>
      <c r="N220" s="68" t="e">
        <f>#REF!*COM!$N$4</f>
        <v>#REF!</v>
      </c>
      <c r="O220" s="68" t="e">
        <f>#REF!*COM!$N$4</f>
        <v>#REF!</v>
      </c>
      <c r="P220" s="68" t="e">
        <f>#REF!*COM!$P$4</f>
        <v>#REF!</v>
      </c>
      <c r="Q220" s="68" t="e">
        <f>#REF!*COM!$P$4</f>
        <v>#REF!</v>
      </c>
      <c r="R220" s="68" t="e">
        <f>#REF!*COM!$R$4</f>
        <v>#REF!</v>
      </c>
      <c r="S220" s="68" t="e">
        <f>#REF!*COM!$R$4</f>
        <v>#REF!</v>
      </c>
      <c r="T220" s="111" t="e">
        <f>K220+#REF!+M220+O220+Q220+S220</f>
        <v>#REF!</v>
      </c>
    </row>
    <row r="221" spans="1:20" ht="79.5" customHeight="1" x14ac:dyDescent="0.25">
      <c r="A221" s="4">
        <v>311</v>
      </c>
      <c r="B221" s="52">
        <v>41</v>
      </c>
      <c r="C221" s="52">
        <v>910</v>
      </c>
      <c r="D221" s="7">
        <v>70499</v>
      </c>
      <c r="E221" s="20"/>
      <c r="F221" s="62" t="s">
        <v>97</v>
      </c>
      <c r="G221" s="225" t="s">
        <v>321</v>
      </c>
      <c r="H221" s="68" t="e">
        <f>#REF!*COM!$H$4</f>
        <v>#REF!</v>
      </c>
      <c r="I221" s="68" t="e">
        <f>#REF!*COM!$H$4</f>
        <v>#REF!</v>
      </c>
      <c r="J221" s="68" t="e">
        <f>#REF!*COM!$J$4</f>
        <v>#REF!</v>
      </c>
      <c r="K221" s="68" t="e">
        <f>#REF!*COM!$J$4</f>
        <v>#REF!</v>
      </c>
      <c r="L221" s="68" t="e">
        <f>#REF!*COM!$L$4</f>
        <v>#REF!</v>
      </c>
      <c r="M221" s="68" t="e">
        <f>#REF!*COM!$L$4</f>
        <v>#REF!</v>
      </c>
      <c r="N221" s="68" t="e">
        <f>#REF!*COM!$N$4</f>
        <v>#REF!</v>
      </c>
      <c r="O221" s="68" t="e">
        <f>#REF!*COM!$N$4</f>
        <v>#REF!</v>
      </c>
      <c r="P221" s="68" t="e">
        <f>#REF!*COM!$P$4</f>
        <v>#REF!</v>
      </c>
      <c r="Q221" s="68" t="e">
        <f>#REF!*COM!$P$4</f>
        <v>#REF!</v>
      </c>
      <c r="R221" s="68" t="e">
        <f>#REF!*COM!$R$4</f>
        <v>#REF!</v>
      </c>
      <c r="S221" s="68" t="e">
        <f>#REF!*COM!$R$4</f>
        <v>#REF!</v>
      </c>
      <c r="T221" s="111" t="e">
        <f t="shared" si="19"/>
        <v>#REF!</v>
      </c>
    </row>
    <row r="222" spans="1:20" ht="81" customHeight="1" x14ac:dyDescent="0.25">
      <c r="A222" s="4">
        <v>311</v>
      </c>
      <c r="B222" s="52">
        <v>41</v>
      </c>
      <c r="C222" s="52">
        <v>920</v>
      </c>
      <c r="D222" s="7">
        <v>70499</v>
      </c>
      <c r="E222" s="20" t="s">
        <v>173</v>
      </c>
      <c r="F222" s="62" t="s">
        <v>98</v>
      </c>
      <c r="G222" s="226"/>
      <c r="H222" s="68" t="e">
        <f>#REF!*COM!$H$4</f>
        <v>#REF!</v>
      </c>
      <c r="I222" s="68" t="e">
        <f>#REF!*COM!$H$4</f>
        <v>#REF!</v>
      </c>
      <c r="J222" s="68" t="e">
        <f>#REF!*COM!$J$4</f>
        <v>#REF!</v>
      </c>
      <c r="K222" s="68" t="e">
        <f>#REF!*COM!$J$4</f>
        <v>#REF!</v>
      </c>
      <c r="L222" s="68" t="e">
        <f>#REF!*COM!$L$4</f>
        <v>#REF!</v>
      </c>
      <c r="M222" s="68" t="e">
        <f>#REF!*COM!$L$4</f>
        <v>#REF!</v>
      </c>
      <c r="N222" s="68" t="e">
        <f>#REF!*COM!$N$4</f>
        <v>#REF!</v>
      </c>
      <c r="O222" s="68" t="e">
        <f>#REF!*COM!$N$4</f>
        <v>#REF!</v>
      </c>
      <c r="P222" s="68" t="e">
        <f>#REF!*COM!$P$4</f>
        <v>#REF!</v>
      </c>
      <c r="Q222" s="68" t="e">
        <f>#REF!*COM!$P$4</f>
        <v>#REF!</v>
      </c>
      <c r="R222" s="68" t="e">
        <f>#REF!*COM!$R$4</f>
        <v>#REF!</v>
      </c>
      <c r="S222" s="68" t="e">
        <f>#REF!*COM!$R$4</f>
        <v>#REF!</v>
      </c>
      <c r="T222" s="111" t="e">
        <f t="shared" si="19"/>
        <v>#REF!</v>
      </c>
    </row>
    <row r="223" spans="1:20" ht="89.25" customHeight="1" x14ac:dyDescent="0.25">
      <c r="A223" s="4">
        <v>311</v>
      </c>
      <c r="B223" s="52">
        <v>41</v>
      </c>
      <c r="C223" s="52">
        <v>930</v>
      </c>
      <c r="D223" s="7">
        <v>70499</v>
      </c>
      <c r="E223" s="20" t="s">
        <v>173</v>
      </c>
      <c r="F223" s="62" t="s">
        <v>99</v>
      </c>
      <c r="G223" s="227"/>
      <c r="H223" s="68" t="e">
        <f>#REF!*COM!$H$4</f>
        <v>#REF!</v>
      </c>
      <c r="I223" s="68" t="e">
        <f>#REF!*COM!$H$4</f>
        <v>#REF!</v>
      </c>
      <c r="J223" s="68" t="e">
        <f>#REF!*COM!$J$4</f>
        <v>#REF!</v>
      </c>
      <c r="K223" s="68" t="e">
        <f>#REF!*COM!$J$4</f>
        <v>#REF!</v>
      </c>
      <c r="L223" s="68" t="e">
        <f>#REF!*COM!$L$4</f>
        <v>#REF!</v>
      </c>
      <c r="M223" s="68" t="e">
        <f>#REF!*COM!$L$4</f>
        <v>#REF!</v>
      </c>
      <c r="N223" s="68" t="e">
        <f>#REF!*COM!$N$4</f>
        <v>#REF!</v>
      </c>
      <c r="O223" s="68" t="e">
        <f>#REF!*COM!$N$4</f>
        <v>#REF!</v>
      </c>
      <c r="P223" s="68" t="e">
        <f>#REF!*COM!$P$4</f>
        <v>#REF!</v>
      </c>
      <c r="Q223" s="68" t="e">
        <f>#REF!*COM!$P$4</f>
        <v>#REF!</v>
      </c>
      <c r="R223" s="68" t="e">
        <f>#REF!*COM!$R$4</f>
        <v>#REF!</v>
      </c>
      <c r="S223" s="68" t="e">
        <f>#REF!*COM!$R$4</f>
        <v>#REF!</v>
      </c>
      <c r="T223" s="111" t="e">
        <f t="shared" si="19"/>
        <v>#REF!</v>
      </c>
    </row>
    <row r="224" spans="1:20" ht="101.25" customHeight="1" x14ac:dyDescent="0.25">
      <c r="A224" s="4">
        <v>311</v>
      </c>
      <c r="B224" s="52">
        <v>41</v>
      </c>
      <c r="C224" s="52">
        <v>920</v>
      </c>
      <c r="D224" s="7">
        <v>70499</v>
      </c>
      <c r="E224" s="20" t="s">
        <v>172</v>
      </c>
      <c r="F224" s="62" t="s">
        <v>224</v>
      </c>
      <c r="G224" s="225" t="s">
        <v>299</v>
      </c>
      <c r="H224" s="68" t="e">
        <f>#REF!*COM!$H$4</f>
        <v>#REF!</v>
      </c>
      <c r="I224" s="68" t="e">
        <f>#REF!*COM!$H$4</f>
        <v>#REF!</v>
      </c>
      <c r="J224" s="68" t="e">
        <f>#REF!*COM!$J$4</f>
        <v>#REF!</v>
      </c>
      <c r="K224" s="68" t="e">
        <f>#REF!*COM!$J$4</f>
        <v>#REF!</v>
      </c>
      <c r="L224" s="68" t="e">
        <f>#REF!*COM!$L$4</f>
        <v>#REF!</v>
      </c>
      <c r="M224" s="68" t="e">
        <f>#REF!*COM!$L$4</f>
        <v>#REF!</v>
      </c>
      <c r="N224" s="68" t="e">
        <f>#REF!*COM!$N$4</f>
        <v>#REF!</v>
      </c>
      <c r="O224" s="68" t="e">
        <f>#REF!*COM!$N$4</f>
        <v>#REF!</v>
      </c>
      <c r="P224" s="68" t="e">
        <f>#REF!*COM!$P$4</f>
        <v>#REF!</v>
      </c>
      <c r="Q224" s="68" t="e">
        <f>#REF!*COM!$P$4</f>
        <v>#REF!</v>
      </c>
      <c r="R224" s="68" t="e">
        <f>#REF!*COM!$R$4</f>
        <v>#REF!</v>
      </c>
      <c r="S224" s="68" t="e">
        <f>#REF!*COM!$R$4</f>
        <v>#REF!</v>
      </c>
      <c r="T224" s="111" t="e">
        <f t="shared" si="19"/>
        <v>#REF!</v>
      </c>
    </row>
    <row r="225" spans="1:20" ht="97.5" customHeight="1" x14ac:dyDescent="0.25">
      <c r="A225" s="4">
        <v>311</v>
      </c>
      <c r="B225" s="52">
        <v>41</v>
      </c>
      <c r="C225" s="52">
        <v>930</v>
      </c>
      <c r="D225" s="7">
        <v>70499</v>
      </c>
      <c r="E225" s="20" t="s">
        <v>172</v>
      </c>
      <c r="F225" s="62" t="s">
        <v>227</v>
      </c>
      <c r="G225" s="227"/>
      <c r="H225" s="68" t="e">
        <f>#REF!*COM!$H$4</f>
        <v>#REF!</v>
      </c>
      <c r="I225" s="68" t="e">
        <f>#REF!*COM!$H$4</f>
        <v>#REF!</v>
      </c>
      <c r="J225" s="68" t="e">
        <f>#REF!*COM!$J$4</f>
        <v>#REF!</v>
      </c>
      <c r="K225" s="68" t="e">
        <f>#REF!*COM!$J$4</f>
        <v>#REF!</v>
      </c>
      <c r="L225" s="68" t="e">
        <f>#REF!*COM!$L$4</f>
        <v>#REF!</v>
      </c>
      <c r="M225" s="68" t="e">
        <f>#REF!*COM!$L$4</f>
        <v>#REF!</v>
      </c>
      <c r="N225" s="68" t="e">
        <f>#REF!*COM!$N$4</f>
        <v>#REF!</v>
      </c>
      <c r="O225" s="68" t="e">
        <f>#REF!*COM!$N$4</f>
        <v>#REF!</v>
      </c>
      <c r="P225" s="68" t="e">
        <f>#REF!*COM!$P$4</f>
        <v>#REF!</v>
      </c>
      <c r="Q225" s="68" t="e">
        <f>#REF!*COM!$P$4</f>
        <v>#REF!</v>
      </c>
      <c r="R225" s="68" t="e">
        <f>#REF!*COM!$R$4</f>
        <v>#REF!</v>
      </c>
      <c r="S225" s="68" t="e">
        <f>#REF!*COM!$R$4</f>
        <v>#REF!</v>
      </c>
      <c r="T225" s="111" t="e">
        <f t="shared" si="19"/>
        <v>#REF!</v>
      </c>
    </row>
    <row r="226" spans="1:20" ht="102" customHeight="1" x14ac:dyDescent="0.25">
      <c r="A226" s="49">
        <v>311</v>
      </c>
      <c r="B226" s="52">
        <v>41</v>
      </c>
      <c r="C226" s="52">
        <v>930</v>
      </c>
      <c r="D226" s="53">
        <v>70499</v>
      </c>
      <c r="E226" s="48" t="s">
        <v>172</v>
      </c>
      <c r="F226" s="62" t="s">
        <v>189</v>
      </c>
      <c r="G226" s="73" t="s">
        <v>283</v>
      </c>
      <c r="H226" s="68" t="e">
        <f>#REF!*COM!$H$4</f>
        <v>#REF!</v>
      </c>
      <c r="I226" s="68" t="e">
        <f>#REF!*COM!$H$4</f>
        <v>#REF!</v>
      </c>
      <c r="J226" s="68" t="e">
        <f>#REF!*COM!$J$4</f>
        <v>#REF!</v>
      </c>
      <c r="K226" s="68" t="e">
        <f>#REF!*COM!$J$4</f>
        <v>#REF!</v>
      </c>
      <c r="L226" s="68" t="e">
        <f>#REF!*COM!$L$4</f>
        <v>#REF!</v>
      </c>
      <c r="M226" s="68" t="e">
        <f>#REF!*COM!$L$4</f>
        <v>#REF!</v>
      </c>
      <c r="N226" s="68" t="e">
        <f>#REF!*COM!$N$4</f>
        <v>#REF!</v>
      </c>
      <c r="O226" s="68" t="e">
        <f>#REF!*COM!$N$4</f>
        <v>#REF!</v>
      </c>
      <c r="P226" s="68" t="e">
        <f>#REF!*COM!$P$4</f>
        <v>#REF!</v>
      </c>
      <c r="Q226" s="68" t="e">
        <f>#REF!*COM!$P$4</f>
        <v>#REF!</v>
      </c>
      <c r="R226" s="68" t="e">
        <f>#REF!*COM!$R$4</f>
        <v>#REF!</v>
      </c>
      <c r="S226" s="68" t="e">
        <f>#REF!*COM!$R$4</f>
        <v>#REF!</v>
      </c>
      <c r="T226" s="111" t="e">
        <f t="shared" si="19"/>
        <v>#REF!</v>
      </c>
    </row>
    <row r="227" spans="1:20" ht="89.25" customHeight="1" x14ac:dyDescent="0.25">
      <c r="A227" s="4">
        <v>311</v>
      </c>
      <c r="B227" s="52">
        <v>41</v>
      </c>
      <c r="C227" s="52">
        <v>920</v>
      </c>
      <c r="D227" s="7">
        <v>70499</v>
      </c>
      <c r="E227" s="20" t="s">
        <v>172</v>
      </c>
      <c r="F227" s="62" t="s">
        <v>100</v>
      </c>
      <c r="G227" s="225" t="s">
        <v>281</v>
      </c>
      <c r="H227" s="68" t="e">
        <f>#REF!*COM!$H$4</f>
        <v>#REF!</v>
      </c>
      <c r="I227" s="68" t="e">
        <f>#REF!*COM!$H$4</f>
        <v>#REF!</v>
      </c>
      <c r="J227" s="68" t="e">
        <f>#REF!*COM!$J$4</f>
        <v>#REF!</v>
      </c>
      <c r="K227" s="68" t="e">
        <f>#REF!*COM!$J$4</f>
        <v>#REF!</v>
      </c>
      <c r="L227" s="68" t="e">
        <f>#REF!*COM!$L$4</f>
        <v>#REF!</v>
      </c>
      <c r="M227" s="68" t="e">
        <f>#REF!*COM!$L$4</f>
        <v>#REF!</v>
      </c>
      <c r="N227" s="68" t="e">
        <f>#REF!*COM!$N$4</f>
        <v>#REF!</v>
      </c>
      <c r="O227" s="68" t="e">
        <f>#REF!*COM!$N$4</f>
        <v>#REF!</v>
      </c>
      <c r="P227" s="68" t="e">
        <f>#REF!*COM!$P$4</f>
        <v>#REF!</v>
      </c>
      <c r="Q227" s="68" t="e">
        <f>#REF!*COM!$P$4</f>
        <v>#REF!</v>
      </c>
      <c r="R227" s="68" t="e">
        <f>#REF!*COM!$R$4</f>
        <v>#REF!</v>
      </c>
      <c r="S227" s="68" t="e">
        <f>#REF!*COM!$R$4</f>
        <v>#REF!</v>
      </c>
      <c r="T227" s="111" t="e">
        <f t="shared" si="19"/>
        <v>#REF!</v>
      </c>
    </row>
    <row r="228" spans="1:20" ht="100.5" customHeight="1" x14ac:dyDescent="0.25">
      <c r="A228" s="4">
        <v>311</v>
      </c>
      <c r="B228" s="52">
        <v>41</v>
      </c>
      <c r="C228" s="52">
        <v>930</v>
      </c>
      <c r="D228" s="7">
        <v>70499</v>
      </c>
      <c r="E228" s="20" t="s">
        <v>172</v>
      </c>
      <c r="F228" s="62" t="s">
        <v>101</v>
      </c>
      <c r="G228" s="227"/>
      <c r="H228" s="68" t="e">
        <f>#REF!*COM!$H$4</f>
        <v>#REF!</v>
      </c>
      <c r="I228" s="68" t="e">
        <f>#REF!*COM!$H$4</f>
        <v>#REF!</v>
      </c>
      <c r="J228" s="68" t="e">
        <f>#REF!*COM!$J$4</f>
        <v>#REF!</v>
      </c>
      <c r="K228" s="68" t="e">
        <f>#REF!*COM!$J$4</f>
        <v>#REF!</v>
      </c>
      <c r="L228" s="68" t="e">
        <f>#REF!*COM!$L$4</f>
        <v>#REF!</v>
      </c>
      <c r="M228" s="68" t="e">
        <f>#REF!*COM!$L$4</f>
        <v>#REF!</v>
      </c>
      <c r="N228" s="68" t="e">
        <f>#REF!*COM!$N$4</f>
        <v>#REF!</v>
      </c>
      <c r="O228" s="68" t="e">
        <f>#REF!*COM!$N$4</f>
        <v>#REF!</v>
      </c>
      <c r="P228" s="68" t="e">
        <f>#REF!*COM!$P$4</f>
        <v>#REF!</v>
      </c>
      <c r="Q228" s="68" t="e">
        <f>#REF!*COM!$P$4</f>
        <v>#REF!</v>
      </c>
      <c r="R228" s="68" t="e">
        <f>#REF!*COM!$R$4</f>
        <v>#REF!</v>
      </c>
      <c r="S228" s="68" t="e">
        <f>#REF!*COM!$R$4</f>
        <v>#REF!</v>
      </c>
      <c r="T228" s="111" t="e">
        <f t="shared" si="19"/>
        <v>#REF!</v>
      </c>
    </row>
    <row r="229" spans="1:20" ht="84" customHeight="1" x14ac:dyDescent="0.25">
      <c r="A229" s="4">
        <v>311</v>
      </c>
      <c r="B229" s="52">
        <v>41</v>
      </c>
      <c r="C229" s="52">
        <v>920</v>
      </c>
      <c r="D229" s="7">
        <v>70499</v>
      </c>
      <c r="E229" s="20" t="s">
        <v>172</v>
      </c>
      <c r="F229" s="62" t="s">
        <v>102</v>
      </c>
      <c r="G229" s="225" t="s">
        <v>282</v>
      </c>
      <c r="H229" s="68" t="e">
        <f>#REF!*COM!$H$4</f>
        <v>#REF!</v>
      </c>
      <c r="I229" s="68" t="e">
        <f>#REF!*COM!$H$4</f>
        <v>#REF!</v>
      </c>
      <c r="J229" s="68" t="e">
        <f>#REF!*COM!$J$4</f>
        <v>#REF!</v>
      </c>
      <c r="K229" s="68" t="e">
        <f>#REF!*COM!$J$4</f>
        <v>#REF!</v>
      </c>
      <c r="L229" s="68" t="e">
        <f>#REF!*COM!$L$4</f>
        <v>#REF!</v>
      </c>
      <c r="M229" s="68" t="e">
        <f>#REF!*COM!$L$4</f>
        <v>#REF!</v>
      </c>
      <c r="N229" s="68" t="e">
        <f>#REF!*COM!$N$4</f>
        <v>#REF!</v>
      </c>
      <c r="O229" s="68" t="e">
        <f>#REF!*COM!$N$4</f>
        <v>#REF!</v>
      </c>
      <c r="P229" s="68" t="e">
        <f>#REF!*COM!$P$4</f>
        <v>#REF!</v>
      </c>
      <c r="Q229" s="68" t="e">
        <f>#REF!*COM!$P$4</f>
        <v>#REF!</v>
      </c>
      <c r="R229" s="68" t="e">
        <f>#REF!*COM!$R$4</f>
        <v>#REF!</v>
      </c>
      <c r="S229" s="68" t="e">
        <f>#REF!*COM!$R$4</f>
        <v>#REF!</v>
      </c>
      <c r="T229" s="111" t="e">
        <f t="shared" si="19"/>
        <v>#REF!</v>
      </c>
    </row>
    <row r="230" spans="1:20" ht="68.25" customHeight="1" x14ac:dyDescent="0.25">
      <c r="A230" s="4">
        <v>311</v>
      </c>
      <c r="B230" s="52">
        <v>41</v>
      </c>
      <c r="C230" s="52">
        <v>930</v>
      </c>
      <c r="D230" s="7">
        <v>70499</v>
      </c>
      <c r="E230" s="20" t="s">
        <v>172</v>
      </c>
      <c r="F230" s="62" t="s">
        <v>103</v>
      </c>
      <c r="G230" s="227"/>
      <c r="H230" s="68" t="e">
        <f>#REF!*COM!$H$4</f>
        <v>#REF!</v>
      </c>
      <c r="I230" s="68" t="e">
        <f>#REF!*COM!$H$4</f>
        <v>#REF!</v>
      </c>
      <c r="J230" s="68" t="e">
        <f>#REF!*COM!$J$4</f>
        <v>#REF!</v>
      </c>
      <c r="K230" s="68" t="e">
        <f>#REF!*COM!$J$4</f>
        <v>#REF!</v>
      </c>
      <c r="L230" s="68" t="e">
        <f>#REF!*COM!$L$4</f>
        <v>#REF!</v>
      </c>
      <c r="M230" s="68" t="e">
        <f>#REF!*COM!$L$4</f>
        <v>#REF!</v>
      </c>
      <c r="N230" s="68" t="e">
        <f>#REF!*COM!$N$4</f>
        <v>#REF!</v>
      </c>
      <c r="O230" s="68" t="e">
        <f>#REF!*COM!$N$4</f>
        <v>#REF!</v>
      </c>
      <c r="P230" s="68" t="e">
        <f>#REF!*COM!$P$4</f>
        <v>#REF!</v>
      </c>
      <c r="Q230" s="68" t="e">
        <f>#REF!*COM!$P$4</f>
        <v>#REF!</v>
      </c>
      <c r="R230" s="68" t="e">
        <f>#REF!*COM!$R$4</f>
        <v>#REF!</v>
      </c>
      <c r="S230" s="68" t="e">
        <f>#REF!*COM!$R$4</f>
        <v>#REF!</v>
      </c>
      <c r="T230" s="111" t="e">
        <f t="shared" si="19"/>
        <v>#REF!</v>
      </c>
    </row>
    <row r="231" spans="1:20" ht="71.25" customHeight="1" x14ac:dyDescent="0.25">
      <c r="A231" s="4">
        <v>311</v>
      </c>
      <c r="B231" s="52">
        <v>41</v>
      </c>
      <c r="C231" s="52">
        <v>910</v>
      </c>
      <c r="D231" s="7">
        <v>70499</v>
      </c>
      <c r="E231" s="20"/>
      <c r="F231" s="62" t="s">
        <v>104</v>
      </c>
      <c r="G231" s="225" t="s">
        <v>285</v>
      </c>
      <c r="H231" s="68" t="e">
        <f>#REF!*COM!$H$4</f>
        <v>#REF!</v>
      </c>
      <c r="I231" s="68" t="e">
        <f>#REF!*COM!$H$4</f>
        <v>#REF!</v>
      </c>
      <c r="J231" s="68" t="e">
        <f>#REF!*COM!$J$4</f>
        <v>#REF!</v>
      </c>
      <c r="K231" s="68" t="e">
        <f>#REF!*COM!$J$4</f>
        <v>#REF!</v>
      </c>
      <c r="L231" s="68" t="e">
        <f>#REF!*COM!$L$4</f>
        <v>#REF!</v>
      </c>
      <c r="M231" s="68" t="e">
        <f>#REF!*COM!$L$4</f>
        <v>#REF!</v>
      </c>
      <c r="N231" s="68" t="e">
        <f>#REF!*COM!$N$4</f>
        <v>#REF!</v>
      </c>
      <c r="O231" s="68" t="e">
        <f>#REF!*COM!$N$4</f>
        <v>#REF!</v>
      </c>
      <c r="P231" s="68" t="e">
        <f>#REF!*COM!$P$4</f>
        <v>#REF!</v>
      </c>
      <c r="Q231" s="68" t="e">
        <f>#REF!*COM!$P$4</f>
        <v>#REF!</v>
      </c>
      <c r="R231" s="68" t="e">
        <f>#REF!*COM!$R$4</f>
        <v>#REF!</v>
      </c>
      <c r="S231" s="68" t="e">
        <f>#REF!*COM!$R$4</f>
        <v>#REF!</v>
      </c>
      <c r="T231" s="111" t="e">
        <f t="shared" si="19"/>
        <v>#REF!</v>
      </c>
    </row>
    <row r="232" spans="1:20" ht="74.25" customHeight="1" x14ac:dyDescent="0.25">
      <c r="A232" s="4">
        <v>311</v>
      </c>
      <c r="B232" s="52">
        <v>41</v>
      </c>
      <c r="C232" s="52">
        <v>930</v>
      </c>
      <c r="D232" s="7">
        <v>70499</v>
      </c>
      <c r="E232" s="20" t="s">
        <v>174</v>
      </c>
      <c r="F232" s="62" t="s">
        <v>105</v>
      </c>
      <c r="G232" s="226"/>
      <c r="H232" s="68" t="e">
        <f>#REF!*COM!$H$4</f>
        <v>#REF!</v>
      </c>
      <c r="I232" s="68" t="e">
        <f>#REF!*COM!$H$4</f>
        <v>#REF!</v>
      </c>
      <c r="J232" s="68" t="e">
        <f>#REF!*COM!$J$4</f>
        <v>#REF!</v>
      </c>
      <c r="K232" s="68" t="e">
        <f>#REF!*COM!$J$4</f>
        <v>#REF!</v>
      </c>
      <c r="L232" s="68" t="e">
        <f>#REF!*COM!$L$4</f>
        <v>#REF!</v>
      </c>
      <c r="M232" s="68" t="e">
        <f>#REF!*COM!$L$4</f>
        <v>#REF!</v>
      </c>
      <c r="N232" s="68" t="e">
        <f>#REF!*COM!$N$4</f>
        <v>#REF!</v>
      </c>
      <c r="O232" s="68" t="e">
        <f>#REF!*COM!$N$4</f>
        <v>#REF!</v>
      </c>
      <c r="P232" s="68" t="e">
        <f>#REF!*COM!$P$4</f>
        <v>#REF!</v>
      </c>
      <c r="Q232" s="68" t="e">
        <f>#REF!*COM!$P$4</f>
        <v>#REF!</v>
      </c>
      <c r="R232" s="68" t="e">
        <f>#REF!*COM!$R$4</f>
        <v>#REF!</v>
      </c>
      <c r="S232" s="68" t="e">
        <f>#REF!*COM!$R$4</f>
        <v>#REF!</v>
      </c>
      <c r="T232" s="111" t="e">
        <f t="shared" si="19"/>
        <v>#REF!</v>
      </c>
    </row>
    <row r="233" spans="1:20" ht="72.75" customHeight="1" x14ac:dyDescent="0.25">
      <c r="A233" s="4">
        <v>311</v>
      </c>
      <c r="B233" s="52">
        <v>41</v>
      </c>
      <c r="C233" s="52">
        <v>930</v>
      </c>
      <c r="D233" s="7">
        <v>70499</v>
      </c>
      <c r="E233" s="20" t="s">
        <v>166</v>
      </c>
      <c r="F233" s="62" t="s">
        <v>106</v>
      </c>
      <c r="G233" s="227"/>
      <c r="H233" s="68" t="e">
        <f>#REF!*COM!$H$4</f>
        <v>#REF!</v>
      </c>
      <c r="I233" s="68" t="e">
        <f>#REF!*COM!$H$4</f>
        <v>#REF!</v>
      </c>
      <c r="J233" s="68" t="e">
        <f>#REF!*COM!$J$4</f>
        <v>#REF!</v>
      </c>
      <c r="K233" s="68" t="e">
        <f>#REF!*COM!$J$4</f>
        <v>#REF!</v>
      </c>
      <c r="L233" s="68" t="e">
        <f>#REF!*COM!$L$4</f>
        <v>#REF!</v>
      </c>
      <c r="M233" s="68" t="e">
        <f>#REF!*COM!$L$4</f>
        <v>#REF!</v>
      </c>
      <c r="N233" s="68" t="e">
        <f>#REF!*COM!$N$4</f>
        <v>#REF!</v>
      </c>
      <c r="O233" s="68" t="e">
        <f>#REF!*COM!$N$4</f>
        <v>#REF!</v>
      </c>
      <c r="P233" s="68" t="e">
        <f>#REF!*COM!$P$4</f>
        <v>#REF!</v>
      </c>
      <c r="Q233" s="68" t="e">
        <f>#REF!*COM!$P$4</f>
        <v>#REF!</v>
      </c>
      <c r="R233" s="68" t="e">
        <f>#REF!*COM!$R$4</f>
        <v>#REF!</v>
      </c>
      <c r="S233" s="68" t="e">
        <f>#REF!*COM!$R$4</f>
        <v>#REF!</v>
      </c>
      <c r="T233" s="111" t="e">
        <f t="shared" si="19"/>
        <v>#REF!</v>
      </c>
    </row>
    <row r="234" spans="1:20" ht="73.5" customHeight="1" x14ac:dyDescent="0.25">
      <c r="A234" s="4">
        <v>311</v>
      </c>
      <c r="B234" s="52">
        <v>41</v>
      </c>
      <c r="C234" s="52">
        <v>910</v>
      </c>
      <c r="D234" s="7">
        <v>70499</v>
      </c>
      <c r="E234" s="20"/>
      <c r="F234" s="62" t="s">
        <v>107</v>
      </c>
      <c r="G234" s="225" t="s">
        <v>284</v>
      </c>
      <c r="H234" s="68" t="e">
        <f>#REF!*COM!$H$4</f>
        <v>#REF!</v>
      </c>
      <c r="I234" s="68" t="e">
        <f>#REF!*COM!$H$4</f>
        <v>#REF!</v>
      </c>
      <c r="J234" s="68" t="e">
        <f>#REF!*COM!$J$4</f>
        <v>#REF!</v>
      </c>
      <c r="K234" s="68" t="e">
        <f>#REF!*COM!$J$4</f>
        <v>#REF!</v>
      </c>
      <c r="L234" s="68" t="e">
        <f>#REF!*COM!$L$4</f>
        <v>#REF!</v>
      </c>
      <c r="M234" s="68" t="e">
        <f>#REF!*COM!$L$4</f>
        <v>#REF!</v>
      </c>
      <c r="N234" s="68" t="e">
        <f>#REF!*COM!$N$4</f>
        <v>#REF!</v>
      </c>
      <c r="O234" s="68" t="e">
        <f>#REF!*COM!$N$4</f>
        <v>#REF!</v>
      </c>
      <c r="P234" s="68" t="e">
        <f>#REF!*COM!$P$4</f>
        <v>#REF!</v>
      </c>
      <c r="Q234" s="68" t="e">
        <f>#REF!*COM!$P$4</f>
        <v>#REF!</v>
      </c>
      <c r="R234" s="68" t="e">
        <f>#REF!*COM!$R$4</f>
        <v>#REF!</v>
      </c>
      <c r="S234" s="68" t="e">
        <f>#REF!*COM!$R$4</f>
        <v>#REF!</v>
      </c>
      <c r="T234" s="111" t="e">
        <f t="shared" si="19"/>
        <v>#REF!</v>
      </c>
    </row>
    <row r="235" spans="1:20" ht="90" customHeight="1" x14ac:dyDescent="0.25">
      <c r="A235" s="4">
        <v>311</v>
      </c>
      <c r="B235" s="52">
        <v>41</v>
      </c>
      <c r="C235" s="52">
        <v>920</v>
      </c>
      <c r="D235" s="7">
        <v>70499</v>
      </c>
      <c r="E235" s="20" t="s">
        <v>173</v>
      </c>
      <c r="F235" s="62" t="s">
        <v>108</v>
      </c>
      <c r="G235" s="226"/>
      <c r="H235" s="68" t="e">
        <f>#REF!*COM!$H$4</f>
        <v>#REF!</v>
      </c>
      <c r="I235" s="68" t="e">
        <f>#REF!*COM!$H$4</f>
        <v>#REF!</v>
      </c>
      <c r="J235" s="68" t="e">
        <f>#REF!*COM!$J$4</f>
        <v>#REF!</v>
      </c>
      <c r="K235" s="68" t="e">
        <f>#REF!*COM!$J$4</f>
        <v>#REF!</v>
      </c>
      <c r="L235" s="68" t="e">
        <f>#REF!*COM!$L$4</f>
        <v>#REF!</v>
      </c>
      <c r="M235" s="68" t="e">
        <f>#REF!*COM!$L$4</f>
        <v>#REF!</v>
      </c>
      <c r="N235" s="68" t="e">
        <f>#REF!*COM!$N$4</f>
        <v>#REF!</v>
      </c>
      <c r="O235" s="68" t="e">
        <f>#REF!*COM!$N$4</f>
        <v>#REF!</v>
      </c>
      <c r="P235" s="68" t="e">
        <f>#REF!*COM!$P$4</f>
        <v>#REF!</v>
      </c>
      <c r="Q235" s="68" t="e">
        <f>#REF!*COM!$P$4</f>
        <v>#REF!</v>
      </c>
      <c r="R235" s="68" t="e">
        <f>#REF!*COM!$R$4</f>
        <v>#REF!</v>
      </c>
      <c r="S235" s="68" t="e">
        <f>#REF!*COM!$R$4</f>
        <v>#REF!</v>
      </c>
      <c r="T235" s="111" t="e">
        <f t="shared" si="19"/>
        <v>#REF!</v>
      </c>
    </row>
    <row r="236" spans="1:20" ht="78" customHeight="1" x14ac:dyDescent="0.25">
      <c r="A236" s="4">
        <v>311</v>
      </c>
      <c r="B236" s="52">
        <v>41</v>
      </c>
      <c r="C236" s="52">
        <v>930</v>
      </c>
      <c r="D236" s="7">
        <v>70499</v>
      </c>
      <c r="E236" s="20" t="s">
        <v>173</v>
      </c>
      <c r="F236" s="62" t="s">
        <v>109</v>
      </c>
      <c r="G236" s="227"/>
      <c r="H236" s="68" t="e">
        <f>#REF!*COM!$H$4</f>
        <v>#REF!</v>
      </c>
      <c r="I236" s="68" t="e">
        <f>#REF!*COM!$H$4</f>
        <v>#REF!</v>
      </c>
      <c r="J236" s="68" t="e">
        <f>#REF!*COM!$J$4</f>
        <v>#REF!</v>
      </c>
      <c r="K236" s="68" t="e">
        <f>#REF!*COM!$J$4</f>
        <v>#REF!</v>
      </c>
      <c r="L236" s="68" t="e">
        <f>#REF!*COM!$L$4</f>
        <v>#REF!</v>
      </c>
      <c r="M236" s="68" t="e">
        <f>#REF!*COM!$L$4</f>
        <v>#REF!</v>
      </c>
      <c r="N236" s="68" t="e">
        <f>#REF!*COM!$N$4</f>
        <v>#REF!</v>
      </c>
      <c r="O236" s="68" t="e">
        <f>#REF!*COM!$N$4</f>
        <v>#REF!</v>
      </c>
      <c r="P236" s="68" t="e">
        <f>#REF!*COM!$P$4</f>
        <v>#REF!</v>
      </c>
      <c r="Q236" s="68" t="e">
        <f>#REF!*COM!$P$4</f>
        <v>#REF!</v>
      </c>
      <c r="R236" s="68" t="e">
        <f>#REF!*COM!$R$4</f>
        <v>#REF!</v>
      </c>
      <c r="S236" s="68" t="e">
        <f>#REF!*COM!$R$4</f>
        <v>#REF!</v>
      </c>
      <c r="T236" s="111" t="e">
        <f t="shared" si="19"/>
        <v>#REF!</v>
      </c>
    </row>
    <row r="237" spans="1:20" ht="75.75" customHeight="1" x14ac:dyDescent="0.25">
      <c r="A237" s="49">
        <v>311</v>
      </c>
      <c r="B237" s="52">
        <v>41</v>
      </c>
      <c r="C237" s="52">
        <v>910</v>
      </c>
      <c r="D237" s="53">
        <v>70499</v>
      </c>
      <c r="E237" s="48"/>
      <c r="F237" s="62" t="s">
        <v>192</v>
      </c>
      <c r="G237" s="225" t="s">
        <v>286</v>
      </c>
      <c r="H237" s="68" t="e">
        <f>#REF!*COM!$H$4</f>
        <v>#REF!</v>
      </c>
      <c r="I237" s="68" t="e">
        <f>#REF!*COM!$H$4</f>
        <v>#REF!</v>
      </c>
      <c r="J237" s="68" t="e">
        <f>#REF!*COM!$J$4</f>
        <v>#REF!</v>
      </c>
      <c r="K237" s="68" t="e">
        <f>#REF!*COM!$J$4</f>
        <v>#REF!</v>
      </c>
      <c r="L237" s="68" t="e">
        <f>#REF!*COM!$L$4</f>
        <v>#REF!</v>
      </c>
      <c r="M237" s="68" t="e">
        <f>#REF!*COM!$L$4</f>
        <v>#REF!</v>
      </c>
      <c r="N237" s="68" t="e">
        <f>#REF!*COM!$N$4</f>
        <v>#REF!</v>
      </c>
      <c r="O237" s="68" t="e">
        <f>#REF!*COM!$N$4</f>
        <v>#REF!</v>
      </c>
      <c r="P237" s="68" t="e">
        <f>#REF!*COM!$P$4</f>
        <v>#REF!</v>
      </c>
      <c r="Q237" s="68" t="e">
        <f>#REF!*COM!$P$4</f>
        <v>#REF!</v>
      </c>
      <c r="R237" s="68" t="e">
        <f>#REF!*COM!$R$4</f>
        <v>#REF!</v>
      </c>
      <c r="S237" s="68" t="e">
        <f>#REF!*COM!$R$4</f>
        <v>#REF!</v>
      </c>
      <c r="T237" s="111" t="e">
        <f t="shared" si="19"/>
        <v>#REF!</v>
      </c>
    </row>
    <row r="238" spans="1:20" ht="67.5" customHeight="1" x14ac:dyDescent="0.25">
      <c r="A238" s="49">
        <v>311</v>
      </c>
      <c r="B238" s="52">
        <v>41</v>
      </c>
      <c r="C238" s="52">
        <v>920</v>
      </c>
      <c r="D238" s="53">
        <v>70499</v>
      </c>
      <c r="E238" s="48" t="s">
        <v>173</v>
      </c>
      <c r="F238" s="62" t="s">
        <v>190</v>
      </c>
      <c r="G238" s="226"/>
      <c r="H238" s="68" t="e">
        <f>#REF!*COM!$H$4</f>
        <v>#REF!</v>
      </c>
      <c r="I238" s="68" t="e">
        <f>#REF!*COM!$H$4</f>
        <v>#REF!</v>
      </c>
      <c r="J238" s="68" t="e">
        <f>#REF!*COM!$J$4</f>
        <v>#REF!</v>
      </c>
      <c r="K238" s="68" t="e">
        <f>#REF!*COM!$J$4</f>
        <v>#REF!</v>
      </c>
      <c r="L238" s="68" t="e">
        <f>#REF!*COM!$L$4</f>
        <v>#REF!</v>
      </c>
      <c r="M238" s="68" t="e">
        <f>#REF!*COM!$L$4</f>
        <v>#REF!</v>
      </c>
      <c r="N238" s="68" t="e">
        <f>#REF!*COM!$N$4</f>
        <v>#REF!</v>
      </c>
      <c r="O238" s="68" t="e">
        <f>#REF!*COM!$N$4</f>
        <v>#REF!</v>
      </c>
      <c r="P238" s="68" t="e">
        <f>#REF!*COM!$P$4</f>
        <v>#REF!</v>
      </c>
      <c r="Q238" s="68" t="e">
        <f>#REF!*COM!$P$4</f>
        <v>#REF!</v>
      </c>
      <c r="R238" s="68" t="e">
        <f>#REF!*COM!$R$4</f>
        <v>#REF!</v>
      </c>
      <c r="S238" s="68" t="e">
        <f>#REF!*COM!$R$4</f>
        <v>#REF!</v>
      </c>
      <c r="T238" s="111" t="e">
        <f t="shared" si="19"/>
        <v>#REF!</v>
      </c>
    </row>
    <row r="239" spans="1:20" ht="78.75" customHeight="1" x14ac:dyDescent="0.25">
      <c r="A239" s="49">
        <v>311</v>
      </c>
      <c r="B239" s="52">
        <v>41</v>
      </c>
      <c r="C239" s="52">
        <v>930</v>
      </c>
      <c r="D239" s="53">
        <v>70499</v>
      </c>
      <c r="E239" s="48" t="s">
        <v>173</v>
      </c>
      <c r="F239" s="62" t="s">
        <v>191</v>
      </c>
      <c r="G239" s="227"/>
      <c r="H239" s="68" t="e">
        <f>#REF!*COM!$H$4</f>
        <v>#REF!</v>
      </c>
      <c r="I239" s="68" t="e">
        <f>#REF!*COM!$H$4</f>
        <v>#REF!</v>
      </c>
      <c r="J239" s="68" t="e">
        <f>#REF!*COM!$J$4</f>
        <v>#REF!</v>
      </c>
      <c r="K239" s="68" t="e">
        <f>#REF!*COM!$J$4</f>
        <v>#REF!</v>
      </c>
      <c r="L239" s="68" t="e">
        <f>#REF!*COM!$L$4</f>
        <v>#REF!</v>
      </c>
      <c r="M239" s="68" t="e">
        <f>#REF!*COM!$L$4</f>
        <v>#REF!</v>
      </c>
      <c r="N239" s="68" t="e">
        <f>#REF!*COM!$N$4</f>
        <v>#REF!</v>
      </c>
      <c r="O239" s="68" t="e">
        <f>#REF!*COM!$N$4</f>
        <v>#REF!</v>
      </c>
      <c r="P239" s="68" t="e">
        <f>#REF!*COM!$P$4</f>
        <v>#REF!</v>
      </c>
      <c r="Q239" s="68" t="e">
        <f>#REF!*COM!$P$4</f>
        <v>#REF!</v>
      </c>
      <c r="R239" s="68" t="e">
        <f>#REF!*COM!$R$4</f>
        <v>#REF!</v>
      </c>
      <c r="S239" s="68" t="e">
        <f>#REF!*COM!$R$4</f>
        <v>#REF!</v>
      </c>
      <c r="T239" s="111" t="e">
        <f t="shared" si="19"/>
        <v>#REF!</v>
      </c>
    </row>
    <row r="240" spans="1:20" ht="64.5" customHeight="1" x14ac:dyDescent="0.25">
      <c r="A240" s="4">
        <v>311</v>
      </c>
      <c r="B240" s="52">
        <v>41</v>
      </c>
      <c r="C240" s="52">
        <v>910</v>
      </c>
      <c r="D240" s="53">
        <v>70499</v>
      </c>
      <c r="E240" s="48"/>
      <c r="F240" s="62" t="s">
        <v>287</v>
      </c>
      <c r="G240" s="225" t="s">
        <v>344</v>
      </c>
      <c r="H240" s="68" t="e">
        <f>#REF!*COM!$H$4</f>
        <v>#REF!</v>
      </c>
      <c r="I240" s="68" t="e">
        <f>#REF!*COM!$H$4</f>
        <v>#REF!</v>
      </c>
      <c r="J240" s="68" t="e">
        <f>#REF!*COM!$J$4</f>
        <v>#REF!</v>
      </c>
      <c r="K240" s="68" t="e">
        <f>#REF!*COM!$J$4</f>
        <v>#REF!</v>
      </c>
      <c r="L240" s="68" t="e">
        <f>#REF!*COM!$L$4</f>
        <v>#REF!</v>
      </c>
      <c r="M240" s="68" t="e">
        <f>#REF!*COM!$L$4</f>
        <v>#REF!</v>
      </c>
      <c r="N240" s="68" t="e">
        <f>#REF!*COM!$N$4</f>
        <v>#REF!</v>
      </c>
      <c r="O240" s="68" t="e">
        <f>#REF!*COM!$N$4</f>
        <v>#REF!</v>
      </c>
      <c r="P240" s="68" t="e">
        <f>#REF!*COM!$P$4</f>
        <v>#REF!</v>
      </c>
      <c r="Q240" s="68" t="e">
        <f>#REF!*COM!$P$4</f>
        <v>#REF!</v>
      </c>
      <c r="R240" s="68" t="e">
        <f>#REF!*COM!$R$4</f>
        <v>#REF!</v>
      </c>
      <c r="S240" s="68" t="e">
        <f>#REF!*COM!$R$4</f>
        <v>#REF!</v>
      </c>
      <c r="T240" s="111" t="e">
        <f t="shared" si="19"/>
        <v>#REF!</v>
      </c>
    </row>
    <row r="241" spans="1:20" ht="78" customHeight="1" x14ac:dyDescent="0.25">
      <c r="A241" s="4">
        <v>311</v>
      </c>
      <c r="B241" s="52">
        <v>41</v>
      </c>
      <c r="C241" s="52">
        <v>920</v>
      </c>
      <c r="D241" s="7">
        <v>70499</v>
      </c>
      <c r="E241" s="20" t="s">
        <v>173</v>
      </c>
      <c r="F241" s="62" t="s">
        <v>288</v>
      </c>
      <c r="G241" s="227"/>
      <c r="H241" s="68" t="e">
        <f>#REF!*COM!$H$4</f>
        <v>#REF!</v>
      </c>
      <c r="I241" s="68" t="e">
        <f>#REF!*COM!$H$4</f>
        <v>#REF!</v>
      </c>
      <c r="J241" s="68" t="e">
        <f>#REF!*COM!$J$4</f>
        <v>#REF!</v>
      </c>
      <c r="K241" s="68" t="e">
        <f>#REF!*COM!$J$4</f>
        <v>#REF!</v>
      </c>
      <c r="L241" s="68" t="e">
        <f>#REF!*COM!$L$4</f>
        <v>#REF!</v>
      </c>
      <c r="M241" s="68" t="e">
        <f>#REF!*COM!$L$4</f>
        <v>#REF!</v>
      </c>
      <c r="N241" s="68" t="e">
        <f>#REF!*COM!$N$4</f>
        <v>#REF!</v>
      </c>
      <c r="O241" s="68" t="e">
        <f>#REF!*COM!$N$4</f>
        <v>#REF!</v>
      </c>
      <c r="P241" s="68" t="e">
        <f>#REF!*COM!$P$4</f>
        <v>#REF!</v>
      </c>
      <c r="Q241" s="68" t="e">
        <f>#REF!*COM!$P$4</f>
        <v>#REF!</v>
      </c>
      <c r="R241" s="68" t="e">
        <f>#REF!*COM!$R$4</f>
        <v>#REF!</v>
      </c>
      <c r="S241" s="68" t="e">
        <f>#REF!*COM!$R$4</f>
        <v>#REF!</v>
      </c>
      <c r="T241" s="111" t="e">
        <f t="shared" si="19"/>
        <v>#REF!</v>
      </c>
    </row>
    <row r="242" spans="1:20" ht="59.25" customHeight="1" x14ac:dyDescent="0.25">
      <c r="A242" s="4">
        <v>311</v>
      </c>
      <c r="B242" s="52">
        <v>41</v>
      </c>
      <c r="C242" s="52">
        <v>910</v>
      </c>
      <c r="D242" s="53">
        <v>70499</v>
      </c>
      <c r="E242" s="48"/>
      <c r="F242" s="62" t="s">
        <v>223</v>
      </c>
      <c r="G242" s="225" t="s">
        <v>322</v>
      </c>
      <c r="H242" s="68" t="e">
        <f>#REF!*COM!$H$4</f>
        <v>#REF!</v>
      </c>
      <c r="I242" s="68" t="e">
        <f>#REF!*COM!$H$4</f>
        <v>#REF!</v>
      </c>
      <c r="J242" s="68" t="e">
        <f>#REF!*COM!$J$4</f>
        <v>#REF!</v>
      </c>
      <c r="K242" s="68" t="e">
        <f>#REF!*COM!$J$4</f>
        <v>#REF!</v>
      </c>
      <c r="L242" s="68" t="e">
        <f>#REF!*COM!$L$4</f>
        <v>#REF!</v>
      </c>
      <c r="M242" s="68" t="e">
        <f>#REF!*COM!$L$4</f>
        <v>#REF!</v>
      </c>
      <c r="N242" s="68" t="e">
        <f>#REF!*COM!$N$4</f>
        <v>#REF!</v>
      </c>
      <c r="O242" s="68" t="e">
        <f>#REF!*COM!$N$4</f>
        <v>#REF!</v>
      </c>
      <c r="P242" s="68" t="e">
        <f>#REF!*COM!$P$4</f>
        <v>#REF!</v>
      </c>
      <c r="Q242" s="68" t="e">
        <f>#REF!*COM!$P$4</f>
        <v>#REF!</v>
      </c>
      <c r="R242" s="68" t="e">
        <f>#REF!*COM!$R$4</f>
        <v>#REF!</v>
      </c>
      <c r="S242" s="68" t="e">
        <f>#REF!*COM!$R$4</f>
        <v>#REF!</v>
      </c>
      <c r="T242" s="111" t="e">
        <f t="shared" si="19"/>
        <v>#REF!</v>
      </c>
    </row>
    <row r="243" spans="1:20" ht="70.5" customHeight="1" x14ac:dyDescent="0.25">
      <c r="A243" s="4">
        <v>311</v>
      </c>
      <c r="B243" s="52">
        <v>41</v>
      </c>
      <c r="C243" s="52">
        <v>920</v>
      </c>
      <c r="D243" s="53">
        <v>70499</v>
      </c>
      <c r="E243" s="20" t="s">
        <v>173</v>
      </c>
      <c r="F243" s="62" t="s">
        <v>116</v>
      </c>
      <c r="G243" s="227"/>
      <c r="H243" s="68" t="e">
        <f>#REF!*COM!$H$4</f>
        <v>#REF!</v>
      </c>
      <c r="I243" s="68" t="e">
        <f>#REF!*COM!$H$4</f>
        <v>#REF!</v>
      </c>
      <c r="J243" s="68" t="e">
        <f>#REF!*COM!$J$4</f>
        <v>#REF!</v>
      </c>
      <c r="K243" s="68" t="e">
        <f>#REF!*COM!$J$4</f>
        <v>#REF!</v>
      </c>
      <c r="L243" s="68" t="e">
        <f>#REF!*COM!$L$4</f>
        <v>#REF!</v>
      </c>
      <c r="M243" s="68" t="e">
        <f>#REF!*COM!$L$4</f>
        <v>#REF!</v>
      </c>
      <c r="N243" s="68" t="e">
        <f>#REF!*COM!$N$4</f>
        <v>#REF!</v>
      </c>
      <c r="O243" s="68" t="e">
        <f>#REF!*COM!$N$4</f>
        <v>#REF!</v>
      </c>
      <c r="P243" s="68" t="e">
        <f>#REF!*COM!$P$4</f>
        <v>#REF!</v>
      </c>
      <c r="Q243" s="68" t="e">
        <f>#REF!*COM!$P$4</f>
        <v>#REF!</v>
      </c>
      <c r="R243" s="68" t="e">
        <f>#REF!*COM!$R$4</f>
        <v>#REF!</v>
      </c>
      <c r="S243" s="68" t="e">
        <f>#REF!*COM!$R$4</f>
        <v>#REF!</v>
      </c>
      <c r="T243" s="111" t="e">
        <f t="shared" si="19"/>
        <v>#REF!</v>
      </c>
    </row>
    <row r="244" spans="1:20" ht="70.5" customHeight="1" x14ac:dyDescent="0.25">
      <c r="A244" s="4">
        <v>311</v>
      </c>
      <c r="B244" s="52">
        <v>41</v>
      </c>
      <c r="C244" s="52">
        <v>920</v>
      </c>
      <c r="D244" s="53">
        <v>70499</v>
      </c>
      <c r="E244" s="20" t="s">
        <v>345</v>
      </c>
      <c r="F244" s="62" t="s">
        <v>346</v>
      </c>
      <c r="G244" s="87"/>
      <c r="H244" s="68" t="e">
        <f>#REF!*COM!$H$4</f>
        <v>#REF!</v>
      </c>
      <c r="I244" s="68" t="e">
        <f>#REF!*COM!$H$4</f>
        <v>#REF!</v>
      </c>
      <c r="J244" s="68" t="e">
        <f>#REF!*COM!$J$4</f>
        <v>#REF!</v>
      </c>
      <c r="K244" s="68" t="e">
        <f>#REF!*COM!$J$4</f>
        <v>#REF!</v>
      </c>
      <c r="L244" s="68" t="e">
        <f>#REF!*COM!$L$4</f>
        <v>#REF!</v>
      </c>
      <c r="M244" s="68" t="e">
        <f>#REF!*COM!$L$4</f>
        <v>#REF!</v>
      </c>
      <c r="N244" s="68" t="e">
        <f>#REF!*COM!$N$4</f>
        <v>#REF!</v>
      </c>
      <c r="O244" s="68" t="e">
        <f>#REF!*COM!$N$4</f>
        <v>#REF!</v>
      </c>
      <c r="P244" s="68" t="e">
        <f>#REF!*COM!$P$4</f>
        <v>#REF!</v>
      </c>
      <c r="Q244" s="68" t="e">
        <f>#REF!*COM!$P$4</f>
        <v>#REF!</v>
      </c>
      <c r="R244" s="68" t="e">
        <f>#REF!*COM!$R$4</f>
        <v>#REF!</v>
      </c>
      <c r="S244" s="68" t="e">
        <f>#REF!*COM!$R$4</f>
        <v>#REF!</v>
      </c>
      <c r="T244" s="111" t="e">
        <f t="shared" si="19"/>
        <v>#REF!</v>
      </c>
    </row>
    <row r="245" spans="1:20" ht="70.5" customHeight="1" x14ac:dyDescent="0.25">
      <c r="A245" s="4">
        <v>311</v>
      </c>
      <c r="B245" s="52">
        <v>41</v>
      </c>
      <c r="C245" s="52">
        <v>920</v>
      </c>
      <c r="D245" s="53">
        <v>70499</v>
      </c>
      <c r="E245" s="20" t="s">
        <v>179</v>
      </c>
      <c r="F245" s="62" t="s">
        <v>347</v>
      </c>
      <c r="G245" s="87"/>
      <c r="H245" s="68" t="e">
        <f>#REF!*COM!$H$4</f>
        <v>#REF!</v>
      </c>
      <c r="I245" s="68" t="e">
        <f>#REF!*COM!$H$4</f>
        <v>#REF!</v>
      </c>
      <c r="J245" s="68" t="e">
        <f>#REF!*COM!$J$4</f>
        <v>#REF!</v>
      </c>
      <c r="K245" s="68" t="e">
        <f>#REF!*COM!$J$4</f>
        <v>#REF!</v>
      </c>
      <c r="L245" s="68" t="e">
        <f>#REF!*COM!$L$4</f>
        <v>#REF!</v>
      </c>
      <c r="M245" s="68" t="e">
        <f>#REF!*COM!$L$4</f>
        <v>#REF!</v>
      </c>
      <c r="N245" s="68" t="e">
        <f>#REF!*COM!$N$4</f>
        <v>#REF!</v>
      </c>
      <c r="O245" s="68" t="e">
        <f>#REF!*COM!$N$4</f>
        <v>#REF!</v>
      </c>
      <c r="P245" s="68" t="e">
        <f>#REF!*COM!$P$4</f>
        <v>#REF!</v>
      </c>
      <c r="Q245" s="68" t="e">
        <f>#REF!*COM!$P$4</f>
        <v>#REF!</v>
      </c>
      <c r="R245" s="68" t="e">
        <f>#REF!*COM!$R$4</f>
        <v>#REF!</v>
      </c>
      <c r="S245" s="68" t="e">
        <f>#REF!*COM!$R$4</f>
        <v>#REF!</v>
      </c>
      <c r="T245" s="111" t="e">
        <f t="shared" si="19"/>
        <v>#REF!</v>
      </c>
    </row>
    <row r="246" spans="1:20" ht="70.5" customHeight="1" x14ac:dyDescent="0.25">
      <c r="A246" s="4">
        <v>311</v>
      </c>
      <c r="B246" s="52">
        <v>41</v>
      </c>
      <c r="C246" s="52">
        <v>930</v>
      </c>
      <c r="D246" s="53">
        <v>70499</v>
      </c>
      <c r="E246" s="20" t="s">
        <v>172</v>
      </c>
      <c r="F246" s="62" t="s">
        <v>348</v>
      </c>
      <c r="G246" s="87"/>
      <c r="H246" s="68" t="e">
        <f>#REF!*COM!$H$4</f>
        <v>#REF!</v>
      </c>
      <c r="I246" s="68" t="e">
        <f>#REF!*COM!$H$4</f>
        <v>#REF!</v>
      </c>
      <c r="J246" s="68" t="e">
        <f>#REF!*COM!$J$4</f>
        <v>#REF!</v>
      </c>
      <c r="K246" s="68" t="e">
        <f>#REF!*COM!$J$4</f>
        <v>#REF!</v>
      </c>
      <c r="L246" s="68" t="e">
        <f>#REF!*COM!$L$4</f>
        <v>#REF!</v>
      </c>
      <c r="M246" s="68" t="e">
        <f>#REF!*COM!$L$4</f>
        <v>#REF!</v>
      </c>
      <c r="N246" s="68" t="e">
        <f>#REF!*COM!$N$4</f>
        <v>#REF!</v>
      </c>
      <c r="O246" s="68" t="e">
        <f>#REF!*COM!$N$4</f>
        <v>#REF!</v>
      </c>
      <c r="P246" s="68" t="e">
        <f>#REF!*COM!$P$4</f>
        <v>#REF!</v>
      </c>
      <c r="Q246" s="68" t="e">
        <f>#REF!*COM!$P$4</f>
        <v>#REF!</v>
      </c>
      <c r="R246" s="68" t="e">
        <f>#REF!*COM!$R$4</f>
        <v>#REF!</v>
      </c>
      <c r="S246" s="68" t="e">
        <f>#REF!*COM!$R$4</f>
        <v>#REF!</v>
      </c>
      <c r="T246" s="111" t="e">
        <f t="shared" si="19"/>
        <v>#REF!</v>
      </c>
    </row>
    <row r="247" spans="1:20" ht="60" customHeight="1" x14ac:dyDescent="0.25">
      <c r="A247" s="4">
        <v>311</v>
      </c>
      <c r="B247" s="52">
        <v>41</v>
      </c>
      <c r="C247" s="52">
        <v>930</v>
      </c>
      <c r="D247" s="53">
        <v>70499</v>
      </c>
      <c r="E247" s="20" t="s">
        <v>175</v>
      </c>
      <c r="F247" s="62" t="s">
        <v>349</v>
      </c>
      <c r="G247" s="38"/>
      <c r="H247" s="68" t="e">
        <f>#REF!*COM!$H$4</f>
        <v>#REF!</v>
      </c>
      <c r="I247" s="68" t="e">
        <f>#REF!*COM!$H$4</f>
        <v>#REF!</v>
      </c>
      <c r="J247" s="68" t="e">
        <f>#REF!*COM!$J$4</f>
        <v>#REF!</v>
      </c>
      <c r="K247" s="68" t="e">
        <f>#REF!*COM!$J$4</f>
        <v>#REF!</v>
      </c>
      <c r="L247" s="68" t="e">
        <f>#REF!*COM!$L$4</f>
        <v>#REF!</v>
      </c>
      <c r="M247" s="68" t="e">
        <f>#REF!*COM!$L$4</f>
        <v>#REF!</v>
      </c>
      <c r="N247" s="68" t="e">
        <f>#REF!*COM!$N$4</f>
        <v>#REF!</v>
      </c>
      <c r="O247" s="68" t="e">
        <f>#REF!*COM!$N$4</f>
        <v>#REF!</v>
      </c>
      <c r="P247" s="68" t="e">
        <f>#REF!*COM!$P$4</f>
        <v>#REF!</v>
      </c>
      <c r="Q247" s="68" t="e">
        <f>#REF!*COM!$P$4</f>
        <v>#REF!</v>
      </c>
      <c r="R247" s="68" t="e">
        <f>#REF!*COM!$R$4</f>
        <v>#REF!</v>
      </c>
      <c r="S247" s="68" t="e">
        <f>#REF!*COM!$R$4</f>
        <v>#REF!</v>
      </c>
      <c r="T247" s="111" t="e">
        <f t="shared" si="19"/>
        <v>#REF!</v>
      </c>
    </row>
    <row r="248" spans="1:20" ht="68.25" customHeight="1" x14ac:dyDescent="0.25">
      <c r="A248" s="4">
        <v>311</v>
      </c>
      <c r="B248" s="52">
        <v>41</v>
      </c>
      <c r="C248" s="52">
        <v>930</v>
      </c>
      <c r="D248" s="53">
        <v>70499</v>
      </c>
      <c r="E248" s="20" t="s">
        <v>179</v>
      </c>
      <c r="F248" s="62" t="s">
        <v>350</v>
      </c>
      <c r="G248" s="38"/>
      <c r="H248" s="68" t="e">
        <f>#REF!*COM!$H$4</f>
        <v>#REF!</v>
      </c>
      <c r="I248" s="68" t="e">
        <f>#REF!*COM!$H$4</f>
        <v>#REF!</v>
      </c>
      <c r="J248" s="68" t="e">
        <f>#REF!*COM!$J$4</f>
        <v>#REF!</v>
      </c>
      <c r="K248" s="68" t="e">
        <f>#REF!*COM!$J$4</f>
        <v>#REF!</v>
      </c>
      <c r="L248" s="68" t="e">
        <f>#REF!*COM!$L$4</f>
        <v>#REF!</v>
      </c>
      <c r="M248" s="68" t="e">
        <f>#REF!*COM!$L$4</f>
        <v>#REF!</v>
      </c>
      <c r="N248" s="68" t="e">
        <f>#REF!*COM!$N$4</f>
        <v>#REF!</v>
      </c>
      <c r="O248" s="68" t="e">
        <f>#REF!*COM!$N$4</f>
        <v>#REF!</v>
      </c>
      <c r="P248" s="68" t="e">
        <f>#REF!*COM!$P$4</f>
        <v>#REF!</v>
      </c>
      <c r="Q248" s="68" t="e">
        <f>#REF!*COM!$P$4</f>
        <v>#REF!</v>
      </c>
      <c r="R248" s="68" t="e">
        <f>#REF!*COM!$R$4</f>
        <v>#REF!</v>
      </c>
      <c r="S248" s="68" t="e">
        <f>#REF!*COM!$R$4</f>
        <v>#REF!</v>
      </c>
      <c r="T248" s="111" t="e">
        <f t="shared" si="19"/>
        <v>#REF!</v>
      </c>
    </row>
    <row r="249" spans="1:20" s="121" customFormat="1" ht="18.75" x14ac:dyDescent="0.25">
      <c r="A249" s="160">
        <v>311</v>
      </c>
      <c r="B249" s="161">
        <v>41</v>
      </c>
      <c r="C249" s="161">
        <v>910</v>
      </c>
      <c r="D249" s="162">
        <v>70499</v>
      </c>
      <c r="E249" s="163"/>
      <c r="F249" s="164" t="s">
        <v>436</v>
      </c>
      <c r="G249" s="118"/>
      <c r="H249" s="68" t="e">
        <f>#REF!*COM!$H$4</f>
        <v>#REF!</v>
      </c>
      <c r="I249" s="68" t="e">
        <f>#REF!*COM!$H$4</f>
        <v>#REF!</v>
      </c>
      <c r="J249" s="68" t="e">
        <f>#REF!*COM!$J$4</f>
        <v>#REF!</v>
      </c>
      <c r="K249" s="68" t="e">
        <f>#REF!*COM!$J$4</f>
        <v>#REF!</v>
      </c>
      <c r="L249" s="68" t="e">
        <f>#REF!*COM!$L$4</f>
        <v>#REF!</v>
      </c>
      <c r="M249" s="68" t="e">
        <f>#REF!*COM!$L$4</f>
        <v>#REF!</v>
      </c>
      <c r="N249" s="68" t="e">
        <f>#REF!*COM!$N$4</f>
        <v>#REF!</v>
      </c>
      <c r="O249" s="68" t="e">
        <f>#REF!*COM!$N$4</f>
        <v>#REF!</v>
      </c>
      <c r="P249" s="68" t="e">
        <f>#REF!*COM!$P$4</f>
        <v>#REF!</v>
      </c>
      <c r="Q249" s="68" t="e">
        <f>#REF!*COM!$P$4</f>
        <v>#REF!</v>
      </c>
      <c r="R249" s="68" t="e">
        <f>#REF!*COM!$R$4</f>
        <v>#REF!</v>
      </c>
      <c r="S249" s="68" t="e">
        <f>#REF!*COM!$R$4</f>
        <v>#REF!</v>
      </c>
      <c r="T249" s="120"/>
    </row>
    <row r="250" spans="1:20" s="121" customFormat="1" ht="37.5" x14ac:dyDescent="0.25">
      <c r="A250" s="160">
        <v>311</v>
      </c>
      <c r="B250" s="161">
        <v>41</v>
      </c>
      <c r="C250" s="161">
        <v>930</v>
      </c>
      <c r="D250" s="162">
        <v>70499</v>
      </c>
      <c r="E250" s="163" t="s">
        <v>174</v>
      </c>
      <c r="F250" s="164" t="s">
        <v>437</v>
      </c>
      <c r="G250" s="118"/>
      <c r="H250" s="68" t="e">
        <f>#REF!*COM!$H$4</f>
        <v>#REF!</v>
      </c>
      <c r="I250" s="68" t="e">
        <f>#REF!*COM!$H$4</f>
        <v>#REF!</v>
      </c>
      <c r="J250" s="68" t="e">
        <f>#REF!*COM!$J$4</f>
        <v>#REF!</v>
      </c>
      <c r="K250" s="68" t="e">
        <f>#REF!*COM!$J$4</f>
        <v>#REF!</v>
      </c>
      <c r="L250" s="68" t="e">
        <f>#REF!*COM!$L$4</f>
        <v>#REF!</v>
      </c>
      <c r="M250" s="68" t="e">
        <f>#REF!*COM!$L$4</f>
        <v>#REF!</v>
      </c>
      <c r="N250" s="68" t="e">
        <f>#REF!*COM!$N$4</f>
        <v>#REF!</v>
      </c>
      <c r="O250" s="68" t="e">
        <f>#REF!*COM!$N$4</f>
        <v>#REF!</v>
      </c>
      <c r="P250" s="68" t="e">
        <f>#REF!*COM!$P$4</f>
        <v>#REF!</v>
      </c>
      <c r="Q250" s="68" t="e">
        <f>#REF!*COM!$P$4</f>
        <v>#REF!</v>
      </c>
      <c r="R250" s="68" t="e">
        <f>#REF!*COM!$R$4</f>
        <v>#REF!</v>
      </c>
      <c r="S250" s="68" t="e">
        <f>#REF!*COM!$R$4</f>
        <v>#REF!</v>
      </c>
      <c r="T250" s="120"/>
    </row>
    <row r="251" spans="1:20" s="121" customFormat="1" ht="18.75" x14ac:dyDescent="0.25">
      <c r="A251" s="114"/>
      <c r="B251" s="115"/>
      <c r="C251" s="115"/>
      <c r="D251" s="135"/>
      <c r="E251" s="117"/>
      <c r="F251" s="118"/>
      <c r="G251" s="118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20"/>
    </row>
    <row r="252" spans="1:20" s="121" customFormat="1" ht="18.75" x14ac:dyDescent="0.25">
      <c r="A252" s="114"/>
      <c r="B252" s="115"/>
      <c r="C252" s="115"/>
      <c r="D252" s="135"/>
      <c r="E252" s="117"/>
      <c r="F252" s="118"/>
      <c r="G252" s="118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20"/>
    </row>
    <row r="253" spans="1:20" s="121" customFormat="1" ht="18.75" x14ac:dyDescent="0.25">
      <c r="A253" s="114"/>
      <c r="B253" s="115"/>
      <c r="C253" s="115"/>
      <c r="D253" s="135"/>
      <c r="E253" s="117"/>
      <c r="F253" s="118"/>
      <c r="G253" s="118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20"/>
    </row>
    <row r="254" spans="1:20" ht="43.5" customHeight="1" x14ac:dyDescent="0.25">
      <c r="A254" s="56"/>
      <c r="B254" s="50"/>
      <c r="C254" s="50"/>
      <c r="D254" s="50"/>
      <c r="E254" s="54"/>
      <c r="F254" s="36" t="s">
        <v>65</v>
      </c>
      <c r="G254" s="36"/>
      <c r="H254" s="99" t="e">
        <f>H255</f>
        <v>#REF!</v>
      </c>
      <c r="I254" s="99" t="e">
        <f t="shared" ref="I254:S254" si="20">I255</f>
        <v>#REF!</v>
      </c>
      <c r="J254" s="99" t="e">
        <f t="shared" si="20"/>
        <v>#REF!</v>
      </c>
      <c r="K254" s="99" t="e">
        <f t="shared" si="20"/>
        <v>#REF!</v>
      </c>
      <c r="L254" s="99" t="e">
        <f t="shared" si="20"/>
        <v>#REF!</v>
      </c>
      <c r="M254" s="99" t="e">
        <f t="shared" si="20"/>
        <v>#REF!</v>
      </c>
      <c r="N254" s="99" t="e">
        <f t="shared" si="20"/>
        <v>#REF!</v>
      </c>
      <c r="O254" s="99" t="e">
        <f t="shared" si="20"/>
        <v>#REF!</v>
      </c>
      <c r="P254" s="99" t="e">
        <f t="shared" si="20"/>
        <v>#REF!</v>
      </c>
      <c r="Q254" s="99" t="e">
        <f t="shared" si="20"/>
        <v>#REF!</v>
      </c>
      <c r="R254" s="99" t="e">
        <f t="shared" si="20"/>
        <v>#REF!</v>
      </c>
      <c r="S254" s="99" t="e">
        <f t="shared" si="20"/>
        <v>#REF!</v>
      </c>
      <c r="T254" s="111" t="e">
        <f t="shared" si="19"/>
        <v>#REF!</v>
      </c>
    </row>
    <row r="255" spans="1:20" ht="18.75" x14ac:dyDescent="0.25">
      <c r="A255" s="57"/>
      <c r="B255" s="51"/>
      <c r="C255" s="51"/>
      <c r="D255" s="51"/>
      <c r="E255" s="55"/>
      <c r="F255" s="37" t="s">
        <v>6</v>
      </c>
      <c r="G255" s="37"/>
      <c r="H255" s="100" t="e">
        <f>SUM(H256:H304)</f>
        <v>#REF!</v>
      </c>
      <c r="I255" s="100" t="e">
        <f t="shared" ref="I255:S255" si="21">SUM(I256:I304)</f>
        <v>#REF!</v>
      </c>
      <c r="J255" s="100" t="e">
        <f t="shared" si="21"/>
        <v>#REF!</v>
      </c>
      <c r="K255" s="100" t="e">
        <f t="shared" si="21"/>
        <v>#REF!</v>
      </c>
      <c r="L255" s="100" t="e">
        <f t="shared" si="21"/>
        <v>#REF!</v>
      </c>
      <c r="M255" s="100" t="e">
        <f t="shared" si="21"/>
        <v>#REF!</v>
      </c>
      <c r="N255" s="100" t="e">
        <f t="shared" si="21"/>
        <v>#REF!</v>
      </c>
      <c r="O255" s="100" t="e">
        <f t="shared" si="21"/>
        <v>#REF!</v>
      </c>
      <c r="P255" s="100" t="e">
        <f t="shared" si="21"/>
        <v>#REF!</v>
      </c>
      <c r="Q255" s="100" t="e">
        <f t="shared" si="21"/>
        <v>#REF!</v>
      </c>
      <c r="R255" s="100" t="e">
        <f t="shared" si="21"/>
        <v>#REF!</v>
      </c>
      <c r="S255" s="100" t="e">
        <f t="shared" si="21"/>
        <v>#REF!</v>
      </c>
      <c r="T255" s="111" t="e">
        <f t="shared" si="19"/>
        <v>#REF!</v>
      </c>
    </row>
    <row r="256" spans="1:20" ht="37.5" x14ac:dyDescent="0.25">
      <c r="A256" s="10">
        <v>311</v>
      </c>
      <c r="B256" s="8">
        <v>43</v>
      </c>
      <c r="C256" s="8">
        <v>910</v>
      </c>
      <c r="D256" s="9">
        <v>70499</v>
      </c>
      <c r="E256" s="21"/>
      <c r="F256" s="83" t="s">
        <v>233</v>
      </c>
      <c r="G256" s="39"/>
      <c r="H256" s="68" t="e">
        <f>#REF!*COM!$H$4</f>
        <v>#REF!</v>
      </c>
      <c r="I256" s="68" t="e">
        <f>#REF!*COM!$H$4</f>
        <v>#REF!</v>
      </c>
      <c r="J256" s="68" t="e">
        <f>#REF!*COM!$J$4</f>
        <v>#REF!</v>
      </c>
      <c r="K256" s="68" t="e">
        <f>#REF!*COM!$J$4</f>
        <v>#REF!</v>
      </c>
      <c r="L256" s="68" t="e">
        <f>#REF!*COM!$L$4</f>
        <v>#REF!</v>
      </c>
      <c r="M256" s="68" t="e">
        <f>#REF!*COM!$L$4</f>
        <v>#REF!</v>
      </c>
      <c r="N256" s="68" t="e">
        <f>#REF!*COM!$N$4</f>
        <v>#REF!</v>
      </c>
      <c r="O256" s="68" t="e">
        <f>#REF!*COM!$N$4</f>
        <v>#REF!</v>
      </c>
      <c r="P256" s="68" t="e">
        <f>#REF!*COM!$P$4</f>
        <v>#REF!</v>
      </c>
      <c r="Q256" s="68" t="e">
        <f>#REF!*COM!$P$4</f>
        <v>#REF!</v>
      </c>
      <c r="R256" s="68" t="e">
        <f>#REF!*COM!$R$4</f>
        <v>#REF!</v>
      </c>
      <c r="S256" s="68" t="e">
        <f>#REF!*COM!$R$4</f>
        <v>#REF!</v>
      </c>
      <c r="T256" s="111" t="e">
        <f t="shared" si="19"/>
        <v>#REF!</v>
      </c>
    </row>
    <row r="257" spans="1:20" ht="37.5" x14ac:dyDescent="0.25">
      <c r="A257" s="10">
        <v>311</v>
      </c>
      <c r="B257" s="8">
        <v>43</v>
      </c>
      <c r="C257" s="8">
        <v>930</v>
      </c>
      <c r="D257" s="9">
        <v>70499</v>
      </c>
      <c r="E257" s="21" t="s">
        <v>166</v>
      </c>
      <c r="F257" s="83" t="s">
        <v>234</v>
      </c>
      <c r="G257" s="39"/>
      <c r="H257" s="68" t="e">
        <f>#REF!*COM!$H$4</f>
        <v>#REF!</v>
      </c>
      <c r="I257" s="68" t="e">
        <f>#REF!*COM!$H$4</f>
        <v>#REF!</v>
      </c>
      <c r="J257" s="68" t="e">
        <f>#REF!*COM!$J$4</f>
        <v>#REF!</v>
      </c>
      <c r="K257" s="68" t="e">
        <f>#REF!*COM!$J$4</f>
        <v>#REF!</v>
      </c>
      <c r="L257" s="68" t="e">
        <f>#REF!*COM!$L$4</f>
        <v>#REF!</v>
      </c>
      <c r="M257" s="68" t="e">
        <f>#REF!*COM!$L$4</f>
        <v>#REF!</v>
      </c>
      <c r="N257" s="68" t="e">
        <f>#REF!*COM!$N$4</f>
        <v>#REF!</v>
      </c>
      <c r="O257" s="68" t="e">
        <f>#REF!*COM!$N$4</f>
        <v>#REF!</v>
      </c>
      <c r="P257" s="68" t="e">
        <f>#REF!*COM!$P$4</f>
        <v>#REF!</v>
      </c>
      <c r="Q257" s="68" t="e">
        <f>#REF!*COM!$P$4</f>
        <v>#REF!</v>
      </c>
      <c r="R257" s="68" t="e">
        <f>#REF!*COM!$R$4</f>
        <v>#REF!</v>
      </c>
      <c r="S257" s="68" t="e">
        <f>#REF!*COM!$R$4</f>
        <v>#REF!</v>
      </c>
      <c r="T257" s="111" t="e">
        <f t="shared" si="19"/>
        <v>#REF!</v>
      </c>
    </row>
    <row r="258" spans="1:20" ht="37.5" x14ac:dyDescent="0.25">
      <c r="A258" s="10">
        <v>311</v>
      </c>
      <c r="B258" s="8">
        <v>43</v>
      </c>
      <c r="C258" s="8">
        <v>930</v>
      </c>
      <c r="D258" s="9">
        <v>70499</v>
      </c>
      <c r="E258" s="21" t="s">
        <v>175</v>
      </c>
      <c r="F258" s="83" t="s">
        <v>235</v>
      </c>
      <c r="G258" s="39"/>
      <c r="H258" s="68" t="e">
        <f>#REF!*COM!$H$4</f>
        <v>#REF!</v>
      </c>
      <c r="I258" s="68" t="e">
        <f>#REF!*COM!$H$4</f>
        <v>#REF!</v>
      </c>
      <c r="J258" s="68" t="e">
        <f>#REF!*COM!$J$4</f>
        <v>#REF!</v>
      </c>
      <c r="K258" s="68" t="e">
        <f>#REF!*COM!$J$4</f>
        <v>#REF!</v>
      </c>
      <c r="L258" s="68" t="e">
        <f>#REF!*COM!$L$4</f>
        <v>#REF!</v>
      </c>
      <c r="M258" s="68" t="e">
        <f>#REF!*COM!$L$4</f>
        <v>#REF!</v>
      </c>
      <c r="N258" s="68" t="e">
        <f>#REF!*COM!$N$4</f>
        <v>#REF!</v>
      </c>
      <c r="O258" s="68" t="e">
        <f>#REF!*COM!$N$4</f>
        <v>#REF!</v>
      </c>
      <c r="P258" s="68" t="e">
        <f>#REF!*COM!$P$4</f>
        <v>#REF!</v>
      </c>
      <c r="Q258" s="68" t="e">
        <f>#REF!*COM!$P$4</f>
        <v>#REF!</v>
      </c>
      <c r="R258" s="68" t="e">
        <f>#REF!*COM!$R$4</f>
        <v>#REF!</v>
      </c>
      <c r="S258" s="68" t="e">
        <f>#REF!*COM!$R$4</f>
        <v>#REF!</v>
      </c>
      <c r="T258" s="111" t="e">
        <f t="shared" si="19"/>
        <v>#REF!</v>
      </c>
    </row>
    <row r="259" spans="1:20" ht="37.5" x14ac:dyDescent="0.25">
      <c r="A259" s="10">
        <v>311</v>
      </c>
      <c r="B259" s="8">
        <v>43</v>
      </c>
      <c r="C259" s="8">
        <v>920</v>
      </c>
      <c r="D259" s="9">
        <v>70499</v>
      </c>
      <c r="E259" s="21" t="s">
        <v>174</v>
      </c>
      <c r="F259" s="83" t="s">
        <v>236</v>
      </c>
      <c r="G259" s="39"/>
      <c r="H259" s="68" t="e">
        <f>#REF!*COM!$H$4</f>
        <v>#REF!</v>
      </c>
      <c r="I259" s="68" t="e">
        <f>#REF!*COM!$H$4</f>
        <v>#REF!</v>
      </c>
      <c r="J259" s="68" t="e">
        <f>#REF!*COM!$J$4</f>
        <v>#REF!</v>
      </c>
      <c r="K259" s="68" t="e">
        <f>#REF!*COM!$J$4</f>
        <v>#REF!</v>
      </c>
      <c r="L259" s="68" t="e">
        <f>#REF!*COM!$L$4</f>
        <v>#REF!</v>
      </c>
      <c r="M259" s="68" t="e">
        <f>#REF!*COM!$L$4</f>
        <v>#REF!</v>
      </c>
      <c r="N259" s="68" t="e">
        <f>#REF!*COM!$N$4</f>
        <v>#REF!</v>
      </c>
      <c r="O259" s="68" t="e">
        <f>#REF!*COM!$N$4</f>
        <v>#REF!</v>
      </c>
      <c r="P259" s="68" t="e">
        <f>#REF!*COM!$P$4</f>
        <v>#REF!</v>
      </c>
      <c r="Q259" s="68" t="e">
        <f>#REF!*COM!$P$4</f>
        <v>#REF!</v>
      </c>
      <c r="R259" s="68" t="e">
        <f>#REF!*COM!$R$4</f>
        <v>#REF!</v>
      </c>
      <c r="S259" s="68" t="e">
        <f>#REF!*COM!$R$4</f>
        <v>#REF!</v>
      </c>
      <c r="T259" s="111" t="e">
        <f t="shared" si="19"/>
        <v>#REF!</v>
      </c>
    </row>
    <row r="260" spans="1:20" ht="37.5" x14ac:dyDescent="0.25">
      <c r="A260" s="10">
        <v>311</v>
      </c>
      <c r="B260" s="8">
        <v>43</v>
      </c>
      <c r="C260" s="8">
        <v>930</v>
      </c>
      <c r="D260" s="9">
        <v>70499</v>
      </c>
      <c r="E260" s="21" t="s">
        <v>174</v>
      </c>
      <c r="F260" s="83" t="s">
        <v>237</v>
      </c>
      <c r="G260" s="39"/>
      <c r="H260" s="68" t="e">
        <f>#REF!*COM!$H$4</f>
        <v>#REF!</v>
      </c>
      <c r="I260" s="68" t="e">
        <f>#REF!*COM!$H$4</f>
        <v>#REF!</v>
      </c>
      <c r="J260" s="68" t="e">
        <f>#REF!*COM!$J$4</f>
        <v>#REF!</v>
      </c>
      <c r="K260" s="68" t="e">
        <f>#REF!*COM!$J$4</f>
        <v>#REF!</v>
      </c>
      <c r="L260" s="68" t="e">
        <f>#REF!*COM!$L$4</f>
        <v>#REF!</v>
      </c>
      <c r="M260" s="68" t="e">
        <f>#REF!*COM!$L$4</f>
        <v>#REF!</v>
      </c>
      <c r="N260" s="68" t="e">
        <f>#REF!*COM!$N$4</f>
        <v>#REF!</v>
      </c>
      <c r="O260" s="68" t="e">
        <f>#REF!*COM!$N$4</f>
        <v>#REF!</v>
      </c>
      <c r="P260" s="68" t="e">
        <f>#REF!*COM!$P$4</f>
        <v>#REF!</v>
      </c>
      <c r="Q260" s="68" t="e">
        <f>#REF!*COM!$P$4</f>
        <v>#REF!</v>
      </c>
      <c r="R260" s="68" t="e">
        <f>#REF!*COM!$R$4</f>
        <v>#REF!</v>
      </c>
      <c r="S260" s="68" t="e">
        <f>#REF!*COM!$R$4</f>
        <v>#REF!</v>
      </c>
      <c r="T260" s="111" t="e">
        <f t="shared" si="19"/>
        <v>#REF!</v>
      </c>
    </row>
    <row r="261" spans="1:20" ht="37.5" x14ac:dyDescent="0.25">
      <c r="A261" s="4">
        <v>311</v>
      </c>
      <c r="B261" s="52">
        <v>43</v>
      </c>
      <c r="C261" s="52">
        <v>910</v>
      </c>
      <c r="D261" s="7">
        <v>70499</v>
      </c>
      <c r="E261" s="20"/>
      <c r="F261" s="83" t="s">
        <v>66</v>
      </c>
      <c r="G261" s="39"/>
      <c r="H261" s="68" t="e">
        <f>#REF!*COM!$H$4</f>
        <v>#REF!</v>
      </c>
      <c r="I261" s="68" t="e">
        <f>#REF!*COM!$H$4</f>
        <v>#REF!</v>
      </c>
      <c r="J261" s="68" t="e">
        <f>#REF!*COM!$J$4</f>
        <v>#REF!</v>
      </c>
      <c r="K261" s="68" t="e">
        <f>#REF!*COM!$J$4</f>
        <v>#REF!</v>
      </c>
      <c r="L261" s="68" t="e">
        <f>#REF!*COM!$L$4</f>
        <v>#REF!</v>
      </c>
      <c r="M261" s="68" t="e">
        <f>#REF!*COM!$L$4</f>
        <v>#REF!</v>
      </c>
      <c r="N261" s="68" t="e">
        <f>#REF!*COM!$N$4</f>
        <v>#REF!</v>
      </c>
      <c r="O261" s="68" t="e">
        <f>#REF!*COM!$N$4</f>
        <v>#REF!</v>
      </c>
      <c r="P261" s="68" t="e">
        <f>#REF!*COM!$P$4</f>
        <v>#REF!</v>
      </c>
      <c r="Q261" s="68" t="e">
        <f>#REF!*COM!$P$4</f>
        <v>#REF!</v>
      </c>
      <c r="R261" s="68" t="e">
        <f>#REF!*COM!$R$4</f>
        <v>#REF!</v>
      </c>
      <c r="S261" s="68" t="e">
        <f>#REF!*COM!$R$4</f>
        <v>#REF!</v>
      </c>
      <c r="T261" s="111" t="e">
        <f t="shared" si="19"/>
        <v>#REF!</v>
      </c>
    </row>
    <row r="262" spans="1:20" ht="37.5" x14ac:dyDescent="0.25">
      <c r="A262" s="4">
        <v>311</v>
      </c>
      <c r="B262" s="52">
        <v>43</v>
      </c>
      <c r="C262" s="52">
        <v>930</v>
      </c>
      <c r="D262" s="7">
        <v>70499</v>
      </c>
      <c r="E262" s="20" t="s">
        <v>166</v>
      </c>
      <c r="F262" s="83" t="s">
        <v>67</v>
      </c>
      <c r="G262" s="39"/>
      <c r="H262" s="68" t="e">
        <f>#REF!*COM!$H$4</f>
        <v>#REF!</v>
      </c>
      <c r="I262" s="68" t="e">
        <f>#REF!*COM!$H$4</f>
        <v>#REF!</v>
      </c>
      <c r="J262" s="68" t="e">
        <f>#REF!*COM!$J$4</f>
        <v>#REF!</v>
      </c>
      <c r="K262" s="68" t="e">
        <f>#REF!*COM!$J$4</f>
        <v>#REF!</v>
      </c>
      <c r="L262" s="68" t="e">
        <f>#REF!*COM!$L$4</f>
        <v>#REF!</v>
      </c>
      <c r="M262" s="68" t="e">
        <f>#REF!*COM!$L$4</f>
        <v>#REF!</v>
      </c>
      <c r="N262" s="68" t="e">
        <f>#REF!*COM!$N$4</f>
        <v>#REF!</v>
      </c>
      <c r="O262" s="68" t="e">
        <f>#REF!*COM!$N$4</f>
        <v>#REF!</v>
      </c>
      <c r="P262" s="68" t="e">
        <f>#REF!*COM!$P$4</f>
        <v>#REF!</v>
      </c>
      <c r="Q262" s="68" t="e">
        <f>#REF!*COM!$P$4</f>
        <v>#REF!</v>
      </c>
      <c r="R262" s="68" t="e">
        <f>#REF!*COM!$R$4</f>
        <v>#REF!</v>
      </c>
      <c r="S262" s="68" t="e">
        <f>#REF!*COM!$R$4</f>
        <v>#REF!</v>
      </c>
      <c r="T262" s="111" t="e">
        <f t="shared" si="19"/>
        <v>#REF!</v>
      </c>
    </row>
    <row r="263" spans="1:20" ht="37.5" x14ac:dyDescent="0.25">
      <c r="A263" s="10">
        <v>311</v>
      </c>
      <c r="B263" s="8">
        <v>43</v>
      </c>
      <c r="C263" s="8">
        <v>910</v>
      </c>
      <c r="D263" s="9">
        <v>70499</v>
      </c>
      <c r="E263" s="21"/>
      <c r="F263" s="83" t="s">
        <v>238</v>
      </c>
      <c r="G263" s="39"/>
      <c r="H263" s="68" t="e">
        <f>#REF!*COM!$H$4</f>
        <v>#REF!</v>
      </c>
      <c r="I263" s="68" t="e">
        <f>#REF!*COM!$H$4</f>
        <v>#REF!</v>
      </c>
      <c r="J263" s="68" t="e">
        <f>#REF!*COM!$J$4</f>
        <v>#REF!</v>
      </c>
      <c r="K263" s="68" t="e">
        <f>#REF!*COM!$J$4</f>
        <v>#REF!</v>
      </c>
      <c r="L263" s="68" t="e">
        <f>#REF!*COM!$L$4</f>
        <v>#REF!</v>
      </c>
      <c r="M263" s="68" t="e">
        <f>#REF!*COM!$L$4</f>
        <v>#REF!</v>
      </c>
      <c r="N263" s="68" t="e">
        <f>#REF!*COM!$N$4</f>
        <v>#REF!</v>
      </c>
      <c r="O263" s="68" t="e">
        <f>#REF!*COM!$N$4</f>
        <v>#REF!</v>
      </c>
      <c r="P263" s="68" t="e">
        <f>#REF!*COM!$P$4</f>
        <v>#REF!</v>
      </c>
      <c r="Q263" s="68" t="e">
        <f>#REF!*COM!$P$4</f>
        <v>#REF!</v>
      </c>
      <c r="R263" s="68" t="e">
        <f>#REF!*COM!$R$4</f>
        <v>#REF!</v>
      </c>
      <c r="S263" s="68" t="e">
        <f>#REF!*COM!$R$4</f>
        <v>#REF!</v>
      </c>
      <c r="T263" s="111" t="e">
        <f t="shared" si="19"/>
        <v>#REF!</v>
      </c>
    </row>
    <row r="264" spans="1:20" ht="37.5" x14ac:dyDescent="0.25">
      <c r="A264" s="4">
        <v>311</v>
      </c>
      <c r="B264" s="52">
        <v>43</v>
      </c>
      <c r="C264" s="52">
        <v>930</v>
      </c>
      <c r="D264" s="7">
        <v>70499</v>
      </c>
      <c r="E264" s="20" t="s">
        <v>174</v>
      </c>
      <c r="F264" s="83" t="s">
        <v>239</v>
      </c>
      <c r="G264" s="39"/>
      <c r="H264" s="68" t="e">
        <f>#REF!*COM!$H$4</f>
        <v>#REF!</v>
      </c>
      <c r="I264" s="68" t="e">
        <f>#REF!*COM!$H$4</f>
        <v>#REF!</v>
      </c>
      <c r="J264" s="68" t="e">
        <f>#REF!*COM!$J$4</f>
        <v>#REF!</v>
      </c>
      <c r="K264" s="68" t="e">
        <f>#REF!*COM!$J$4</f>
        <v>#REF!</v>
      </c>
      <c r="L264" s="68" t="e">
        <f>#REF!*COM!$L$4</f>
        <v>#REF!</v>
      </c>
      <c r="M264" s="68" t="e">
        <f>#REF!*COM!$L$4</f>
        <v>#REF!</v>
      </c>
      <c r="N264" s="68" t="e">
        <f>#REF!*COM!$N$4</f>
        <v>#REF!</v>
      </c>
      <c r="O264" s="68" t="e">
        <f>#REF!*COM!$N$4</f>
        <v>#REF!</v>
      </c>
      <c r="P264" s="68" t="e">
        <f>#REF!*COM!$P$4</f>
        <v>#REF!</v>
      </c>
      <c r="Q264" s="68" t="e">
        <f>#REF!*COM!$P$4</f>
        <v>#REF!</v>
      </c>
      <c r="R264" s="68" t="e">
        <f>#REF!*COM!$R$4</f>
        <v>#REF!</v>
      </c>
      <c r="S264" s="68" t="e">
        <f>#REF!*COM!$R$4</f>
        <v>#REF!</v>
      </c>
      <c r="T264" s="111" t="e">
        <f t="shared" si="19"/>
        <v>#REF!</v>
      </c>
    </row>
    <row r="265" spans="1:20" ht="37.5" x14ac:dyDescent="0.25">
      <c r="A265" s="4">
        <v>311</v>
      </c>
      <c r="B265" s="52">
        <v>43</v>
      </c>
      <c r="C265" s="52">
        <v>930</v>
      </c>
      <c r="D265" s="7">
        <v>70499</v>
      </c>
      <c r="E265" s="20" t="s">
        <v>166</v>
      </c>
      <c r="F265" s="83" t="s">
        <v>240</v>
      </c>
      <c r="G265" s="39"/>
      <c r="H265" s="68" t="e">
        <f>#REF!*COM!$H$4</f>
        <v>#REF!</v>
      </c>
      <c r="I265" s="68" t="e">
        <f>#REF!*COM!$H$4</f>
        <v>#REF!</v>
      </c>
      <c r="J265" s="68" t="e">
        <f>#REF!*COM!$J$4</f>
        <v>#REF!</v>
      </c>
      <c r="K265" s="68" t="e">
        <f>#REF!*COM!$J$4</f>
        <v>#REF!</v>
      </c>
      <c r="L265" s="68" t="e">
        <f>#REF!*COM!$L$4</f>
        <v>#REF!</v>
      </c>
      <c r="M265" s="68" t="e">
        <f>#REF!*COM!$L$4</f>
        <v>#REF!</v>
      </c>
      <c r="N265" s="68" t="e">
        <f>#REF!*COM!$N$4</f>
        <v>#REF!</v>
      </c>
      <c r="O265" s="68" t="e">
        <f>#REF!*COM!$N$4</f>
        <v>#REF!</v>
      </c>
      <c r="P265" s="68" t="e">
        <f>#REF!*COM!$P$4</f>
        <v>#REF!</v>
      </c>
      <c r="Q265" s="68" t="e">
        <f>#REF!*COM!$P$4</f>
        <v>#REF!</v>
      </c>
      <c r="R265" s="68" t="e">
        <f>#REF!*COM!$R$4</f>
        <v>#REF!</v>
      </c>
      <c r="S265" s="68" t="e">
        <f>#REF!*COM!$R$4</f>
        <v>#REF!</v>
      </c>
      <c r="T265" s="111" t="e">
        <f t="shared" si="19"/>
        <v>#REF!</v>
      </c>
    </row>
    <row r="266" spans="1:20" ht="37.5" x14ac:dyDescent="0.25">
      <c r="A266" s="4">
        <v>311</v>
      </c>
      <c r="B266" s="52">
        <v>43</v>
      </c>
      <c r="C266" s="52">
        <v>930</v>
      </c>
      <c r="D266" s="7">
        <v>70499</v>
      </c>
      <c r="E266" s="20" t="s">
        <v>165</v>
      </c>
      <c r="F266" s="83" t="s">
        <v>241</v>
      </c>
      <c r="G266" s="39"/>
      <c r="H266" s="68" t="e">
        <f>#REF!*COM!$H$4</f>
        <v>#REF!</v>
      </c>
      <c r="I266" s="68" t="e">
        <f>#REF!*COM!$H$4</f>
        <v>#REF!</v>
      </c>
      <c r="J266" s="68" t="e">
        <f>#REF!*COM!$J$4</f>
        <v>#REF!</v>
      </c>
      <c r="K266" s="68" t="e">
        <f>#REF!*COM!$J$4</f>
        <v>#REF!</v>
      </c>
      <c r="L266" s="68" t="e">
        <f>#REF!*COM!$L$4</f>
        <v>#REF!</v>
      </c>
      <c r="M266" s="68" t="e">
        <f>#REF!*COM!$L$4</f>
        <v>#REF!</v>
      </c>
      <c r="N266" s="68" t="e">
        <f>#REF!*COM!$N$4</f>
        <v>#REF!</v>
      </c>
      <c r="O266" s="68" t="e">
        <f>#REF!*COM!$N$4</f>
        <v>#REF!</v>
      </c>
      <c r="P266" s="68" t="e">
        <f>#REF!*COM!$P$4</f>
        <v>#REF!</v>
      </c>
      <c r="Q266" s="68" t="e">
        <f>#REF!*COM!$P$4</f>
        <v>#REF!</v>
      </c>
      <c r="R266" s="68" t="e">
        <f>#REF!*COM!$R$4</f>
        <v>#REF!</v>
      </c>
      <c r="S266" s="68" t="e">
        <f>#REF!*COM!$R$4</f>
        <v>#REF!</v>
      </c>
      <c r="T266" s="111" t="e">
        <f t="shared" si="19"/>
        <v>#REF!</v>
      </c>
    </row>
    <row r="267" spans="1:20" ht="37.5" x14ac:dyDescent="0.25">
      <c r="A267" s="4">
        <v>311</v>
      </c>
      <c r="B267" s="52">
        <v>43</v>
      </c>
      <c r="C267" s="52">
        <v>930</v>
      </c>
      <c r="D267" s="7">
        <v>70499</v>
      </c>
      <c r="E267" s="20" t="s">
        <v>175</v>
      </c>
      <c r="F267" s="83" t="s">
        <v>242</v>
      </c>
      <c r="G267" s="39"/>
      <c r="H267" s="68" t="e">
        <f>#REF!*COM!$H$4</f>
        <v>#REF!</v>
      </c>
      <c r="I267" s="68" t="e">
        <f>#REF!*COM!$H$4</f>
        <v>#REF!</v>
      </c>
      <c r="J267" s="68" t="e">
        <f>#REF!*COM!$J$4</f>
        <v>#REF!</v>
      </c>
      <c r="K267" s="68" t="e">
        <f>#REF!*COM!$J$4</f>
        <v>#REF!</v>
      </c>
      <c r="L267" s="68" t="e">
        <f>#REF!*COM!$L$4</f>
        <v>#REF!</v>
      </c>
      <c r="M267" s="68" t="e">
        <f>#REF!*COM!$L$4</f>
        <v>#REF!</v>
      </c>
      <c r="N267" s="68" t="e">
        <f>#REF!*COM!$N$4</f>
        <v>#REF!</v>
      </c>
      <c r="O267" s="68" t="e">
        <f>#REF!*COM!$N$4</f>
        <v>#REF!</v>
      </c>
      <c r="P267" s="68" t="e">
        <f>#REF!*COM!$P$4</f>
        <v>#REF!</v>
      </c>
      <c r="Q267" s="68" t="e">
        <f>#REF!*COM!$P$4</f>
        <v>#REF!</v>
      </c>
      <c r="R267" s="68" t="e">
        <f>#REF!*COM!$R$4</f>
        <v>#REF!</v>
      </c>
      <c r="S267" s="68" t="e">
        <f>#REF!*COM!$R$4</f>
        <v>#REF!</v>
      </c>
      <c r="T267" s="111" t="e">
        <f t="shared" si="19"/>
        <v>#REF!</v>
      </c>
    </row>
    <row r="268" spans="1:20" ht="37.5" x14ac:dyDescent="0.25">
      <c r="A268" s="4">
        <v>311</v>
      </c>
      <c r="B268" s="53">
        <v>43</v>
      </c>
      <c r="C268" s="53">
        <v>910</v>
      </c>
      <c r="D268" s="7">
        <v>70499</v>
      </c>
      <c r="E268" s="20"/>
      <c r="F268" s="39" t="s">
        <v>243</v>
      </c>
      <c r="G268" s="39"/>
      <c r="H268" s="68" t="e">
        <f>#REF!*COM!$H$4</f>
        <v>#REF!</v>
      </c>
      <c r="I268" s="68" t="e">
        <f>#REF!*COM!$H$4</f>
        <v>#REF!</v>
      </c>
      <c r="J268" s="68" t="e">
        <f>#REF!*COM!$J$4</f>
        <v>#REF!</v>
      </c>
      <c r="K268" s="68" t="e">
        <f>#REF!*COM!$J$4</f>
        <v>#REF!</v>
      </c>
      <c r="L268" s="68" t="e">
        <f>#REF!*COM!$L$4</f>
        <v>#REF!</v>
      </c>
      <c r="M268" s="68" t="e">
        <f>#REF!*COM!$L$4</f>
        <v>#REF!</v>
      </c>
      <c r="N268" s="68" t="e">
        <f>#REF!*COM!$N$4</f>
        <v>#REF!</v>
      </c>
      <c r="O268" s="68" t="e">
        <f>#REF!*COM!$N$4</f>
        <v>#REF!</v>
      </c>
      <c r="P268" s="68" t="e">
        <f>#REF!*COM!$P$4</f>
        <v>#REF!</v>
      </c>
      <c r="Q268" s="68" t="e">
        <f>#REF!*COM!$P$4</f>
        <v>#REF!</v>
      </c>
      <c r="R268" s="68" t="e">
        <f>#REF!*COM!$R$4</f>
        <v>#REF!</v>
      </c>
      <c r="S268" s="68" t="e">
        <f>#REF!*COM!$R$4</f>
        <v>#REF!</v>
      </c>
      <c r="T268" s="111" t="e">
        <f t="shared" si="19"/>
        <v>#REF!</v>
      </c>
    </row>
    <row r="269" spans="1:20" ht="37.5" x14ac:dyDescent="0.25">
      <c r="A269" s="4">
        <v>311</v>
      </c>
      <c r="B269" s="53">
        <v>43</v>
      </c>
      <c r="C269" s="53">
        <v>930</v>
      </c>
      <c r="D269" s="7">
        <v>70499</v>
      </c>
      <c r="E269" s="20" t="s">
        <v>419</v>
      </c>
      <c r="F269" s="43" t="s">
        <v>428</v>
      </c>
      <c r="G269" s="43"/>
      <c r="H269" s="68" t="e">
        <f>#REF!*COM!$H$4</f>
        <v>#REF!</v>
      </c>
      <c r="I269" s="68" t="e">
        <f>#REF!*COM!$H$4</f>
        <v>#REF!</v>
      </c>
      <c r="J269" s="68" t="e">
        <f>#REF!*COM!$J$4</f>
        <v>#REF!</v>
      </c>
      <c r="K269" s="68" t="e">
        <f>#REF!*COM!$J$4</f>
        <v>#REF!</v>
      </c>
      <c r="L269" s="68" t="e">
        <f>#REF!*COM!$L$4</f>
        <v>#REF!</v>
      </c>
      <c r="M269" s="68" t="e">
        <f>#REF!*COM!$L$4</f>
        <v>#REF!</v>
      </c>
      <c r="N269" s="68" t="e">
        <f>#REF!*COM!$N$4</f>
        <v>#REF!</v>
      </c>
      <c r="O269" s="68" t="e">
        <f>#REF!*COM!$N$4</f>
        <v>#REF!</v>
      </c>
      <c r="P269" s="68" t="e">
        <f>#REF!*COM!$P$4</f>
        <v>#REF!</v>
      </c>
      <c r="Q269" s="68" t="e">
        <f>#REF!*COM!$P$4</f>
        <v>#REF!</v>
      </c>
      <c r="R269" s="68" t="e">
        <f>#REF!*COM!$R$4</f>
        <v>#REF!</v>
      </c>
      <c r="S269" s="68" t="e">
        <f>#REF!*COM!$R$4</f>
        <v>#REF!</v>
      </c>
      <c r="T269" s="111" t="e">
        <f t="shared" si="19"/>
        <v>#REF!</v>
      </c>
    </row>
    <row r="270" spans="1:20" ht="18.75" x14ac:dyDescent="0.25">
      <c r="A270" s="4">
        <v>311</v>
      </c>
      <c r="B270" s="53">
        <v>43</v>
      </c>
      <c r="C270" s="53">
        <v>930</v>
      </c>
      <c r="D270" s="53">
        <v>70499</v>
      </c>
      <c r="E270" s="48" t="s">
        <v>167</v>
      </c>
      <c r="F270" s="39" t="s">
        <v>68</v>
      </c>
      <c r="G270" s="39"/>
      <c r="H270" s="68" t="e">
        <f>#REF!*COM!$H$4</f>
        <v>#REF!</v>
      </c>
      <c r="I270" s="68" t="e">
        <f>#REF!*COM!$H$4</f>
        <v>#REF!</v>
      </c>
      <c r="J270" s="68" t="e">
        <f>#REF!*COM!$J$4</f>
        <v>#REF!</v>
      </c>
      <c r="K270" s="68" t="e">
        <f>#REF!*COM!$J$4</f>
        <v>#REF!</v>
      </c>
      <c r="L270" s="68" t="e">
        <f>#REF!*COM!$L$4</f>
        <v>#REF!</v>
      </c>
      <c r="M270" s="68" t="e">
        <f>#REF!*COM!$L$4</f>
        <v>#REF!</v>
      </c>
      <c r="N270" s="68" t="e">
        <f>#REF!*COM!$N$4</f>
        <v>#REF!</v>
      </c>
      <c r="O270" s="68" t="e">
        <f>#REF!*COM!$N$4</f>
        <v>#REF!</v>
      </c>
      <c r="P270" s="68" t="e">
        <f>#REF!*COM!$P$4</f>
        <v>#REF!</v>
      </c>
      <c r="Q270" s="68" t="e">
        <f>#REF!*COM!$P$4</f>
        <v>#REF!</v>
      </c>
      <c r="R270" s="68" t="e">
        <f>#REF!*COM!$R$4</f>
        <v>#REF!</v>
      </c>
      <c r="S270" s="68" t="e">
        <f>#REF!*COM!$R$4</f>
        <v>#REF!</v>
      </c>
      <c r="T270" s="111" t="e">
        <f t="shared" si="19"/>
        <v>#REF!</v>
      </c>
    </row>
    <row r="271" spans="1:20" ht="18.75" x14ac:dyDescent="0.25">
      <c r="A271" s="4">
        <v>311</v>
      </c>
      <c r="B271" s="53">
        <v>43</v>
      </c>
      <c r="C271" s="53">
        <v>910</v>
      </c>
      <c r="D271" s="53">
        <v>70499</v>
      </c>
      <c r="E271" s="48"/>
      <c r="F271" s="83" t="s">
        <v>244</v>
      </c>
      <c r="G271" s="39"/>
      <c r="H271" s="68" t="e">
        <f>#REF!*COM!$H$4</f>
        <v>#REF!</v>
      </c>
      <c r="I271" s="68" t="e">
        <f>#REF!*COM!$H$4</f>
        <v>#REF!</v>
      </c>
      <c r="J271" s="68" t="e">
        <f>#REF!*COM!$J$4</f>
        <v>#REF!</v>
      </c>
      <c r="K271" s="68" t="e">
        <f>#REF!*COM!$J$4</f>
        <v>#REF!</v>
      </c>
      <c r="L271" s="68" t="e">
        <f>#REF!*COM!$L$4</f>
        <v>#REF!</v>
      </c>
      <c r="M271" s="68" t="e">
        <f>#REF!*COM!$L$4</f>
        <v>#REF!</v>
      </c>
      <c r="N271" s="68" t="e">
        <f>#REF!*COM!$N$4</f>
        <v>#REF!</v>
      </c>
      <c r="O271" s="68" t="e">
        <f>#REF!*COM!$N$4</f>
        <v>#REF!</v>
      </c>
      <c r="P271" s="68" t="e">
        <f>#REF!*COM!$P$4</f>
        <v>#REF!</v>
      </c>
      <c r="Q271" s="68" t="e">
        <f>#REF!*COM!$P$4</f>
        <v>#REF!</v>
      </c>
      <c r="R271" s="68" t="e">
        <f>#REF!*COM!$R$4</f>
        <v>#REF!</v>
      </c>
      <c r="S271" s="68" t="e">
        <f>#REF!*COM!$R$4</f>
        <v>#REF!</v>
      </c>
      <c r="T271" s="111" t="e">
        <f t="shared" si="19"/>
        <v>#REF!</v>
      </c>
    </row>
    <row r="272" spans="1:20" ht="37.5" x14ac:dyDescent="0.25">
      <c r="A272" s="4">
        <v>311</v>
      </c>
      <c r="B272" s="53">
        <v>43</v>
      </c>
      <c r="C272" s="53">
        <v>920</v>
      </c>
      <c r="D272" s="53">
        <v>70499</v>
      </c>
      <c r="E272" s="48" t="s">
        <v>173</v>
      </c>
      <c r="F272" s="83" t="s">
        <v>245</v>
      </c>
      <c r="G272" s="39"/>
      <c r="H272" s="68" t="e">
        <f>#REF!*COM!$H$4</f>
        <v>#REF!</v>
      </c>
      <c r="I272" s="68" t="e">
        <f>#REF!*COM!$H$4</f>
        <v>#REF!</v>
      </c>
      <c r="J272" s="68" t="e">
        <f>#REF!*COM!$J$4</f>
        <v>#REF!</v>
      </c>
      <c r="K272" s="68" t="e">
        <f>#REF!*COM!$J$4</f>
        <v>#REF!</v>
      </c>
      <c r="L272" s="68" t="e">
        <f>#REF!*COM!$L$4</f>
        <v>#REF!</v>
      </c>
      <c r="M272" s="68" t="e">
        <f>#REF!*COM!$L$4</f>
        <v>#REF!</v>
      </c>
      <c r="N272" s="68" t="e">
        <f>#REF!*COM!$N$4</f>
        <v>#REF!</v>
      </c>
      <c r="O272" s="68" t="e">
        <f>#REF!*COM!$N$4</f>
        <v>#REF!</v>
      </c>
      <c r="P272" s="68" t="e">
        <f>#REF!*COM!$P$4</f>
        <v>#REF!</v>
      </c>
      <c r="Q272" s="68" t="e">
        <f>#REF!*COM!$P$4</f>
        <v>#REF!</v>
      </c>
      <c r="R272" s="68" t="e">
        <f>#REF!*COM!$R$4</f>
        <v>#REF!</v>
      </c>
      <c r="S272" s="68" t="e">
        <f>#REF!*COM!$R$4</f>
        <v>#REF!</v>
      </c>
      <c r="T272" s="111" t="e">
        <f t="shared" si="19"/>
        <v>#REF!</v>
      </c>
    </row>
    <row r="273" spans="1:20" ht="37.5" x14ac:dyDescent="0.25">
      <c r="A273" s="4">
        <v>311</v>
      </c>
      <c r="B273" s="53">
        <v>43</v>
      </c>
      <c r="C273" s="53">
        <v>930</v>
      </c>
      <c r="D273" s="53">
        <v>70499</v>
      </c>
      <c r="E273" s="48" t="s">
        <v>173</v>
      </c>
      <c r="F273" s="83" t="s">
        <v>246</v>
      </c>
      <c r="G273" s="39"/>
      <c r="H273" s="68" t="e">
        <f>#REF!*COM!$H$4</f>
        <v>#REF!</v>
      </c>
      <c r="I273" s="68" t="e">
        <f>#REF!*COM!$H$4</f>
        <v>#REF!</v>
      </c>
      <c r="J273" s="68" t="e">
        <f>#REF!*COM!$J$4</f>
        <v>#REF!</v>
      </c>
      <c r="K273" s="68" t="e">
        <f>#REF!*COM!$J$4</f>
        <v>#REF!</v>
      </c>
      <c r="L273" s="68" t="e">
        <f>#REF!*COM!$L$4</f>
        <v>#REF!</v>
      </c>
      <c r="M273" s="68" t="e">
        <f>#REF!*COM!$L$4</f>
        <v>#REF!</v>
      </c>
      <c r="N273" s="68" t="e">
        <f>#REF!*COM!$N$4</f>
        <v>#REF!</v>
      </c>
      <c r="O273" s="68" t="e">
        <f>#REF!*COM!$N$4</f>
        <v>#REF!</v>
      </c>
      <c r="P273" s="68" t="e">
        <f>#REF!*COM!$P$4</f>
        <v>#REF!</v>
      </c>
      <c r="Q273" s="68" t="e">
        <f>#REF!*COM!$P$4</f>
        <v>#REF!</v>
      </c>
      <c r="R273" s="68" t="e">
        <f>#REF!*COM!$R$4</f>
        <v>#REF!</v>
      </c>
      <c r="S273" s="68" t="e">
        <f>#REF!*COM!$R$4</f>
        <v>#REF!</v>
      </c>
      <c r="T273" s="111" t="e">
        <f t="shared" si="19"/>
        <v>#REF!</v>
      </c>
    </row>
    <row r="274" spans="1:20" ht="37.5" x14ac:dyDescent="0.25">
      <c r="A274" s="4">
        <v>311</v>
      </c>
      <c r="B274" s="53">
        <v>43</v>
      </c>
      <c r="C274" s="53">
        <v>910</v>
      </c>
      <c r="D274" s="53">
        <v>70499</v>
      </c>
      <c r="E274" s="48"/>
      <c r="F274" s="83" t="s">
        <v>247</v>
      </c>
      <c r="G274" s="39"/>
      <c r="H274" s="68" t="e">
        <f>#REF!*COM!$H$4</f>
        <v>#REF!</v>
      </c>
      <c r="I274" s="68" t="e">
        <f>#REF!*COM!$H$4</f>
        <v>#REF!</v>
      </c>
      <c r="J274" s="68" t="e">
        <f>#REF!*COM!$J$4</f>
        <v>#REF!</v>
      </c>
      <c r="K274" s="68" t="e">
        <f>#REF!*COM!$J$4</f>
        <v>#REF!</v>
      </c>
      <c r="L274" s="68" t="e">
        <f>#REF!*COM!$L$4</f>
        <v>#REF!</v>
      </c>
      <c r="M274" s="68" t="e">
        <f>#REF!*COM!$L$4</f>
        <v>#REF!</v>
      </c>
      <c r="N274" s="68" t="e">
        <f>#REF!*COM!$N$4</f>
        <v>#REF!</v>
      </c>
      <c r="O274" s="68" t="e">
        <f>#REF!*COM!$N$4</f>
        <v>#REF!</v>
      </c>
      <c r="P274" s="68" t="e">
        <f>#REF!*COM!$P$4</f>
        <v>#REF!</v>
      </c>
      <c r="Q274" s="68" t="e">
        <f>#REF!*COM!$P$4</f>
        <v>#REF!</v>
      </c>
      <c r="R274" s="68" t="e">
        <f>#REF!*COM!$R$4</f>
        <v>#REF!</v>
      </c>
      <c r="S274" s="68" t="e">
        <f>#REF!*COM!$R$4</f>
        <v>#REF!</v>
      </c>
      <c r="T274" s="111" t="e">
        <f t="shared" si="19"/>
        <v>#REF!</v>
      </c>
    </row>
    <row r="275" spans="1:20" ht="37.5" x14ac:dyDescent="0.25">
      <c r="A275" s="4">
        <v>311</v>
      </c>
      <c r="B275" s="53">
        <v>43</v>
      </c>
      <c r="C275" s="53">
        <v>920</v>
      </c>
      <c r="D275" s="53">
        <v>70499</v>
      </c>
      <c r="E275" s="48" t="s">
        <v>173</v>
      </c>
      <c r="F275" s="83" t="s">
        <v>248</v>
      </c>
      <c r="G275" s="39"/>
      <c r="H275" s="68" t="e">
        <f>#REF!*COM!$H$4</f>
        <v>#REF!</v>
      </c>
      <c r="I275" s="68" t="e">
        <f>#REF!*COM!$H$4</f>
        <v>#REF!</v>
      </c>
      <c r="J275" s="68" t="e">
        <f>#REF!*COM!$J$4</f>
        <v>#REF!</v>
      </c>
      <c r="K275" s="68" t="e">
        <f>#REF!*COM!$J$4</f>
        <v>#REF!</v>
      </c>
      <c r="L275" s="68" t="e">
        <f>#REF!*COM!$L$4</f>
        <v>#REF!</v>
      </c>
      <c r="M275" s="68" t="e">
        <f>#REF!*COM!$L$4</f>
        <v>#REF!</v>
      </c>
      <c r="N275" s="68" t="e">
        <f>#REF!*COM!$N$4</f>
        <v>#REF!</v>
      </c>
      <c r="O275" s="68" t="e">
        <f>#REF!*COM!$N$4</f>
        <v>#REF!</v>
      </c>
      <c r="P275" s="68" t="e">
        <f>#REF!*COM!$P$4</f>
        <v>#REF!</v>
      </c>
      <c r="Q275" s="68" t="e">
        <f>#REF!*COM!$P$4</f>
        <v>#REF!</v>
      </c>
      <c r="R275" s="68" t="e">
        <f>#REF!*COM!$R$4</f>
        <v>#REF!</v>
      </c>
      <c r="S275" s="68" t="e">
        <f>#REF!*COM!$R$4</f>
        <v>#REF!</v>
      </c>
      <c r="T275" s="111" t="e">
        <f t="shared" si="19"/>
        <v>#REF!</v>
      </c>
    </row>
    <row r="276" spans="1:20" ht="37.5" x14ac:dyDescent="0.25">
      <c r="A276" s="4">
        <v>311</v>
      </c>
      <c r="B276" s="53">
        <v>43</v>
      </c>
      <c r="C276" s="53">
        <v>930</v>
      </c>
      <c r="D276" s="53">
        <v>70499</v>
      </c>
      <c r="E276" s="48" t="s">
        <v>173</v>
      </c>
      <c r="F276" s="83" t="s">
        <v>249</v>
      </c>
      <c r="G276" s="39"/>
      <c r="H276" s="68" t="e">
        <f>#REF!*COM!$H$4</f>
        <v>#REF!</v>
      </c>
      <c r="I276" s="68" t="e">
        <f>#REF!*COM!$H$4</f>
        <v>#REF!</v>
      </c>
      <c r="J276" s="68" t="e">
        <f>#REF!*COM!$J$4</f>
        <v>#REF!</v>
      </c>
      <c r="K276" s="68" t="e">
        <f>#REF!*COM!$J$4</f>
        <v>#REF!</v>
      </c>
      <c r="L276" s="68" t="e">
        <f>#REF!*COM!$L$4</f>
        <v>#REF!</v>
      </c>
      <c r="M276" s="68" t="e">
        <f>#REF!*COM!$L$4</f>
        <v>#REF!</v>
      </c>
      <c r="N276" s="68" t="e">
        <f>#REF!*COM!$N$4</f>
        <v>#REF!</v>
      </c>
      <c r="O276" s="68" t="e">
        <f>#REF!*COM!$N$4</f>
        <v>#REF!</v>
      </c>
      <c r="P276" s="68" t="e">
        <f>#REF!*COM!$P$4</f>
        <v>#REF!</v>
      </c>
      <c r="Q276" s="68" t="e">
        <f>#REF!*COM!$P$4</f>
        <v>#REF!</v>
      </c>
      <c r="R276" s="68" t="e">
        <f>#REF!*COM!$R$4</f>
        <v>#REF!</v>
      </c>
      <c r="S276" s="68" t="e">
        <f>#REF!*COM!$R$4</f>
        <v>#REF!</v>
      </c>
      <c r="T276" s="111" t="e">
        <f t="shared" ref="T276:T320" si="22">I276+K276+M276+O276+Q276+S276</f>
        <v>#REF!</v>
      </c>
    </row>
    <row r="277" spans="1:20" ht="37.5" x14ac:dyDescent="0.25">
      <c r="A277" s="4">
        <v>311</v>
      </c>
      <c r="B277" s="53">
        <v>43</v>
      </c>
      <c r="C277" s="53">
        <v>910</v>
      </c>
      <c r="D277" s="7">
        <v>70499</v>
      </c>
      <c r="E277" s="20"/>
      <c r="F277" s="83" t="s">
        <v>250</v>
      </c>
      <c r="G277" s="39"/>
      <c r="H277" s="68" t="e">
        <f>#REF!*COM!$H$4</f>
        <v>#REF!</v>
      </c>
      <c r="I277" s="68" t="e">
        <f>#REF!*COM!$H$4</f>
        <v>#REF!</v>
      </c>
      <c r="J277" s="68" t="e">
        <f>#REF!*COM!$J$4</f>
        <v>#REF!</v>
      </c>
      <c r="K277" s="68" t="e">
        <f>#REF!*COM!$J$4</f>
        <v>#REF!</v>
      </c>
      <c r="L277" s="68" t="e">
        <f>#REF!*COM!$L$4</f>
        <v>#REF!</v>
      </c>
      <c r="M277" s="68" t="e">
        <f>#REF!*COM!$L$4</f>
        <v>#REF!</v>
      </c>
      <c r="N277" s="68" t="e">
        <f>#REF!*COM!$N$4</f>
        <v>#REF!</v>
      </c>
      <c r="O277" s="68" t="e">
        <f>#REF!*COM!$N$4</f>
        <v>#REF!</v>
      </c>
      <c r="P277" s="68" t="e">
        <f>#REF!*COM!$P$4</f>
        <v>#REF!</v>
      </c>
      <c r="Q277" s="68" t="e">
        <f>#REF!*COM!$P$4</f>
        <v>#REF!</v>
      </c>
      <c r="R277" s="68" t="e">
        <f>#REF!*COM!$R$4</f>
        <v>#REF!</v>
      </c>
      <c r="S277" s="68" t="e">
        <f>#REF!*COM!$R$4</f>
        <v>#REF!</v>
      </c>
      <c r="T277" s="111" t="e">
        <f t="shared" si="22"/>
        <v>#REF!</v>
      </c>
    </row>
    <row r="278" spans="1:20" ht="37.5" x14ac:dyDescent="0.25">
      <c r="A278" s="4">
        <v>311</v>
      </c>
      <c r="B278" s="53">
        <v>43</v>
      </c>
      <c r="C278" s="53">
        <v>920</v>
      </c>
      <c r="D278" s="7">
        <v>70499</v>
      </c>
      <c r="E278" s="20" t="s">
        <v>173</v>
      </c>
      <c r="F278" s="83" t="s">
        <v>251</v>
      </c>
      <c r="G278" s="39"/>
      <c r="H278" s="68" t="e">
        <f>#REF!*COM!$H$4</f>
        <v>#REF!</v>
      </c>
      <c r="I278" s="68" t="e">
        <f>#REF!*COM!$H$4</f>
        <v>#REF!</v>
      </c>
      <c r="J278" s="68" t="e">
        <f>#REF!*COM!$J$4</f>
        <v>#REF!</v>
      </c>
      <c r="K278" s="68" t="e">
        <f>#REF!*COM!$J$4</f>
        <v>#REF!</v>
      </c>
      <c r="L278" s="68" t="e">
        <f>#REF!*COM!$L$4</f>
        <v>#REF!</v>
      </c>
      <c r="M278" s="68" t="e">
        <f>#REF!*COM!$L$4</f>
        <v>#REF!</v>
      </c>
      <c r="N278" s="68" t="e">
        <f>#REF!*COM!$N$4</f>
        <v>#REF!</v>
      </c>
      <c r="O278" s="68" t="e">
        <f>#REF!*COM!$N$4</f>
        <v>#REF!</v>
      </c>
      <c r="P278" s="68" t="e">
        <f>#REF!*COM!$P$4</f>
        <v>#REF!</v>
      </c>
      <c r="Q278" s="68" t="e">
        <f>#REF!*COM!$P$4</f>
        <v>#REF!</v>
      </c>
      <c r="R278" s="68" t="e">
        <f>#REF!*COM!$R$4</f>
        <v>#REF!</v>
      </c>
      <c r="S278" s="68" t="e">
        <f>#REF!*COM!$R$4</f>
        <v>#REF!</v>
      </c>
      <c r="T278" s="111" t="e">
        <f t="shared" si="22"/>
        <v>#REF!</v>
      </c>
    </row>
    <row r="279" spans="1:20" ht="37.5" x14ac:dyDescent="0.25">
      <c r="A279" s="4">
        <v>311</v>
      </c>
      <c r="B279" s="53">
        <v>43</v>
      </c>
      <c r="C279" s="53">
        <v>930</v>
      </c>
      <c r="D279" s="7">
        <v>70499</v>
      </c>
      <c r="E279" s="20" t="s">
        <v>173</v>
      </c>
      <c r="F279" s="83" t="s">
        <v>252</v>
      </c>
      <c r="G279" s="39"/>
      <c r="H279" s="68" t="e">
        <f>#REF!*COM!$H$4</f>
        <v>#REF!</v>
      </c>
      <c r="I279" s="68" t="e">
        <f>#REF!*COM!$H$4</f>
        <v>#REF!</v>
      </c>
      <c r="J279" s="68" t="e">
        <f>#REF!*COM!$J$4</f>
        <v>#REF!</v>
      </c>
      <c r="K279" s="68" t="e">
        <f>#REF!*COM!$J$4</f>
        <v>#REF!</v>
      </c>
      <c r="L279" s="68" t="e">
        <f>#REF!*COM!$L$4</f>
        <v>#REF!</v>
      </c>
      <c r="M279" s="68" t="e">
        <f>#REF!*COM!$L$4</f>
        <v>#REF!</v>
      </c>
      <c r="N279" s="68" t="e">
        <f>#REF!*COM!$N$4</f>
        <v>#REF!</v>
      </c>
      <c r="O279" s="68" t="e">
        <f>#REF!*COM!$N$4</f>
        <v>#REF!</v>
      </c>
      <c r="P279" s="68" t="e">
        <f>#REF!*COM!$P$4</f>
        <v>#REF!</v>
      </c>
      <c r="Q279" s="68" t="e">
        <f>#REF!*COM!$P$4</f>
        <v>#REF!</v>
      </c>
      <c r="R279" s="68" t="e">
        <f>#REF!*COM!$R$4</f>
        <v>#REF!</v>
      </c>
      <c r="S279" s="68" t="e">
        <f>#REF!*COM!$R$4</f>
        <v>#REF!</v>
      </c>
      <c r="T279" s="111" t="e">
        <f t="shared" si="22"/>
        <v>#REF!</v>
      </c>
    </row>
    <row r="280" spans="1:20" ht="37.5" x14ac:dyDescent="0.25">
      <c r="A280" s="4">
        <v>311</v>
      </c>
      <c r="B280" s="53">
        <v>43</v>
      </c>
      <c r="C280" s="53">
        <v>910</v>
      </c>
      <c r="D280" s="7">
        <v>70499</v>
      </c>
      <c r="E280" s="20"/>
      <c r="F280" s="83" t="s">
        <v>253</v>
      </c>
      <c r="G280" s="39"/>
      <c r="H280" s="68" t="e">
        <f>#REF!*COM!$H$4</f>
        <v>#REF!</v>
      </c>
      <c r="I280" s="68" t="e">
        <f>#REF!*COM!$H$4</f>
        <v>#REF!</v>
      </c>
      <c r="J280" s="68" t="e">
        <f>#REF!*COM!$J$4</f>
        <v>#REF!</v>
      </c>
      <c r="K280" s="68" t="e">
        <f>#REF!*COM!$J$4</f>
        <v>#REF!</v>
      </c>
      <c r="L280" s="68" t="e">
        <f>#REF!*COM!$L$4</f>
        <v>#REF!</v>
      </c>
      <c r="M280" s="68" t="e">
        <f>#REF!*COM!$L$4</f>
        <v>#REF!</v>
      </c>
      <c r="N280" s="68" t="e">
        <f>#REF!*COM!$N$4</f>
        <v>#REF!</v>
      </c>
      <c r="O280" s="68" t="e">
        <f>#REF!*COM!$N$4</f>
        <v>#REF!</v>
      </c>
      <c r="P280" s="68" t="e">
        <f>#REF!*COM!$P$4</f>
        <v>#REF!</v>
      </c>
      <c r="Q280" s="68" t="e">
        <f>#REF!*COM!$P$4</f>
        <v>#REF!</v>
      </c>
      <c r="R280" s="68" t="e">
        <f>#REF!*COM!$R$4</f>
        <v>#REF!</v>
      </c>
      <c r="S280" s="68" t="e">
        <f>#REF!*COM!$R$4</f>
        <v>#REF!</v>
      </c>
      <c r="T280" s="111" t="e">
        <f t="shared" si="22"/>
        <v>#REF!</v>
      </c>
    </row>
    <row r="281" spans="1:20" ht="37.5" x14ac:dyDescent="0.25">
      <c r="A281" s="4">
        <v>311</v>
      </c>
      <c r="B281" s="53">
        <v>43</v>
      </c>
      <c r="C281" s="53">
        <v>920</v>
      </c>
      <c r="D281" s="7">
        <v>70499</v>
      </c>
      <c r="E281" s="20" t="s">
        <v>176</v>
      </c>
      <c r="F281" s="83" t="s">
        <v>254</v>
      </c>
      <c r="G281" s="39"/>
      <c r="H281" s="68" t="e">
        <f>#REF!*COM!$H$4</f>
        <v>#REF!</v>
      </c>
      <c r="I281" s="68" t="e">
        <f>#REF!*COM!$H$4</f>
        <v>#REF!</v>
      </c>
      <c r="J281" s="68" t="e">
        <f>#REF!*COM!$J$4</f>
        <v>#REF!</v>
      </c>
      <c r="K281" s="68" t="e">
        <f>#REF!*COM!$J$4</f>
        <v>#REF!</v>
      </c>
      <c r="L281" s="68" t="e">
        <f>#REF!*COM!$L$4</f>
        <v>#REF!</v>
      </c>
      <c r="M281" s="68" t="e">
        <f>#REF!*COM!$L$4</f>
        <v>#REF!</v>
      </c>
      <c r="N281" s="68" t="e">
        <f>#REF!*COM!$N$4</f>
        <v>#REF!</v>
      </c>
      <c r="O281" s="68" t="e">
        <f>#REF!*COM!$N$4</f>
        <v>#REF!</v>
      </c>
      <c r="P281" s="68" t="e">
        <f>#REF!*COM!$P$4</f>
        <v>#REF!</v>
      </c>
      <c r="Q281" s="68" t="e">
        <f>#REF!*COM!$P$4</f>
        <v>#REF!</v>
      </c>
      <c r="R281" s="68" t="e">
        <f>#REF!*COM!$R$4</f>
        <v>#REF!</v>
      </c>
      <c r="S281" s="68" t="e">
        <f>#REF!*COM!$R$4</f>
        <v>#REF!</v>
      </c>
      <c r="T281" s="111" t="e">
        <f t="shared" si="22"/>
        <v>#REF!</v>
      </c>
    </row>
    <row r="282" spans="1:20" ht="37.5" x14ac:dyDescent="0.25">
      <c r="A282" s="4">
        <v>311</v>
      </c>
      <c r="B282" s="53">
        <v>43</v>
      </c>
      <c r="C282" s="53">
        <v>930</v>
      </c>
      <c r="D282" s="7">
        <v>70499</v>
      </c>
      <c r="E282" s="20" t="s">
        <v>176</v>
      </c>
      <c r="F282" s="83" t="s">
        <v>255</v>
      </c>
      <c r="G282" s="39"/>
      <c r="H282" s="68" t="e">
        <f>#REF!*COM!$H$4</f>
        <v>#REF!</v>
      </c>
      <c r="I282" s="68" t="e">
        <f>#REF!*COM!$H$4</f>
        <v>#REF!</v>
      </c>
      <c r="J282" s="68" t="e">
        <f>#REF!*COM!$J$4</f>
        <v>#REF!</v>
      </c>
      <c r="K282" s="68" t="e">
        <f>#REF!*COM!$J$4</f>
        <v>#REF!</v>
      </c>
      <c r="L282" s="68" t="e">
        <f>#REF!*COM!$L$4</f>
        <v>#REF!</v>
      </c>
      <c r="M282" s="68" t="e">
        <f>#REF!*COM!$L$4</f>
        <v>#REF!</v>
      </c>
      <c r="N282" s="68" t="e">
        <f>#REF!*COM!$N$4</f>
        <v>#REF!</v>
      </c>
      <c r="O282" s="68" t="e">
        <f>#REF!*COM!$N$4</f>
        <v>#REF!</v>
      </c>
      <c r="P282" s="68" t="e">
        <f>#REF!*COM!$P$4</f>
        <v>#REF!</v>
      </c>
      <c r="Q282" s="68" t="e">
        <f>#REF!*COM!$P$4</f>
        <v>#REF!</v>
      </c>
      <c r="R282" s="68" t="e">
        <f>#REF!*COM!$R$4</f>
        <v>#REF!</v>
      </c>
      <c r="S282" s="68" t="e">
        <f>#REF!*COM!$R$4</f>
        <v>#REF!</v>
      </c>
      <c r="T282" s="111" t="e">
        <f t="shared" si="22"/>
        <v>#REF!</v>
      </c>
    </row>
    <row r="283" spans="1:20" ht="18.75" x14ac:dyDescent="0.25">
      <c r="A283" s="4">
        <v>311</v>
      </c>
      <c r="B283" s="53">
        <v>43</v>
      </c>
      <c r="C283" s="53">
        <v>910</v>
      </c>
      <c r="D283" s="7">
        <v>70499</v>
      </c>
      <c r="E283" s="20" t="s">
        <v>419</v>
      </c>
      <c r="F283" s="83" t="s">
        <v>429</v>
      </c>
      <c r="G283" s="39"/>
      <c r="H283" s="68" t="e">
        <f>#REF!*COM!$H$4</f>
        <v>#REF!</v>
      </c>
      <c r="I283" s="68" t="e">
        <f>#REF!*COM!$H$4</f>
        <v>#REF!</v>
      </c>
      <c r="J283" s="68" t="e">
        <f>#REF!*COM!$J$4</f>
        <v>#REF!</v>
      </c>
      <c r="K283" s="68" t="e">
        <f>#REF!*COM!$J$4</f>
        <v>#REF!</v>
      </c>
      <c r="L283" s="68" t="e">
        <f>#REF!*COM!$L$4</f>
        <v>#REF!</v>
      </c>
      <c r="M283" s="68" t="e">
        <f>#REF!*COM!$L$4</f>
        <v>#REF!</v>
      </c>
      <c r="N283" s="68" t="e">
        <f>#REF!*COM!$N$4</f>
        <v>#REF!</v>
      </c>
      <c r="O283" s="68" t="e">
        <f>#REF!*COM!$N$4</f>
        <v>#REF!</v>
      </c>
      <c r="P283" s="68" t="e">
        <f>#REF!*COM!$P$4</f>
        <v>#REF!</v>
      </c>
      <c r="Q283" s="68" t="e">
        <f>#REF!*COM!$P$4</f>
        <v>#REF!</v>
      </c>
      <c r="R283" s="68" t="e">
        <f>#REF!*COM!$R$4</f>
        <v>#REF!</v>
      </c>
      <c r="S283" s="68" t="e">
        <f>#REF!*COM!$R$4</f>
        <v>#REF!</v>
      </c>
      <c r="T283" s="111" t="e">
        <f t="shared" si="22"/>
        <v>#REF!</v>
      </c>
    </row>
    <row r="284" spans="1:20" ht="38.25" customHeight="1" x14ac:dyDescent="0.25">
      <c r="A284" s="4">
        <v>311</v>
      </c>
      <c r="B284" s="53">
        <v>43</v>
      </c>
      <c r="C284" s="53">
        <v>930</v>
      </c>
      <c r="D284" s="7">
        <v>70499</v>
      </c>
      <c r="E284" s="20" t="s">
        <v>419</v>
      </c>
      <c r="F284" s="83" t="s">
        <v>430</v>
      </c>
      <c r="G284" s="39"/>
      <c r="H284" s="68" t="e">
        <f>#REF!*COM!$H$4</f>
        <v>#REF!</v>
      </c>
      <c r="I284" s="68" t="e">
        <f>#REF!*COM!$H$4</f>
        <v>#REF!</v>
      </c>
      <c r="J284" s="68" t="e">
        <f>#REF!*COM!$J$4</f>
        <v>#REF!</v>
      </c>
      <c r="K284" s="68" t="e">
        <f>#REF!*COM!$J$4</f>
        <v>#REF!</v>
      </c>
      <c r="L284" s="68" t="e">
        <f>#REF!*COM!$L$4</f>
        <v>#REF!</v>
      </c>
      <c r="M284" s="68" t="e">
        <f>#REF!*COM!$L$4</f>
        <v>#REF!</v>
      </c>
      <c r="N284" s="68" t="e">
        <f>#REF!*COM!$N$4</f>
        <v>#REF!</v>
      </c>
      <c r="O284" s="68" t="e">
        <f>#REF!*COM!$N$4</f>
        <v>#REF!</v>
      </c>
      <c r="P284" s="68" t="e">
        <f>#REF!*COM!$P$4</f>
        <v>#REF!</v>
      </c>
      <c r="Q284" s="68" t="e">
        <f>#REF!*COM!$P$4</f>
        <v>#REF!</v>
      </c>
      <c r="R284" s="68" t="e">
        <f>#REF!*COM!$R$4</f>
        <v>#REF!</v>
      </c>
      <c r="S284" s="68" t="e">
        <f>#REF!*COM!$R$4</f>
        <v>#REF!</v>
      </c>
      <c r="T284" s="111" t="e">
        <f t="shared" si="22"/>
        <v>#REF!</v>
      </c>
    </row>
    <row r="285" spans="1:20" ht="37.5" x14ac:dyDescent="0.25">
      <c r="A285" s="4">
        <v>311</v>
      </c>
      <c r="B285" s="53">
        <v>43</v>
      </c>
      <c r="C285" s="53">
        <v>920</v>
      </c>
      <c r="D285" s="7">
        <v>70499</v>
      </c>
      <c r="E285" s="20" t="s">
        <v>172</v>
      </c>
      <c r="F285" s="72" t="s">
        <v>256</v>
      </c>
      <c r="G285" s="39"/>
      <c r="H285" s="68" t="e">
        <f>#REF!*COM!$H$4</f>
        <v>#REF!</v>
      </c>
      <c r="I285" s="68" t="e">
        <f>#REF!*COM!$H$4</f>
        <v>#REF!</v>
      </c>
      <c r="J285" s="68" t="e">
        <f>#REF!*COM!$J$4</f>
        <v>#REF!</v>
      </c>
      <c r="K285" s="68" t="e">
        <f>#REF!*COM!$J$4</f>
        <v>#REF!</v>
      </c>
      <c r="L285" s="68" t="e">
        <f>#REF!*COM!$L$4</f>
        <v>#REF!</v>
      </c>
      <c r="M285" s="68" t="e">
        <f>#REF!*COM!$L$4</f>
        <v>#REF!</v>
      </c>
      <c r="N285" s="68" t="e">
        <f>#REF!*COM!$N$4</f>
        <v>#REF!</v>
      </c>
      <c r="O285" s="68" t="e">
        <f>#REF!*COM!$N$4</f>
        <v>#REF!</v>
      </c>
      <c r="P285" s="68" t="e">
        <f>#REF!*COM!$P$4</f>
        <v>#REF!</v>
      </c>
      <c r="Q285" s="68" t="e">
        <f>#REF!*COM!$P$4</f>
        <v>#REF!</v>
      </c>
      <c r="R285" s="68" t="e">
        <f>#REF!*COM!$R$4</f>
        <v>#REF!</v>
      </c>
      <c r="S285" s="68" t="e">
        <f>#REF!*COM!$R$4</f>
        <v>#REF!</v>
      </c>
      <c r="T285" s="111" t="e">
        <f t="shared" si="22"/>
        <v>#REF!</v>
      </c>
    </row>
    <row r="286" spans="1:20" ht="40.5" customHeight="1" x14ac:dyDescent="0.25">
      <c r="A286" s="4">
        <v>311</v>
      </c>
      <c r="B286" s="53">
        <v>43</v>
      </c>
      <c r="C286" s="53">
        <v>930</v>
      </c>
      <c r="D286" s="7">
        <v>70499</v>
      </c>
      <c r="E286" s="20" t="s">
        <v>172</v>
      </c>
      <c r="F286" s="72" t="s">
        <v>257</v>
      </c>
      <c r="G286" s="39"/>
      <c r="H286" s="68" t="e">
        <f>#REF!*COM!$H$4</f>
        <v>#REF!</v>
      </c>
      <c r="I286" s="68" t="e">
        <f>#REF!*COM!$H$4</f>
        <v>#REF!</v>
      </c>
      <c r="J286" s="68" t="e">
        <f>#REF!*COM!$J$4</f>
        <v>#REF!</v>
      </c>
      <c r="K286" s="68" t="e">
        <f>#REF!*COM!$J$4</f>
        <v>#REF!</v>
      </c>
      <c r="L286" s="68" t="e">
        <f>#REF!*COM!$L$4</f>
        <v>#REF!</v>
      </c>
      <c r="M286" s="68" t="e">
        <f>#REF!*COM!$L$4</f>
        <v>#REF!</v>
      </c>
      <c r="N286" s="68" t="e">
        <f>#REF!*COM!$N$4</f>
        <v>#REF!</v>
      </c>
      <c r="O286" s="68" t="e">
        <f>#REF!*COM!$N$4</f>
        <v>#REF!</v>
      </c>
      <c r="P286" s="68" t="e">
        <f>#REF!*COM!$P$4</f>
        <v>#REF!</v>
      </c>
      <c r="Q286" s="68" t="e">
        <f>#REF!*COM!$P$4</f>
        <v>#REF!</v>
      </c>
      <c r="R286" s="68" t="e">
        <f>#REF!*COM!$R$4</f>
        <v>#REF!</v>
      </c>
      <c r="S286" s="68" t="e">
        <f>#REF!*COM!$R$4</f>
        <v>#REF!</v>
      </c>
      <c r="T286" s="111" t="e">
        <f t="shared" si="22"/>
        <v>#REF!</v>
      </c>
    </row>
    <row r="287" spans="1:20" ht="45" customHeight="1" x14ac:dyDescent="0.25">
      <c r="A287" s="4">
        <v>311</v>
      </c>
      <c r="B287" s="53">
        <v>43</v>
      </c>
      <c r="C287" s="53">
        <v>910</v>
      </c>
      <c r="D287" s="53">
        <v>70499</v>
      </c>
      <c r="E287" s="48"/>
      <c r="F287" s="72" t="s">
        <v>258</v>
      </c>
      <c r="G287" s="39"/>
      <c r="H287" s="68" t="e">
        <f>#REF!*COM!$H$4</f>
        <v>#REF!</v>
      </c>
      <c r="I287" s="68" t="e">
        <f>#REF!*COM!$H$4</f>
        <v>#REF!</v>
      </c>
      <c r="J287" s="68" t="e">
        <f>#REF!*COM!$J$4</f>
        <v>#REF!</v>
      </c>
      <c r="K287" s="68" t="e">
        <f>#REF!*COM!$J$4</f>
        <v>#REF!</v>
      </c>
      <c r="L287" s="68" t="e">
        <f>#REF!*COM!$L$4</f>
        <v>#REF!</v>
      </c>
      <c r="M287" s="68" t="e">
        <f>#REF!*COM!$L$4</f>
        <v>#REF!</v>
      </c>
      <c r="N287" s="68" t="e">
        <f>#REF!*COM!$N$4</f>
        <v>#REF!</v>
      </c>
      <c r="O287" s="68" t="e">
        <f>#REF!*COM!$N$4</f>
        <v>#REF!</v>
      </c>
      <c r="P287" s="68" t="e">
        <f>#REF!*COM!$P$4</f>
        <v>#REF!</v>
      </c>
      <c r="Q287" s="68" t="e">
        <f>#REF!*COM!$P$4</f>
        <v>#REF!</v>
      </c>
      <c r="R287" s="68" t="e">
        <f>#REF!*COM!$R$4</f>
        <v>#REF!</v>
      </c>
      <c r="S287" s="68" t="e">
        <f>#REF!*COM!$R$4</f>
        <v>#REF!</v>
      </c>
      <c r="T287" s="111" t="e">
        <f t="shared" si="22"/>
        <v>#REF!</v>
      </c>
    </row>
    <row r="288" spans="1:20" ht="48" customHeight="1" x14ac:dyDescent="0.25">
      <c r="A288" s="4">
        <v>311</v>
      </c>
      <c r="B288" s="53">
        <v>43</v>
      </c>
      <c r="C288" s="53">
        <v>930</v>
      </c>
      <c r="D288" s="53">
        <v>70499</v>
      </c>
      <c r="E288" s="48" t="s">
        <v>168</v>
      </c>
      <c r="F288" s="72" t="s">
        <v>259</v>
      </c>
      <c r="G288" s="39"/>
      <c r="H288" s="68" t="e">
        <f>#REF!*COM!$H$4</f>
        <v>#REF!</v>
      </c>
      <c r="I288" s="68" t="e">
        <f>#REF!*COM!$H$4</f>
        <v>#REF!</v>
      </c>
      <c r="J288" s="68" t="e">
        <f>#REF!*COM!$J$4</f>
        <v>#REF!</v>
      </c>
      <c r="K288" s="68" t="e">
        <f>#REF!*COM!$J$4</f>
        <v>#REF!</v>
      </c>
      <c r="L288" s="68" t="e">
        <f>#REF!*COM!$L$4</f>
        <v>#REF!</v>
      </c>
      <c r="M288" s="68" t="e">
        <f>#REF!*COM!$L$4</f>
        <v>#REF!</v>
      </c>
      <c r="N288" s="68" t="e">
        <f>#REF!*COM!$N$4</f>
        <v>#REF!</v>
      </c>
      <c r="O288" s="68" t="e">
        <f>#REF!*COM!$N$4</f>
        <v>#REF!</v>
      </c>
      <c r="P288" s="68" t="e">
        <f>#REF!*COM!$P$4</f>
        <v>#REF!</v>
      </c>
      <c r="Q288" s="68" t="e">
        <f>#REF!*COM!$P$4</f>
        <v>#REF!</v>
      </c>
      <c r="R288" s="68" t="e">
        <f>#REF!*COM!$R$4</f>
        <v>#REF!</v>
      </c>
      <c r="S288" s="68" t="e">
        <f>#REF!*COM!$R$4</f>
        <v>#REF!</v>
      </c>
      <c r="T288" s="111" t="e">
        <f t="shared" si="22"/>
        <v>#REF!</v>
      </c>
    </row>
    <row r="289" spans="1:20" ht="47.25" customHeight="1" x14ac:dyDescent="0.25">
      <c r="A289" s="4">
        <v>311</v>
      </c>
      <c r="B289" s="53">
        <v>43</v>
      </c>
      <c r="C289" s="53">
        <v>910</v>
      </c>
      <c r="D289" s="53">
        <v>70499</v>
      </c>
      <c r="E289" s="48"/>
      <c r="F289" s="39" t="s">
        <v>260</v>
      </c>
      <c r="G289" s="39"/>
      <c r="H289" s="68" t="e">
        <f>#REF!*COM!$H$4</f>
        <v>#REF!</v>
      </c>
      <c r="I289" s="68" t="e">
        <f>#REF!*COM!$H$4</f>
        <v>#REF!</v>
      </c>
      <c r="J289" s="68" t="e">
        <f>#REF!*COM!$J$4</f>
        <v>#REF!</v>
      </c>
      <c r="K289" s="68" t="e">
        <f>#REF!*COM!$J$4</f>
        <v>#REF!</v>
      </c>
      <c r="L289" s="68" t="e">
        <f>#REF!*COM!$L$4</f>
        <v>#REF!</v>
      </c>
      <c r="M289" s="68" t="e">
        <f>#REF!*COM!$L$4</f>
        <v>#REF!</v>
      </c>
      <c r="N289" s="68" t="e">
        <f>#REF!*COM!$N$4</f>
        <v>#REF!</v>
      </c>
      <c r="O289" s="68" t="e">
        <f>#REF!*COM!$N$4</f>
        <v>#REF!</v>
      </c>
      <c r="P289" s="68" t="e">
        <f>#REF!*COM!$P$4</f>
        <v>#REF!</v>
      </c>
      <c r="Q289" s="68" t="e">
        <f>#REF!*COM!$P$4</f>
        <v>#REF!</v>
      </c>
      <c r="R289" s="68" t="e">
        <f>#REF!*COM!$R$4</f>
        <v>#REF!</v>
      </c>
      <c r="S289" s="68" t="e">
        <f>#REF!*COM!$R$4</f>
        <v>#REF!</v>
      </c>
      <c r="T289" s="111" t="e">
        <f t="shared" si="22"/>
        <v>#REF!</v>
      </c>
    </row>
    <row r="290" spans="1:20" ht="44.25" customHeight="1" x14ac:dyDescent="0.25">
      <c r="A290" s="10">
        <v>311</v>
      </c>
      <c r="B290" s="11">
        <v>43</v>
      </c>
      <c r="C290" s="11">
        <v>920</v>
      </c>
      <c r="D290" s="11">
        <v>70499</v>
      </c>
      <c r="E290" s="22" t="s">
        <v>168</v>
      </c>
      <c r="F290" s="43" t="s">
        <v>261</v>
      </c>
      <c r="G290" s="43"/>
      <c r="H290" s="68" t="e">
        <f>#REF!*COM!$H$4</f>
        <v>#REF!</v>
      </c>
      <c r="I290" s="68" t="e">
        <f>#REF!*COM!$H$4</f>
        <v>#REF!</v>
      </c>
      <c r="J290" s="68" t="e">
        <f>#REF!*COM!$J$4</f>
        <v>#REF!</v>
      </c>
      <c r="K290" s="68" t="e">
        <f>#REF!*COM!$J$4</f>
        <v>#REF!</v>
      </c>
      <c r="L290" s="68" t="e">
        <f>#REF!*COM!$L$4</f>
        <v>#REF!</v>
      </c>
      <c r="M290" s="68" t="e">
        <f>#REF!*COM!$L$4</f>
        <v>#REF!</v>
      </c>
      <c r="N290" s="68" t="e">
        <f>#REF!*COM!$N$4</f>
        <v>#REF!</v>
      </c>
      <c r="O290" s="68" t="e">
        <f>#REF!*COM!$N$4</f>
        <v>#REF!</v>
      </c>
      <c r="P290" s="68" t="e">
        <f>#REF!*COM!$P$4</f>
        <v>#REF!</v>
      </c>
      <c r="Q290" s="68" t="e">
        <f>#REF!*COM!$P$4</f>
        <v>#REF!</v>
      </c>
      <c r="R290" s="68" t="e">
        <f>#REF!*COM!$R$4</f>
        <v>#REF!</v>
      </c>
      <c r="S290" s="68" t="e">
        <f>#REF!*COM!$R$4</f>
        <v>#REF!</v>
      </c>
      <c r="T290" s="111" t="e">
        <f t="shared" si="22"/>
        <v>#REF!</v>
      </c>
    </row>
    <row r="291" spans="1:20" ht="47.25" customHeight="1" x14ac:dyDescent="0.25">
      <c r="A291" s="10">
        <v>311</v>
      </c>
      <c r="B291" s="11">
        <v>43</v>
      </c>
      <c r="C291" s="11">
        <v>920</v>
      </c>
      <c r="D291" s="11">
        <v>70499</v>
      </c>
      <c r="E291" s="22" t="s">
        <v>168</v>
      </c>
      <c r="F291" s="43" t="s">
        <v>69</v>
      </c>
      <c r="G291" s="43"/>
      <c r="H291" s="68" t="e">
        <f>#REF!*COM!$H$4</f>
        <v>#REF!</v>
      </c>
      <c r="I291" s="68" t="e">
        <f>#REF!*COM!$H$4</f>
        <v>#REF!</v>
      </c>
      <c r="J291" s="68" t="e">
        <f>#REF!*COM!$J$4</f>
        <v>#REF!</v>
      </c>
      <c r="K291" s="68" t="e">
        <f>#REF!*COM!$J$4</f>
        <v>#REF!</v>
      </c>
      <c r="L291" s="68" t="e">
        <f>#REF!*COM!$L$4</f>
        <v>#REF!</v>
      </c>
      <c r="M291" s="68" t="e">
        <f>#REF!*COM!$L$4</f>
        <v>#REF!</v>
      </c>
      <c r="N291" s="68" t="e">
        <f>#REF!*COM!$N$4</f>
        <v>#REF!</v>
      </c>
      <c r="O291" s="68" t="e">
        <f>#REF!*COM!$N$4</f>
        <v>#REF!</v>
      </c>
      <c r="P291" s="68" t="e">
        <f>#REF!*COM!$P$4</f>
        <v>#REF!</v>
      </c>
      <c r="Q291" s="68" t="e">
        <f>#REF!*COM!$P$4</f>
        <v>#REF!</v>
      </c>
      <c r="R291" s="68" t="e">
        <f>#REF!*COM!$R$4</f>
        <v>#REF!</v>
      </c>
      <c r="S291" s="68" t="e">
        <f>#REF!*COM!$R$4</f>
        <v>#REF!</v>
      </c>
      <c r="T291" s="111" t="e">
        <f t="shared" si="22"/>
        <v>#REF!</v>
      </c>
    </row>
    <row r="292" spans="1:20" ht="36" customHeight="1" x14ac:dyDescent="0.25">
      <c r="A292" s="10">
        <v>311</v>
      </c>
      <c r="B292" s="11">
        <v>43</v>
      </c>
      <c r="C292" s="11">
        <v>910</v>
      </c>
      <c r="D292" s="11">
        <v>70499</v>
      </c>
      <c r="E292" s="22"/>
      <c r="F292" s="43" t="s">
        <v>70</v>
      </c>
      <c r="G292" s="43"/>
      <c r="H292" s="68" t="e">
        <f>#REF!*COM!$H$4</f>
        <v>#REF!</v>
      </c>
      <c r="I292" s="68" t="e">
        <f>#REF!*COM!$H$4</f>
        <v>#REF!</v>
      </c>
      <c r="J292" s="68" t="e">
        <f>#REF!*COM!$J$4</f>
        <v>#REF!</v>
      </c>
      <c r="K292" s="68" t="e">
        <f>#REF!*COM!$J$4</f>
        <v>#REF!</v>
      </c>
      <c r="L292" s="68" t="e">
        <f>#REF!*COM!$L$4</f>
        <v>#REF!</v>
      </c>
      <c r="M292" s="68" t="e">
        <f>#REF!*COM!$L$4</f>
        <v>#REF!</v>
      </c>
      <c r="N292" s="68" t="e">
        <f>#REF!*COM!$N$4</f>
        <v>#REF!</v>
      </c>
      <c r="O292" s="68" t="e">
        <f>#REF!*COM!$N$4</f>
        <v>#REF!</v>
      </c>
      <c r="P292" s="68" t="e">
        <f>#REF!*COM!$P$4</f>
        <v>#REF!</v>
      </c>
      <c r="Q292" s="68" t="e">
        <f>#REF!*COM!$P$4</f>
        <v>#REF!</v>
      </c>
      <c r="R292" s="68" t="e">
        <f>#REF!*COM!$R$4</f>
        <v>#REF!</v>
      </c>
      <c r="S292" s="68" t="e">
        <f>#REF!*COM!$R$4</f>
        <v>#REF!</v>
      </c>
      <c r="T292" s="111" t="e">
        <f t="shared" si="22"/>
        <v>#REF!</v>
      </c>
    </row>
    <row r="293" spans="1:20" ht="42.75" customHeight="1" x14ac:dyDescent="0.25">
      <c r="A293" s="10">
        <v>311</v>
      </c>
      <c r="B293" s="11">
        <v>43</v>
      </c>
      <c r="C293" s="11">
        <v>920</v>
      </c>
      <c r="D293" s="11">
        <v>70499</v>
      </c>
      <c r="E293" s="22" t="s">
        <v>176</v>
      </c>
      <c r="F293" s="43" t="s">
        <v>71</v>
      </c>
      <c r="G293" s="43"/>
      <c r="H293" s="68" t="e">
        <f>#REF!*COM!$H$4</f>
        <v>#REF!</v>
      </c>
      <c r="I293" s="68" t="e">
        <f>#REF!*COM!$H$4</f>
        <v>#REF!</v>
      </c>
      <c r="J293" s="68" t="e">
        <f>#REF!*COM!$J$4</f>
        <v>#REF!</v>
      </c>
      <c r="K293" s="68" t="e">
        <f>#REF!*COM!$J$4</f>
        <v>#REF!</v>
      </c>
      <c r="L293" s="68" t="e">
        <f>#REF!*COM!$L$4</f>
        <v>#REF!</v>
      </c>
      <c r="M293" s="68" t="e">
        <f>#REF!*COM!$L$4</f>
        <v>#REF!</v>
      </c>
      <c r="N293" s="68" t="e">
        <f>#REF!*COM!$N$4</f>
        <v>#REF!</v>
      </c>
      <c r="O293" s="68" t="e">
        <f>#REF!*COM!$N$4</f>
        <v>#REF!</v>
      </c>
      <c r="P293" s="68" t="e">
        <f>#REF!*COM!$P$4</f>
        <v>#REF!</v>
      </c>
      <c r="Q293" s="68" t="e">
        <f>#REF!*COM!$P$4</f>
        <v>#REF!</v>
      </c>
      <c r="R293" s="68" t="e">
        <f>#REF!*COM!$R$4</f>
        <v>#REF!</v>
      </c>
      <c r="S293" s="68" t="e">
        <f>#REF!*COM!$R$4</f>
        <v>#REF!</v>
      </c>
      <c r="T293" s="111" t="e">
        <f t="shared" si="22"/>
        <v>#REF!</v>
      </c>
    </row>
    <row r="294" spans="1:20" ht="39" customHeight="1" x14ac:dyDescent="0.25">
      <c r="A294" s="10">
        <v>321</v>
      </c>
      <c r="B294" s="11">
        <v>43</v>
      </c>
      <c r="C294" s="11">
        <v>930</v>
      </c>
      <c r="D294" s="11">
        <v>70499</v>
      </c>
      <c r="E294" s="22" t="s">
        <v>176</v>
      </c>
      <c r="F294" s="43" t="s">
        <v>72</v>
      </c>
      <c r="G294" s="43"/>
      <c r="H294" s="68" t="e">
        <f>#REF!*COM!$H$4</f>
        <v>#REF!</v>
      </c>
      <c r="I294" s="68" t="e">
        <f>#REF!*COM!$H$4</f>
        <v>#REF!</v>
      </c>
      <c r="J294" s="68" t="e">
        <f>#REF!*COM!$J$4</f>
        <v>#REF!</v>
      </c>
      <c r="K294" s="68" t="e">
        <f>#REF!*COM!$J$4</f>
        <v>#REF!</v>
      </c>
      <c r="L294" s="68" t="e">
        <f>#REF!*COM!$L$4</f>
        <v>#REF!</v>
      </c>
      <c r="M294" s="68" t="e">
        <f>#REF!*COM!$L$4</f>
        <v>#REF!</v>
      </c>
      <c r="N294" s="68" t="e">
        <f>#REF!*COM!$N$4</f>
        <v>#REF!</v>
      </c>
      <c r="O294" s="68" t="e">
        <f>#REF!*COM!$N$4</f>
        <v>#REF!</v>
      </c>
      <c r="P294" s="68" t="e">
        <f>#REF!*COM!$P$4</f>
        <v>#REF!</v>
      </c>
      <c r="Q294" s="68" t="e">
        <f>#REF!*COM!$P$4</f>
        <v>#REF!</v>
      </c>
      <c r="R294" s="68" t="e">
        <f>#REF!*COM!$R$4</f>
        <v>#REF!</v>
      </c>
      <c r="S294" s="68" t="e">
        <f>#REF!*COM!$R$4</f>
        <v>#REF!</v>
      </c>
      <c r="T294" s="111" t="e">
        <f t="shared" si="22"/>
        <v>#REF!</v>
      </c>
    </row>
    <row r="295" spans="1:20" ht="46.5" customHeight="1" x14ac:dyDescent="0.25">
      <c r="A295" s="10">
        <v>311</v>
      </c>
      <c r="B295" s="11">
        <v>43</v>
      </c>
      <c r="C295" s="11">
        <v>910</v>
      </c>
      <c r="D295" s="11">
        <v>70499</v>
      </c>
      <c r="E295" s="22"/>
      <c r="F295" s="70" t="s">
        <v>73</v>
      </c>
      <c r="G295" s="43"/>
      <c r="H295" s="68" t="e">
        <f>#REF!*COM!$H$4</f>
        <v>#REF!</v>
      </c>
      <c r="I295" s="68" t="e">
        <f>#REF!*COM!$H$4</f>
        <v>#REF!</v>
      </c>
      <c r="J295" s="68" t="e">
        <f>#REF!*COM!$J$4</f>
        <v>#REF!</v>
      </c>
      <c r="K295" s="68" t="e">
        <f>#REF!*COM!$J$4</f>
        <v>#REF!</v>
      </c>
      <c r="L295" s="68" t="e">
        <f>#REF!*COM!$L$4</f>
        <v>#REF!</v>
      </c>
      <c r="M295" s="68" t="e">
        <f>#REF!*COM!$L$4</f>
        <v>#REF!</v>
      </c>
      <c r="N295" s="68" t="e">
        <f>#REF!*COM!$N$4</f>
        <v>#REF!</v>
      </c>
      <c r="O295" s="68" t="e">
        <f>#REF!*COM!$N$4</f>
        <v>#REF!</v>
      </c>
      <c r="P295" s="68" t="e">
        <f>#REF!*COM!$P$4</f>
        <v>#REF!</v>
      </c>
      <c r="Q295" s="68" t="e">
        <f>#REF!*COM!$P$4</f>
        <v>#REF!</v>
      </c>
      <c r="R295" s="68" t="e">
        <f>#REF!*COM!$R$4</f>
        <v>#REF!</v>
      </c>
      <c r="S295" s="68" t="e">
        <f>#REF!*COM!$R$4</f>
        <v>#REF!</v>
      </c>
      <c r="T295" s="111" t="e">
        <f t="shared" si="22"/>
        <v>#REF!</v>
      </c>
    </row>
    <row r="296" spans="1:20" ht="57" customHeight="1" x14ac:dyDescent="0.25">
      <c r="A296" s="10">
        <v>311</v>
      </c>
      <c r="B296" s="11">
        <v>43</v>
      </c>
      <c r="C296" s="11">
        <v>920</v>
      </c>
      <c r="D296" s="11">
        <v>70499</v>
      </c>
      <c r="E296" s="22" t="s">
        <v>173</v>
      </c>
      <c r="F296" s="70" t="s">
        <v>74</v>
      </c>
      <c r="G296" s="43"/>
      <c r="H296" s="68" t="e">
        <f>#REF!*COM!$H$4</f>
        <v>#REF!</v>
      </c>
      <c r="I296" s="68" t="e">
        <f>#REF!*COM!$H$4</f>
        <v>#REF!</v>
      </c>
      <c r="J296" s="68" t="e">
        <f>#REF!*COM!$J$4</f>
        <v>#REF!</v>
      </c>
      <c r="K296" s="68" t="e">
        <f>#REF!*COM!$J$4</f>
        <v>#REF!</v>
      </c>
      <c r="L296" s="68" t="e">
        <f>#REF!*COM!$L$4</f>
        <v>#REF!</v>
      </c>
      <c r="M296" s="68" t="e">
        <f>#REF!*COM!$L$4</f>
        <v>#REF!</v>
      </c>
      <c r="N296" s="68" t="e">
        <f>#REF!*COM!$N$4</f>
        <v>#REF!</v>
      </c>
      <c r="O296" s="68" t="e">
        <f>#REF!*COM!$N$4</f>
        <v>#REF!</v>
      </c>
      <c r="P296" s="68" t="e">
        <f>#REF!*COM!$P$4</f>
        <v>#REF!</v>
      </c>
      <c r="Q296" s="68" t="e">
        <f>#REF!*COM!$P$4</f>
        <v>#REF!</v>
      </c>
      <c r="R296" s="68" t="e">
        <f>#REF!*COM!$R$4</f>
        <v>#REF!</v>
      </c>
      <c r="S296" s="68" t="e">
        <f>#REF!*COM!$R$4</f>
        <v>#REF!</v>
      </c>
      <c r="T296" s="111" t="e">
        <f t="shared" si="22"/>
        <v>#REF!</v>
      </c>
    </row>
    <row r="297" spans="1:20" ht="54.75" customHeight="1" x14ac:dyDescent="0.25">
      <c r="A297" s="10">
        <v>321</v>
      </c>
      <c r="B297" s="11">
        <v>43</v>
      </c>
      <c r="C297" s="11">
        <v>930</v>
      </c>
      <c r="D297" s="11">
        <v>70499</v>
      </c>
      <c r="E297" s="22" t="s">
        <v>173</v>
      </c>
      <c r="F297" s="70" t="s">
        <v>75</v>
      </c>
      <c r="G297" s="43"/>
      <c r="H297" s="68" t="e">
        <f>#REF!*COM!$H$4</f>
        <v>#REF!</v>
      </c>
      <c r="I297" s="68" t="e">
        <f>#REF!*COM!$H$4</f>
        <v>#REF!</v>
      </c>
      <c r="J297" s="68" t="e">
        <f>#REF!*COM!$J$4</f>
        <v>#REF!</v>
      </c>
      <c r="K297" s="68" t="e">
        <f>#REF!*COM!$J$4</f>
        <v>#REF!</v>
      </c>
      <c r="L297" s="68" t="e">
        <f>#REF!*COM!$L$4</f>
        <v>#REF!</v>
      </c>
      <c r="M297" s="68" t="e">
        <f>#REF!*COM!$L$4</f>
        <v>#REF!</v>
      </c>
      <c r="N297" s="68" t="e">
        <f>#REF!*COM!$N$4</f>
        <v>#REF!</v>
      </c>
      <c r="O297" s="68" t="e">
        <f>#REF!*COM!$N$4</f>
        <v>#REF!</v>
      </c>
      <c r="P297" s="68" t="e">
        <f>#REF!*COM!$P$4</f>
        <v>#REF!</v>
      </c>
      <c r="Q297" s="68" t="e">
        <f>#REF!*COM!$P$4</f>
        <v>#REF!</v>
      </c>
      <c r="R297" s="68" t="e">
        <f>#REF!*COM!$R$4</f>
        <v>#REF!</v>
      </c>
      <c r="S297" s="68" t="e">
        <f>#REF!*COM!$R$4</f>
        <v>#REF!</v>
      </c>
      <c r="T297" s="111" t="e">
        <f t="shared" si="22"/>
        <v>#REF!</v>
      </c>
    </row>
    <row r="298" spans="1:20" ht="37.5" x14ac:dyDescent="0.25">
      <c r="A298" s="10">
        <v>311</v>
      </c>
      <c r="B298" s="11">
        <v>43</v>
      </c>
      <c r="C298" s="11">
        <v>920</v>
      </c>
      <c r="D298" s="11">
        <v>70499</v>
      </c>
      <c r="E298" s="22" t="s">
        <v>176</v>
      </c>
      <c r="F298" s="43" t="s">
        <v>76</v>
      </c>
      <c r="G298" s="43"/>
      <c r="H298" s="68" t="e">
        <f>#REF!*COM!$H$4</f>
        <v>#REF!</v>
      </c>
      <c r="I298" s="68" t="e">
        <f>#REF!*COM!$H$4</f>
        <v>#REF!</v>
      </c>
      <c r="J298" s="68" t="e">
        <f>#REF!*COM!$J$4</f>
        <v>#REF!</v>
      </c>
      <c r="K298" s="68" t="e">
        <f>#REF!*COM!$J$4</f>
        <v>#REF!</v>
      </c>
      <c r="L298" s="68" t="e">
        <f>#REF!*COM!$L$4</f>
        <v>#REF!</v>
      </c>
      <c r="M298" s="68" t="e">
        <f>#REF!*COM!$L$4</f>
        <v>#REF!</v>
      </c>
      <c r="N298" s="68" t="e">
        <f>#REF!*COM!$N$4</f>
        <v>#REF!</v>
      </c>
      <c r="O298" s="68" t="e">
        <f>#REF!*COM!$N$4</f>
        <v>#REF!</v>
      </c>
      <c r="P298" s="68" t="e">
        <f>#REF!*COM!$P$4</f>
        <v>#REF!</v>
      </c>
      <c r="Q298" s="68" t="e">
        <f>#REF!*COM!$P$4</f>
        <v>#REF!</v>
      </c>
      <c r="R298" s="68" t="e">
        <f>#REF!*COM!$R$4</f>
        <v>#REF!</v>
      </c>
      <c r="S298" s="68" t="e">
        <f>#REF!*COM!$R$4</f>
        <v>#REF!</v>
      </c>
      <c r="T298" s="111" t="e">
        <f t="shared" si="22"/>
        <v>#REF!</v>
      </c>
    </row>
    <row r="299" spans="1:20" ht="37.5" x14ac:dyDescent="0.25">
      <c r="A299" s="10">
        <v>321</v>
      </c>
      <c r="B299" s="11">
        <v>43</v>
      </c>
      <c r="C299" s="11">
        <v>930</v>
      </c>
      <c r="D299" s="11">
        <v>70499</v>
      </c>
      <c r="E299" s="22" t="s">
        <v>176</v>
      </c>
      <c r="F299" s="43" t="s">
        <v>77</v>
      </c>
      <c r="G299" s="43"/>
      <c r="H299" s="68" t="e">
        <f>#REF!*COM!$H$4</f>
        <v>#REF!</v>
      </c>
      <c r="I299" s="68" t="e">
        <f>#REF!*COM!$H$4</f>
        <v>#REF!</v>
      </c>
      <c r="J299" s="68" t="e">
        <f>#REF!*COM!$J$4</f>
        <v>#REF!</v>
      </c>
      <c r="K299" s="68" t="e">
        <f>#REF!*COM!$J$4</f>
        <v>#REF!</v>
      </c>
      <c r="L299" s="68" t="e">
        <f>#REF!*COM!$L$4</f>
        <v>#REF!</v>
      </c>
      <c r="M299" s="68" t="e">
        <f>#REF!*COM!$L$4</f>
        <v>#REF!</v>
      </c>
      <c r="N299" s="68" t="e">
        <f>#REF!*COM!$N$4</f>
        <v>#REF!</v>
      </c>
      <c r="O299" s="68" t="e">
        <f>#REF!*COM!$N$4</f>
        <v>#REF!</v>
      </c>
      <c r="P299" s="68" t="e">
        <f>#REF!*COM!$P$4</f>
        <v>#REF!</v>
      </c>
      <c r="Q299" s="68" t="e">
        <f>#REF!*COM!$P$4</f>
        <v>#REF!</v>
      </c>
      <c r="R299" s="68" t="e">
        <f>#REF!*COM!$R$4</f>
        <v>#REF!</v>
      </c>
      <c r="S299" s="68" t="e">
        <f>#REF!*COM!$R$4</f>
        <v>#REF!</v>
      </c>
      <c r="T299" s="111" t="e">
        <f t="shared" si="22"/>
        <v>#REF!</v>
      </c>
    </row>
    <row r="300" spans="1:20" ht="18.75" x14ac:dyDescent="0.25">
      <c r="A300" s="10"/>
      <c r="B300" s="11"/>
      <c r="C300" s="11"/>
      <c r="D300" s="11"/>
      <c r="E300" s="22"/>
      <c r="F300" s="43"/>
      <c r="G300" s="43"/>
      <c r="H300" s="68"/>
      <c r="I300" s="101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111"/>
    </row>
    <row r="301" spans="1:20" ht="18.75" x14ac:dyDescent="0.25">
      <c r="A301" s="10"/>
      <c r="B301" s="11"/>
      <c r="C301" s="11"/>
      <c r="D301" s="11"/>
      <c r="E301" s="22"/>
      <c r="F301" s="43"/>
      <c r="G301" s="43"/>
      <c r="H301" s="68"/>
      <c r="I301" s="101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111"/>
    </row>
    <row r="302" spans="1:20" ht="18.75" x14ac:dyDescent="0.25">
      <c r="A302" s="10"/>
      <c r="B302" s="11"/>
      <c r="C302" s="11"/>
      <c r="D302" s="11"/>
      <c r="E302" s="22"/>
      <c r="F302" s="43"/>
      <c r="G302" s="43"/>
      <c r="H302" s="68"/>
      <c r="I302" s="101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111"/>
    </row>
    <row r="303" spans="1:20" ht="18.75" x14ac:dyDescent="0.25">
      <c r="A303" s="10"/>
      <c r="B303" s="11"/>
      <c r="C303" s="11"/>
      <c r="D303" s="11"/>
      <c r="E303" s="22"/>
      <c r="F303" s="43"/>
      <c r="G303" s="43"/>
      <c r="H303" s="68"/>
      <c r="I303" s="101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111"/>
    </row>
    <row r="304" spans="1:20" ht="18.75" x14ac:dyDescent="0.25">
      <c r="A304" s="10"/>
      <c r="B304" s="11"/>
      <c r="C304" s="11"/>
      <c r="D304" s="11"/>
      <c r="E304" s="22"/>
      <c r="F304" s="43"/>
      <c r="G304" s="43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111">
        <f t="shared" si="22"/>
        <v>0</v>
      </c>
    </row>
    <row r="305" spans="1:20" ht="37.5" x14ac:dyDescent="0.25">
      <c r="A305" s="56"/>
      <c r="B305" s="50"/>
      <c r="C305" s="50"/>
      <c r="D305" s="50"/>
      <c r="E305" s="54"/>
      <c r="F305" s="40" t="s">
        <v>434</v>
      </c>
      <c r="G305" s="40"/>
      <c r="H305" s="99" t="e">
        <f>H306</f>
        <v>#REF!</v>
      </c>
      <c r="I305" s="99" t="e">
        <f t="shared" ref="I305:R305" si="23">I306</f>
        <v>#REF!</v>
      </c>
      <c r="J305" s="99" t="e">
        <f t="shared" si="23"/>
        <v>#REF!</v>
      </c>
      <c r="K305" s="99" t="e">
        <f t="shared" si="23"/>
        <v>#REF!</v>
      </c>
      <c r="L305" s="99" t="e">
        <f t="shared" si="23"/>
        <v>#REF!</v>
      </c>
      <c r="M305" s="99" t="e">
        <f t="shared" si="23"/>
        <v>#REF!</v>
      </c>
      <c r="N305" s="99" t="e">
        <f t="shared" si="23"/>
        <v>#REF!</v>
      </c>
      <c r="O305" s="99" t="e">
        <f t="shared" si="23"/>
        <v>#REF!</v>
      </c>
      <c r="P305" s="99" t="e">
        <f t="shared" si="23"/>
        <v>#REF!</v>
      </c>
      <c r="Q305" s="99" t="e">
        <f t="shared" si="23"/>
        <v>#REF!</v>
      </c>
      <c r="R305" s="99" t="e">
        <f t="shared" si="23"/>
        <v>#REF!</v>
      </c>
      <c r="S305" s="99" t="e">
        <f>S306</f>
        <v>#REF!</v>
      </c>
      <c r="T305" s="111" t="e">
        <f t="shared" si="22"/>
        <v>#REF!</v>
      </c>
    </row>
    <row r="306" spans="1:20" ht="18.75" x14ac:dyDescent="0.25">
      <c r="A306" s="57"/>
      <c r="B306" s="51"/>
      <c r="C306" s="51"/>
      <c r="D306" s="51"/>
      <c r="E306" s="55"/>
      <c r="F306" s="37" t="s">
        <v>6</v>
      </c>
      <c r="G306" s="37"/>
      <c r="H306" s="100" t="e">
        <f>SUM(H307:H337)</f>
        <v>#REF!</v>
      </c>
      <c r="I306" s="100" t="e">
        <f t="shared" ref="I306:S306" si="24">SUM(I307:I337)</f>
        <v>#REF!</v>
      </c>
      <c r="J306" s="100" t="e">
        <f t="shared" si="24"/>
        <v>#REF!</v>
      </c>
      <c r="K306" s="100" t="e">
        <f t="shared" si="24"/>
        <v>#REF!</v>
      </c>
      <c r="L306" s="100" t="e">
        <f t="shared" si="24"/>
        <v>#REF!</v>
      </c>
      <c r="M306" s="100" t="e">
        <f t="shared" si="24"/>
        <v>#REF!</v>
      </c>
      <c r="N306" s="100" t="e">
        <f t="shared" si="24"/>
        <v>#REF!</v>
      </c>
      <c r="O306" s="100" t="e">
        <f t="shared" si="24"/>
        <v>#REF!</v>
      </c>
      <c r="P306" s="100" t="e">
        <f t="shared" si="24"/>
        <v>#REF!</v>
      </c>
      <c r="Q306" s="100" t="e">
        <f t="shared" si="24"/>
        <v>#REF!</v>
      </c>
      <c r="R306" s="100" t="e">
        <f t="shared" si="24"/>
        <v>#REF!</v>
      </c>
      <c r="S306" s="100" t="e">
        <f t="shared" si="24"/>
        <v>#REF!</v>
      </c>
      <c r="T306" s="111" t="e">
        <f t="shared" si="22"/>
        <v>#REF!</v>
      </c>
    </row>
    <row r="307" spans="1:20" ht="75.75" customHeight="1" x14ac:dyDescent="0.25">
      <c r="A307" s="4">
        <v>311</v>
      </c>
      <c r="B307" s="52">
        <v>60</v>
      </c>
      <c r="C307" s="52">
        <v>920</v>
      </c>
      <c r="D307" s="7">
        <v>70499</v>
      </c>
      <c r="E307" s="20" t="s">
        <v>178</v>
      </c>
      <c r="F307" s="86" t="s">
        <v>110</v>
      </c>
      <c r="G307" s="38"/>
      <c r="H307" s="68" t="e">
        <f>#REF!*COM!$H$4</f>
        <v>#REF!</v>
      </c>
      <c r="I307" s="68" t="e">
        <f>#REF!*COM!$H$4</f>
        <v>#REF!</v>
      </c>
      <c r="J307" s="68" t="e">
        <f>#REF!*COM!$J$4</f>
        <v>#REF!</v>
      </c>
      <c r="K307" s="68" t="e">
        <f>#REF!*COM!$J$4</f>
        <v>#REF!</v>
      </c>
      <c r="L307" s="68" t="e">
        <f>#REF!*COM!$L$4</f>
        <v>#REF!</v>
      </c>
      <c r="M307" s="68" t="e">
        <f>#REF!*COM!$L$4</f>
        <v>#REF!</v>
      </c>
      <c r="N307" s="68" t="e">
        <f>#REF!*COM!$N$4</f>
        <v>#REF!</v>
      </c>
      <c r="O307" s="68" t="e">
        <f>#REF!*COM!$N$4</f>
        <v>#REF!</v>
      </c>
      <c r="P307" s="68" t="e">
        <f>#REF!*COM!$P$4</f>
        <v>#REF!</v>
      </c>
      <c r="Q307" s="68" t="e">
        <f>#REF!*COM!$P$4</f>
        <v>#REF!</v>
      </c>
      <c r="R307" s="68" t="e">
        <f>#REF!*COM!$R$4</f>
        <v>#REF!</v>
      </c>
      <c r="S307" s="68" t="e">
        <f>#REF!*COM!$R$4</f>
        <v>#REF!</v>
      </c>
      <c r="T307" s="111" t="e">
        <f t="shared" si="22"/>
        <v>#REF!</v>
      </c>
    </row>
    <row r="308" spans="1:20" ht="77.25" customHeight="1" x14ac:dyDescent="0.25">
      <c r="A308" s="4">
        <v>321</v>
      </c>
      <c r="B308" s="52">
        <v>60</v>
      </c>
      <c r="C308" s="52">
        <v>930</v>
      </c>
      <c r="D308" s="7">
        <v>70499</v>
      </c>
      <c r="E308" s="20" t="s">
        <v>176</v>
      </c>
      <c r="F308" s="86" t="s">
        <v>111</v>
      </c>
      <c r="G308" s="38"/>
      <c r="H308" s="68" t="e">
        <f>#REF!*COM!$H$4</f>
        <v>#REF!</v>
      </c>
      <c r="I308" s="68" t="e">
        <f>#REF!*COM!$H$4</f>
        <v>#REF!</v>
      </c>
      <c r="J308" s="68" t="e">
        <f>#REF!*COM!$J$4</f>
        <v>#REF!</v>
      </c>
      <c r="K308" s="68" t="e">
        <f>#REF!*COM!$J$4</f>
        <v>#REF!</v>
      </c>
      <c r="L308" s="68" t="e">
        <f>#REF!*COM!$L$4</f>
        <v>#REF!</v>
      </c>
      <c r="M308" s="68" t="e">
        <f>#REF!*COM!$L$4</f>
        <v>#REF!</v>
      </c>
      <c r="N308" s="68" t="e">
        <f>#REF!*COM!$N$4</f>
        <v>#REF!</v>
      </c>
      <c r="O308" s="68" t="e">
        <f>#REF!*COM!$N$4</f>
        <v>#REF!</v>
      </c>
      <c r="P308" s="68" t="e">
        <f>#REF!*COM!$P$4</f>
        <v>#REF!</v>
      </c>
      <c r="Q308" s="68" t="e">
        <f>#REF!*COM!$P$4</f>
        <v>#REF!</v>
      </c>
      <c r="R308" s="68" t="e">
        <f>#REF!*COM!$R$4</f>
        <v>#REF!</v>
      </c>
      <c r="S308" s="68" t="e">
        <f>#REF!*COM!$R$4</f>
        <v>#REF!</v>
      </c>
      <c r="T308" s="111" t="e">
        <f t="shared" si="22"/>
        <v>#REF!</v>
      </c>
    </row>
    <row r="309" spans="1:20" ht="82.5" customHeight="1" x14ac:dyDescent="0.25">
      <c r="A309" s="4">
        <v>311</v>
      </c>
      <c r="B309" s="52">
        <v>60</v>
      </c>
      <c r="C309" s="52">
        <v>920</v>
      </c>
      <c r="D309" s="7">
        <v>70499</v>
      </c>
      <c r="E309" s="20" t="s">
        <v>178</v>
      </c>
      <c r="F309" s="86" t="s">
        <v>112</v>
      </c>
      <c r="G309" s="225" t="s">
        <v>364</v>
      </c>
      <c r="H309" s="68" t="e">
        <f>#REF!*COM!$H$4</f>
        <v>#REF!</v>
      </c>
      <c r="I309" s="68" t="e">
        <f>#REF!*COM!$H$4</f>
        <v>#REF!</v>
      </c>
      <c r="J309" s="68" t="e">
        <f>#REF!*COM!$J$4</f>
        <v>#REF!</v>
      </c>
      <c r="K309" s="68" t="e">
        <f>#REF!*COM!$J$4</f>
        <v>#REF!</v>
      </c>
      <c r="L309" s="68" t="e">
        <f>#REF!*COM!$L$4</f>
        <v>#REF!</v>
      </c>
      <c r="M309" s="68" t="e">
        <f>#REF!*COM!$L$4</f>
        <v>#REF!</v>
      </c>
      <c r="N309" s="68" t="e">
        <f>#REF!*COM!$N$4</f>
        <v>#REF!</v>
      </c>
      <c r="O309" s="68" t="e">
        <f>#REF!*COM!$N$4</f>
        <v>#REF!</v>
      </c>
      <c r="P309" s="68" t="e">
        <f>#REF!*COM!$P$4</f>
        <v>#REF!</v>
      </c>
      <c r="Q309" s="68" t="e">
        <f>#REF!*COM!$P$4</f>
        <v>#REF!</v>
      </c>
      <c r="R309" s="68" t="e">
        <f>#REF!*COM!$R$4</f>
        <v>#REF!</v>
      </c>
      <c r="S309" s="68" t="e">
        <f>#REF!*COM!$R$4</f>
        <v>#REF!</v>
      </c>
      <c r="T309" s="111" t="e">
        <f t="shared" si="22"/>
        <v>#REF!</v>
      </c>
    </row>
    <row r="310" spans="1:20" ht="72" customHeight="1" x14ac:dyDescent="0.25">
      <c r="A310" s="49">
        <v>321</v>
      </c>
      <c r="B310" s="52">
        <v>60</v>
      </c>
      <c r="C310" s="52">
        <v>930</v>
      </c>
      <c r="D310" s="53">
        <v>70499</v>
      </c>
      <c r="E310" s="48" t="s">
        <v>176</v>
      </c>
      <c r="F310" s="86" t="s">
        <v>113</v>
      </c>
      <c r="G310" s="226"/>
      <c r="H310" s="68" t="e">
        <f>#REF!*COM!$H$4</f>
        <v>#REF!</v>
      </c>
      <c r="I310" s="68" t="e">
        <f>#REF!*COM!$H$4</f>
        <v>#REF!</v>
      </c>
      <c r="J310" s="68" t="e">
        <f>#REF!*COM!$J$4</f>
        <v>#REF!</v>
      </c>
      <c r="K310" s="68" t="e">
        <f>#REF!*COM!$J$4</f>
        <v>#REF!</v>
      </c>
      <c r="L310" s="68" t="e">
        <f>#REF!*COM!$L$4</f>
        <v>#REF!</v>
      </c>
      <c r="M310" s="68" t="e">
        <f>#REF!*COM!$L$4</f>
        <v>#REF!</v>
      </c>
      <c r="N310" s="68" t="e">
        <f>#REF!*COM!$N$4</f>
        <v>#REF!</v>
      </c>
      <c r="O310" s="68" t="e">
        <f>#REF!*COM!$N$4</f>
        <v>#REF!</v>
      </c>
      <c r="P310" s="68" t="e">
        <f>#REF!*COM!$P$4</f>
        <v>#REF!</v>
      </c>
      <c r="Q310" s="68" t="e">
        <f>#REF!*COM!$P$4</f>
        <v>#REF!</v>
      </c>
      <c r="R310" s="68" t="e">
        <f>#REF!*COM!$R$4</f>
        <v>#REF!</v>
      </c>
      <c r="S310" s="68" t="e">
        <f>#REF!*COM!$R$4</f>
        <v>#REF!</v>
      </c>
      <c r="T310" s="111" t="e">
        <f t="shared" si="22"/>
        <v>#REF!</v>
      </c>
    </row>
    <row r="311" spans="1:20" ht="78.75" customHeight="1" x14ac:dyDescent="0.25">
      <c r="A311" s="49">
        <v>321</v>
      </c>
      <c r="B311" s="52">
        <v>60</v>
      </c>
      <c r="C311" s="52">
        <v>930</v>
      </c>
      <c r="D311" s="53">
        <v>70499</v>
      </c>
      <c r="E311" s="48" t="s">
        <v>171</v>
      </c>
      <c r="F311" s="86" t="s">
        <v>199</v>
      </c>
      <c r="G311" s="227"/>
      <c r="H311" s="68" t="e">
        <f>#REF!*COM!$H$4</f>
        <v>#REF!</v>
      </c>
      <c r="I311" s="68" t="e">
        <f>#REF!*COM!$H$4</f>
        <v>#REF!</v>
      </c>
      <c r="J311" s="68" t="e">
        <f>#REF!*COM!$J$4</f>
        <v>#REF!</v>
      </c>
      <c r="K311" s="68" t="e">
        <f>#REF!*COM!$J$4</f>
        <v>#REF!</v>
      </c>
      <c r="L311" s="68" t="e">
        <f>#REF!*COM!$L$4</f>
        <v>#REF!</v>
      </c>
      <c r="M311" s="68" t="e">
        <f>#REF!*COM!$L$4</f>
        <v>#REF!</v>
      </c>
      <c r="N311" s="68" t="e">
        <f>#REF!*COM!$N$4</f>
        <v>#REF!</v>
      </c>
      <c r="O311" s="68" t="e">
        <f>#REF!*COM!$N$4</f>
        <v>#REF!</v>
      </c>
      <c r="P311" s="68" t="e">
        <f>#REF!*COM!$P$4</f>
        <v>#REF!</v>
      </c>
      <c r="Q311" s="68" t="e">
        <f>#REF!*COM!$P$4</f>
        <v>#REF!</v>
      </c>
      <c r="R311" s="68" t="e">
        <f>#REF!*COM!$R$4</f>
        <v>#REF!</v>
      </c>
      <c r="S311" s="68" t="e">
        <f>#REF!*COM!$R$4</f>
        <v>#REF!</v>
      </c>
      <c r="T311" s="111" t="e">
        <f t="shared" si="22"/>
        <v>#REF!</v>
      </c>
    </row>
    <row r="312" spans="1:20" ht="76.5" customHeight="1" x14ac:dyDescent="0.25">
      <c r="A312" s="4">
        <v>311</v>
      </c>
      <c r="B312" s="52">
        <v>60</v>
      </c>
      <c r="C312" s="52">
        <v>910</v>
      </c>
      <c r="D312" s="53">
        <v>70499</v>
      </c>
      <c r="E312" s="48"/>
      <c r="F312" s="62" t="s">
        <v>117</v>
      </c>
      <c r="G312" s="225" t="s">
        <v>324</v>
      </c>
      <c r="H312" s="68" t="e">
        <f>#REF!*COM!$H$4</f>
        <v>#REF!</v>
      </c>
      <c r="I312" s="68" t="e">
        <f>#REF!*COM!$H$4</f>
        <v>#REF!</v>
      </c>
      <c r="J312" s="68" t="e">
        <f>#REF!*COM!$J$4</f>
        <v>#REF!</v>
      </c>
      <c r="K312" s="68" t="e">
        <f>#REF!*COM!$J$4</f>
        <v>#REF!</v>
      </c>
      <c r="L312" s="68" t="e">
        <f>#REF!*COM!$L$4</f>
        <v>#REF!</v>
      </c>
      <c r="M312" s="68" t="e">
        <f>#REF!*COM!$L$4</f>
        <v>#REF!</v>
      </c>
      <c r="N312" s="68" t="e">
        <f>#REF!*COM!$N$4</f>
        <v>#REF!</v>
      </c>
      <c r="O312" s="68" t="e">
        <f>#REF!*COM!$N$4</f>
        <v>#REF!</v>
      </c>
      <c r="P312" s="68" t="e">
        <f>#REF!*COM!$P$4</f>
        <v>#REF!</v>
      </c>
      <c r="Q312" s="68" t="e">
        <f>#REF!*COM!$P$4</f>
        <v>#REF!</v>
      </c>
      <c r="R312" s="68" t="e">
        <f>#REF!*COM!$R$4</f>
        <v>#REF!</v>
      </c>
      <c r="S312" s="68" t="e">
        <f>#REF!*COM!$R$4</f>
        <v>#REF!</v>
      </c>
      <c r="T312" s="111" t="e">
        <f t="shared" si="22"/>
        <v>#REF!</v>
      </c>
    </row>
    <row r="313" spans="1:20" ht="90.75" customHeight="1" x14ac:dyDescent="0.25">
      <c r="A313" s="4">
        <v>311</v>
      </c>
      <c r="B313" s="52">
        <v>60</v>
      </c>
      <c r="C313" s="52">
        <v>920</v>
      </c>
      <c r="D313" s="53">
        <v>70499</v>
      </c>
      <c r="E313" s="20" t="s">
        <v>173</v>
      </c>
      <c r="F313" s="84" t="s">
        <v>118</v>
      </c>
      <c r="G313" s="227"/>
      <c r="H313" s="68" t="e">
        <f>#REF!*COM!$H$4</f>
        <v>#REF!</v>
      </c>
      <c r="I313" s="68" t="e">
        <f>#REF!*COM!$H$4</f>
        <v>#REF!</v>
      </c>
      <c r="J313" s="68" t="e">
        <f>#REF!*COM!$J$4</f>
        <v>#REF!</v>
      </c>
      <c r="K313" s="68" t="e">
        <f>#REF!*COM!$J$4</f>
        <v>#REF!</v>
      </c>
      <c r="L313" s="68" t="e">
        <f>#REF!*COM!$L$4</f>
        <v>#REF!</v>
      </c>
      <c r="M313" s="68" t="e">
        <f>#REF!*COM!$L$4</f>
        <v>#REF!</v>
      </c>
      <c r="N313" s="68" t="e">
        <f>#REF!*COM!$N$4</f>
        <v>#REF!</v>
      </c>
      <c r="O313" s="68" t="e">
        <f>#REF!*COM!$N$4</f>
        <v>#REF!</v>
      </c>
      <c r="P313" s="68" t="e">
        <f>#REF!*COM!$P$4</f>
        <v>#REF!</v>
      </c>
      <c r="Q313" s="68" t="e">
        <f>#REF!*COM!$P$4</f>
        <v>#REF!</v>
      </c>
      <c r="R313" s="68" t="e">
        <f>#REF!*COM!$R$4</f>
        <v>#REF!</v>
      </c>
      <c r="S313" s="68" t="e">
        <f>#REF!*COM!$R$4</f>
        <v>#REF!</v>
      </c>
      <c r="T313" s="111" t="e">
        <f t="shared" si="22"/>
        <v>#REF!</v>
      </c>
    </row>
    <row r="314" spans="1:20" ht="74.25" customHeight="1" x14ac:dyDescent="0.25">
      <c r="A314" s="4">
        <v>311</v>
      </c>
      <c r="B314" s="52">
        <v>60</v>
      </c>
      <c r="C314" s="52">
        <v>910</v>
      </c>
      <c r="D314" s="53">
        <v>70499</v>
      </c>
      <c r="E314" s="48"/>
      <c r="F314" s="62" t="s">
        <v>292</v>
      </c>
      <c r="G314" s="225" t="s">
        <v>291</v>
      </c>
      <c r="H314" s="68" t="e">
        <f>#REF!*COM!$H$4</f>
        <v>#REF!</v>
      </c>
      <c r="I314" s="68" t="e">
        <f>#REF!*COM!$H$4</f>
        <v>#REF!</v>
      </c>
      <c r="J314" s="68" t="e">
        <f>#REF!*COM!$J$4</f>
        <v>#REF!</v>
      </c>
      <c r="K314" s="68" t="e">
        <f>#REF!*COM!$J$4</f>
        <v>#REF!</v>
      </c>
      <c r="L314" s="68" t="e">
        <f>#REF!*COM!$L$4</f>
        <v>#REF!</v>
      </c>
      <c r="M314" s="68" t="e">
        <f>#REF!*COM!$L$4</f>
        <v>#REF!</v>
      </c>
      <c r="N314" s="68" t="e">
        <f>#REF!*COM!$N$4</f>
        <v>#REF!</v>
      </c>
      <c r="O314" s="68" t="e">
        <f>#REF!*COM!$N$4</f>
        <v>#REF!</v>
      </c>
      <c r="P314" s="68" t="e">
        <f>#REF!*COM!$P$4</f>
        <v>#REF!</v>
      </c>
      <c r="Q314" s="68" t="e">
        <f>#REF!*COM!$P$4</f>
        <v>#REF!</v>
      </c>
      <c r="R314" s="68" t="e">
        <f>#REF!*COM!$R$4</f>
        <v>#REF!</v>
      </c>
      <c r="S314" s="68" t="e">
        <f>#REF!*COM!$R$4</f>
        <v>#REF!</v>
      </c>
      <c r="T314" s="111" t="e">
        <f t="shared" si="22"/>
        <v>#REF!</v>
      </c>
    </row>
    <row r="315" spans="1:20" ht="80.25" customHeight="1" x14ac:dyDescent="0.25">
      <c r="A315" s="4">
        <v>311</v>
      </c>
      <c r="B315" s="52">
        <v>60</v>
      </c>
      <c r="C315" s="52">
        <v>920</v>
      </c>
      <c r="D315" s="53">
        <v>70499</v>
      </c>
      <c r="E315" s="20" t="s">
        <v>173</v>
      </c>
      <c r="F315" s="62" t="s">
        <v>293</v>
      </c>
      <c r="G315" s="226"/>
      <c r="H315" s="68" t="e">
        <f>#REF!*COM!$H$4</f>
        <v>#REF!</v>
      </c>
      <c r="I315" s="68" t="e">
        <f>#REF!*COM!$H$4</f>
        <v>#REF!</v>
      </c>
      <c r="J315" s="68" t="e">
        <f>#REF!*COM!$J$4</f>
        <v>#REF!</v>
      </c>
      <c r="K315" s="68" t="e">
        <f>#REF!*COM!$J$4</f>
        <v>#REF!</v>
      </c>
      <c r="L315" s="68" t="e">
        <f>#REF!*COM!$L$4</f>
        <v>#REF!</v>
      </c>
      <c r="M315" s="68" t="e">
        <f>#REF!*COM!$L$4</f>
        <v>#REF!</v>
      </c>
      <c r="N315" s="68" t="e">
        <f>#REF!*COM!$N$4</f>
        <v>#REF!</v>
      </c>
      <c r="O315" s="68" t="e">
        <f>#REF!*COM!$N$4</f>
        <v>#REF!</v>
      </c>
      <c r="P315" s="68" t="e">
        <f>#REF!*COM!$P$4</f>
        <v>#REF!</v>
      </c>
      <c r="Q315" s="68" t="e">
        <f>#REF!*COM!$P$4</f>
        <v>#REF!</v>
      </c>
      <c r="R315" s="68" t="e">
        <f>#REF!*COM!$R$4</f>
        <v>#REF!</v>
      </c>
      <c r="S315" s="68" t="e">
        <f>#REF!*COM!$R$4</f>
        <v>#REF!</v>
      </c>
      <c r="T315" s="111" t="e">
        <f t="shared" si="22"/>
        <v>#REF!</v>
      </c>
    </row>
    <row r="316" spans="1:20" ht="85.5" customHeight="1" x14ac:dyDescent="0.25">
      <c r="A316" s="4">
        <v>311</v>
      </c>
      <c r="B316" s="52">
        <v>60</v>
      </c>
      <c r="C316" s="52">
        <v>930</v>
      </c>
      <c r="D316" s="53">
        <v>70499</v>
      </c>
      <c r="E316" s="20" t="s">
        <v>173</v>
      </c>
      <c r="F316" s="62" t="s">
        <v>294</v>
      </c>
      <c r="G316" s="227"/>
      <c r="H316" s="68" t="e">
        <f>#REF!*COM!$H$4</f>
        <v>#REF!</v>
      </c>
      <c r="I316" s="68" t="e">
        <f>#REF!*COM!$H$4</f>
        <v>#REF!</v>
      </c>
      <c r="J316" s="68" t="e">
        <f>#REF!*COM!$J$4</f>
        <v>#REF!</v>
      </c>
      <c r="K316" s="68" t="e">
        <f>#REF!*COM!$J$4</f>
        <v>#REF!</v>
      </c>
      <c r="L316" s="68" t="e">
        <f>#REF!*COM!$L$4</f>
        <v>#REF!</v>
      </c>
      <c r="M316" s="68" t="e">
        <f>#REF!*COM!$L$4</f>
        <v>#REF!</v>
      </c>
      <c r="N316" s="68" t="e">
        <f>#REF!*COM!$N$4</f>
        <v>#REF!</v>
      </c>
      <c r="O316" s="68" t="e">
        <f>#REF!*COM!$N$4</f>
        <v>#REF!</v>
      </c>
      <c r="P316" s="68" t="e">
        <f>#REF!*COM!$P$4</f>
        <v>#REF!</v>
      </c>
      <c r="Q316" s="68" t="e">
        <f>#REF!*COM!$P$4</f>
        <v>#REF!</v>
      </c>
      <c r="R316" s="68" t="e">
        <f>#REF!*COM!$R$4</f>
        <v>#REF!</v>
      </c>
      <c r="S316" s="68" t="e">
        <f>#REF!*COM!$R$4</f>
        <v>#REF!</v>
      </c>
      <c r="T316" s="111" t="e">
        <f t="shared" si="22"/>
        <v>#REF!</v>
      </c>
    </row>
    <row r="317" spans="1:20" ht="73.5" customHeight="1" x14ac:dyDescent="0.25">
      <c r="A317" s="4">
        <v>311</v>
      </c>
      <c r="B317" s="52">
        <v>60</v>
      </c>
      <c r="C317" s="52">
        <v>910</v>
      </c>
      <c r="D317" s="53">
        <v>70499</v>
      </c>
      <c r="E317" s="48"/>
      <c r="F317" s="38" t="s">
        <v>114</v>
      </c>
      <c r="G317" s="92"/>
      <c r="H317" s="68" t="e">
        <f>#REF!*COM!$H$4</f>
        <v>#REF!</v>
      </c>
      <c r="I317" s="68" t="e">
        <f>#REF!*COM!$H$4</f>
        <v>#REF!</v>
      </c>
      <c r="J317" s="68" t="e">
        <f>#REF!*COM!$J$4</f>
        <v>#REF!</v>
      </c>
      <c r="K317" s="68" t="e">
        <f>#REF!*COM!$J$4</f>
        <v>#REF!</v>
      </c>
      <c r="L317" s="68" t="e">
        <f>#REF!*COM!$L$4</f>
        <v>#REF!</v>
      </c>
      <c r="M317" s="68" t="e">
        <f>#REF!*COM!$L$4</f>
        <v>#REF!</v>
      </c>
      <c r="N317" s="68" t="e">
        <f>#REF!*COM!$N$4</f>
        <v>#REF!</v>
      </c>
      <c r="O317" s="68" t="e">
        <f>#REF!*COM!$N$4</f>
        <v>#REF!</v>
      </c>
      <c r="P317" s="68" t="e">
        <f>#REF!*COM!$P$4</f>
        <v>#REF!</v>
      </c>
      <c r="Q317" s="68" t="e">
        <f>#REF!*COM!$P$4</f>
        <v>#REF!</v>
      </c>
      <c r="R317" s="68" t="e">
        <f>#REF!*COM!$R$4</f>
        <v>#REF!</v>
      </c>
      <c r="S317" s="68" t="e">
        <f>#REF!*COM!$R$4</f>
        <v>#REF!</v>
      </c>
      <c r="T317" s="111" t="e">
        <f t="shared" si="22"/>
        <v>#REF!</v>
      </c>
    </row>
    <row r="318" spans="1:20" ht="57.75" customHeight="1" x14ac:dyDescent="0.25">
      <c r="A318" s="4">
        <v>311</v>
      </c>
      <c r="B318" s="52">
        <v>60</v>
      </c>
      <c r="C318" s="52">
        <v>930</v>
      </c>
      <c r="D318" s="53">
        <v>70499</v>
      </c>
      <c r="E318" s="48" t="s">
        <v>166</v>
      </c>
      <c r="F318" s="75" t="s">
        <v>115</v>
      </c>
      <c r="G318" s="126" t="s">
        <v>334</v>
      </c>
      <c r="H318" s="68" t="e">
        <f>#REF!*COM!$H$4</f>
        <v>#REF!</v>
      </c>
      <c r="I318" s="68" t="e">
        <f>#REF!*COM!$H$4</f>
        <v>#REF!</v>
      </c>
      <c r="J318" s="68" t="e">
        <f>#REF!*COM!$J$4</f>
        <v>#REF!</v>
      </c>
      <c r="K318" s="68" t="e">
        <f>#REF!*COM!$J$4</f>
        <v>#REF!</v>
      </c>
      <c r="L318" s="68" t="e">
        <f>#REF!*COM!$L$4</f>
        <v>#REF!</v>
      </c>
      <c r="M318" s="68" t="e">
        <f>#REF!*COM!$L$4</f>
        <v>#REF!</v>
      </c>
      <c r="N318" s="68" t="e">
        <f>#REF!*COM!$N$4</f>
        <v>#REF!</v>
      </c>
      <c r="O318" s="68" t="e">
        <f>#REF!*COM!$N$4</f>
        <v>#REF!</v>
      </c>
      <c r="P318" s="68" t="e">
        <f>#REF!*COM!$P$4</f>
        <v>#REF!</v>
      </c>
      <c r="Q318" s="68" t="e">
        <f>#REF!*COM!$P$4</f>
        <v>#REF!</v>
      </c>
      <c r="R318" s="68" t="e">
        <f>#REF!*COM!$R$4</f>
        <v>#REF!</v>
      </c>
      <c r="S318" s="68" t="e">
        <f>#REF!*COM!$R$4</f>
        <v>#REF!</v>
      </c>
      <c r="T318" s="111" t="e">
        <f t="shared" si="22"/>
        <v>#REF!</v>
      </c>
    </row>
    <row r="319" spans="1:20" ht="64.5" customHeight="1" x14ac:dyDescent="0.25">
      <c r="A319" s="4">
        <v>311</v>
      </c>
      <c r="B319" s="52">
        <v>60</v>
      </c>
      <c r="C319" s="52">
        <v>910</v>
      </c>
      <c r="D319" s="53">
        <v>70499</v>
      </c>
      <c r="E319" s="48"/>
      <c r="F319" s="38" t="s">
        <v>228</v>
      </c>
      <c r="G319" s="92"/>
      <c r="H319" s="68" t="e">
        <f>#REF!*COM!$H$4</f>
        <v>#REF!</v>
      </c>
      <c r="I319" s="68" t="e">
        <f>#REF!*COM!$H$4</f>
        <v>#REF!</v>
      </c>
      <c r="J319" s="68" t="e">
        <f>#REF!*COM!$J$4</f>
        <v>#REF!</v>
      </c>
      <c r="K319" s="68" t="e">
        <f>#REF!*COM!$J$4</f>
        <v>#REF!</v>
      </c>
      <c r="L319" s="68" t="e">
        <f>#REF!*COM!$L$4</f>
        <v>#REF!</v>
      </c>
      <c r="M319" s="68" t="e">
        <f>#REF!*COM!$L$4</f>
        <v>#REF!</v>
      </c>
      <c r="N319" s="68" t="e">
        <f>#REF!*COM!$N$4</f>
        <v>#REF!</v>
      </c>
      <c r="O319" s="68" t="e">
        <f>#REF!*COM!$N$4</f>
        <v>#REF!</v>
      </c>
      <c r="P319" s="68" t="e">
        <f>#REF!*COM!$P$4</f>
        <v>#REF!</v>
      </c>
      <c r="Q319" s="68" t="e">
        <f>#REF!*COM!$P$4</f>
        <v>#REF!</v>
      </c>
      <c r="R319" s="68" t="e">
        <f>#REF!*COM!$R$4</f>
        <v>#REF!</v>
      </c>
      <c r="S319" s="68" t="e">
        <f>#REF!*COM!$R$4</f>
        <v>#REF!</v>
      </c>
      <c r="T319" s="111" t="e">
        <f t="shared" si="22"/>
        <v>#REF!</v>
      </c>
    </row>
    <row r="320" spans="1:20" ht="75.75" customHeight="1" x14ac:dyDescent="0.25">
      <c r="A320" s="4">
        <v>311</v>
      </c>
      <c r="B320" s="52">
        <v>60</v>
      </c>
      <c r="C320" s="52">
        <v>930</v>
      </c>
      <c r="D320" s="53">
        <v>70499</v>
      </c>
      <c r="E320" s="48" t="s">
        <v>166</v>
      </c>
      <c r="F320" s="38" t="s">
        <v>229</v>
      </c>
      <c r="G320" s="92"/>
      <c r="H320" s="68" t="e">
        <f>#REF!*COM!$H$4</f>
        <v>#REF!</v>
      </c>
      <c r="I320" s="68" t="e">
        <f>#REF!*COM!$H$4</f>
        <v>#REF!</v>
      </c>
      <c r="J320" s="68" t="e">
        <f>#REF!*COM!$J$4</f>
        <v>#REF!</v>
      </c>
      <c r="K320" s="68" t="e">
        <f>#REF!*COM!$J$4</f>
        <v>#REF!</v>
      </c>
      <c r="L320" s="68" t="e">
        <f>#REF!*COM!$L$4</f>
        <v>#REF!</v>
      </c>
      <c r="M320" s="68" t="e">
        <f>#REF!*COM!$L$4</f>
        <v>#REF!</v>
      </c>
      <c r="N320" s="68" t="e">
        <f>#REF!*COM!$N$4</f>
        <v>#REF!</v>
      </c>
      <c r="O320" s="68" t="e">
        <f>#REF!*COM!$N$4</f>
        <v>#REF!</v>
      </c>
      <c r="P320" s="68" t="e">
        <f>#REF!*COM!$P$4</f>
        <v>#REF!</v>
      </c>
      <c r="Q320" s="68" t="e">
        <f>#REF!*COM!$P$4</f>
        <v>#REF!</v>
      </c>
      <c r="R320" s="68" t="e">
        <f>#REF!*COM!$R$4</f>
        <v>#REF!</v>
      </c>
      <c r="S320" s="68" t="e">
        <f>#REF!*COM!$R$4</f>
        <v>#REF!</v>
      </c>
      <c r="T320" s="111" t="e">
        <f t="shared" si="22"/>
        <v>#REF!</v>
      </c>
    </row>
    <row r="321" spans="1:20" ht="56.25" customHeight="1" x14ac:dyDescent="0.25">
      <c r="A321" s="88">
        <v>311</v>
      </c>
      <c r="B321" s="89">
        <v>60</v>
      </c>
      <c r="C321" s="89">
        <v>920</v>
      </c>
      <c r="D321" s="90">
        <v>70499</v>
      </c>
      <c r="E321" s="91" t="s">
        <v>164</v>
      </c>
      <c r="F321" s="108" t="s">
        <v>18</v>
      </c>
      <c r="G321" s="108"/>
      <c r="H321" s="68" t="e">
        <f>#REF!*COM!$H$4</f>
        <v>#REF!</v>
      </c>
      <c r="I321" s="68" t="e">
        <f>#REF!*COM!$H$4</f>
        <v>#REF!</v>
      </c>
      <c r="J321" s="68" t="e">
        <f>#REF!*COM!$J$4</f>
        <v>#REF!</v>
      </c>
      <c r="K321" s="68" t="e">
        <f>#REF!*COM!$J$4</f>
        <v>#REF!</v>
      </c>
      <c r="L321" s="68" t="e">
        <f>#REF!*COM!$L$4</f>
        <v>#REF!</v>
      </c>
      <c r="M321" s="68" t="e">
        <f>#REF!*COM!$L$4</f>
        <v>#REF!</v>
      </c>
      <c r="N321" s="68" t="e">
        <f>#REF!*COM!$N$4</f>
        <v>#REF!</v>
      </c>
      <c r="O321" s="68" t="e">
        <f>#REF!*COM!$N$4</f>
        <v>#REF!</v>
      </c>
      <c r="P321" s="68" t="e">
        <f>#REF!*COM!$P$4</f>
        <v>#REF!</v>
      </c>
      <c r="Q321" s="68" t="e">
        <f>#REF!*COM!$P$4</f>
        <v>#REF!</v>
      </c>
      <c r="R321" s="68" t="e">
        <f>#REF!*COM!$R$4</f>
        <v>#REF!</v>
      </c>
      <c r="S321" s="68" t="e">
        <f>#REF!*COM!$R$4</f>
        <v>#REF!</v>
      </c>
      <c r="T321" s="111" t="e">
        <f>I321+K321+M321+O321+Q321+S321</f>
        <v>#REF!</v>
      </c>
    </row>
    <row r="322" spans="1:20" ht="57" customHeight="1" x14ac:dyDescent="0.25">
      <c r="A322" s="88">
        <v>311</v>
      </c>
      <c r="B322" s="89">
        <v>60</v>
      </c>
      <c r="C322" s="89">
        <v>920</v>
      </c>
      <c r="D322" s="90">
        <v>70499</v>
      </c>
      <c r="E322" s="91" t="s">
        <v>164</v>
      </c>
      <c r="F322" s="108" t="s">
        <v>19</v>
      </c>
      <c r="G322" s="108"/>
      <c r="H322" s="68" t="e">
        <f>#REF!*COM!$H$4</f>
        <v>#REF!</v>
      </c>
      <c r="I322" s="68" t="e">
        <f>#REF!*COM!$H$4</f>
        <v>#REF!</v>
      </c>
      <c r="J322" s="68" t="e">
        <f>#REF!*COM!$J$4</f>
        <v>#REF!</v>
      </c>
      <c r="K322" s="68" t="e">
        <f>#REF!*COM!$J$4</f>
        <v>#REF!</v>
      </c>
      <c r="L322" s="68" t="e">
        <f>#REF!*COM!$L$4</f>
        <v>#REF!</v>
      </c>
      <c r="M322" s="68" t="e">
        <f>#REF!*COM!$L$4</f>
        <v>#REF!</v>
      </c>
      <c r="N322" s="68" t="e">
        <f>#REF!*COM!$N$4</f>
        <v>#REF!</v>
      </c>
      <c r="O322" s="68" t="e">
        <f>#REF!*COM!$N$4</f>
        <v>#REF!</v>
      </c>
      <c r="P322" s="68" t="e">
        <f>#REF!*COM!$P$4</f>
        <v>#REF!</v>
      </c>
      <c r="Q322" s="68" t="e">
        <f>#REF!*COM!$P$4</f>
        <v>#REF!</v>
      </c>
      <c r="R322" s="68" t="e">
        <f>#REF!*COM!$R$4</f>
        <v>#REF!</v>
      </c>
      <c r="S322" s="68" t="e">
        <f>#REF!*COM!$R$4</f>
        <v>#REF!</v>
      </c>
      <c r="T322" s="111" t="e">
        <f>I322+K322+M322+O322+Q322+S322</f>
        <v>#REF!</v>
      </c>
    </row>
    <row r="323" spans="1:20" ht="57" customHeight="1" x14ac:dyDescent="0.25">
      <c r="A323" s="88">
        <v>311</v>
      </c>
      <c r="B323" s="89">
        <v>60</v>
      </c>
      <c r="C323" s="89">
        <v>910</v>
      </c>
      <c r="D323" s="90">
        <v>70499</v>
      </c>
      <c r="E323" s="91"/>
      <c r="F323" s="108" t="s">
        <v>374</v>
      </c>
      <c r="G323" s="108"/>
      <c r="H323" s="68" t="e">
        <f>#REF!*COM!$H$4</f>
        <v>#REF!</v>
      </c>
      <c r="I323" s="68" t="e">
        <f>#REF!*COM!$H$4</f>
        <v>#REF!</v>
      </c>
      <c r="J323" s="68" t="e">
        <f>#REF!*COM!$J$4</f>
        <v>#REF!</v>
      </c>
      <c r="K323" s="68" t="e">
        <f>#REF!*COM!$J$4</f>
        <v>#REF!</v>
      </c>
      <c r="L323" s="68" t="e">
        <f>#REF!*COM!$L$4</f>
        <v>#REF!</v>
      </c>
      <c r="M323" s="68" t="e">
        <f>#REF!*COM!$L$4</f>
        <v>#REF!</v>
      </c>
      <c r="N323" s="68" t="e">
        <f>#REF!*COM!$N$4</f>
        <v>#REF!</v>
      </c>
      <c r="O323" s="68" t="e">
        <f>#REF!*COM!$N$4</f>
        <v>#REF!</v>
      </c>
      <c r="P323" s="68" t="e">
        <f>#REF!*COM!$P$4</f>
        <v>#REF!</v>
      </c>
      <c r="Q323" s="68" t="e">
        <f>#REF!*COM!$P$4</f>
        <v>#REF!</v>
      </c>
      <c r="R323" s="68" t="e">
        <f>#REF!*COM!$R$4</f>
        <v>#REF!</v>
      </c>
      <c r="S323" s="68" t="e">
        <f>#REF!*COM!$R$4</f>
        <v>#REF!</v>
      </c>
      <c r="T323" s="111"/>
    </row>
    <row r="324" spans="1:20" ht="63.75" customHeight="1" x14ac:dyDescent="0.25">
      <c r="A324" s="88">
        <v>321</v>
      </c>
      <c r="B324" s="89">
        <v>60</v>
      </c>
      <c r="C324" s="89">
        <v>930</v>
      </c>
      <c r="D324" s="90">
        <v>70499</v>
      </c>
      <c r="E324" s="91" t="s">
        <v>166</v>
      </c>
      <c r="F324" s="92" t="s">
        <v>381</v>
      </c>
      <c r="G324" s="126" t="s">
        <v>351</v>
      </c>
      <c r="H324" s="68" t="e">
        <f>#REF!*COM!$H$4</f>
        <v>#REF!</v>
      </c>
      <c r="I324" s="68" t="e">
        <f>#REF!*COM!$H$4</f>
        <v>#REF!</v>
      </c>
      <c r="J324" s="68" t="e">
        <f>#REF!*COM!$J$4</f>
        <v>#REF!</v>
      </c>
      <c r="K324" s="68" t="e">
        <f>#REF!*COM!$J$4</f>
        <v>#REF!</v>
      </c>
      <c r="L324" s="68" t="e">
        <f>#REF!*COM!$L$4</f>
        <v>#REF!</v>
      </c>
      <c r="M324" s="68" t="e">
        <f>#REF!*COM!$L$4</f>
        <v>#REF!</v>
      </c>
      <c r="N324" s="68" t="e">
        <f>#REF!*COM!$N$4</f>
        <v>#REF!</v>
      </c>
      <c r="O324" s="68" t="e">
        <f>#REF!*COM!$N$4</f>
        <v>#REF!</v>
      </c>
      <c r="P324" s="68" t="e">
        <f>#REF!*COM!$P$4</f>
        <v>#REF!</v>
      </c>
      <c r="Q324" s="68" t="e">
        <f>#REF!*COM!$P$4</f>
        <v>#REF!</v>
      </c>
      <c r="R324" s="68" t="e">
        <f>#REF!*COM!$R$4</f>
        <v>#REF!</v>
      </c>
      <c r="S324" s="68" t="e">
        <f>#REF!*COM!$R$4</f>
        <v>#REF!</v>
      </c>
      <c r="T324" s="111" t="e">
        <f>I324+K324+M324+O324+Q324+S324</f>
        <v>#REF!</v>
      </c>
    </row>
    <row r="325" spans="1:20" ht="63.75" customHeight="1" x14ac:dyDescent="0.25">
      <c r="A325" s="88">
        <v>311</v>
      </c>
      <c r="B325" s="89">
        <v>60</v>
      </c>
      <c r="C325" s="89">
        <v>910</v>
      </c>
      <c r="D325" s="90">
        <v>70499</v>
      </c>
      <c r="E325" s="91"/>
      <c r="F325" s="92" t="s">
        <v>382</v>
      </c>
      <c r="G325" s="128"/>
      <c r="H325" s="68" t="e">
        <f>#REF!*COM!$H$4</f>
        <v>#REF!</v>
      </c>
      <c r="I325" s="68" t="e">
        <f>#REF!*COM!$H$4</f>
        <v>#REF!</v>
      </c>
      <c r="J325" s="68" t="e">
        <f>#REF!*COM!$J$4</f>
        <v>#REF!</v>
      </c>
      <c r="K325" s="68" t="e">
        <f>#REF!*COM!$J$4</f>
        <v>#REF!</v>
      </c>
      <c r="L325" s="68" t="e">
        <f>#REF!*COM!$L$4</f>
        <v>#REF!</v>
      </c>
      <c r="M325" s="68" t="e">
        <f>#REF!*COM!$L$4</f>
        <v>#REF!</v>
      </c>
      <c r="N325" s="68" t="e">
        <f>#REF!*COM!$N$4</f>
        <v>#REF!</v>
      </c>
      <c r="O325" s="68" t="e">
        <f>#REF!*COM!$N$4</f>
        <v>#REF!</v>
      </c>
      <c r="P325" s="68" t="e">
        <f>#REF!*COM!$P$4</f>
        <v>#REF!</v>
      </c>
      <c r="Q325" s="68" t="e">
        <f>#REF!*COM!$P$4</f>
        <v>#REF!</v>
      </c>
      <c r="R325" s="68" t="e">
        <f>#REF!*COM!$R$4</f>
        <v>#REF!</v>
      </c>
      <c r="S325" s="68" t="e">
        <f>#REF!*COM!$R$4</f>
        <v>#REF!</v>
      </c>
      <c r="T325" s="111"/>
    </row>
    <row r="326" spans="1:20" ht="72" customHeight="1" x14ac:dyDescent="0.25">
      <c r="A326" s="88">
        <v>311</v>
      </c>
      <c r="B326" s="89">
        <v>60</v>
      </c>
      <c r="C326" s="89">
        <v>930</v>
      </c>
      <c r="D326" s="90">
        <v>70499</v>
      </c>
      <c r="E326" s="91" t="s">
        <v>174</v>
      </c>
      <c r="F326" s="92" t="s">
        <v>383</v>
      </c>
      <c r="G326" s="228" t="s">
        <v>352</v>
      </c>
      <c r="H326" s="68" t="e">
        <f>#REF!*COM!$H$4</f>
        <v>#REF!</v>
      </c>
      <c r="I326" s="68" t="e">
        <f>#REF!*COM!$H$4</f>
        <v>#REF!</v>
      </c>
      <c r="J326" s="68" t="e">
        <f>#REF!*COM!$J$4</f>
        <v>#REF!</v>
      </c>
      <c r="K326" s="68" t="e">
        <f>#REF!*COM!$J$4</f>
        <v>#REF!</v>
      </c>
      <c r="L326" s="68" t="e">
        <f>#REF!*COM!$L$4</f>
        <v>#REF!</v>
      </c>
      <c r="M326" s="68" t="e">
        <f>#REF!*COM!$L$4</f>
        <v>#REF!</v>
      </c>
      <c r="N326" s="68" t="e">
        <f>#REF!*COM!$N$4</f>
        <v>#REF!</v>
      </c>
      <c r="O326" s="68" t="e">
        <f>#REF!*COM!$N$4</f>
        <v>#REF!</v>
      </c>
      <c r="P326" s="68" t="e">
        <f>#REF!*COM!$P$4</f>
        <v>#REF!</v>
      </c>
      <c r="Q326" s="68" t="e">
        <f>#REF!*COM!$P$4</f>
        <v>#REF!</v>
      </c>
      <c r="R326" s="68" t="e">
        <f>#REF!*COM!$R$4</f>
        <v>#REF!</v>
      </c>
      <c r="S326" s="68" t="e">
        <f>#REF!*COM!$R$4</f>
        <v>#REF!</v>
      </c>
      <c r="T326" s="111" t="e">
        <f>I326+K326+M326+O326+Q326+S326</f>
        <v>#REF!</v>
      </c>
    </row>
    <row r="327" spans="1:20" ht="72.75" customHeight="1" x14ac:dyDescent="0.25">
      <c r="A327" s="88">
        <v>321</v>
      </c>
      <c r="B327" s="89">
        <v>60</v>
      </c>
      <c r="C327" s="89">
        <v>930</v>
      </c>
      <c r="D327" s="90">
        <v>70499</v>
      </c>
      <c r="E327" s="91" t="s">
        <v>174</v>
      </c>
      <c r="F327" s="92" t="s">
        <v>383</v>
      </c>
      <c r="G327" s="229"/>
      <c r="H327" s="68" t="e">
        <f>#REF!*COM!$H$4</f>
        <v>#REF!</v>
      </c>
      <c r="I327" s="68" t="e">
        <f>#REF!*COM!$H$4</f>
        <v>#REF!</v>
      </c>
      <c r="J327" s="68" t="e">
        <f>#REF!*COM!$J$4</f>
        <v>#REF!</v>
      </c>
      <c r="K327" s="68" t="e">
        <f>#REF!*COM!$J$4</f>
        <v>#REF!</v>
      </c>
      <c r="L327" s="68" t="e">
        <f>#REF!*COM!$L$4</f>
        <v>#REF!</v>
      </c>
      <c r="M327" s="68" t="e">
        <f>#REF!*COM!$L$4</f>
        <v>#REF!</v>
      </c>
      <c r="N327" s="68" t="e">
        <f>#REF!*COM!$N$4</f>
        <v>#REF!</v>
      </c>
      <c r="O327" s="68" t="e">
        <f>#REF!*COM!$N$4</f>
        <v>#REF!</v>
      </c>
      <c r="P327" s="68" t="e">
        <f>#REF!*COM!$P$4</f>
        <v>#REF!</v>
      </c>
      <c r="Q327" s="68" t="e">
        <f>#REF!*COM!$P$4</f>
        <v>#REF!</v>
      </c>
      <c r="R327" s="68" t="e">
        <f>#REF!*COM!$R$4</f>
        <v>#REF!</v>
      </c>
      <c r="S327" s="68" t="e">
        <f>#REF!*COM!$R$4</f>
        <v>#REF!</v>
      </c>
      <c r="T327" s="111" t="e">
        <f>I327+K327+M327+O327+Q327+S327</f>
        <v>#REF!</v>
      </c>
    </row>
    <row r="328" spans="1:20" ht="37.5" x14ac:dyDescent="0.25">
      <c r="A328" s="114">
        <v>311</v>
      </c>
      <c r="B328" s="115">
        <v>60</v>
      </c>
      <c r="C328" s="115">
        <v>910</v>
      </c>
      <c r="D328" s="116">
        <v>70499</v>
      </c>
      <c r="E328" s="117"/>
      <c r="F328" s="118" t="s">
        <v>386</v>
      </c>
      <c r="G328" s="118"/>
      <c r="H328" s="68" t="e">
        <f>#REF!*COM!$H$4</f>
        <v>#REF!</v>
      </c>
      <c r="I328" s="68" t="e">
        <f>#REF!*COM!$H$4</f>
        <v>#REF!</v>
      </c>
      <c r="J328" s="68" t="e">
        <f>#REF!*COM!$J$4</f>
        <v>#REF!</v>
      </c>
      <c r="K328" s="68" t="e">
        <f>#REF!*COM!$J$4</f>
        <v>#REF!</v>
      </c>
      <c r="L328" s="68" t="e">
        <f>#REF!*COM!$L$4</f>
        <v>#REF!</v>
      </c>
      <c r="M328" s="68" t="e">
        <f>#REF!*COM!$L$4</f>
        <v>#REF!</v>
      </c>
      <c r="N328" s="68" t="e">
        <f>#REF!*COM!$N$4</f>
        <v>#REF!</v>
      </c>
      <c r="O328" s="68" t="e">
        <f>#REF!*COM!$N$4</f>
        <v>#REF!</v>
      </c>
      <c r="P328" s="68" t="e">
        <f>#REF!*COM!$P$4</f>
        <v>#REF!</v>
      </c>
      <c r="Q328" s="68" t="e">
        <f>#REF!*COM!$P$4</f>
        <v>#REF!</v>
      </c>
      <c r="R328" s="68" t="e">
        <f>#REF!*COM!$R$4</f>
        <v>#REF!</v>
      </c>
      <c r="S328" s="68" t="e">
        <f>#REF!*COM!$R$4</f>
        <v>#REF!</v>
      </c>
      <c r="T328" s="111"/>
    </row>
    <row r="329" spans="1:20" ht="37.5" x14ac:dyDescent="0.25">
      <c r="A329" s="114">
        <v>321</v>
      </c>
      <c r="B329" s="115">
        <v>60</v>
      </c>
      <c r="C329" s="115">
        <v>920</v>
      </c>
      <c r="D329" s="116">
        <v>70499</v>
      </c>
      <c r="E329" s="117" t="s">
        <v>173</v>
      </c>
      <c r="F329" s="118" t="s">
        <v>385</v>
      </c>
      <c r="G329" s="118"/>
      <c r="H329" s="68" t="e">
        <f>#REF!*COM!$H$4</f>
        <v>#REF!</v>
      </c>
      <c r="I329" s="68" t="e">
        <f>#REF!*COM!$H$4</f>
        <v>#REF!</v>
      </c>
      <c r="J329" s="68" t="e">
        <f>#REF!*COM!$J$4</f>
        <v>#REF!</v>
      </c>
      <c r="K329" s="68" t="e">
        <f>#REF!*COM!$J$4</f>
        <v>#REF!</v>
      </c>
      <c r="L329" s="68" t="e">
        <f>#REF!*COM!$L$4</f>
        <v>#REF!</v>
      </c>
      <c r="M329" s="68" t="e">
        <f>#REF!*COM!$L$4</f>
        <v>#REF!</v>
      </c>
      <c r="N329" s="68" t="e">
        <f>#REF!*COM!$N$4</f>
        <v>#REF!</v>
      </c>
      <c r="O329" s="68" t="e">
        <f>#REF!*COM!$N$4</f>
        <v>#REF!</v>
      </c>
      <c r="P329" s="68" t="e">
        <f>#REF!*COM!$P$4</f>
        <v>#REF!</v>
      </c>
      <c r="Q329" s="68" t="e">
        <f>#REF!*COM!$P$4</f>
        <v>#REF!</v>
      </c>
      <c r="R329" s="68" t="e">
        <f>#REF!*COM!$R$4</f>
        <v>#REF!</v>
      </c>
      <c r="S329" s="68" t="e">
        <f>#REF!*COM!$R$4</f>
        <v>#REF!</v>
      </c>
      <c r="T329" s="111"/>
    </row>
    <row r="330" spans="1:20" ht="37.5" x14ac:dyDescent="0.25">
      <c r="A330" s="114">
        <v>321</v>
      </c>
      <c r="B330" s="115">
        <v>60</v>
      </c>
      <c r="C330" s="115">
        <v>930</v>
      </c>
      <c r="D330" s="116">
        <v>70499</v>
      </c>
      <c r="E330" s="117" t="s">
        <v>173</v>
      </c>
      <c r="F330" s="118" t="s">
        <v>384</v>
      </c>
      <c r="G330" s="118"/>
      <c r="H330" s="68" t="e">
        <f>#REF!*COM!$H$4</f>
        <v>#REF!</v>
      </c>
      <c r="I330" s="68" t="e">
        <f>#REF!*COM!$H$4</f>
        <v>#REF!</v>
      </c>
      <c r="J330" s="68" t="e">
        <f>#REF!*COM!$J$4</f>
        <v>#REF!</v>
      </c>
      <c r="K330" s="68" t="e">
        <f>#REF!*COM!$J$4</f>
        <v>#REF!</v>
      </c>
      <c r="L330" s="68" t="e">
        <f>#REF!*COM!$L$4</f>
        <v>#REF!</v>
      </c>
      <c r="M330" s="68" t="e">
        <f>#REF!*COM!$L$4</f>
        <v>#REF!</v>
      </c>
      <c r="N330" s="68" t="e">
        <f>#REF!*COM!$N$4</f>
        <v>#REF!</v>
      </c>
      <c r="O330" s="68" t="e">
        <f>#REF!*COM!$N$4</f>
        <v>#REF!</v>
      </c>
      <c r="P330" s="68" t="e">
        <f>#REF!*COM!$P$4</f>
        <v>#REF!</v>
      </c>
      <c r="Q330" s="68" t="e">
        <f>#REF!*COM!$P$4</f>
        <v>#REF!</v>
      </c>
      <c r="R330" s="68" t="e">
        <f>#REF!*COM!$R$4</f>
        <v>#REF!</v>
      </c>
      <c r="S330" s="68" t="e">
        <f>#REF!*COM!$R$4</f>
        <v>#REF!</v>
      </c>
      <c r="T330" s="111" t="e">
        <f t="shared" ref="T330:T405" si="25">I330+K330+M330+O330+Q330+S330</f>
        <v>#REF!</v>
      </c>
    </row>
    <row r="331" spans="1:20" ht="29.25" customHeight="1" x14ac:dyDescent="0.25">
      <c r="A331" s="114">
        <v>321</v>
      </c>
      <c r="B331" s="115">
        <v>60</v>
      </c>
      <c r="C331" s="115">
        <v>930</v>
      </c>
      <c r="D331" s="116">
        <v>70499</v>
      </c>
      <c r="E331" s="117" t="s">
        <v>169</v>
      </c>
      <c r="F331" s="118" t="s">
        <v>404</v>
      </c>
      <c r="G331" s="118"/>
      <c r="H331" s="68" t="e">
        <f>#REF!*COM!$H$4</f>
        <v>#REF!</v>
      </c>
      <c r="I331" s="68" t="e">
        <f>#REF!*COM!$H$4</f>
        <v>#REF!</v>
      </c>
      <c r="J331" s="68" t="e">
        <f>#REF!*COM!$J$4</f>
        <v>#REF!</v>
      </c>
      <c r="K331" s="68" t="e">
        <f>#REF!*COM!$J$4</f>
        <v>#REF!</v>
      </c>
      <c r="L331" s="68" t="e">
        <f>#REF!*COM!$L$4</f>
        <v>#REF!</v>
      </c>
      <c r="M331" s="68" t="e">
        <f>#REF!*COM!$L$4</f>
        <v>#REF!</v>
      </c>
      <c r="N331" s="68" t="e">
        <f>#REF!*COM!$N$4</f>
        <v>#REF!</v>
      </c>
      <c r="O331" s="68" t="e">
        <f>#REF!*COM!$N$4</f>
        <v>#REF!</v>
      </c>
      <c r="P331" s="68" t="e">
        <f>#REF!*COM!$P$4</f>
        <v>#REF!</v>
      </c>
      <c r="Q331" s="68" t="e">
        <f>#REF!*COM!$P$4</f>
        <v>#REF!</v>
      </c>
      <c r="R331" s="68" t="e">
        <f>#REF!*COM!$R$4</f>
        <v>#REF!</v>
      </c>
      <c r="S331" s="68" t="e">
        <f>#REF!*COM!$R$4</f>
        <v>#REF!</v>
      </c>
      <c r="T331" s="111"/>
    </row>
    <row r="332" spans="1:20" ht="59.25" customHeight="1" x14ac:dyDescent="0.25">
      <c r="A332" s="154">
        <v>321</v>
      </c>
      <c r="B332" s="155">
        <v>60</v>
      </c>
      <c r="C332" s="155">
        <v>910</v>
      </c>
      <c r="D332" s="156">
        <v>70499</v>
      </c>
      <c r="E332" s="157"/>
      <c r="F332" s="151" t="s">
        <v>415</v>
      </c>
      <c r="G332" s="38"/>
      <c r="H332" s="68" t="e">
        <f>#REF!*COM!$H$4</f>
        <v>#REF!</v>
      </c>
      <c r="I332" s="68" t="e">
        <f>#REF!*COM!$H$4</f>
        <v>#REF!</v>
      </c>
      <c r="J332" s="68" t="e">
        <f>#REF!*COM!$J$4</f>
        <v>#REF!</v>
      </c>
      <c r="K332" s="68" t="e">
        <f>#REF!*COM!$J$4</f>
        <v>#REF!</v>
      </c>
      <c r="L332" s="68" t="e">
        <f>#REF!*COM!$L$4</f>
        <v>#REF!</v>
      </c>
      <c r="M332" s="68" t="e">
        <f>#REF!*COM!$L$4</f>
        <v>#REF!</v>
      </c>
      <c r="N332" s="68" t="e">
        <f>#REF!*COM!$N$4</f>
        <v>#REF!</v>
      </c>
      <c r="O332" s="68" t="e">
        <f>#REF!*COM!$N$4</f>
        <v>#REF!</v>
      </c>
      <c r="P332" s="68" t="e">
        <f>#REF!*COM!$P$4</f>
        <v>#REF!</v>
      </c>
      <c r="Q332" s="68" t="e">
        <f>#REF!*COM!$P$4</f>
        <v>#REF!</v>
      </c>
      <c r="R332" s="68" t="e">
        <f>#REF!*COM!$R$4</f>
        <v>#REF!</v>
      </c>
      <c r="S332" s="68" t="e">
        <f>#REF!*COM!$R$4</f>
        <v>#REF!</v>
      </c>
      <c r="T332" s="111"/>
    </row>
    <row r="333" spans="1:20" ht="56.25" x14ac:dyDescent="0.25">
      <c r="A333" s="154">
        <v>321</v>
      </c>
      <c r="B333" s="155">
        <v>60</v>
      </c>
      <c r="C333" s="155">
        <v>920</v>
      </c>
      <c r="D333" s="156">
        <v>70499</v>
      </c>
      <c r="E333" s="157" t="s">
        <v>173</v>
      </c>
      <c r="F333" s="151" t="s">
        <v>426</v>
      </c>
      <c r="G333" s="38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11"/>
    </row>
    <row r="334" spans="1:20" ht="56.25" x14ac:dyDescent="0.25">
      <c r="A334" s="154">
        <v>321</v>
      </c>
      <c r="B334" s="155">
        <v>60</v>
      </c>
      <c r="C334" s="155">
        <v>930</v>
      </c>
      <c r="D334" s="156">
        <v>70499</v>
      </c>
      <c r="E334" s="157" t="s">
        <v>173</v>
      </c>
      <c r="F334" s="151" t="s">
        <v>427</v>
      </c>
      <c r="G334" s="38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11"/>
    </row>
    <row r="335" spans="1:20" ht="18.75" x14ac:dyDescent="0.25">
      <c r="A335" s="4"/>
      <c r="B335" s="52"/>
      <c r="C335" s="52"/>
      <c r="D335" s="7"/>
      <c r="E335" s="117"/>
      <c r="F335" s="118"/>
      <c r="G335" s="38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11"/>
    </row>
    <row r="336" spans="1:20" ht="18.75" x14ac:dyDescent="0.25">
      <c r="A336" s="4"/>
      <c r="B336" s="52"/>
      <c r="C336" s="52"/>
      <c r="D336" s="7"/>
      <c r="E336" s="117"/>
      <c r="F336" s="118"/>
      <c r="G336" s="38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11"/>
    </row>
    <row r="337" spans="1:20" ht="18.75" x14ac:dyDescent="0.25">
      <c r="A337" s="4"/>
      <c r="B337" s="52"/>
      <c r="C337" s="52"/>
      <c r="D337" s="7"/>
      <c r="E337" s="117"/>
      <c r="F337" s="118"/>
      <c r="G337" s="38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11"/>
    </row>
    <row r="338" spans="1:20" ht="18.75" x14ac:dyDescent="0.25">
      <c r="A338" s="56"/>
      <c r="B338" s="50"/>
      <c r="C338" s="50"/>
      <c r="D338" s="50"/>
      <c r="E338" s="54"/>
      <c r="F338" s="36" t="s">
        <v>119</v>
      </c>
      <c r="G338" s="36"/>
      <c r="H338" s="99" t="e">
        <f>H339</f>
        <v>#REF!</v>
      </c>
      <c r="I338" s="99" t="e">
        <f t="shared" ref="I338:S338" si="26">I339</f>
        <v>#REF!</v>
      </c>
      <c r="J338" s="99" t="e">
        <f t="shared" si="26"/>
        <v>#REF!</v>
      </c>
      <c r="K338" s="99" t="e">
        <f t="shared" si="26"/>
        <v>#REF!</v>
      </c>
      <c r="L338" s="99" t="e">
        <f t="shared" si="26"/>
        <v>#REF!</v>
      </c>
      <c r="M338" s="99" t="e">
        <f t="shared" si="26"/>
        <v>#REF!</v>
      </c>
      <c r="N338" s="99" t="e">
        <f t="shared" si="26"/>
        <v>#REF!</v>
      </c>
      <c r="O338" s="99" t="e">
        <f t="shared" si="26"/>
        <v>#REF!</v>
      </c>
      <c r="P338" s="99" t="e">
        <f t="shared" si="26"/>
        <v>#REF!</v>
      </c>
      <c r="Q338" s="99" t="e">
        <f t="shared" si="26"/>
        <v>#REF!</v>
      </c>
      <c r="R338" s="99" t="e">
        <f t="shared" si="26"/>
        <v>#REF!</v>
      </c>
      <c r="S338" s="99" t="e">
        <f t="shared" si="26"/>
        <v>#REF!</v>
      </c>
      <c r="T338" s="111" t="e">
        <f t="shared" si="25"/>
        <v>#REF!</v>
      </c>
    </row>
    <row r="339" spans="1:20" ht="18.75" x14ac:dyDescent="0.25">
      <c r="A339" s="57"/>
      <c r="B339" s="51"/>
      <c r="C339" s="51"/>
      <c r="D339" s="51"/>
      <c r="E339" s="55"/>
      <c r="F339" s="37" t="s">
        <v>6</v>
      </c>
      <c r="G339" s="37"/>
      <c r="H339" s="100" t="e">
        <f>SUM(H340:H357)</f>
        <v>#REF!</v>
      </c>
      <c r="I339" s="100" t="e">
        <f t="shared" ref="I339:S339" si="27">SUM(I340:I357)</f>
        <v>#REF!</v>
      </c>
      <c r="J339" s="100" t="e">
        <f t="shared" si="27"/>
        <v>#REF!</v>
      </c>
      <c r="K339" s="100" t="e">
        <f t="shared" si="27"/>
        <v>#REF!</v>
      </c>
      <c r="L339" s="100" t="e">
        <f t="shared" si="27"/>
        <v>#REF!</v>
      </c>
      <c r="M339" s="100" t="e">
        <f t="shared" si="27"/>
        <v>#REF!</v>
      </c>
      <c r="N339" s="100" t="e">
        <f t="shared" si="27"/>
        <v>#REF!</v>
      </c>
      <c r="O339" s="100" t="e">
        <f t="shared" si="27"/>
        <v>#REF!</v>
      </c>
      <c r="P339" s="100" t="e">
        <f t="shared" si="27"/>
        <v>#REF!</v>
      </c>
      <c r="Q339" s="100" t="e">
        <f t="shared" si="27"/>
        <v>#REF!</v>
      </c>
      <c r="R339" s="100" t="e">
        <f t="shared" si="27"/>
        <v>#REF!</v>
      </c>
      <c r="S339" s="100" t="e">
        <f t="shared" si="27"/>
        <v>#REF!</v>
      </c>
      <c r="T339" s="111" t="e">
        <f t="shared" si="25"/>
        <v>#REF!</v>
      </c>
    </row>
    <row r="340" spans="1:20" ht="37.5" x14ac:dyDescent="0.25">
      <c r="A340" s="4">
        <v>311</v>
      </c>
      <c r="B340" s="53">
        <v>45</v>
      </c>
      <c r="C340" s="53">
        <v>920</v>
      </c>
      <c r="D340" s="53">
        <v>70259</v>
      </c>
      <c r="E340" s="20" t="s">
        <v>172</v>
      </c>
      <c r="F340" s="72" t="s">
        <v>45</v>
      </c>
      <c r="G340" s="39"/>
      <c r="H340" s="68" t="e">
        <f>#REF!*COM!$H$4</f>
        <v>#REF!</v>
      </c>
      <c r="I340" s="68" t="e">
        <f>#REF!*COM!$H$4</f>
        <v>#REF!</v>
      </c>
      <c r="J340" s="68" t="e">
        <f>#REF!*COM!$J$4</f>
        <v>#REF!</v>
      </c>
      <c r="K340" s="68" t="e">
        <f>#REF!*COM!$J$4</f>
        <v>#REF!</v>
      </c>
      <c r="L340" s="68" t="e">
        <f>#REF!*COM!$L$4</f>
        <v>#REF!</v>
      </c>
      <c r="M340" s="68" t="e">
        <f>#REF!*COM!$L$4</f>
        <v>#REF!</v>
      </c>
      <c r="N340" s="68" t="e">
        <f>#REF!*COM!$N$4</f>
        <v>#REF!</v>
      </c>
      <c r="O340" s="68" t="e">
        <f>#REF!*COM!$N$4</f>
        <v>#REF!</v>
      </c>
      <c r="P340" s="68" t="e">
        <f>#REF!*COM!$P$4</f>
        <v>#REF!</v>
      </c>
      <c r="Q340" s="68" t="e">
        <f>#REF!*COM!$P$4</f>
        <v>#REF!</v>
      </c>
      <c r="R340" s="68" t="e">
        <f>#REF!*COM!$R$4</f>
        <v>#REF!</v>
      </c>
      <c r="S340" s="68" t="e">
        <f>#REF!*COM!$R$4</f>
        <v>#REF!</v>
      </c>
      <c r="T340" s="111" t="e">
        <f t="shared" si="25"/>
        <v>#REF!</v>
      </c>
    </row>
    <row r="341" spans="1:20" ht="37.5" x14ac:dyDescent="0.25">
      <c r="A341" s="4">
        <v>311</v>
      </c>
      <c r="B341" s="53">
        <v>45</v>
      </c>
      <c r="C341" s="53">
        <v>930</v>
      </c>
      <c r="D341" s="53">
        <v>70259</v>
      </c>
      <c r="E341" s="20" t="s">
        <v>172</v>
      </c>
      <c r="F341" s="72" t="s">
        <v>46</v>
      </c>
      <c r="G341" s="39"/>
      <c r="H341" s="68" t="e">
        <f>#REF!*COM!$H$4</f>
        <v>#REF!</v>
      </c>
      <c r="I341" s="68" t="e">
        <f>#REF!*COM!$H$4</f>
        <v>#REF!</v>
      </c>
      <c r="J341" s="68" t="e">
        <f>#REF!*COM!$J$4</f>
        <v>#REF!</v>
      </c>
      <c r="K341" s="68" t="e">
        <f>#REF!*COM!$J$4</f>
        <v>#REF!</v>
      </c>
      <c r="L341" s="68" t="e">
        <f>#REF!*COM!$L$4</f>
        <v>#REF!</v>
      </c>
      <c r="M341" s="68" t="e">
        <f>#REF!*COM!$L$4</f>
        <v>#REF!</v>
      </c>
      <c r="N341" s="68" t="e">
        <f>#REF!*COM!$N$4</f>
        <v>#REF!</v>
      </c>
      <c r="O341" s="68" t="e">
        <f>#REF!*COM!$N$4</f>
        <v>#REF!</v>
      </c>
      <c r="P341" s="68" t="e">
        <f>#REF!*COM!$P$4</f>
        <v>#REF!</v>
      </c>
      <c r="Q341" s="68" t="e">
        <f>#REF!*COM!$P$4</f>
        <v>#REF!</v>
      </c>
      <c r="R341" s="68" t="e">
        <f>#REF!*COM!$R$4</f>
        <v>#REF!</v>
      </c>
      <c r="S341" s="68" t="e">
        <f>#REF!*COM!$R$4</f>
        <v>#REF!</v>
      </c>
      <c r="T341" s="111" t="e">
        <f t="shared" si="25"/>
        <v>#REF!</v>
      </c>
    </row>
    <row r="342" spans="1:20" ht="37.5" x14ac:dyDescent="0.25">
      <c r="A342" s="4">
        <v>311</v>
      </c>
      <c r="B342" s="53">
        <v>45</v>
      </c>
      <c r="C342" s="53">
        <v>920</v>
      </c>
      <c r="D342" s="53">
        <v>70259</v>
      </c>
      <c r="E342" s="20" t="s">
        <v>172</v>
      </c>
      <c r="F342" s="72" t="s">
        <v>263</v>
      </c>
      <c r="G342" s="39"/>
      <c r="H342" s="68" t="e">
        <f>#REF!*COM!$H$4</f>
        <v>#REF!</v>
      </c>
      <c r="I342" s="68" t="e">
        <f>#REF!*COM!$H$4</f>
        <v>#REF!</v>
      </c>
      <c r="J342" s="68" t="e">
        <f>#REF!*COM!$J$4</f>
        <v>#REF!</v>
      </c>
      <c r="K342" s="68" t="e">
        <f>#REF!*COM!$J$4</f>
        <v>#REF!</v>
      </c>
      <c r="L342" s="68" t="e">
        <f>#REF!*COM!$L$4</f>
        <v>#REF!</v>
      </c>
      <c r="M342" s="68" t="e">
        <f>#REF!*COM!$L$4</f>
        <v>#REF!</v>
      </c>
      <c r="N342" s="68" t="e">
        <f>#REF!*COM!$N$4</f>
        <v>#REF!</v>
      </c>
      <c r="O342" s="68" t="e">
        <f>#REF!*COM!$N$4</f>
        <v>#REF!</v>
      </c>
      <c r="P342" s="68" t="e">
        <f>#REF!*COM!$P$4</f>
        <v>#REF!</v>
      </c>
      <c r="Q342" s="68" t="e">
        <f>#REF!*COM!$P$4</f>
        <v>#REF!</v>
      </c>
      <c r="R342" s="68" t="e">
        <f>#REF!*COM!$R$4</f>
        <v>#REF!</v>
      </c>
      <c r="S342" s="68" t="e">
        <f>#REF!*COM!$R$4</f>
        <v>#REF!</v>
      </c>
      <c r="T342" s="111" t="e">
        <f t="shared" si="25"/>
        <v>#REF!</v>
      </c>
    </row>
    <row r="343" spans="1:20" ht="37.5" x14ac:dyDescent="0.25">
      <c r="A343" s="4">
        <v>311</v>
      </c>
      <c r="B343" s="53">
        <v>45</v>
      </c>
      <c r="C343" s="53">
        <v>930</v>
      </c>
      <c r="D343" s="53">
        <v>70259</v>
      </c>
      <c r="E343" s="20" t="s">
        <v>172</v>
      </c>
      <c r="F343" s="72" t="s">
        <v>262</v>
      </c>
      <c r="G343" s="39"/>
      <c r="H343" s="68" t="e">
        <f>#REF!*COM!$H$4</f>
        <v>#REF!</v>
      </c>
      <c r="I343" s="68" t="e">
        <f>#REF!*COM!$H$4</f>
        <v>#REF!</v>
      </c>
      <c r="J343" s="68" t="e">
        <f>#REF!*COM!$J$4</f>
        <v>#REF!</v>
      </c>
      <c r="K343" s="68" t="e">
        <f>#REF!*COM!$J$4</f>
        <v>#REF!</v>
      </c>
      <c r="L343" s="68" t="e">
        <f>#REF!*COM!$L$4</f>
        <v>#REF!</v>
      </c>
      <c r="M343" s="68" t="e">
        <f>#REF!*COM!$L$4</f>
        <v>#REF!</v>
      </c>
      <c r="N343" s="68" t="e">
        <f>#REF!*COM!$N$4</f>
        <v>#REF!</v>
      </c>
      <c r="O343" s="68" t="e">
        <f>#REF!*COM!$N$4</f>
        <v>#REF!</v>
      </c>
      <c r="P343" s="68" t="e">
        <f>#REF!*COM!$P$4</f>
        <v>#REF!</v>
      </c>
      <c r="Q343" s="68" t="e">
        <f>#REF!*COM!$P$4</f>
        <v>#REF!</v>
      </c>
      <c r="R343" s="68" t="e">
        <f>#REF!*COM!$R$4</f>
        <v>#REF!</v>
      </c>
      <c r="S343" s="68" t="e">
        <f>#REF!*COM!$R$4</f>
        <v>#REF!</v>
      </c>
      <c r="T343" s="111" t="e">
        <f t="shared" si="25"/>
        <v>#REF!</v>
      </c>
    </row>
    <row r="344" spans="1:20" ht="56.25" x14ac:dyDescent="0.25">
      <c r="A344" s="4">
        <v>311</v>
      </c>
      <c r="B344" s="53">
        <v>45</v>
      </c>
      <c r="C344" s="53">
        <v>930</v>
      </c>
      <c r="D344" s="53">
        <v>70259</v>
      </c>
      <c r="E344" s="48" t="s">
        <v>172</v>
      </c>
      <c r="F344" s="72" t="s">
        <v>230</v>
      </c>
      <c r="G344" s="39"/>
      <c r="H344" s="68" t="e">
        <f>#REF!*COM!$H$4</f>
        <v>#REF!</v>
      </c>
      <c r="I344" s="68" t="e">
        <f>#REF!*COM!$H$4</f>
        <v>#REF!</v>
      </c>
      <c r="J344" s="68" t="e">
        <f>#REF!*COM!$J$4</f>
        <v>#REF!</v>
      </c>
      <c r="K344" s="68" t="e">
        <f>#REF!*COM!$J$4</f>
        <v>#REF!</v>
      </c>
      <c r="L344" s="68" t="e">
        <f>#REF!*COM!$L$4</f>
        <v>#REF!</v>
      </c>
      <c r="M344" s="68" t="e">
        <f>#REF!*COM!$L$4</f>
        <v>#REF!</v>
      </c>
      <c r="N344" s="68" t="e">
        <f>#REF!*COM!$N$4</f>
        <v>#REF!</v>
      </c>
      <c r="O344" s="68" t="e">
        <f>#REF!*COM!$N$4</f>
        <v>#REF!</v>
      </c>
      <c r="P344" s="68" t="e">
        <f>#REF!*COM!$P$4</f>
        <v>#REF!</v>
      </c>
      <c r="Q344" s="68" t="e">
        <f>#REF!*COM!$P$4</f>
        <v>#REF!</v>
      </c>
      <c r="R344" s="68" t="e">
        <f>#REF!*COM!$R$4</f>
        <v>#REF!</v>
      </c>
      <c r="S344" s="68" t="e">
        <f>#REF!*COM!$R$4</f>
        <v>#REF!</v>
      </c>
      <c r="T344" s="111" t="e">
        <f t="shared" si="25"/>
        <v>#REF!</v>
      </c>
    </row>
    <row r="345" spans="1:20" ht="57.75" customHeight="1" x14ac:dyDescent="0.3">
      <c r="A345" s="4">
        <v>311</v>
      </c>
      <c r="B345" s="53">
        <v>45</v>
      </c>
      <c r="C345" s="53">
        <v>920</v>
      </c>
      <c r="D345" s="53">
        <v>70259</v>
      </c>
      <c r="E345" s="53" t="s">
        <v>172</v>
      </c>
      <c r="F345" s="71" t="s">
        <v>232</v>
      </c>
      <c r="G345" s="44"/>
      <c r="H345" s="68" t="e">
        <f>#REF!*COM!$H$4</f>
        <v>#REF!</v>
      </c>
      <c r="I345" s="68" t="e">
        <f>#REF!*COM!$H$4</f>
        <v>#REF!</v>
      </c>
      <c r="J345" s="68" t="e">
        <f>#REF!*COM!$J$4</f>
        <v>#REF!</v>
      </c>
      <c r="K345" s="68" t="e">
        <f>#REF!*COM!$J$4</f>
        <v>#REF!</v>
      </c>
      <c r="L345" s="68" t="e">
        <f>#REF!*COM!$L$4</f>
        <v>#REF!</v>
      </c>
      <c r="M345" s="68" t="e">
        <f>#REF!*COM!$L$4</f>
        <v>#REF!</v>
      </c>
      <c r="N345" s="68" t="e">
        <f>#REF!*COM!$N$4</f>
        <v>#REF!</v>
      </c>
      <c r="O345" s="68" t="e">
        <f>#REF!*COM!$N$4</f>
        <v>#REF!</v>
      </c>
      <c r="P345" s="68" t="e">
        <f>#REF!*COM!$P$4</f>
        <v>#REF!</v>
      </c>
      <c r="Q345" s="68" t="e">
        <f>#REF!*COM!$P$4</f>
        <v>#REF!</v>
      </c>
      <c r="R345" s="68" t="e">
        <f>#REF!*COM!$R$4</f>
        <v>#REF!</v>
      </c>
      <c r="S345" s="68" t="e">
        <f>#REF!*COM!$R$4</f>
        <v>#REF!</v>
      </c>
      <c r="T345" s="111" t="e">
        <f t="shared" si="25"/>
        <v>#REF!</v>
      </c>
    </row>
    <row r="346" spans="1:20" ht="63.75" customHeight="1" x14ac:dyDescent="0.3">
      <c r="A346" s="4">
        <v>311</v>
      </c>
      <c r="B346" s="53">
        <v>45</v>
      </c>
      <c r="C346" s="53">
        <v>930</v>
      </c>
      <c r="D346" s="53">
        <v>70259</v>
      </c>
      <c r="E346" s="53" t="s">
        <v>172</v>
      </c>
      <c r="F346" s="71" t="s">
        <v>231</v>
      </c>
      <c r="G346" s="44"/>
      <c r="H346" s="68" t="e">
        <f>#REF!*COM!$H$4</f>
        <v>#REF!</v>
      </c>
      <c r="I346" s="68" t="e">
        <f>#REF!*COM!$H$4</f>
        <v>#REF!</v>
      </c>
      <c r="J346" s="68" t="e">
        <f>#REF!*COM!$J$4</f>
        <v>#REF!</v>
      </c>
      <c r="K346" s="68" t="e">
        <f>#REF!*COM!$J$4</f>
        <v>#REF!</v>
      </c>
      <c r="L346" s="68" t="e">
        <f>#REF!*COM!$L$4</f>
        <v>#REF!</v>
      </c>
      <c r="M346" s="68" t="e">
        <f>#REF!*COM!$L$4</f>
        <v>#REF!</v>
      </c>
      <c r="N346" s="68" t="e">
        <f>#REF!*COM!$N$4</f>
        <v>#REF!</v>
      </c>
      <c r="O346" s="68" t="e">
        <f>#REF!*COM!$N$4</f>
        <v>#REF!</v>
      </c>
      <c r="P346" s="68" t="e">
        <f>#REF!*COM!$P$4</f>
        <v>#REF!</v>
      </c>
      <c r="Q346" s="68" t="e">
        <f>#REF!*COM!$P$4</f>
        <v>#REF!</v>
      </c>
      <c r="R346" s="68" t="e">
        <f>#REF!*COM!$R$4</f>
        <v>#REF!</v>
      </c>
      <c r="S346" s="68" t="e">
        <f>#REF!*COM!$R$4</f>
        <v>#REF!</v>
      </c>
      <c r="T346" s="111" t="e">
        <f t="shared" si="25"/>
        <v>#REF!</v>
      </c>
    </row>
    <row r="347" spans="1:20" ht="51.75" customHeight="1" x14ac:dyDescent="0.25">
      <c r="A347" s="4">
        <v>311</v>
      </c>
      <c r="B347" s="53">
        <v>45</v>
      </c>
      <c r="C347" s="53">
        <v>910</v>
      </c>
      <c r="D347" s="53">
        <v>70259</v>
      </c>
      <c r="E347" s="48"/>
      <c r="F347" s="72" t="s">
        <v>120</v>
      </c>
      <c r="G347" s="39"/>
      <c r="H347" s="68" t="e">
        <f>#REF!*COM!$H$4</f>
        <v>#REF!</v>
      </c>
      <c r="I347" s="68" t="e">
        <f>#REF!*COM!$H$4</f>
        <v>#REF!</v>
      </c>
      <c r="J347" s="68" t="e">
        <f>#REF!*COM!$J$4</f>
        <v>#REF!</v>
      </c>
      <c r="K347" s="68" t="e">
        <f>#REF!*COM!$J$4</f>
        <v>#REF!</v>
      </c>
      <c r="L347" s="68" t="e">
        <f>#REF!*COM!$L$4</f>
        <v>#REF!</v>
      </c>
      <c r="M347" s="68" t="e">
        <f>#REF!*COM!$L$4</f>
        <v>#REF!</v>
      </c>
      <c r="N347" s="68" t="e">
        <f>#REF!*COM!$N$4</f>
        <v>#REF!</v>
      </c>
      <c r="O347" s="68" t="e">
        <f>#REF!*COM!$N$4</f>
        <v>#REF!</v>
      </c>
      <c r="P347" s="68" t="e">
        <f>#REF!*COM!$P$4</f>
        <v>#REF!</v>
      </c>
      <c r="Q347" s="68" t="e">
        <f>#REF!*COM!$P$4</f>
        <v>#REF!</v>
      </c>
      <c r="R347" s="68" t="e">
        <f>#REF!*COM!$R$4</f>
        <v>#REF!</v>
      </c>
      <c r="S347" s="68" t="e">
        <f>#REF!*COM!$R$4</f>
        <v>#REF!</v>
      </c>
      <c r="T347" s="111" t="e">
        <f t="shared" si="25"/>
        <v>#REF!</v>
      </c>
    </row>
    <row r="348" spans="1:20" ht="53.25" customHeight="1" x14ac:dyDescent="0.25">
      <c r="A348" s="4">
        <v>311</v>
      </c>
      <c r="B348" s="53">
        <v>45</v>
      </c>
      <c r="C348" s="53">
        <v>920</v>
      </c>
      <c r="D348" s="53">
        <v>70259</v>
      </c>
      <c r="E348" s="48" t="s">
        <v>173</v>
      </c>
      <c r="F348" s="72" t="s">
        <v>121</v>
      </c>
      <c r="G348" s="39"/>
      <c r="H348" s="68" t="e">
        <f>#REF!*COM!$H$4</f>
        <v>#REF!</v>
      </c>
      <c r="I348" s="68" t="e">
        <f>#REF!*COM!$H$4</f>
        <v>#REF!</v>
      </c>
      <c r="J348" s="68" t="e">
        <f>#REF!*COM!$J$4</f>
        <v>#REF!</v>
      </c>
      <c r="K348" s="68" t="e">
        <f>#REF!*COM!$J$4</f>
        <v>#REF!</v>
      </c>
      <c r="L348" s="68" t="e">
        <f>#REF!*COM!$L$4</f>
        <v>#REF!</v>
      </c>
      <c r="M348" s="68" t="e">
        <f>#REF!*COM!$L$4</f>
        <v>#REF!</v>
      </c>
      <c r="N348" s="68" t="e">
        <f>#REF!*COM!$N$4</f>
        <v>#REF!</v>
      </c>
      <c r="O348" s="68" t="e">
        <f>#REF!*COM!$N$4</f>
        <v>#REF!</v>
      </c>
      <c r="P348" s="68" t="e">
        <f>#REF!*COM!$P$4</f>
        <v>#REF!</v>
      </c>
      <c r="Q348" s="68" t="e">
        <f>#REF!*COM!$P$4</f>
        <v>#REF!</v>
      </c>
      <c r="R348" s="68" t="e">
        <f>#REF!*COM!$R$4</f>
        <v>#REF!</v>
      </c>
      <c r="S348" s="68" t="e">
        <f>#REF!*COM!$R$4</f>
        <v>#REF!</v>
      </c>
      <c r="T348" s="111" t="e">
        <f t="shared" si="25"/>
        <v>#REF!</v>
      </c>
    </row>
    <row r="349" spans="1:20" ht="72.75" customHeight="1" x14ac:dyDescent="0.25">
      <c r="A349" s="4">
        <v>311</v>
      </c>
      <c r="B349" s="53">
        <v>45</v>
      </c>
      <c r="C349" s="53">
        <v>930</v>
      </c>
      <c r="D349" s="53">
        <v>70259</v>
      </c>
      <c r="E349" s="48" t="s">
        <v>173</v>
      </c>
      <c r="F349" s="72" t="s">
        <v>122</v>
      </c>
      <c r="G349" s="39"/>
      <c r="H349" s="68" t="e">
        <f>#REF!*COM!$H$4</f>
        <v>#REF!</v>
      </c>
      <c r="I349" s="68" t="e">
        <f>#REF!*COM!$H$4</f>
        <v>#REF!</v>
      </c>
      <c r="J349" s="68" t="e">
        <f>#REF!*COM!$J$4</f>
        <v>#REF!</v>
      </c>
      <c r="K349" s="68" t="e">
        <f>#REF!*COM!$J$4</f>
        <v>#REF!</v>
      </c>
      <c r="L349" s="68" t="e">
        <f>#REF!*COM!$L$4</f>
        <v>#REF!</v>
      </c>
      <c r="M349" s="68" t="e">
        <f>#REF!*COM!$L$4</f>
        <v>#REF!</v>
      </c>
      <c r="N349" s="68" t="e">
        <f>#REF!*COM!$N$4</f>
        <v>#REF!</v>
      </c>
      <c r="O349" s="68" t="e">
        <f>#REF!*COM!$N$4</f>
        <v>#REF!</v>
      </c>
      <c r="P349" s="68" t="e">
        <f>#REF!*COM!$P$4</f>
        <v>#REF!</v>
      </c>
      <c r="Q349" s="68" t="e">
        <f>#REF!*COM!$P$4</f>
        <v>#REF!</v>
      </c>
      <c r="R349" s="68" t="e">
        <f>#REF!*COM!$R$4</f>
        <v>#REF!</v>
      </c>
      <c r="S349" s="68" t="e">
        <f>#REF!*COM!$R$4</f>
        <v>#REF!</v>
      </c>
      <c r="T349" s="111" t="e">
        <f t="shared" si="25"/>
        <v>#REF!</v>
      </c>
    </row>
    <row r="350" spans="1:20" ht="75" customHeight="1" x14ac:dyDescent="0.25">
      <c r="A350" s="4">
        <v>311</v>
      </c>
      <c r="B350" s="53">
        <v>45</v>
      </c>
      <c r="C350" s="53">
        <v>910</v>
      </c>
      <c r="D350" s="53">
        <v>70259</v>
      </c>
      <c r="E350" s="48"/>
      <c r="F350" s="82" t="s">
        <v>62</v>
      </c>
      <c r="G350" s="230" t="s">
        <v>319</v>
      </c>
      <c r="H350" s="68" t="e">
        <f>#REF!*COM!$H$4</f>
        <v>#REF!</v>
      </c>
      <c r="I350" s="68" t="e">
        <f>#REF!*COM!$H$4</f>
        <v>#REF!</v>
      </c>
      <c r="J350" s="68" t="e">
        <f>#REF!*COM!$J$4</f>
        <v>#REF!</v>
      </c>
      <c r="K350" s="68" t="e">
        <f>#REF!*COM!$J$4</f>
        <v>#REF!</v>
      </c>
      <c r="L350" s="68" t="e">
        <f>#REF!*COM!$L$4</f>
        <v>#REF!</v>
      </c>
      <c r="M350" s="68" t="e">
        <f>#REF!*COM!$L$4</f>
        <v>#REF!</v>
      </c>
      <c r="N350" s="68" t="e">
        <f>#REF!*COM!$N$4</f>
        <v>#REF!</v>
      </c>
      <c r="O350" s="68" t="e">
        <f>#REF!*COM!$N$4</f>
        <v>#REF!</v>
      </c>
      <c r="P350" s="68" t="e">
        <f>#REF!*COM!$P$4</f>
        <v>#REF!</v>
      </c>
      <c r="Q350" s="68" t="e">
        <f>#REF!*COM!$P$4</f>
        <v>#REF!</v>
      </c>
      <c r="R350" s="68" t="e">
        <f>#REF!*COM!$R$4</f>
        <v>#REF!</v>
      </c>
      <c r="S350" s="68" t="e">
        <f>#REF!*COM!$R$4</f>
        <v>#REF!</v>
      </c>
      <c r="T350" s="111" t="e">
        <f t="shared" si="25"/>
        <v>#REF!</v>
      </c>
    </row>
    <row r="351" spans="1:20" ht="72" customHeight="1" x14ac:dyDescent="0.25">
      <c r="A351" s="4">
        <v>311</v>
      </c>
      <c r="B351" s="53">
        <v>45</v>
      </c>
      <c r="C351" s="53">
        <v>920</v>
      </c>
      <c r="D351" s="53">
        <v>70259</v>
      </c>
      <c r="E351" s="48" t="s">
        <v>173</v>
      </c>
      <c r="F351" s="82" t="s">
        <v>63</v>
      </c>
      <c r="G351" s="231"/>
      <c r="H351" s="68" t="e">
        <f>#REF!*COM!$H$4</f>
        <v>#REF!</v>
      </c>
      <c r="I351" s="68" t="e">
        <f>#REF!*COM!$H$4</f>
        <v>#REF!</v>
      </c>
      <c r="J351" s="68" t="e">
        <f>#REF!*COM!$J$4</f>
        <v>#REF!</v>
      </c>
      <c r="K351" s="68" t="e">
        <f>#REF!*COM!$J$4</f>
        <v>#REF!</v>
      </c>
      <c r="L351" s="68" t="e">
        <f>#REF!*COM!$L$4</f>
        <v>#REF!</v>
      </c>
      <c r="M351" s="68" t="e">
        <f>#REF!*COM!$L$4</f>
        <v>#REF!</v>
      </c>
      <c r="N351" s="68" t="e">
        <f>#REF!*COM!$N$4</f>
        <v>#REF!</v>
      </c>
      <c r="O351" s="68" t="e">
        <f>#REF!*COM!$N$4</f>
        <v>#REF!</v>
      </c>
      <c r="P351" s="68" t="e">
        <f>#REF!*COM!$P$4</f>
        <v>#REF!</v>
      </c>
      <c r="Q351" s="68" t="e">
        <f>#REF!*COM!$P$4</f>
        <v>#REF!</v>
      </c>
      <c r="R351" s="68" t="e">
        <f>#REF!*COM!$R$4</f>
        <v>#REF!</v>
      </c>
      <c r="S351" s="68" t="e">
        <f>#REF!*COM!$R$4</f>
        <v>#REF!</v>
      </c>
      <c r="T351" s="111" t="e">
        <f t="shared" si="25"/>
        <v>#REF!</v>
      </c>
    </row>
    <row r="352" spans="1:20" ht="74.25" customHeight="1" x14ac:dyDescent="0.25">
      <c r="A352" s="4">
        <v>311</v>
      </c>
      <c r="B352" s="53">
        <v>45</v>
      </c>
      <c r="C352" s="53">
        <v>930</v>
      </c>
      <c r="D352" s="53">
        <v>70259</v>
      </c>
      <c r="E352" s="48" t="s">
        <v>173</v>
      </c>
      <c r="F352" s="82" t="s">
        <v>64</v>
      </c>
      <c r="G352" s="232"/>
      <c r="H352" s="68" t="e">
        <f>#REF!*COM!$H$4</f>
        <v>#REF!</v>
      </c>
      <c r="I352" s="68" t="e">
        <f>#REF!*COM!$H$4</f>
        <v>#REF!</v>
      </c>
      <c r="J352" s="68" t="e">
        <f>#REF!*COM!$J$4</f>
        <v>#REF!</v>
      </c>
      <c r="K352" s="68" t="e">
        <f>#REF!*COM!$J$4</f>
        <v>#REF!</v>
      </c>
      <c r="L352" s="68" t="e">
        <f>#REF!*COM!$L$4</f>
        <v>#REF!</v>
      </c>
      <c r="M352" s="68" t="e">
        <f>#REF!*COM!$L$4</f>
        <v>#REF!</v>
      </c>
      <c r="N352" s="68" t="e">
        <f>#REF!*COM!$N$4</f>
        <v>#REF!</v>
      </c>
      <c r="O352" s="68" t="e">
        <f>#REF!*COM!$N$4</f>
        <v>#REF!</v>
      </c>
      <c r="P352" s="68" t="e">
        <f>#REF!*COM!$P$4</f>
        <v>#REF!</v>
      </c>
      <c r="Q352" s="68" t="e">
        <f>#REF!*COM!$P$4</f>
        <v>#REF!</v>
      </c>
      <c r="R352" s="68" t="e">
        <f>#REF!*COM!$R$4</f>
        <v>#REF!</v>
      </c>
      <c r="S352" s="68" t="e">
        <f>#REF!*COM!$R$4</f>
        <v>#REF!</v>
      </c>
      <c r="T352" s="111" t="e">
        <f t="shared" si="25"/>
        <v>#REF!</v>
      </c>
    </row>
    <row r="353" spans="1:20" s="121" customFormat="1" ht="18.75" x14ac:dyDescent="0.25">
      <c r="A353" s="114"/>
      <c r="B353" s="135"/>
      <c r="C353" s="135"/>
      <c r="D353" s="135"/>
      <c r="E353" s="123"/>
      <c r="F353" s="137"/>
      <c r="G353" s="138"/>
      <c r="H353" s="119"/>
      <c r="I353" s="134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20"/>
    </row>
    <row r="354" spans="1:20" s="121" customFormat="1" ht="18.75" x14ac:dyDescent="0.25">
      <c r="A354" s="114"/>
      <c r="B354" s="135"/>
      <c r="C354" s="135"/>
      <c r="D354" s="135"/>
      <c r="E354" s="123"/>
      <c r="F354" s="137"/>
      <c r="G354" s="138"/>
      <c r="H354" s="119"/>
      <c r="I354" s="134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20"/>
    </row>
    <row r="355" spans="1:20" s="121" customFormat="1" ht="18.75" x14ac:dyDescent="0.25">
      <c r="A355" s="114"/>
      <c r="B355" s="135"/>
      <c r="C355" s="135"/>
      <c r="D355" s="135"/>
      <c r="E355" s="123"/>
      <c r="F355" s="137"/>
      <c r="G355" s="138"/>
      <c r="H355" s="119"/>
      <c r="I355" s="134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20"/>
    </row>
    <row r="356" spans="1:20" s="121" customFormat="1" ht="18.75" x14ac:dyDescent="0.25">
      <c r="A356" s="114"/>
      <c r="B356" s="135"/>
      <c r="C356" s="135"/>
      <c r="D356" s="135"/>
      <c r="E356" s="123"/>
      <c r="F356" s="137"/>
      <c r="G356" s="138"/>
      <c r="H356" s="119"/>
      <c r="I356" s="134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20"/>
    </row>
    <row r="357" spans="1:20" s="121" customFormat="1" ht="18.75" x14ac:dyDescent="0.25">
      <c r="A357" s="114"/>
      <c r="B357" s="135"/>
      <c r="C357" s="135"/>
      <c r="D357" s="135"/>
      <c r="E357" s="123"/>
      <c r="F357" s="137"/>
      <c r="G357" s="137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20">
        <f t="shared" si="25"/>
        <v>0</v>
      </c>
    </row>
    <row r="358" spans="1:20" ht="18.75" x14ac:dyDescent="0.25">
      <c r="A358" s="56"/>
      <c r="B358" s="50"/>
      <c r="C358" s="50"/>
      <c r="D358" s="50"/>
      <c r="E358" s="54"/>
      <c r="F358" s="36" t="s">
        <v>123</v>
      </c>
      <c r="G358" s="36"/>
      <c r="H358" s="99" t="e">
        <f>H359</f>
        <v>#REF!</v>
      </c>
      <c r="I358" s="99" t="e">
        <f t="shared" ref="I358:S358" si="28">I359</f>
        <v>#REF!</v>
      </c>
      <c r="J358" s="99" t="e">
        <f t="shared" si="28"/>
        <v>#REF!</v>
      </c>
      <c r="K358" s="99" t="e">
        <f t="shared" si="28"/>
        <v>#REF!</v>
      </c>
      <c r="L358" s="99" t="e">
        <f t="shared" si="28"/>
        <v>#REF!</v>
      </c>
      <c r="M358" s="99" t="e">
        <f t="shared" si="28"/>
        <v>#REF!</v>
      </c>
      <c r="N358" s="99" t="e">
        <f t="shared" si="28"/>
        <v>#REF!</v>
      </c>
      <c r="O358" s="99" t="e">
        <f t="shared" si="28"/>
        <v>#REF!</v>
      </c>
      <c r="P358" s="99" t="e">
        <f t="shared" si="28"/>
        <v>#REF!</v>
      </c>
      <c r="Q358" s="99" t="e">
        <f t="shared" si="28"/>
        <v>#REF!</v>
      </c>
      <c r="R358" s="99" t="e">
        <f t="shared" si="28"/>
        <v>#REF!</v>
      </c>
      <c r="S358" s="99" t="e">
        <f t="shared" si="28"/>
        <v>#REF!</v>
      </c>
      <c r="T358" s="111" t="e">
        <f t="shared" si="25"/>
        <v>#REF!</v>
      </c>
    </row>
    <row r="359" spans="1:20" ht="18.75" x14ac:dyDescent="0.25">
      <c r="A359" s="57"/>
      <c r="B359" s="51"/>
      <c r="C359" s="51"/>
      <c r="D359" s="51"/>
      <c r="E359" s="55"/>
      <c r="F359" s="37" t="s">
        <v>6</v>
      </c>
      <c r="G359" s="37"/>
      <c r="H359" s="100" t="e">
        <f>SUM(H360:H419)</f>
        <v>#REF!</v>
      </c>
      <c r="I359" s="100" t="e">
        <f>SUM(I360:I419)</f>
        <v>#REF!</v>
      </c>
      <c r="J359" s="100" t="e">
        <f t="shared" ref="J359:S359" si="29">SUM(J360:J419)</f>
        <v>#REF!</v>
      </c>
      <c r="K359" s="100" t="e">
        <f t="shared" si="29"/>
        <v>#REF!</v>
      </c>
      <c r="L359" s="100" t="e">
        <f t="shared" si="29"/>
        <v>#REF!</v>
      </c>
      <c r="M359" s="100" t="e">
        <f t="shared" si="29"/>
        <v>#REF!</v>
      </c>
      <c r="N359" s="100" t="e">
        <f t="shared" si="29"/>
        <v>#REF!</v>
      </c>
      <c r="O359" s="100" t="e">
        <f t="shared" si="29"/>
        <v>#REF!</v>
      </c>
      <c r="P359" s="100" t="e">
        <f t="shared" si="29"/>
        <v>#REF!</v>
      </c>
      <c r="Q359" s="100" t="e">
        <f t="shared" si="29"/>
        <v>#REF!</v>
      </c>
      <c r="R359" s="100" t="e">
        <f t="shared" si="29"/>
        <v>#REF!</v>
      </c>
      <c r="S359" s="100" t="e">
        <f t="shared" si="29"/>
        <v>#REF!</v>
      </c>
      <c r="T359" s="111" t="e">
        <f t="shared" si="25"/>
        <v>#REF!</v>
      </c>
    </row>
    <row r="360" spans="1:20" ht="18.75" x14ac:dyDescent="0.25">
      <c r="A360" s="77">
        <v>321</v>
      </c>
      <c r="B360" s="78">
        <v>55</v>
      </c>
      <c r="C360" s="78">
        <v>930</v>
      </c>
      <c r="D360" s="79">
        <v>70499</v>
      </c>
      <c r="E360" s="80" t="s">
        <v>172</v>
      </c>
      <c r="F360" s="81" t="s">
        <v>313</v>
      </c>
      <c r="G360" s="38"/>
      <c r="H360" s="68" t="e">
        <f>#REF!*COM!$H$4</f>
        <v>#REF!</v>
      </c>
      <c r="I360" s="68" t="e">
        <f>#REF!*COM!$H$4</f>
        <v>#REF!</v>
      </c>
      <c r="J360" s="68" t="e">
        <f>#REF!*COM!$J$4</f>
        <v>#REF!</v>
      </c>
      <c r="K360" s="68" t="e">
        <f>#REF!*COM!$J$4</f>
        <v>#REF!</v>
      </c>
      <c r="L360" s="68" t="e">
        <f>#REF!*COM!$L$4</f>
        <v>#REF!</v>
      </c>
      <c r="M360" s="68" t="e">
        <f>#REF!*COM!$L$4</f>
        <v>#REF!</v>
      </c>
      <c r="N360" s="68" t="e">
        <f>#REF!*COM!$N$4</f>
        <v>#REF!</v>
      </c>
      <c r="O360" s="68" t="e">
        <f>#REF!*COM!$N$4</f>
        <v>#REF!</v>
      </c>
      <c r="P360" s="68" t="e">
        <f>#REF!*COM!$P$4</f>
        <v>#REF!</v>
      </c>
      <c r="Q360" s="68" t="e">
        <f>#REF!*COM!$P$4</f>
        <v>#REF!</v>
      </c>
      <c r="R360" s="68" t="e">
        <f>#REF!*COM!$R$4</f>
        <v>#REF!</v>
      </c>
      <c r="S360" s="68" t="e">
        <f>#REF!*COM!$R$4</f>
        <v>#REF!</v>
      </c>
      <c r="T360" s="111" t="e">
        <f t="shared" si="25"/>
        <v>#REF!</v>
      </c>
    </row>
    <row r="361" spans="1:20" ht="18.75" x14ac:dyDescent="0.25">
      <c r="A361" s="77">
        <v>321</v>
      </c>
      <c r="B361" s="78">
        <v>55</v>
      </c>
      <c r="C361" s="78">
        <v>930</v>
      </c>
      <c r="D361" s="79">
        <v>70499</v>
      </c>
      <c r="E361" s="80" t="s">
        <v>171</v>
      </c>
      <c r="F361" s="81" t="s">
        <v>314</v>
      </c>
      <c r="G361" s="38"/>
      <c r="H361" s="68" t="e">
        <f>#REF!*COM!$H$4</f>
        <v>#REF!</v>
      </c>
      <c r="I361" s="68" t="e">
        <f>#REF!*COM!$H$4</f>
        <v>#REF!</v>
      </c>
      <c r="J361" s="68" t="e">
        <f>#REF!*COM!$J$4</f>
        <v>#REF!</v>
      </c>
      <c r="K361" s="68" t="e">
        <f>#REF!*COM!$J$4</f>
        <v>#REF!</v>
      </c>
      <c r="L361" s="68" t="e">
        <f>#REF!*COM!$L$4</f>
        <v>#REF!</v>
      </c>
      <c r="M361" s="68" t="e">
        <f>#REF!*COM!$L$4</f>
        <v>#REF!</v>
      </c>
      <c r="N361" s="68" t="e">
        <f>#REF!*COM!$N$4</f>
        <v>#REF!</v>
      </c>
      <c r="O361" s="68" t="e">
        <f>#REF!*COM!$N$4</f>
        <v>#REF!</v>
      </c>
      <c r="P361" s="68" t="e">
        <f>#REF!*COM!$P$4</f>
        <v>#REF!</v>
      </c>
      <c r="Q361" s="68" t="e">
        <f>#REF!*COM!$P$4</f>
        <v>#REF!</v>
      </c>
      <c r="R361" s="68" t="e">
        <f>#REF!*COM!$R$4</f>
        <v>#REF!</v>
      </c>
      <c r="S361" s="68" t="e">
        <f>#REF!*COM!$R$4</f>
        <v>#REF!</v>
      </c>
      <c r="T361" s="111" t="e">
        <f t="shared" si="25"/>
        <v>#REF!</v>
      </c>
    </row>
    <row r="362" spans="1:20" ht="18.75" x14ac:dyDescent="0.25">
      <c r="A362" s="77">
        <v>321</v>
      </c>
      <c r="B362" s="78">
        <v>55</v>
      </c>
      <c r="C362" s="78">
        <v>930</v>
      </c>
      <c r="D362" s="79">
        <v>70499</v>
      </c>
      <c r="E362" s="80" t="s">
        <v>174</v>
      </c>
      <c r="F362" s="81" t="s">
        <v>315</v>
      </c>
      <c r="G362" s="38"/>
      <c r="H362" s="68" t="e">
        <f>#REF!*COM!$H$4</f>
        <v>#REF!</v>
      </c>
      <c r="I362" s="68" t="e">
        <f>#REF!*COM!$H$4</f>
        <v>#REF!</v>
      </c>
      <c r="J362" s="68" t="e">
        <f>#REF!*COM!$J$4</f>
        <v>#REF!</v>
      </c>
      <c r="K362" s="68" t="e">
        <f>#REF!*COM!$J$4</f>
        <v>#REF!</v>
      </c>
      <c r="L362" s="68" t="e">
        <f>#REF!*COM!$L$4</f>
        <v>#REF!</v>
      </c>
      <c r="M362" s="68" t="e">
        <f>#REF!*COM!$L$4</f>
        <v>#REF!</v>
      </c>
      <c r="N362" s="68" t="e">
        <f>#REF!*COM!$N$4</f>
        <v>#REF!</v>
      </c>
      <c r="O362" s="68" t="e">
        <f>#REF!*COM!$N$4</f>
        <v>#REF!</v>
      </c>
      <c r="P362" s="68" t="e">
        <f>#REF!*COM!$P$4</f>
        <v>#REF!</v>
      </c>
      <c r="Q362" s="68" t="e">
        <f>#REF!*COM!$P$4</f>
        <v>#REF!</v>
      </c>
      <c r="R362" s="68" t="e">
        <f>#REF!*COM!$R$4</f>
        <v>#REF!</v>
      </c>
      <c r="S362" s="68" t="e">
        <f>#REF!*COM!$R$4</f>
        <v>#REF!</v>
      </c>
      <c r="T362" s="111" t="e">
        <f t="shared" si="25"/>
        <v>#REF!</v>
      </c>
    </row>
    <row r="363" spans="1:20" ht="37.5" x14ac:dyDescent="0.25">
      <c r="A363" s="63">
        <v>321</v>
      </c>
      <c r="B363" s="64">
        <v>55</v>
      </c>
      <c r="C363" s="64">
        <v>930</v>
      </c>
      <c r="D363" s="65">
        <v>70499</v>
      </c>
      <c r="E363" s="20" t="s">
        <v>419</v>
      </c>
      <c r="F363" s="67" t="s">
        <v>431</v>
      </c>
      <c r="G363" s="38" t="s">
        <v>273</v>
      </c>
      <c r="H363" s="68" t="e">
        <f>#REF!*COM!$H$4</f>
        <v>#REF!</v>
      </c>
      <c r="I363" s="68" t="e">
        <f>#REF!*COM!$H$4</f>
        <v>#REF!</v>
      </c>
      <c r="J363" s="68" t="e">
        <f>#REF!*COM!$J$4</f>
        <v>#REF!</v>
      </c>
      <c r="K363" s="68" t="e">
        <f>#REF!*COM!$J$4</f>
        <v>#REF!</v>
      </c>
      <c r="L363" s="68" t="e">
        <f>#REF!*COM!$L$4</f>
        <v>#REF!</v>
      </c>
      <c r="M363" s="68" t="e">
        <f>#REF!*COM!$L$4</f>
        <v>#REF!</v>
      </c>
      <c r="N363" s="68" t="e">
        <f>#REF!*COM!$N$4</f>
        <v>#REF!</v>
      </c>
      <c r="O363" s="68" t="e">
        <f>#REF!*COM!$N$4</f>
        <v>#REF!</v>
      </c>
      <c r="P363" s="68" t="e">
        <f>#REF!*COM!$P$4</f>
        <v>#REF!</v>
      </c>
      <c r="Q363" s="68" t="e">
        <f>#REF!*COM!$P$4</f>
        <v>#REF!</v>
      </c>
      <c r="R363" s="68" t="e">
        <f>#REF!*COM!$R$4</f>
        <v>#REF!</v>
      </c>
      <c r="S363" s="68" t="e">
        <f>#REF!*COM!$R$4</f>
        <v>#REF!</v>
      </c>
      <c r="T363" s="111" t="e">
        <f t="shared" si="25"/>
        <v>#REF!</v>
      </c>
    </row>
    <row r="364" spans="1:20" ht="49.5" customHeight="1" x14ac:dyDescent="0.25">
      <c r="A364" s="63">
        <v>321</v>
      </c>
      <c r="B364" s="64">
        <v>55</v>
      </c>
      <c r="C364" s="64">
        <v>930</v>
      </c>
      <c r="D364" s="65">
        <v>70499</v>
      </c>
      <c r="E364" s="20" t="s">
        <v>419</v>
      </c>
      <c r="F364" s="67" t="s">
        <v>432</v>
      </c>
      <c r="G364" s="38" t="s">
        <v>274</v>
      </c>
      <c r="H364" s="68" t="e">
        <f>#REF!*COM!$H$4</f>
        <v>#REF!</v>
      </c>
      <c r="I364" s="68" t="e">
        <f>#REF!*COM!$H$4</f>
        <v>#REF!</v>
      </c>
      <c r="J364" s="68" t="e">
        <f>#REF!*COM!$J$4</f>
        <v>#REF!</v>
      </c>
      <c r="K364" s="68" t="e">
        <f>#REF!*COM!$J$4</f>
        <v>#REF!</v>
      </c>
      <c r="L364" s="68" t="e">
        <f>#REF!*COM!$L$4</f>
        <v>#REF!</v>
      </c>
      <c r="M364" s="68" t="e">
        <f>#REF!*COM!$L$4</f>
        <v>#REF!</v>
      </c>
      <c r="N364" s="68" t="e">
        <f>#REF!*COM!$N$4</f>
        <v>#REF!</v>
      </c>
      <c r="O364" s="68" t="e">
        <f>#REF!*COM!$N$4</f>
        <v>#REF!</v>
      </c>
      <c r="P364" s="68" t="e">
        <f>#REF!*COM!$P$4</f>
        <v>#REF!</v>
      </c>
      <c r="Q364" s="68" t="e">
        <f>#REF!*COM!$P$4</f>
        <v>#REF!</v>
      </c>
      <c r="R364" s="68" t="e">
        <f>#REF!*COM!$R$4</f>
        <v>#REF!</v>
      </c>
      <c r="S364" s="68" t="e">
        <f>#REF!*COM!$R$4</f>
        <v>#REF!</v>
      </c>
      <c r="T364" s="111" t="e">
        <f t="shared" si="25"/>
        <v>#REF!</v>
      </c>
    </row>
    <row r="365" spans="1:20" ht="41.25" customHeight="1" x14ac:dyDescent="0.25">
      <c r="A365" s="63">
        <v>311</v>
      </c>
      <c r="B365" s="64">
        <v>55</v>
      </c>
      <c r="C365" s="64">
        <v>910</v>
      </c>
      <c r="D365" s="65">
        <v>70499</v>
      </c>
      <c r="E365" s="66"/>
      <c r="F365" s="67" t="s">
        <v>124</v>
      </c>
      <c r="G365" s="38"/>
      <c r="H365" s="68" t="e">
        <f>#REF!*COM!$H$4</f>
        <v>#REF!</v>
      </c>
      <c r="I365" s="68" t="e">
        <f>#REF!*COM!$H$4</f>
        <v>#REF!</v>
      </c>
      <c r="J365" s="68" t="e">
        <f>#REF!*COM!$J$4</f>
        <v>#REF!</v>
      </c>
      <c r="K365" s="68" t="e">
        <f>#REF!*COM!$J$4</f>
        <v>#REF!</v>
      </c>
      <c r="L365" s="68" t="e">
        <f>#REF!*COM!$L$4</f>
        <v>#REF!</v>
      </c>
      <c r="M365" s="68" t="e">
        <f>#REF!*COM!$L$4</f>
        <v>#REF!</v>
      </c>
      <c r="N365" s="68" t="e">
        <f>#REF!*COM!$N$4</f>
        <v>#REF!</v>
      </c>
      <c r="O365" s="68" t="e">
        <f>#REF!*COM!$N$4</f>
        <v>#REF!</v>
      </c>
      <c r="P365" s="68" t="e">
        <f>#REF!*COM!$P$4</f>
        <v>#REF!</v>
      </c>
      <c r="Q365" s="68" t="e">
        <f>#REF!*COM!$P$4</f>
        <v>#REF!</v>
      </c>
      <c r="R365" s="68" t="e">
        <f>#REF!*COM!$R$4</f>
        <v>#REF!</v>
      </c>
      <c r="S365" s="68" t="e">
        <f>#REF!*COM!$R$4</f>
        <v>#REF!</v>
      </c>
      <c r="T365" s="111" t="e">
        <f t="shared" si="25"/>
        <v>#REF!</v>
      </c>
    </row>
    <row r="366" spans="1:20" ht="18.75" x14ac:dyDescent="0.25">
      <c r="A366" s="63">
        <v>311</v>
      </c>
      <c r="B366" s="64">
        <v>55</v>
      </c>
      <c r="C366" s="64">
        <v>920</v>
      </c>
      <c r="D366" s="65">
        <v>70499</v>
      </c>
      <c r="E366" s="66" t="s">
        <v>173</v>
      </c>
      <c r="F366" s="67" t="s">
        <v>125</v>
      </c>
      <c r="G366" s="38"/>
      <c r="H366" s="68" t="e">
        <f>#REF!*COM!$H$4</f>
        <v>#REF!</v>
      </c>
      <c r="I366" s="68" t="e">
        <f>#REF!*COM!$H$4</f>
        <v>#REF!</v>
      </c>
      <c r="J366" s="68" t="e">
        <f>#REF!*COM!$J$4</f>
        <v>#REF!</v>
      </c>
      <c r="K366" s="68" t="e">
        <f>#REF!*COM!$J$4</f>
        <v>#REF!</v>
      </c>
      <c r="L366" s="68" t="e">
        <f>#REF!*COM!$L$4</f>
        <v>#REF!</v>
      </c>
      <c r="M366" s="68" t="e">
        <f>#REF!*COM!$L$4</f>
        <v>#REF!</v>
      </c>
      <c r="N366" s="68" t="e">
        <f>#REF!*COM!$N$4</f>
        <v>#REF!</v>
      </c>
      <c r="O366" s="68" t="e">
        <f>#REF!*COM!$N$4</f>
        <v>#REF!</v>
      </c>
      <c r="P366" s="68" t="e">
        <f>#REF!*COM!$P$4</f>
        <v>#REF!</v>
      </c>
      <c r="Q366" s="68" t="e">
        <f>#REF!*COM!$P$4</f>
        <v>#REF!</v>
      </c>
      <c r="R366" s="68" t="e">
        <f>#REF!*COM!$R$4</f>
        <v>#REF!</v>
      </c>
      <c r="S366" s="68" t="e">
        <f>#REF!*COM!$R$4</f>
        <v>#REF!</v>
      </c>
      <c r="T366" s="111" t="e">
        <f t="shared" si="25"/>
        <v>#REF!</v>
      </c>
    </row>
    <row r="367" spans="1:20" ht="18.75" x14ac:dyDescent="0.25">
      <c r="A367" s="63">
        <v>311</v>
      </c>
      <c r="B367" s="64">
        <v>55</v>
      </c>
      <c r="C367" s="64">
        <v>920</v>
      </c>
      <c r="D367" s="65">
        <v>70499</v>
      </c>
      <c r="E367" s="66" t="s">
        <v>173</v>
      </c>
      <c r="F367" s="67" t="s">
        <v>126</v>
      </c>
      <c r="G367" s="38"/>
      <c r="H367" s="68" t="e">
        <f>#REF!*COM!$H$4</f>
        <v>#REF!</v>
      </c>
      <c r="I367" s="68" t="e">
        <f>#REF!*COM!$H$4</f>
        <v>#REF!</v>
      </c>
      <c r="J367" s="68" t="e">
        <f>#REF!*COM!$J$4</f>
        <v>#REF!</v>
      </c>
      <c r="K367" s="68" t="e">
        <f>#REF!*COM!$J$4</f>
        <v>#REF!</v>
      </c>
      <c r="L367" s="68" t="e">
        <f>#REF!*COM!$L$4</f>
        <v>#REF!</v>
      </c>
      <c r="M367" s="68" t="e">
        <f>#REF!*COM!$L$4</f>
        <v>#REF!</v>
      </c>
      <c r="N367" s="68" t="e">
        <f>#REF!*COM!$N$4</f>
        <v>#REF!</v>
      </c>
      <c r="O367" s="68" t="e">
        <f>#REF!*COM!$N$4</f>
        <v>#REF!</v>
      </c>
      <c r="P367" s="68" t="e">
        <f>#REF!*COM!$P$4</f>
        <v>#REF!</v>
      </c>
      <c r="Q367" s="68" t="e">
        <f>#REF!*COM!$P$4</f>
        <v>#REF!</v>
      </c>
      <c r="R367" s="68" t="e">
        <f>#REF!*COM!$R$4</f>
        <v>#REF!</v>
      </c>
      <c r="S367" s="68" t="e">
        <f>#REF!*COM!$R$4</f>
        <v>#REF!</v>
      </c>
      <c r="T367" s="111" t="e">
        <f t="shared" si="25"/>
        <v>#REF!</v>
      </c>
    </row>
    <row r="368" spans="1:20" ht="37.5" x14ac:dyDescent="0.25">
      <c r="A368" s="63">
        <v>321</v>
      </c>
      <c r="B368" s="64">
        <v>55</v>
      </c>
      <c r="C368" s="64">
        <v>930</v>
      </c>
      <c r="D368" s="65">
        <v>70499</v>
      </c>
      <c r="E368" s="66" t="s">
        <v>173</v>
      </c>
      <c r="F368" s="67" t="s">
        <v>127</v>
      </c>
      <c r="G368" s="38" t="s">
        <v>275</v>
      </c>
      <c r="H368" s="68" t="e">
        <f>#REF!*COM!$H$4</f>
        <v>#REF!</v>
      </c>
      <c r="I368" s="68" t="e">
        <f>#REF!*COM!$H$4</f>
        <v>#REF!</v>
      </c>
      <c r="J368" s="68" t="e">
        <f>#REF!*COM!$J$4</f>
        <v>#REF!</v>
      </c>
      <c r="K368" s="68" t="e">
        <f>#REF!*COM!$J$4</f>
        <v>#REF!</v>
      </c>
      <c r="L368" s="68" t="e">
        <f>#REF!*COM!$L$4</f>
        <v>#REF!</v>
      </c>
      <c r="M368" s="68" t="e">
        <f>#REF!*COM!$L$4</f>
        <v>#REF!</v>
      </c>
      <c r="N368" s="68" t="e">
        <f>#REF!*COM!$N$4</f>
        <v>#REF!</v>
      </c>
      <c r="O368" s="68" t="e">
        <f>#REF!*COM!$N$4</f>
        <v>#REF!</v>
      </c>
      <c r="P368" s="68" t="e">
        <f>#REF!*COM!$P$4</f>
        <v>#REF!</v>
      </c>
      <c r="Q368" s="68" t="e">
        <f>#REF!*COM!$P$4</f>
        <v>#REF!</v>
      </c>
      <c r="R368" s="68" t="e">
        <f>#REF!*COM!$R$4</f>
        <v>#REF!</v>
      </c>
      <c r="S368" s="68" t="e">
        <f>#REF!*COM!$R$4</f>
        <v>#REF!</v>
      </c>
      <c r="T368" s="111" t="e">
        <f t="shared" si="25"/>
        <v>#REF!</v>
      </c>
    </row>
    <row r="369" spans="1:20" ht="37.5" x14ac:dyDescent="0.25">
      <c r="A369" s="63">
        <v>311</v>
      </c>
      <c r="B369" s="64">
        <v>55</v>
      </c>
      <c r="C369" s="64">
        <v>930</v>
      </c>
      <c r="D369" s="65">
        <v>70499</v>
      </c>
      <c r="E369" s="66" t="s">
        <v>173</v>
      </c>
      <c r="F369" s="67" t="s">
        <v>127</v>
      </c>
      <c r="G369" s="38" t="s">
        <v>275</v>
      </c>
      <c r="H369" s="68" t="e">
        <f>#REF!*COM!$H$4</f>
        <v>#REF!</v>
      </c>
      <c r="I369" s="68" t="e">
        <f>#REF!*COM!$H$4</f>
        <v>#REF!</v>
      </c>
      <c r="J369" s="68" t="e">
        <f>#REF!*COM!$J$4</f>
        <v>#REF!</v>
      </c>
      <c r="K369" s="68" t="e">
        <f>#REF!*COM!$J$4</f>
        <v>#REF!</v>
      </c>
      <c r="L369" s="68" t="e">
        <f>#REF!*COM!$L$4</f>
        <v>#REF!</v>
      </c>
      <c r="M369" s="68" t="e">
        <f>#REF!*COM!$L$4</f>
        <v>#REF!</v>
      </c>
      <c r="N369" s="68" t="e">
        <f>#REF!*COM!$N$4</f>
        <v>#REF!</v>
      </c>
      <c r="O369" s="68" t="e">
        <f>#REF!*COM!$N$4</f>
        <v>#REF!</v>
      </c>
      <c r="P369" s="68" t="e">
        <f>#REF!*COM!$P$4</f>
        <v>#REF!</v>
      </c>
      <c r="Q369" s="68" t="e">
        <f>#REF!*COM!$P$4</f>
        <v>#REF!</v>
      </c>
      <c r="R369" s="68" t="e">
        <f>#REF!*COM!$R$4</f>
        <v>#REF!</v>
      </c>
      <c r="S369" s="68" t="e">
        <f>#REF!*COM!$R$4</f>
        <v>#REF!</v>
      </c>
      <c r="T369" s="111" t="e">
        <f t="shared" si="25"/>
        <v>#REF!</v>
      </c>
    </row>
    <row r="370" spans="1:20" ht="18.75" x14ac:dyDescent="0.25">
      <c r="A370" s="63">
        <v>311</v>
      </c>
      <c r="B370" s="64">
        <v>55</v>
      </c>
      <c r="C370" s="64">
        <v>920</v>
      </c>
      <c r="D370" s="65">
        <v>70499</v>
      </c>
      <c r="E370" s="66" t="s">
        <v>173</v>
      </c>
      <c r="F370" s="67" t="s">
        <v>128</v>
      </c>
      <c r="G370" s="38"/>
      <c r="H370" s="68" t="e">
        <f>#REF!*COM!$H$4</f>
        <v>#REF!</v>
      </c>
      <c r="I370" s="68" t="e">
        <f>#REF!*COM!$H$4</f>
        <v>#REF!</v>
      </c>
      <c r="J370" s="68" t="e">
        <f>#REF!*COM!$J$4</f>
        <v>#REF!</v>
      </c>
      <c r="K370" s="68" t="e">
        <f>#REF!*COM!$J$4</f>
        <v>#REF!</v>
      </c>
      <c r="L370" s="68" t="e">
        <f>#REF!*COM!$L$4</f>
        <v>#REF!</v>
      </c>
      <c r="M370" s="68" t="e">
        <f>#REF!*COM!$L$4</f>
        <v>#REF!</v>
      </c>
      <c r="N370" s="68" t="e">
        <f>#REF!*COM!$N$4</f>
        <v>#REF!</v>
      </c>
      <c r="O370" s="68" t="e">
        <f>#REF!*COM!$N$4</f>
        <v>#REF!</v>
      </c>
      <c r="P370" s="68" t="e">
        <f>#REF!*COM!$P$4</f>
        <v>#REF!</v>
      </c>
      <c r="Q370" s="68" t="e">
        <f>#REF!*COM!$P$4</f>
        <v>#REF!</v>
      </c>
      <c r="R370" s="68" t="e">
        <f>#REF!*COM!$R$4</f>
        <v>#REF!</v>
      </c>
      <c r="S370" s="68" t="e">
        <f>#REF!*COM!$R$4</f>
        <v>#REF!</v>
      </c>
      <c r="T370" s="111" t="e">
        <f t="shared" si="25"/>
        <v>#REF!</v>
      </c>
    </row>
    <row r="371" spans="1:20" ht="18.75" x14ac:dyDescent="0.25">
      <c r="A371" s="63">
        <v>311</v>
      </c>
      <c r="B371" s="64">
        <v>55</v>
      </c>
      <c r="C371" s="64">
        <v>920</v>
      </c>
      <c r="D371" s="65">
        <v>70499</v>
      </c>
      <c r="E371" s="66" t="s">
        <v>173</v>
      </c>
      <c r="F371" s="67" t="s">
        <v>129</v>
      </c>
      <c r="G371" s="38"/>
      <c r="H371" s="68" t="e">
        <f>#REF!*COM!$H$4</f>
        <v>#REF!</v>
      </c>
      <c r="I371" s="68" t="e">
        <f>#REF!*COM!$H$4</f>
        <v>#REF!</v>
      </c>
      <c r="J371" s="68" t="e">
        <f>#REF!*COM!$J$4</f>
        <v>#REF!</v>
      </c>
      <c r="K371" s="68" t="e">
        <f>#REF!*COM!$J$4</f>
        <v>#REF!</v>
      </c>
      <c r="L371" s="68" t="e">
        <f>#REF!*COM!$L$4</f>
        <v>#REF!</v>
      </c>
      <c r="M371" s="68" t="e">
        <f>#REF!*COM!$L$4</f>
        <v>#REF!</v>
      </c>
      <c r="N371" s="68" t="e">
        <f>#REF!*COM!$N$4</f>
        <v>#REF!</v>
      </c>
      <c r="O371" s="68" t="e">
        <f>#REF!*COM!$N$4</f>
        <v>#REF!</v>
      </c>
      <c r="P371" s="68" t="e">
        <f>#REF!*COM!$P$4</f>
        <v>#REF!</v>
      </c>
      <c r="Q371" s="68" t="e">
        <f>#REF!*COM!$P$4</f>
        <v>#REF!</v>
      </c>
      <c r="R371" s="68" t="e">
        <f>#REF!*COM!$R$4</f>
        <v>#REF!</v>
      </c>
      <c r="S371" s="68" t="e">
        <f>#REF!*COM!$R$4</f>
        <v>#REF!</v>
      </c>
      <c r="T371" s="111" t="e">
        <f t="shared" si="25"/>
        <v>#REF!</v>
      </c>
    </row>
    <row r="372" spans="1:20" ht="37.5" x14ac:dyDescent="0.25">
      <c r="A372" s="63">
        <v>321</v>
      </c>
      <c r="B372" s="64">
        <v>55</v>
      </c>
      <c r="C372" s="64">
        <v>930</v>
      </c>
      <c r="D372" s="65">
        <v>70499</v>
      </c>
      <c r="E372" s="66" t="s">
        <v>173</v>
      </c>
      <c r="F372" s="67" t="s">
        <v>130</v>
      </c>
      <c r="G372" s="38" t="s">
        <v>276</v>
      </c>
      <c r="H372" s="68" t="e">
        <f>#REF!*COM!$H$4</f>
        <v>#REF!</v>
      </c>
      <c r="I372" s="68" t="e">
        <f>#REF!*COM!$H$4</f>
        <v>#REF!</v>
      </c>
      <c r="J372" s="68" t="e">
        <f>#REF!*COM!$J$4</f>
        <v>#REF!</v>
      </c>
      <c r="K372" s="68" t="e">
        <f>#REF!*COM!$J$4</f>
        <v>#REF!</v>
      </c>
      <c r="L372" s="68" t="e">
        <f>#REF!*COM!$L$4</f>
        <v>#REF!</v>
      </c>
      <c r="M372" s="68" t="e">
        <f>#REF!*COM!$L$4</f>
        <v>#REF!</v>
      </c>
      <c r="N372" s="68" t="e">
        <f>#REF!*COM!$N$4</f>
        <v>#REF!</v>
      </c>
      <c r="O372" s="68" t="e">
        <f>#REF!*COM!$N$4</f>
        <v>#REF!</v>
      </c>
      <c r="P372" s="68" t="e">
        <f>#REF!*COM!$P$4</f>
        <v>#REF!</v>
      </c>
      <c r="Q372" s="68" t="e">
        <f>#REF!*COM!$P$4</f>
        <v>#REF!</v>
      </c>
      <c r="R372" s="68" t="e">
        <f>#REF!*COM!$R$4</f>
        <v>#REF!</v>
      </c>
      <c r="S372" s="68" t="e">
        <f>#REF!*COM!$R$4</f>
        <v>#REF!</v>
      </c>
      <c r="T372" s="111" t="e">
        <f t="shared" si="25"/>
        <v>#REF!</v>
      </c>
    </row>
    <row r="373" spans="1:20" ht="18.75" customHeight="1" x14ac:dyDescent="0.25">
      <c r="A373" s="4">
        <v>311</v>
      </c>
      <c r="B373" s="52">
        <v>55</v>
      </c>
      <c r="C373" s="52">
        <v>910</v>
      </c>
      <c r="D373" s="7">
        <v>70499</v>
      </c>
      <c r="E373" s="20"/>
      <c r="F373" s="38" t="s">
        <v>131</v>
      </c>
      <c r="G373" s="38"/>
      <c r="H373" s="68" t="e">
        <f>#REF!*COM!$H$4</f>
        <v>#REF!</v>
      </c>
      <c r="I373" s="68" t="e">
        <f>#REF!*COM!$H$4</f>
        <v>#REF!</v>
      </c>
      <c r="J373" s="68" t="e">
        <f>#REF!*COM!$J$4</f>
        <v>#REF!</v>
      </c>
      <c r="K373" s="68" t="e">
        <f>#REF!*COM!$J$4</f>
        <v>#REF!</v>
      </c>
      <c r="L373" s="68" t="e">
        <f>#REF!*COM!$L$4</f>
        <v>#REF!</v>
      </c>
      <c r="M373" s="68" t="e">
        <f>#REF!*COM!$L$4</f>
        <v>#REF!</v>
      </c>
      <c r="N373" s="68" t="e">
        <f>#REF!*COM!$N$4</f>
        <v>#REF!</v>
      </c>
      <c r="O373" s="68" t="e">
        <f>#REF!*COM!$N$4</f>
        <v>#REF!</v>
      </c>
      <c r="P373" s="68" t="e">
        <f>#REF!*COM!$P$4</f>
        <v>#REF!</v>
      </c>
      <c r="Q373" s="68" t="e">
        <f>#REF!*COM!$P$4</f>
        <v>#REF!</v>
      </c>
      <c r="R373" s="68" t="e">
        <f>#REF!*COM!$R$4</f>
        <v>#REF!</v>
      </c>
      <c r="S373" s="68" t="e">
        <f>#REF!*COM!$R$4</f>
        <v>#REF!</v>
      </c>
      <c r="T373" s="111" t="e">
        <f t="shared" si="25"/>
        <v>#REF!</v>
      </c>
    </row>
    <row r="374" spans="1:20" ht="52.5" customHeight="1" x14ac:dyDescent="0.25">
      <c r="A374" s="77">
        <v>311</v>
      </c>
      <c r="B374" s="78">
        <v>55</v>
      </c>
      <c r="C374" s="78">
        <v>920</v>
      </c>
      <c r="D374" s="79">
        <v>70499</v>
      </c>
      <c r="E374" s="80" t="s">
        <v>172</v>
      </c>
      <c r="F374" s="81" t="s">
        <v>310</v>
      </c>
      <c r="G374" s="38"/>
      <c r="H374" s="68" t="e">
        <f>#REF!*COM!$H$4</f>
        <v>#REF!</v>
      </c>
      <c r="I374" s="68" t="e">
        <f>#REF!*COM!$H$4</f>
        <v>#REF!</v>
      </c>
      <c r="J374" s="68" t="e">
        <f>#REF!*COM!$J$4</f>
        <v>#REF!</v>
      </c>
      <c r="K374" s="68" t="e">
        <f>#REF!*COM!$J$4</f>
        <v>#REF!</v>
      </c>
      <c r="L374" s="68" t="e">
        <f>#REF!*COM!$L$4</f>
        <v>#REF!</v>
      </c>
      <c r="M374" s="68" t="e">
        <f>#REF!*COM!$L$4</f>
        <v>#REF!</v>
      </c>
      <c r="N374" s="68" t="e">
        <f>#REF!*COM!$N$4</f>
        <v>#REF!</v>
      </c>
      <c r="O374" s="68" t="e">
        <f>#REF!*COM!$N$4</f>
        <v>#REF!</v>
      </c>
      <c r="P374" s="68" t="e">
        <f>#REF!*COM!$P$4</f>
        <v>#REF!</v>
      </c>
      <c r="Q374" s="68" t="e">
        <f>#REF!*COM!$P$4</f>
        <v>#REF!</v>
      </c>
      <c r="R374" s="68" t="e">
        <f>#REF!*COM!$R$4</f>
        <v>#REF!</v>
      </c>
      <c r="S374" s="68" t="e">
        <f>#REF!*COM!$R$4</f>
        <v>#REF!</v>
      </c>
      <c r="T374" s="111" t="e">
        <f t="shared" si="25"/>
        <v>#REF!</v>
      </c>
    </row>
    <row r="375" spans="1:20" ht="37.5" x14ac:dyDescent="0.25">
      <c r="A375" s="77">
        <v>321</v>
      </c>
      <c r="B375" s="78">
        <v>55</v>
      </c>
      <c r="C375" s="78">
        <v>920</v>
      </c>
      <c r="D375" s="79">
        <v>70499</v>
      </c>
      <c r="E375" s="80" t="s">
        <v>172</v>
      </c>
      <c r="F375" s="81" t="s">
        <v>311</v>
      </c>
      <c r="G375" s="38"/>
      <c r="H375" s="68" t="e">
        <f>#REF!*COM!$H$4</f>
        <v>#REF!</v>
      </c>
      <c r="I375" s="68" t="e">
        <f>#REF!*COM!$H$4</f>
        <v>#REF!</v>
      </c>
      <c r="J375" s="68" t="e">
        <f>#REF!*COM!$J$4</f>
        <v>#REF!</v>
      </c>
      <c r="K375" s="68" t="e">
        <f>#REF!*COM!$J$4</f>
        <v>#REF!</v>
      </c>
      <c r="L375" s="68" t="e">
        <f>#REF!*COM!$L$4</f>
        <v>#REF!</v>
      </c>
      <c r="M375" s="68" t="e">
        <f>#REF!*COM!$L$4</f>
        <v>#REF!</v>
      </c>
      <c r="N375" s="68" t="e">
        <f>#REF!*COM!$N$4</f>
        <v>#REF!</v>
      </c>
      <c r="O375" s="68" t="e">
        <f>#REF!*COM!$N$4</f>
        <v>#REF!</v>
      </c>
      <c r="P375" s="68" t="e">
        <f>#REF!*COM!$P$4</f>
        <v>#REF!</v>
      </c>
      <c r="Q375" s="68" t="e">
        <f>#REF!*COM!$P$4</f>
        <v>#REF!</v>
      </c>
      <c r="R375" s="68" t="e">
        <f>#REF!*COM!$R$4</f>
        <v>#REF!</v>
      </c>
      <c r="S375" s="68" t="e">
        <f>#REF!*COM!$R$4</f>
        <v>#REF!</v>
      </c>
      <c r="T375" s="111" t="e">
        <f t="shared" si="25"/>
        <v>#REF!</v>
      </c>
    </row>
    <row r="376" spans="1:20" ht="37.5" x14ac:dyDescent="0.25">
      <c r="A376" s="77">
        <v>321</v>
      </c>
      <c r="B376" s="78">
        <v>55</v>
      </c>
      <c r="C376" s="78">
        <v>930</v>
      </c>
      <c r="D376" s="79">
        <v>70499</v>
      </c>
      <c r="E376" s="80" t="s">
        <v>172</v>
      </c>
      <c r="F376" s="81" t="s">
        <v>312</v>
      </c>
      <c r="G376" s="38"/>
      <c r="H376" s="68" t="e">
        <f>#REF!*COM!$H$4</f>
        <v>#REF!</v>
      </c>
      <c r="I376" s="68" t="e">
        <f>#REF!*COM!$H$4</f>
        <v>#REF!</v>
      </c>
      <c r="J376" s="68" t="e">
        <f>#REF!*COM!$J$4</f>
        <v>#REF!</v>
      </c>
      <c r="K376" s="68" t="e">
        <f>#REF!*COM!$J$4</f>
        <v>#REF!</v>
      </c>
      <c r="L376" s="68" t="e">
        <f>#REF!*COM!$L$4</f>
        <v>#REF!</v>
      </c>
      <c r="M376" s="68" t="e">
        <f>#REF!*COM!$L$4</f>
        <v>#REF!</v>
      </c>
      <c r="N376" s="68" t="e">
        <f>#REF!*COM!$N$4</f>
        <v>#REF!</v>
      </c>
      <c r="O376" s="68" t="e">
        <f>#REF!*COM!$N$4</f>
        <v>#REF!</v>
      </c>
      <c r="P376" s="68" t="e">
        <f>#REF!*COM!$P$4</f>
        <v>#REF!</v>
      </c>
      <c r="Q376" s="68" t="e">
        <f>#REF!*COM!$P$4</f>
        <v>#REF!</v>
      </c>
      <c r="R376" s="68" t="e">
        <f>#REF!*COM!$R$4</f>
        <v>#REF!</v>
      </c>
      <c r="S376" s="68" t="e">
        <f>#REF!*COM!$R$4</f>
        <v>#REF!</v>
      </c>
      <c r="T376" s="111" t="e">
        <f t="shared" si="25"/>
        <v>#REF!</v>
      </c>
    </row>
    <row r="377" spans="1:20" ht="18.75" x14ac:dyDescent="0.25">
      <c r="A377" s="77">
        <v>311</v>
      </c>
      <c r="B377" s="78">
        <v>55</v>
      </c>
      <c r="C377" s="78">
        <v>920</v>
      </c>
      <c r="D377" s="79">
        <v>70499</v>
      </c>
      <c r="E377" s="80" t="s">
        <v>176</v>
      </c>
      <c r="F377" s="81" t="s">
        <v>304</v>
      </c>
      <c r="G377" s="38"/>
      <c r="H377" s="68" t="e">
        <f>#REF!*COM!$H$4</f>
        <v>#REF!</v>
      </c>
      <c r="I377" s="68" t="e">
        <f>#REF!*COM!$H$4</f>
        <v>#REF!</v>
      </c>
      <c r="J377" s="68" t="e">
        <f>#REF!*COM!$J$4</f>
        <v>#REF!</v>
      </c>
      <c r="K377" s="68" t="e">
        <f>#REF!*COM!$J$4</f>
        <v>#REF!</v>
      </c>
      <c r="L377" s="68" t="e">
        <f>#REF!*COM!$L$4</f>
        <v>#REF!</v>
      </c>
      <c r="M377" s="68" t="e">
        <f>#REF!*COM!$L$4</f>
        <v>#REF!</v>
      </c>
      <c r="N377" s="68" t="e">
        <f>#REF!*COM!$N$4</f>
        <v>#REF!</v>
      </c>
      <c r="O377" s="68" t="e">
        <f>#REF!*COM!$N$4</f>
        <v>#REF!</v>
      </c>
      <c r="P377" s="68" t="e">
        <f>#REF!*COM!$P$4</f>
        <v>#REF!</v>
      </c>
      <c r="Q377" s="68" t="e">
        <f>#REF!*COM!$P$4</f>
        <v>#REF!</v>
      </c>
      <c r="R377" s="68" t="e">
        <f>#REF!*COM!$R$4</f>
        <v>#REF!</v>
      </c>
      <c r="S377" s="68" t="e">
        <f>#REF!*COM!$R$4</f>
        <v>#REF!</v>
      </c>
      <c r="T377" s="111" t="e">
        <f t="shared" si="25"/>
        <v>#REF!</v>
      </c>
    </row>
    <row r="378" spans="1:20" ht="18.75" x14ac:dyDescent="0.25">
      <c r="A378" s="77">
        <v>321</v>
      </c>
      <c r="B378" s="78">
        <v>55</v>
      </c>
      <c r="C378" s="78">
        <v>930</v>
      </c>
      <c r="D378" s="79">
        <v>70499</v>
      </c>
      <c r="E378" s="80" t="s">
        <v>176</v>
      </c>
      <c r="F378" s="81" t="s">
        <v>305</v>
      </c>
      <c r="G378" s="38"/>
      <c r="H378" s="68" t="e">
        <f>#REF!*COM!$H$4</f>
        <v>#REF!</v>
      </c>
      <c r="I378" s="68" t="e">
        <f>#REF!*COM!$H$4</f>
        <v>#REF!</v>
      </c>
      <c r="J378" s="68" t="e">
        <f>#REF!*COM!$J$4</f>
        <v>#REF!</v>
      </c>
      <c r="K378" s="68" t="e">
        <f>#REF!*COM!$J$4</f>
        <v>#REF!</v>
      </c>
      <c r="L378" s="68" t="e">
        <f>#REF!*COM!$L$4</f>
        <v>#REF!</v>
      </c>
      <c r="M378" s="68" t="e">
        <f>#REF!*COM!$L$4</f>
        <v>#REF!</v>
      </c>
      <c r="N378" s="68" t="e">
        <f>#REF!*COM!$N$4</f>
        <v>#REF!</v>
      </c>
      <c r="O378" s="68" t="e">
        <f>#REF!*COM!$N$4</f>
        <v>#REF!</v>
      </c>
      <c r="P378" s="68" t="e">
        <f>#REF!*COM!$P$4</f>
        <v>#REF!</v>
      </c>
      <c r="Q378" s="68" t="e">
        <f>#REF!*COM!$P$4</f>
        <v>#REF!</v>
      </c>
      <c r="R378" s="68" t="e">
        <f>#REF!*COM!$R$4</f>
        <v>#REF!</v>
      </c>
      <c r="S378" s="68" t="e">
        <f>#REF!*COM!$R$4</f>
        <v>#REF!</v>
      </c>
      <c r="T378" s="111" t="e">
        <f t="shared" si="25"/>
        <v>#REF!</v>
      </c>
    </row>
    <row r="379" spans="1:20" ht="18.75" x14ac:dyDescent="0.25">
      <c r="A379" s="77">
        <v>311</v>
      </c>
      <c r="B379" s="78">
        <v>55</v>
      </c>
      <c r="C379" s="78">
        <v>920</v>
      </c>
      <c r="D379" s="79">
        <v>70499</v>
      </c>
      <c r="E379" s="80" t="s">
        <v>176</v>
      </c>
      <c r="F379" s="81" t="s">
        <v>306</v>
      </c>
      <c r="G379" s="38"/>
      <c r="H379" s="68" t="e">
        <f>#REF!*COM!$H$4</f>
        <v>#REF!</v>
      </c>
      <c r="I379" s="68" t="e">
        <f>#REF!*COM!$H$4</f>
        <v>#REF!</v>
      </c>
      <c r="J379" s="68" t="e">
        <f>#REF!*COM!$J$4</f>
        <v>#REF!</v>
      </c>
      <c r="K379" s="68" t="e">
        <f>#REF!*COM!$J$4</f>
        <v>#REF!</v>
      </c>
      <c r="L379" s="68" t="e">
        <f>#REF!*COM!$L$4</f>
        <v>#REF!</v>
      </c>
      <c r="M379" s="68" t="e">
        <f>#REF!*COM!$L$4</f>
        <v>#REF!</v>
      </c>
      <c r="N379" s="68" t="e">
        <f>#REF!*COM!$N$4</f>
        <v>#REF!</v>
      </c>
      <c r="O379" s="68" t="e">
        <f>#REF!*COM!$N$4</f>
        <v>#REF!</v>
      </c>
      <c r="P379" s="68" t="e">
        <f>#REF!*COM!$P$4</f>
        <v>#REF!</v>
      </c>
      <c r="Q379" s="68" t="e">
        <f>#REF!*COM!$P$4</f>
        <v>#REF!</v>
      </c>
      <c r="R379" s="68" t="e">
        <f>#REF!*COM!$R$4</f>
        <v>#REF!</v>
      </c>
      <c r="S379" s="68" t="e">
        <f>#REF!*COM!$R$4</f>
        <v>#REF!</v>
      </c>
      <c r="T379" s="111" t="e">
        <f t="shared" si="25"/>
        <v>#REF!</v>
      </c>
    </row>
    <row r="380" spans="1:20" ht="18.75" x14ac:dyDescent="0.25">
      <c r="A380" s="77">
        <v>321</v>
      </c>
      <c r="B380" s="78">
        <v>55</v>
      </c>
      <c r="C380" s="78">
        <v>930</v>
      </c>
      <c r="D380" s="79">
        <v>70499</v>
      </c>
      <c r="E380" s="80" t="s">
        <v>176</v>
      </c>
      <c r="F380" s="81" t="s">
        <v>307</v>
      </c>
      <c r="G380" s="38"/>
      <c r="H380" s="68" t="e">
        <f>#REF!*COM!$H$4</f>
        <v>#REF!</v>
      </c>
      <c r="I380" s="68" t="e">
        <f>#REF!*COM!$H$4</f>
        <v>#REF!</v>
      </c>
      <c r="J380" s="68" t="e">
        <f>#REF!*COM!$J$4</f>
        <v>#REF!</v>
      </c>
      <c r="K380" s="68" t="e">
        <f>#REF!*COM!$J$4</f>
        <v>#REF!</v>
      </c>
      <c r="L380" s="68" t="e">
        <f>#REF!*COM!$L$4</f>
        <v>#REF!</v>
      </c>
      <c r="M380" s="68" t="e">
        <f>#REF!*COM!$L$4</f>
        <v>#REF!</v>
      </c>
      <c r="N380" s="68" t="e">
        <f>#REF!*COM!$N$4</f>
        <v>#REF!</v>
      </c>
      <c r="O380" s="68" t="e">
        <f>#REF!*COM!$N$4</f>
        <v>#REF!</v>
      </c>
      <c r="P380" s="68" t="e">
        <f>#REF!*COM!$P$4</f>
        <v>#REF!</v>
      </c>
      <c r="Q380" s="68" t="e">
        <f>#REF!*COM!$P$4</f>
        <v>#REF!</v>
      </c>
      <c r="R380" s="68" t="e">
        <f>#REF!*COM!$R$4</f>
        <v>#REF!</v>
      </c>
      <c r="S380" s="68" t="e">
        <f>#REF!*COM!$R$4</f>
        <v>#REF!</v>
      </c>
      <c r="T380" s="111" t="e">
        <f t="shared" si="25"/>
        <v>#REF!</v>
      </c>
    </row>
    <row r="381" spans="1:20" ht="18.75" x14ac:dyDescent="0.25">
      <c r="A381" s="63">
        <v>311</v>
      </c>
      <c r="B381" s="64">
        <v>55</v>
      </c>
      <c r="C381" s="64">
        <v>920</v>
      </c>
      <c r="D381" s="65">
        <v>70499</v>
      </c>
      <c r="E381" s="66" t="s">
        <v>173</v>
      </c>
      <c r="F381" s="67" t="s">
        <v>132</v>
      </c>
      <c r="G381" s="38"/>
      <c r="H381" s="68" t="e">
        <f>#REF!*COM!$H$4</f>
        <v>#REF!</v>
      </c>
      <c r="I381" s="68" t="e">
        <f>#REF!*COM!$H$4</f>
        <v>#REF!</v>
      </c>
      <c r="J381" s="68" t="e">
        <f>#REF!*COM!$J$4</f>
        <v>#REF!</v>
      </c>
      <c r="K381" s="68" t="e">
        <f>#REF!*COM!$J$4</f>
        <v>#REF!</v>
      </c>
      <c r="L381" s="68" t="e">
        <f>#REF!*COM!$L$4</f>
        <v>#REF!</v>
      </c>
      <c r="M381" s="68" t="e">
        <f>#REF!*COM!$L$4</f>
        <v>#REF!</v>
      </c>
      <c r="N381" s="68" t="e">
        <f>#REF!*COM!$N$4</f>
        <v>#REF!</v>
      </c>
      <c r="O381" s="68" t="e">
        <f>#REF!*COM!$N$4</f>
        <v>#REF!</v>
      </c>
      <c r="P381" s="68" t="e">
        <f>#REF!*COM!$P$4</f>
        <v>#REF!</v>
      </c>
      <c r="Q381" s="68" t="e">
        <f>#REF!*COM!$P$4</f>
        <v>#REF!</v>
      </c>
      <c r="R381" s="68" t="e">
        <f>#REF!*COM!$R$4</f>
        <v>#REF!</v>
      </c>
      <c r="S381" s="68" t="e">
        <f>#REF!*COM!$R$4</f>
        <v>#REF!</v>
      </c>
      <c r="T381" s="111" t="e">
        <f t="shared" si="25"/>
        <v>#REF!</v>
      </c>
    </row>
    <row r="382" spans="1:20" ht="37.5" x14ac:dyDescent="0.25">
      <c r="A382" s="63">
        <v>321</v>
      </c>
      <c r="B382" s="64">
        <v>55</v>
      </c>
      <c r="C382" s="64">
        <v>930</v>
      </c>
      <c r="D382" s="65">
        <v>70499</v>
      </c>
      <c r="E382" s="66" t="s">
        <v>173</v>
      </c>
      <c r="F382" s="67" t="s">
        <v>133</v>
      </c>
      <c r="G382" s="38" t="s">
        <v>277</v>
      </c>
      <c r="H382" s="68" t="e">
        <f>#REF!*COM!$H$4</f>
        <v>#REF!</v>
      </c>
      <c r="I382" s="68" t="e">
        <f>#REF!*COM!$H$4</f>
        <v>#REF!</v>
      </c>
      <c r="J382" s="68" t="e">
        <f>#REF!*COM!$J$4</f>
        <v>#REF!</v>
      </c>
      <c r="K382" s="68" t="e">
        <f>#REF!*COM!$J$4</f>
        <v>#REF!</v>
      </c>
      <c r="L382" s="68" t="e">
        <f>#REF!*COM!$L$4</f>
        <v>#REF!</v>
      </c>
      <c r="M382" s="68" t="e">
        <f>#REF!*COM!$L$4</f>
        <v>#REF!</v>
      </c>
      <c r="N382" s="68" t="e">
        <f>#REF!*COM!$N$4</f>
        <v>#REF!</v>
      </c>
      <c r="O382" s="68" t="e">
        <f>#REF!*COM!$N$4</f>
        <v>#REF!</v>
      </c>
      <c r="P382" s="68" t="e">
        <f>#REF!*COM!$P$4</f>
        <v>#REF!</v>
      </c>
      <c r="Q382" s="68" t="e">
        <f>#REF!*COM!$P$4</f>
        <v>#REF!</v>
      </c>
      <c r="R382" s="68" t="e">
        <f>#REF!*COM!$R$4</f>
        <v>#REF!</v>
      </c>
      <c r="S382" s="68" t="e">
        <f>#REF!*COM!$R$4</f>
        <v>#REF!</v>
      </c>
      <c r="T382" s="111" t="e">
        <f t="shared" si="25"/>
        <v>#REF!</v>
      </c>
    </row>
    <row r="383" spans="1:20" ht="37.5" x14ac:dyDescent="0.25">
      <c r="A383" s="4">
        <v>311</v>
      </c>
      <c r="B383" s="52">
        <v>55</v>
      </c>
      <c r="C383" s="52">
        <v>920</v>
      </c>
      <c r="D383" s="7">
        <v>70499</v>
      </c>
      <c r="E383" s="20" t="s">
        <v>172</v>
      </c>
      <c r="F383" s="38" t="s">
        <v>134</v>
      </c>
      <c r="G383" s="38"/>
      <c r="H383" s="68" t="e">
        <f>#REF!*COM!$H$4</f>
        <v>#REF!</v>
      </c>
      <c r="I383" s="68" t="e">
        <f>#REF!*COM!$H$4</f>
        <v>#REF!</v>
      </c>
      <c r="J383" s="68" t="e">
        <f>#REF!*COM!$J$4</f>
        <v>#REF!</v>
      </c>
      <c r="K383" s="68" t="e">
        <f>#REF!*COM!$J$4</f>
        <v>#REF!</v>
      </c>
      <c r="L383" s="68" t="e">
        <f>#REF!*COM!$L$4</f>
        <v>#REF!</v>
      </c>
      <c r="M383" s="68" t="e">
        <f>#REF!*COM!$L$4</f>
        <v>#REF!</v>
      </c>
      <c r="N383" s="68" t="e">
        <f>#REF!*COM!$N$4</f>
        <v>#REF!</v>
      </c>
      <c r="O383" s="68" t="e">
        <f>#REF!*COM!$N$4</f>
        <v>#REF!</v>
      </c>
      <c r="P383" s="68" t="e">
        <f>#REF!*COM!$P$4</f>
        <v>#REF!</v>
      </c>
      <c r="Q383" s="68" t="e">
        <f>#REF!*COM!$P$4</f>
        <v>#REF!</v>
      </c>
      <c r="R383" s="68" t="e">
        <f>#REF!*COM!$R$4</f>
        <v>#REF!</v>
      </c>
      <c r="S383" s="68" t="e">
        <f>#REF!*COM!$R$4</f>
        <v>#REF!</v>
      </c>
      <c r="T383" s="111" t="e">
        <f t="shared" si="25"/>
        <v>#REF!</v>
      </c>
    </row>
    <row r="384" spans="1:20" ht="37.5" x14ac:dyDescent="0.25">
      <c r="A384" s="4">
        <v>311</v>
      </c>
      <c r="B384" s="52">
        <v>55</v>
      </c>
      <c r="C384" s="52">
        <v>920</v>
      </c>
      <c r="D384" s="7">
        <v>70499</v>
      </c>
      <c r="E384" s="20" t="s">
        <v>170</v>
      </c>
      <c r="F384" s="38" t="s">
        <v>135</v>
      </c>
      <c r="G384" s="38"/>
      <c r="H384" s="68" t="e">
        <f>#REF!*COM!$H$4</f>
        <v>#REF!</v>
      </c>
      <c r="I384" s="68" t="e">
        <f>#REF!*COM!$H$4</f>
        <v>#REF!</v>
      </c>
      <c r="J384" s="68" t="e">
        <f>#REF!*COM!$J$4</f>
        <v>#REF!</v>
      </c>
      <c r="K384" s="68" t="e">
        <f>#REF!*COM!$J$4</f>
        <v>#REF!</v>
      </c>
      <c r="L384" s="68" t="e">
        <f>#REF!*COM!$L$4</f>
        <v>#REF!</v>
      </c>
      <c r="M384" s="68" t="e">
        <f>#REF!*COM!$L$4</f>
        <v>#REF!</v>
      </c>
      <c r="N384" s="68" t="e">
        <f>#REF!*COM!$N$4</f>
        <v>#REF!</v>
      </c>
      <c r="O384" s="68" t="e">
        <f>#REF!*COM!$N$4</f>
        <v>#REF!</v>
      </c>
      <c r="P384" s="68" t="e">
        <f>#REF!*COM!$P$4</f>
        <v>#REF!</v>
      </c>
      <c r="Q384" s="68" t="e">
        <f>#REF!*COM!$P$4</f>
        <v>#REF!</v>
      </c>
      <c r="R384" s="68" t="e">
        <f>#REF!*COM!$R$4</f>
        <v>#REF!</v>
      </c>
      <c r="S384" s="68" t="e">
        <f>#REF!*COM!$R$4</f>
        <v>#REF!</v>
      </c>
      <c r="T384" s="111" t="e">
        <f t="shared" si="25"/>
        <v>#REF!</v>
      </c>
    </row>
    <row r="385" spans="1:20" ht="37.5" x14ac:dyDescent="0.25">
      <c r="A385" s="4">
        <v>311</v>
      </c>
      <c r="B385" s="52">
        <v>55</v>
      </c>
      <c r="C385" s="52">
        <v>920</v>
      </c>
      <c r="D385" s="7">
        <v>70499</v>
      </c>
      <c r="E385" s="20" t="s">
        <v>172</v>
      </c>
      <c r="F385" s="38" t="s">
        <v>136</v>
      </c>
      <c r="G385" s="38"/>
      <c r="H385" s="68" t="e">
        <f>#REF!*COM!$H$4</f>
        <v>#REF!</v>
      </c>
      <c r="I385" s="68" t="e">
        <f>#REF!*COM!$H$4</f>
        <v>#REF!</v>
      </c>
      <c r="J385" s="68" t="e">
        <f>#REF!*COM!$J$4</f>
        <v>#REF!</v>
      </c>
      <c r="K385" s="68" t="e">
        <f>#REF!*COM!$J$4</f>
        <v>#REF!</v>
      </c>
      <c r="L385" s="68" t="e">
        <f>#REF!*COM!$L$4</f>
        <v>#REF!</v>
      </c>
      <c r="M385" s="68" t="e">
        <f>#REF!*COM!$L$4</f>
        <v>#REF!</v>
      </c>
      <c r="N385" s="68" t="e">
        <f>#REF!*COM!$N$4</f>
        <v>#REF!</v>
      </c>
      <c r="O385" s="68" t="e">
        <f>#REF!*COM!$N$4</f>
        <v>#REF!</v>
      </c>
      <c r="P385" s="68" t="e">
        <f>#REF!*COM!$P$4</f>
        <v>#REF!</v>
      </c>
      <c r="Q385" s="68" t="e">
        <f>#REF!*COM!$P$4</f>
        <v>#REF!</v>
      </c>
      <c r="R385" s="68" t="e">
        <f>#REF!*COM!$R$4</f>
        <v>#REF!</v>
      </c>
      <c r="S385" s="68" t="e">
        <f>#REF!*COM!$R$4</f>
        <v>#REF!</v>
      </c>
      <c r="T385" s="111" t="e">
        <f t="shared" si="25"/>
        <v>#REF!</v>
      </c>
    </row>
    <row r="386" spans="1:20" ht="37.5" x14ac:dyDescent="0.25">
      <c r="A386" s="4">
        <v>321</v>
      </c>
      <c r="B386" s="52">
        <v>55</v>
      </c>
      <c r="C386" s="52">
        <v>930</v>
      </c>
      <c r="D386" s="7">
        <v>70499</v>
      </c>
      <c r="E386" s="20" t="s">
        <v>172</v>
      </c>
      <c r="F386" s="38" t="s">
        <v>137</v>
      </c>
      <c r="G386" s="38"/>
      <c r="H386" s="68" t="e">
        <f>#REF!*COM!$H$4</f>
        <v>#REF!</v>
      </c>
      <c r="I386" s="68" t="e">
        <f>#REF!*COM!$H$4</f>
        <v>#REF!</v>
      </c>
      <c r="J386" s="68" t="e">
        <f>#REF!*COM!$J$4</f>
        <v>#REF!</v>
      </c>
      <c r="K386" s="68" t="e">
        <f>#REF!*COM!$J$4</f>
        <v>#REF!</v>
      </c>
      <c r="L386" s="68" t="e">
        <f>#REF!*COM!$L$4</f>
        <v>#REF!</v>
      </c>
      <c r="M386" s="68" t="e">
        <f>#REF!*COM!$L$4</f>
        <v>#REF!</v>
      </c>
      <c r="N386" s="68" t="e">
        <f>#REF!*COM!$N$4</f>
        <v>#REF!</v>
      </c>
      <c r="O386" s="68" t="e">
        <f>#REF!*COM!$N$4</f>
        <v>#REF!</v>
      </c>
      <c r="P386" s="68" t="e">
        <f>#REF!*COM!$P$4</f>
        <v>#REF!</v>
      </c>
      <c r="Q386" s="68" t="e">
        <f>#REF!*COM!$P$4</f>
        <v>#REF!</v>
      </c>
      <c r="R386" s="68" t="e">
        <f>#REF!*COM!$R$4</f>
        <v>#REF!</v>
      </c>
      <c r="S386" s="68" t="e">
        <f>#REF!*COM!$R$4</f>
        <v>#REF!</v>
      </c>
      <c r="T386" s="111" t="e">
        <f t="shared" si="25"/>
        <v>#REF!</v>
      </c>
    </row>
    <row r="387" spans="1:20" ht="18.75" x14ac:dyDescent="0.25">
      <c r="A387" s="4">
        <v>311</v>
      </c>
      <c r="B387" s="52">
        <v>55</v>
      </c>
      <c r="C387" s="52">
        <v>920</v>
      </c>
      <c r="D387" s="7">
        <v>70499</v>
      </c>
      <c r="E387" s="20" t="s">
        <v>176</v>
      </c>
      <c r="F387" s="38" t="s">
        <v>138</v>
      </c>
      <c r="G387" s="38"/>
      <c r="H387" s="68" t="e">
        <f>#REF!*COM!$H$4</f>
        <v>#REF!</v>
      </c>
      <c r="I387" s="68" t="e">
        <f>#REF!*COM!$H$4</f>
        <v>#REF!</v>
      </c>
      <c r="J387" s="68" t="e">
        <f>#REF!*COM!$J$4</f>
        <v>#REF!</v>
      </c>
      <c r="K387" s="68" t="e">
        <f>#REF!*COM!$J$4</f>
        <v>#REF!</v>
      </c>
      <c r="L387" s="68" t="e">
        <f>#REF!*COM!$L$4</f>
        <v>#REF!</v>
      </c>
      <c r="M387" s="68" t="e">
        <f>#REF!*COM!$L$4</f>
        <v>#REF!</v>
      </c>
      <c r="N387" s="68" t="e">
        <f>#REF!*COM!$N$4</f>
        <v>#REF!</v>
      </c>
      <c r="O387" s="68" t="e">
        <f>#REF!*COM!$N$4</f>
        <v>#REF!</v>
      </c>
      <c r="P387" s="68" t="e">
        <f>#REF!*COM!$P$4</f>
        <v>#REF!</v>
      </c>
      <c r="Q387" s="68" t="e">
        <f>#REF!*COM!$P$4</f>
        <v>#REF!</v>
      </c>
      <c r="R387" s="68" t="e">
        <f>#REF!*COM!$R$4</f>
        <v>#REF!</v>
      </c>
      <c r="S387" s="68" t="e">
        <f>#REF!*COM!$R$4</f>
        <v>#REF!</v>
      </c>
      <c r="T387" s="111" t="e">
        <f t="shared" si="25"/>
        <v>#REF!</v>
      </c>
    </row>
    <row r="388" spans="1:20" ht="18.75" x14ac:dyDescent="0.25">
      <c r="A388" s="4">
        <v>321</v>
      </c>
      <c r="B388" s="52">
        <v>55</v>
      </c>
      <c r="C388" s="52">
        <v>930</v>
      </c>
      <c r="D388" s="7">
        <v>70499</v>
      </c>
      <c r="E388" s="20" t="s">
        <v>176</v>
      </c>
      <c r="F388" s="38" t="s">
        <v>139</v>
      </c>
      <c r="G388" s="38"/>
      <c r="H388" s="68" t="e">
        <f>#REF!*COM!$H$4</f>
        <v>#REF!</v>
      </c>
      <c r="I388" s="68" t="e">
        <f>#REF!*COM!$H$4</f>
        <v>#REF!</v>
      </c>
      <c r="J388" s="68" t="e">
        <f>#REF!*COM!$J$4</f>
        <v>#REF!</v>
      </c>
      <c r="K388" s="68" t="e">
        <f>#REF!*COM!$J$4</f>
        <v>#REF!</v>
      </c>
      <c r="L388" s="68" t="e">
        <f>#REF!*COM!$L$4</f>
        <v>#REF!</v>
      </c>
      <c r="M388" s="68" t="e">
        <f>#REF!*COM!$L$4</f>
        <v>#REF!</v>
      </c>
      <c r="N388" s="68" t="e">
        <f>#REF!*COM!$N$4</f>
        <v>#REF!</v>
      </c>
      <c r="O388" s="68" t="e">
        <f>#REF!*COM!$N$4</f>
        <v>#REF!</v>
      </c>
      <c r="P388" s="68" t="e">
        <f>#REF!*COM!$P$4</f>
        <v>#REF!</v>
      </c>
      <c r="Q388" s="68" t="e">
        <f>#REF!*COM!$P$4</f>
        <v>#REF!</v>
      </c>
      <c r="R388" s="68" t="e">
        <f>#REF!*COM!$R$4</f>
        <v>#REF!</v>
      </c>
      <c r="S388" s="68" t="e">
        <f>#REF!*COM!$R$4</f>
        <v>#REF!</v>
      </c>
      <c r="T388" s="111" t="e">
        <f t="shared" si="25"/>
        <v>#REF!</v>
      </c>
    </row>
    <row r="389" spans="1:20" ht="37.5" x14ac:dyDescent="0.25">
      <c r="A389" s="77">
        <v>321</v>
      </c>
      <c r="B389" s="78">
        <v>55</v>
      </c>
      <c r="C389" s="78">
        <v>930</v>
      </c>
      <c r="D389" s="79">
        <v>70499</v>
      </c>
      <c r="E389" s="80" t="s">
        <v>172</v>
      </c>
      <c r="F389" s="81" t="s">
        <v>317</v>
      </c>
      <c r="G389" s="38"/>
      <c r="H389" s="68" t="e">
        <f>#REF!*COM!$H$4</f>
        <v>#REF!</v>
      </c>
      <c r="I389" s="68" t="e">
        <f>#REF!*COM!$H$4</f>
        <v>#REF!</v>
      </c>
      <c r="J389" s="68" t="e">
        <f>#REF!*COM!$J$4</f>
        <v>#REF!</v>
      </c>
      <c r="K389" s="68" t="e">
        <f>#REF!*COM!$J$4</f>
        <v>#REF!</v>
      </c>
      <c r="L389" s="68" t="e">
        <f>#REF!*COM!$L$4</f>
        <v>#REF!</v>
      </c>
      <c r="M389" s="68" t="e">
        <f>#REF!*COM!$L$4</f>
        <v>#REF!</v>
      </c>
      <c r="N389" s="68" t="e">
        <f>#REF!*COM!$N$4</f>
        <v>#REF!</v>
      </c>
      <c r="O389" s="68" t="e">
        <f>#REF!*COM!$N$4</f>
        <v>#REF!</v>
      </c>
      <c r="P389" s="68" t="e">
        <f>#REF!*COM!$P$4</f>
        <v>#REF!</v>
      </c>
      <c r="Q389" s="68" t="e">
        <f>#REF!*COM!$P$4</f>
        <v>#REF!</v>
      </c>
      <c r="R389" s="68" t="e">
        <f>#REF!*COM!$R$4</f>
        <v>#REF!</v>
      </c>
      <c r="S389" s="68" t="e">
        <f>#REF!*COM!$R$4</f>
        <v>#REF!</v>
      </c>
      <c r="T389" s="111" t="e">
        <f t="shared" si="25"/>
        <v>#REF!</v>
      </c>
    </row>
    <row r="390" spans="1:20" ht="57" customHeight="1" x14ac:dyDescent="0.25">
      <c r="A390" s="77">
        <v>321</v>
      </c>
      <c r="B390" s="78">
        <v>55</v>
      </c>
      <c r="C390" s="78">
        <v>930</v>
      </c>
      <c r="D390" s="79">
        <v>70499</v>
      </c>
      <c r="E390" s="80" t="s">
        <v>174</v>
      </c>
      <c r="F390" s="81" t="s">
        <v>316</v>
      </c>
      <c r="G390" s="38"/>
      <c r="H390" s="68" t="e">
        <f>#REF!*COM!$H$4</f>
        <v>#REF!</v>
      </c>
      <c r="I390" s="68" t="e">
        <f>#REF!*COM!$H$4</f>
        <v>#REF!</v>
      </c>
      <c r="J390" s="68" t="e">
        <f>#REF!*COM!$J$4</f>
        <v>#REF!</v>
      </c>
      <c r="K390" s="68" t="e">
        <f>#REF!*COM!$J$4</f>
        <v>#REF!</v>
      </c>
      <c r="L390" s="68" t="e">
        <f>#REF!*COM!$L$4</f>
        <v>#REF!</v>
      </c>
      <c r="M390" s="68" t="e">
        <f>#REF!*COM!$L$4</f>
        <v>#REF!</v>
      </c>
      <c r="N390" s="68" t="e">
        <f>#REF!*COM!$N$4</f>
        <v>#REF!</v>
      </c>
      <c r="O390" s="68" t="e">
        <f>#REF!*COM!$N$4</f>
        <v>#REF!</v>
      </c>
      <c r="P390" s="68" t="e">
        <f>#REF!*COM!$P$4</f>
        <v>#REF!</v>
      </c>
      <c r="Q390" s="68" t="e">
        <f>#REF!*COM!$P$4</f>
        <v>#REF!</v>
      </c>
      <c r="R390" s="68" t="e">
        <f>#REF!*COM!$R$4</f>
        <v>#REF!</v>
      </c>
      <c r="S390" s="68" t="e">
        <f>#REF!*COM!$R$4</f>
        <v>#REF!</v>
      </c>
      <c r="T390" s="111" t="e">
        <f t="shared" si="25"/>
        <v>#REF!</v>
      </c>
    </row>
    <row r="391" spans="1:20" ht="57" customHeight="1" x14ac:dyDescent="0.25">
      <c r="A391" s="4">
        <v>321</v>
      </c>
      <c r="B391" s="52">
        <v>55</v>
      </c>
      <c r="C391" s="52">
        <v>930</v>
      </c>
      <c r="D391" s="7">
        <v>70499</v>
      </c>
      <c r="E391" s="20" t="s">
        <v>171</v>
      </c>
      <c r="F391" s="38" t="s">
        <v>318</v>
      </c>
      <c r="G391" s="38"/>
      <c r="H391" s="68" t="e">
        <f>#REF!*COM!$H$4</f>
        <v>#REF!</v>
      </c>
      <c r="I391" s="68" t="e">
        <f>#REF!*COM!$H$4</f>
        <v>#REF!</v>
      </c>
      <c r="J391" s="68" t="e">
        <f>#REF!*COM!$J$4</f>
        <v>#REF!</v>
      </c>
      <c r="K391" s="68" t="e">
        <f>#REF!*COM!$J$4</f>
        <v>#REF!</v>
      </c>
      <c r="L391" s="68" t="e">
        <f>#REF!*COM!$L$4</f>
        <v>#REF!</v>
      </c>
      <c r="M391" s="68" t="e">
        <f>#REF!*COM!$L$4</f>
        <v>#REF!</v>
      </c>
      <c r="N391" s="68" t="e">
        <f>#REF!*COM!$N$4</f>
        <v>#REF!</v>
      </c>
      <c r="O391" s="68" t="e">
        <f>#REF!*COM!$N$4</f>
        <v>#REF!</v>
      </c>
      <c r="P391" s="68" t="e">
        <f>#REF!*COM!$P$4</f>
        <v>#REF!</v>
      </c>
      <c r="Q391" s="68" t="e">
        <f>#REF!*COM!$P$4</f>
        <v>#REF!</v>
      </c>
      <c r="R391" s="68" t="e">
        <f>#REF!*COM!$R$4</f>
        <v>#REF!</v>
      </c>
      <c r="S391" s="68" t="e">
        <f>#REF!*COM!$R$4</f>
        <v>#REF!</v>
      </c>
      <c r="T391" s="111" t="e">
        <f t="shared" si="25"/>
        <v>#REF!</v>
      </c>
    </row>
    <row r="392" spans="1:20" ht="37.5" x14ac:dyDescent="0.25">
      <c r="A392" s="77">
        <v>321</v>
      </c>
      <c r="B392" s="78">
        <v>55</v>
      </c>
      <c r="C392" s="78">
        <v>930</v>
      </c>
      <c r="D392" s="79">
        <v>70499</v>
      </c>
      <c r="E392" s="80" t="s">
        <v>172</v>
      </c>
      <c r="F392" s="81" t="s">
        <v>309</v>
      </c>
      <c r="G392" s="38"/>
      <c r="H392" s="68" t="e">
        <f>#REF!*COM!$H$4</f>
        <v>#REF!</v>
      </c>
      <c r="I392" s="68" t="e">
        <f>#REF!*COM!$H$4</f>
        <v>#REF!</v>
      </c>
      <c r="J392" s="68" t="e">
        <f>#REF!*COM!$J$4</f>
        <v>#REF!</v>
      </c>
      <c r="K392" s="68" t="e">
        <f>#REF!*COM!$J$4</f>
        <v>#REF!</v>
      </c>
      <c r="L392" s="68" t="e">
        <f>#REF!*COM!$L$4</f>
        <v>#REF!</v>
      </c>
      <c r="M392" s="68" t="e">
        <f>#REF!*COM!$L$4</f>
        <v>#REF!</v>
      </c>
      <c r="N392" s="68" t="e">
        <f>#REF!*COM!$N$4</f>
        <v>#REF!</v>
      </c>
      <c r="O392" s="68" t="e">
        <f>#REF!*COM!$N$4</f>
        <v>#REF!</v>
      </c>
      <c r="P392" s="68" t="e">
        <f>#REF!*COM!$P$4</f>
        <v>#REF!</v>
      </c>
      <c r="Q392" s="68" t="e">
        <f>#REF!*COM!$P$4</f>
        <v>#REF!</v>
      </c>
      <c r="R392" s="68" t="e">
        <f>#REF!*COM!$R$4</f>
        <v>#REF!</v>
      </c>
      <c r="S392" s="68" t="e">
        <f>#REF!*COM!$R$4</f>
        <v>#REF!</v>
      </c>
      <c r="T392" s="111" t="e">
        <f t="shared" si="25"/>
        <v>#REF!</v>
      </c>
    </row>
    <row r="393" spans="1:20" ht="37.5" x14ac:dyDescent="0.25">
      <c r="A393" s="77">
        <v>311</v>
      </c>
      <c r="B393" s="78">
        <v>55</v>
      </c>
      <c r="C393" s="78">
        <v>930</v>
      </c>
      <c r="D393" s="79">
        <v>70499</v>
      </c>
      <c r="E393" s="80" t="s">
        <v>172</v>
      </c>
      <c r="F393" s="81" t="s">
        <v>308</v>
      </c>
      <c r="G393" s="38"/>
      <c r="H393" s="68" t="e">
        <f>#REF!*COM!$H$4</f>
        <v>#REF!</v>
      </c>
      <c r="I393" s="68" t="e">
        <f>#REF!*COM!$H$4</f>
        <v>#REF!</v>
      </c>
      <c r="J393" s="68" t="e">
        <f>#REF!*COM!$J$4</f>
        <v>#REF!</v>
      </c>
      <c r="K393" s="68" t="e">
        <f>#REF!*COM!$J$4</f>
        <v>#REF!</v>
      </c>
      <c r="L393" s="68" t="e">
        <f>#REF!*COM!$L$4</f>
        <v>#REF!</v>
      </c>
      <c r="M393" s="68" t="e">
        <f>#REF!*COM!$L$4</f>
        <v>#REF!</v>
      </c>
      <c r="N393" s="68" t="e">
        <f>#REF!*COM!$N$4</f>
        <v>#REF!</v>
      </c>
      <c r="O393" s="68" t="e">
        <f>#REF!*COM!$N$4</f>
        <v>#REF!</v>
      </c>
      <c r="P393" s="68" t="e">
        <f>#REF!*COM!$P$4</f>
        <v>#REF!</v>
      </c>
      <c r="Q393" s="68" t="e">
        <f>#REF!*COM!$P$4</f>
        <v>#REF!</v>
      </c>
      <c r="R393" s="68" t="e">
        <f>#REF!*COM!$R$4</f>
        <v>#REF!</v>
      </c>
      <c r="S393" s="68" t="e">
        <f>#REF!*COM!$R$4</f>
        <v>#REF!</v>
      </c>
      <c r="T393" s="111" t="e">
        <f t="shared" si="25"/>
        <v>#REF!</v>
      </c>
    </row>
    <row r="394" spans="1:20" ht="18.75" x14ac:dyDescent="0.25">
      <c r="A394" s="63">
        <v>311</v>
      </c>
      <c r="B394" s="64">
        <v>55</v>
      </c>
      <c r="C394" s="64">
        <v>920</v>
      </c>
      <c r="D394" s="65">
        <v>70499</v>
      </c>
      <c r="E394" s="66" t="s">
        <v>172</v>
      </c>
      <c r="F394" s="67" t="s">
        <v>140</v>
      </c>
      <c r="G394" s="38"/>
      <c r="H394" s="68" t="e">
        <f>#REF!*COM!$H$4</f>
        <v>#REF!</v>
      </c>
      <c r="I394" s="68" t="e">
        <f>#REF!*COM!$H$4</f>
        <v>#REF!</v>
      </c>
      <c r="J394" s="68" t="e">
        <f>#REF!*COM!$J$4</f>
        <v>#REF!</v>
      </c>
      <c r="K394" s="68" t="e">
        <f>#REF!*COM!$J$4</f>
        <v>#REF!</v>
      </c>
      <c r="L394" s="68" t="e">
        <f>#REF!*COM!$L$4</f>
        <v>#REF!</v>
      </c>
      <c r="M394" s="68" t="e">
        <f>#REF!*COM!$L$4</f>
        <v>#REF!</v>
      </c>
      <c r="N394" s="68" t="e">
        <f>#REF!*COM!$N$4</f>
        <v>#REF!</v>
      </c>
      <c r="O394" s="68" t="e">
        <f>#REF!*COM!$N$4</f>
        <v>#REF!</v>
      </c>
      <c r="P394" s="68" t="e">
        <f>#REF!*COM!$P$4</f>
        <v>#REF!</v>
      </c>
      <c r="Q394" s="68" t="e">
        <f>#REF!*COM!$P$4</f>
        <v>#REF!</v>
      </c>
      <c r="R394" s="68" t="e">
        <f>#REF!*COM!$R$4</f>
        <v>#REF!</v>
      </c>
      <c r="S394" s="68" t="e">
        <f>#REF!*COM!$R$4</f>
        <v>#REF!</v>
      </c>
      <c r="T394" s="111" t="e">
        <f t="shared" si="25"/>
        <v>#REF!</v>
      </c>
    </row>
    <row r="395" spans="1:20" ht="18.75" x14ac:dyDescent="0.25">
      <c r="A395" s="63">
        <v>321</v>
      </c>
      <c r="B395" s="64">
        <v>55</v>
      </c>
      <c r="C395" s="64">
        <v>930</v>
      </c>
      <c r="D395" s="65">
        <v>70499</v>
      </c>
      <c r="E395" s="66" t="s">
        <v>172</v>
      </c>
      <c r="F395" s="67" t="s">
        <v>141</v>
      </c>
      <c r="G395" s="38"/>
      <c r="H395" s="68" t="e">
        <f>#REF!*COM!$H$4</f>
        <v>#REF!</v>
      </c>
      <c r="I395" s="68" t="e">
        <f>#REF!*COM!$H$4</f>
        <v>#REF!</v>
      </c>
      <c r="J395" s="68" t="e">
        <f>#REF!*COM!$J$4</f>
        <v>#REF!</v>
      </c>
      <c r="K395" s="68" t="e">
        <f>#REF!*COM!$J$4</f>
        <v>#REF!</v>
      </c>
      <c r="L395" s="68" t="e">
        <f>#REF!*COM!$L$4</f>
        <v>#REF!</v>
      </c>
      <c r="M395" s="68" t="e">
        <f>#REF!*COM!$L$4</f>
        <v>#REF!</v>
      </c>
      <c r="N395" s="68" t="e">
        <f>#REF!*COM!$N$4</f>
        <v>#REF!</v>
      </c>
      <c r="O395" s="68" t="e">
        <f>#REF!*COM!$N$4</f>
        <v>#REF!</v>
      </c>
      <c r="P395" s="68" t="e">
        <f>#REF!*COM!$P$4</f>
        <v>#REF!</v>
      </c>
      <c r="Q395" s="68" t="e">
        <f>#REF!*COM!$P$4</f>
        <v>#REF!</v>
      </c>
      <c r="R395" s="68" t="e">
        <f>#REF!*COM!$R$4</f>
        <v>#REF!</v>
      </c>
      <c r="S395" s="68" t="e">
        <f>#REF!*COM!$R$4</f>
        <v>#REF!</v>
      </c>
      <c r="T395" s="111" t="e">
        <f t="shared" si="25"/>
        <v>#REF!</v>
      </c>
    </row>
    <row r="396" spans="1:20" ht="37.5" x14ac:dyDescent="0.25">
      <c r="A396" s="4">
        <v>311</v>
      </c>
      <c r="B396" s="52">
        <v>55</v>
      </c>
      <c r="C396" s="52">
        <v>920</v>
      </c>
      <c r="D396" s="7">
        <v>70499</v>
      </c>
      <c r="E396" s="20" t="s">
        <v>172</v>
      </c>
      <c r="F396" s="38" t="s">
        <v>184</v>
      </c>
      <c r="G396" s="38"/>
      <c r="H396" s="68" t="e">
        <f>#REF!*COM!$H$4</f>
        <v>#REF!</v>
      </c>
      <c r="I396" s="68" t="e">
        <f>#REF!*COM!$H$4</f>
        <v>#REF!</v>
      </c>
      <c r="J396" s="68" t="e">
        <f>#REF!*COM!$J$4</f>
        <v>#REF!</v>
      </c>
      <c r="K396" s="68" t="e">
        <f>#REF!*COM!$J$4</f>
        <v>#REF!</v>
      </c>
      <c r="L396" s="68" t="e">
        <f>#REF!*COM!$L$4</f>
        <v>#REF!</v>
      </c>
      <c r="M396" s="68" t="e">
        <f>#REF!*COM!$L$4</f>
        <v>#REF!</v>
      </c>
      <c r="N396" s="68" t="e">
        <f>#REF!*COM!$N$4</f>
        <v>#REF!</v>
      </c>
      <c r="O396" s="68" t="e">
        <f>#REF!*COM!$N$4</f>
        <v>#REF!</v>
      </c>
      <c r="P396" s="68" t="e">
        <f>#REF!*COM!$P$4</f>
        <v>#REF!</v>
      </c>
      <c r="Q396" s="68" t="e">
        <f>#REF!*COM!$P$4</f>
        <v>#REF!</v>
      </c>
      <c r="R396" s="68" t="e">
        <f>#REF!*COM!$R$4</f>
        <v>#REF!</v>
      </c>
      <c r="S396" s="68" t="e">
        <f>#REF!*COM!$R$4</f>
        <v>#REF!</v>
      </c>
      <c r="T396" s="111" t="e">
        <f t="shared" si="25"/>
        <v>#REF!</v>
      </c>
    </row>
    <row r="397" spans="1:20" ht="37.5" x14ac:dyDescent="0.25">
      <c r="A397" s="4">
        <v>311</v>
      </c>
      <c r="B397" s="52">
        <v>55</v>
      </c>
      <c r="C397" s="52">
        <v>920</v>
      </c>
      <c r="D397" s="7">
        <v>70499</v>
      </c>
      <c r="E397" s="20" t="s">
        <v>172</v>
      </c>
      <c r="F397" s="38" t="s">
        <v>185</v>
      </c>
      <c r="G397" s="38"/>
      <c r="H397" s="68" t="e">
        <f>#REF!*COM!$H$4</f>
        <v>#REF!</v>
      </c>
      <c r="I397" s="68" t="e">
        <f>#REF!*COM!$H$4</f>
        <v>#REF!</v>
      </c>
      <c r="J397" s="68" t="e">
        <f>#REF!*COM!$J$4</f>
        <v>#REF!</v>
      </c>
      <c r="K397" s="68" t="e">
        <f>#REF!*COM!$J$4</f>
        <v>#REF!</v>
      </c>
      <c r="L397" s="68" t="e">
        <f>#REF!*COM!$L$4</f>
        <v>#REF!</v>
      </c>
      <c r="M397" s="68" t="e">
        <f>#REF!*COM!$L$4</f>
        <v>#REF!</v>
      </c>
      <c r="N397" s="68" t="e">
        <f>#REF!*COM!$N$4</f>
        <v>#REF!</v>
      </c>
      <c r="O397" s="68" t="e">
        <f>#REF!*COM!$N$4</f>
        <v>#REF!</v>
      </c>
      <c r="P397" s="68" t="e">
        <f>#REF!*COM!$P$4</f>
        <v>#REF!</v>
      </c>
      <c r="Q397" s="68" t="e">
        <f>#REF!*COM!$P$4</f>
        <v>#REF!</v>
      </c>
      <c r="R397" s="68" t="e">
        <f>#REF!*COM!$R$4</f>
        <v>#REF!</v>
      </c>
      <c r="S397" s="68" t="e">
        <f>#REF!*COM!$R$4</f>
        <v>#REF!</v>
      </c>
      <c r="T397" s="111" t="e">
        <f t="shared" si="25"/>
        <v>#REF!</v>
      </c>
    </row>
    <row r="398" spans="1:20" ht="37.5" x14ac:dyDescent="0.25">
      <c r="A398" s="4">
        <v>321</v>
      </c>
      <c r="B398" s="52">
        <v>55</v>
      </c>
      <c r="C398" s="52">
        <v>930</v>
      </c>
      <c r="D398" s="7">
        <v>70499</v>
      </c>
      <c r="E398" s="20" t="s">
        <v>172</v>
      </c>
      <c r="F398" s="38" t="s">
        <v>186</v>
      </c>
      <c r="G398" s="38"/>
      <c r="H398" s="68" t="e">
        <f>#REF!*COM!$H$4</f>
        <v>#REF!</v>
      </c>
      <c r="I398" s="68" t="e">
        <f>#REF!*COM!$H$4</f>
        <v>#REF!</v>
      </c>
      <c r="J398" s="68" t="e">
        <f>#REF!*COM!$J$4</f>
        <v>#REF!</v>
      </c>
      <c r="K398" s="68" t="e">
        <f>#REF!*COM!$J$4</f>
        <v>#REF!</v>
      </c>
      <c r="L398" s="68" t="e">
        <f>#REF!*COM!$L$4</f>
        <v>#REF!</v>
      </c>
      <c r="M398" s="68" t="e">
        <f>#REF!*COM!$L$4</f>
        <v>#REF!</v>
      </c>
      <c r="N398" s="68" t="e">
        <f>#REF!*COM!$N$4</f>
        <v>#REF!</v>
      </c>
      <c r="O398" s="68" t="e">
        <f>#REF!*COM!$N$4</f>
        <v>#REF!</v>
      </c>
      <c r="P398" s="68" t="e">
        <f>#REF!*COM!$P$4</f>
        <v>#REF!</v>
      </c>
      <c r="Q398" s="68" t="e">
        <f>#REF!*COM!$P$4</f>
        <v>#REF!</v>
      </c>
      <c r="R398" s="68" t="e">
        <f>#REF!*COM!$R$4</f>
        <v>#REF!</v>
      </c>
      <c r="S398" s="68" t="e">
        <f>#REF!*COM!$R$4</f>
        <v>#REF!</v>
      </c>
      <c r="T398" s="111" t="e">
        <f t="shared" si="25"/>
        <v>#REF!</v>
      </c>
    </row>
    <row r="399" spans="1:20" ht="37.5" x14ac:dyDescent="0.25">
      <c r="A399" s="4">
        <v>311</v>
      </c>
      <c r="B399" s="52">
        <v>55</v>
      </c>
      <c r="C399" s="52">
        <v>930</v>
      </c>
      <c r="D399" s="7">
        <v>70499</v>
      </c>
      <c r="E399" s="20" t="s">
        <v>172</v>
      </c>
      <c r="F399" s="38" t="s">
        <v>142</v>
      </c>
      <c r="G399" s="38"/>
      <c r="H399" s="68" t="e">
        <f>#REF!*COM!$H$4</f>
        <v>#REF!</v>
      </c>
      <c r="I399" s="68" t="e">
        <f>#REF!*COM!$H$4</f>
        <v>#REF!</v>
      </c>
      <c r="J399" s="68" t="e">
        <f>#REF!*COM!$J$4</f>
        <v>#REF!</v>
      </c>
      <c r="K399" s="68" t="e">
        <f>#REF!*COM!$J$4</f>
        <v>#REF!</v>
      </c>
      <c r="L399" s="68" t="e">
        <f>#REF!*COM!$L$4</f>
        <v>#REF!</v>
      </c>
      <c r="M399" s="68" t="e">
        <f>#REF!*COM!$L$4</f>
        <v>#REF!</v>
      </c>
      <c r="N399" s="68" t="e">
        <f>#REF!*COM!$N$4</f>
        <v>#REF!</v>
      </c>
      <c r="O399" s="68" t="e">
        <f>#REF!*COM!$N$4</f>
        <v>#REF!</v>
      </c>
      <c r="P399" s="68" t="e">
        <f>#REF!*COM!$P$4</f>
        <v>#REF!</v>
      </c>
      <c r="Q399" s="68" t="e">
        <f>#REF!*COM!$P$4</f>
        <v>#REF!</v>
      </c>
      <c r="R399" s="68" t="e">
        <f>#REF!*COM!$R$4</f>
        <v>#REF!</v>
      </c>
      <c r="S399" s="68" t="e">
        <f>#REF!*COM!$R$4</f>
        <v>#REF!</v>
      </c>
      <c r="T399" s="111" t="e">
        <f t="shared" si="25"/>
        <v>#REF!</v>
      </c>
    </row>
    <row r="400" spans="1:20" ht="37.5" x14ac:dyDescent="0.25">
      <c r="A400" s="4">
        <v>321</v>
      </c>
      <c r="B400" s="52">
        <v>55</v>
      </c>
      <c r="C400" s="52">
        <v>930</v>
      </c>
      <c r="D400" s="7">
        <v>70499</v>
      </c>
      <c r="E400" s="20" t="s">
        <v>172</v>
      </c>
      <c r="F400" s="38" t="s">
        <v>143</v>
      </c>
      <c r="G400" s="38"/>
      <c r="H400" s="68" t="e">
        <f>#REF!*COM!$H$4</f>
        <v>#REF!</v>
      </c>
      <c r="I400" s="68" t="e">
        <f>#REF!*COM!$H$4</f>
        <v>#REF!</v>
      </c>
      <c r="J400" s="68" t="e">
        <f>#REF!*COM!$J$4</f>
        <v>#REF!</v>
      </c>
      <c r="K400" s="68" t="e">
        <f>#REF!*COM!$J$4</f>
        <v>#REF!</v>
      </c>
      <c r="L400" s="68" t="e">
        <f>#REF!*COM!$L$4</f>
        <v>#REF!</v>
      </c>
      <c r="M400" s="68" t="e">
        <f>#REF!*COM!$L$4</f>
        <v>#REF!</v>
      </c>
      <c r="N400" s="68" t="e">
        <f>#REF!*COM!$N$4</f>
        <v>#REF!</v>
      </c>
      <c r="O400" s="68" t="e">
        <f>#REF!*COM!$N$4</f>
        <v>#REF!</v>
      </c>
      <c r="P400" s="68" t="e">
        <f>#REF!*COM!$P$4</f>
        <v>#REF!</v>
      </c>
      <c r="Q400" s="68" t="e">
        <f>#REF!*COM!$P$4</f>
        <v>#REF!</v>
      </c>
      <c r="R400" s="68" t="e">
        <f>#REF!*COM!$R$4</f>
        <v>#REF!</v>
      </c>
      <c r="S400" s="68" t="e">
        <f>#REF!*COM!$R$4</f>
        <v>#REF!</v>
      </c>
      <c r="T400" s="111" t="e">
        <f t="shared" si="25"/>
        <v>#REF!</v>
      </c>
    </row>
    <row r="401" spans="1:20" ht="37.5" x14ac:dyDescent="0.25">
      <c r="A401" s="4">
        <v>321</v>
      </c>
      <c r="B401" s="52">
        <v>55</v>
      </c>
      <c r="C401" s="52">
        <v>930</v>
      </c>
      <c r="D401" s="7">
        <v>70499</v>
      </c>
      <c r="E401" s="20" t="s">
        <v>172</v>
      </c>
      <c r="F401" s="38" t="s">
        <v>144</v>
      </c>
      <c r="G401" s="38"/>
      <c r="H401" s="68" t="e">
        <f>#REF!*COM!$H$4</f>
        <v>#REF!</v>
      </c>
      <c r="I401" s="68" t="e">
        <f>#REF!*COM!$H$4</f>
        <v>#REF!</v>
      </c>
      <c r="J401" s="68" t="e">
        <f>#REF!*COM!$J$4</f>
        <v>#REF!</v>
      </c>
      <c r="K401" s="68" t="e">
        <f>#REF!*COM!$J$4</f>
        <v>#REF!</v>
      </c>
      <c r="L401" s="68" t="e">
        <f>#REF!*COM!$L$4</f>
        <v>#REF!</v>
      </c>
      <c r="M401" s="68" t="e">
        <f>#REF!*COM!$L$4</f>
        <v>#REF!</v>
      </c>
      <c r="N401" s="68" t="e">
        <f>#REF!*COM!$N$4</f>
        <v>#REF!</v>
      </c>
      <c r="O401" s="68" t="e">
        <f>#REF!*COM!$N$4</f>
        <v>#REF!</v>
      </c>
      <c r="P401" s="68" t="e">
        <f>#REF!*COM!$P$4</f>
        <v>#REF!</v>
      </c>
      <c r="Q401" s="68" t="e">
        <f>#REF!*COM!$P$4</f>
        <v>#REF!</v>
      </c>
      <c r="R401" s="68" t="e">
        <f>#REF!*COM!$R$4</f>
        <v>#REF!</v>
      </c>
      <c r="S401" s="68" t="e">
        <f>#REF!*COM!$R$4</f>
        <v>#REF!</v>
      </c>
      <c r="T401" s="111" t="e">
        <f t="shared" si="25"/>
        <v>#REF!</v>
      </c>
    </row>
    <row r="402" spans="1:20" ht="18.75" x14ac:dyDescent="0.25">
      <c r="A402" s="4">
        <v>311</v>
      </c>
      <c r="B402" s="52">
        <v>55</v>
      </c>
      <c r="C402" s="52">
        <v>930</v>
      </c>
      <c r="D402" s="7">
        <v>70499</v>
      </c>
      <c r="E402" s="20" t="s">
        <v>172</v>
      </c>
      <c r="F402" s="38" t="s">
        <v>193</v>
      </c>
      <c r="G402" s="38"/>
      <c r="H402" s="68" t="e">
        <f>#REF!*COM!$H$4</f>
        <v>#REF!</v>
      </c>
      <c r="I402" s="68" t="e">
        <f>#REF!*COM!$H$4</f>
        <v>#REF!</v>
      </c>
      <c r="J402" s="68" t="e">
        <f>#REF!*COM!$J$4</f>
        <v>#REF!</v>
      </c>
      <c r="K402" s="68" t="e">
        <f>#REF!*COM!$J$4</f>
        <v>#REF!</v>
      </c>
      <c r="L402" s="68" t="e">
        <f>#REF!*COM!$L$4</f>
        <v>#REF!</v>
      </c>
      <c r="M402" s="68" t="e">
        <f>#REF!*COM!$L$4</f>
        <v>#REF!</v>
      </c>
      <c r="N402" s="68" t="e">
        <f>#REF!*COM!$N$4</f>
        <v>#REF!</v>
      </c>
      <c r="O402" s="68" t="e">
        <f>#REF!*COM!$N$4</f>
        <v>#REF!</v>
      </c>
      <c r="P402" s="68" t="e">
        <f>#REF!*COM!$P$4</f>
        <v>#REF!</v>
      </c>
      <c r="Q402" s="68" t="e">
        <f>#REF!*COM!$P$4</f>
        <v>#REF!</v>
      </c>
      <c r="R402" s="68" t="e">
        <f>#REF!*COM!$R$4</f>
        <v>#REF!</v>
      </c>
      <c r="S402" s="68" t="e">
        <f>#REF!*COM!$R$4</f>
        <v>#REF!</v>
      </c>
      <c r="T402" s="111"/>
    </row>
    <row r="403" spans="1:20" ht="18.75" x14ac:dyDescent="0.25">
      <c r="A403" s="4">
        <v>321</v>
      </c>
      <c r="B403" s="52">
        <v>55</v>
      </c>
      <c r="C403" s="52">
        <v>930</v>
      </c>
      <c r="D403" s="7">
        <v>70499</v>
      </c>
      <c r="E403" s="20" t="s">
        <v>172</v>
      </c>
      <c r="F403" s="46" t="s">
        <v>193</v>
      </c>
      <c r="G403" s="46"/>
      <c r="H403" s="68" t="e">
        <f>#REF!*COM!$H$4</f>
        <v>#REF!</v>
      </c>
      <c r="I403" s="68" t="e">
        <f>#REF!*COM!$H$4</f>
        <v>#REF!</v>
      </c>
      <c r="J403" s="68" t="e">
        <f>#REF!*COM!$J$4</f>
        <v>#REF!</v>
      </c>
      <c r="K403" s="68" t="e">
        <f>#REF!*COM!$J$4</f>
        <v>#REF!</v>
      </c>
      <c r="L403" s="68" t="e">
        <f>#REF!*COM!$L$4</f>
        <v>#REF!</v>
      </c>
      <c r="M403" s="68" t="e">
        <f>#REF!*COM!$L$4</f>
        <v>#REF!</v>
      </c>
      <c r="N403" s="68" t="e">
        <f>#REF!*COM!$N$4</f>
        <v>#REF!</v>
      </c>
      <c r="O403" s="68" t="e">
        <f>#REF!*COM!$N$4</f>
        <v>#REF!</v>
      </c>
      <c r="P403" s="68" t="e">
        <f>#REF!*COM!$P$4</f>
        <v>#REF!</v>
      </c>
      <c r="Q403" s="68" t="e">
        <f>#REF!*COM!$P$4</f>
        <v>#REF!</v>
      </c>
      <c r="R403" s="68" t="e">
        <f>#REF!*COM!$R$4</f>
        <v>#REF!</v>
      </c>
      <c r="S403" s="68" t="e">
        <f>#REF!*COM!$R$4</f>
        <v>#REF!</v>
      </c>
      <c r="T403" s="111" t="e">
        <f t="shared" si="25"/>
        <v>#REF!</v>
      </c>
    </row>
    <row r="404" spans="1:20" ht="37.5" x14ac:dyDescent="0.25">
      <c r="A404" s="4">
        <v>321</v>
      </c>
      <c r="B404" s="52">
        <v>55</v>
      </c>
      <c r="C404" s="52">
        <v>930</v>
      </c>
      <c r="D404" s="7">
        <v>70499</v>
      </c>
      <c r="E404" s="20" t="s">
        <v>174</v>
      </c>
      <c r="F404" s="46" t="s">
        <v>267</v>
      </c>
      <c r="G404" s="46"/>
      <c r="H404" s="68" t="e">
        <f>#REF!*COM!$H$4</f>
        <v>#REF!</v>
      </c>
      <c r="I404" s="68" t="e">
        <f>#REF!*COM!$H$4</f>
        <v>#REF!</v>
      </c>
      <c r="J404" s="68" t="e">
        <f>#REF!*COM!$J$4</f>
        <v>#REF!</v>
      </c>
      <c r="K404" s="68" t="e">
        <f>#REF!*COM!$J$4</f>
        <v>#REF!</v>
      </c>
      <c r="L404" s="68" t="e">
        <f>#REF!*COM!$L$4</f>
        <v>#REF!</v>
      </c>
      <c r="M404" s="68" t="e">
        <f>#REF!*COM!$L$4</f>
        <v>#REF!</v>
      </c>
      <c r="N404" s="68" t="e">
        <f>#REF!*COM!$N$4</f>
        <v>#REF!</v>
      </c>
      <c r="O404" s="68" t="e">
        <f>#REF!*COM!$N$4</f>
        <v>#REF!</v>
      </c>
      <c r="P404" s="68" t="e">
        <f>#REF!*COM!$P$4</f>
        <v>#REF!</v>
      </c>
      <c r="Q404" s="68" t="e">
        <f>#REF!*COM!$P$4</f>
        <v>#REF!</v>
      </c>
      <c r="R404" s="68" t="e">
        <f>#REF!*COM!$R$4</f>
        <v>#REF!</v>
      </c>
      <c r="S404" s="68" t="e">
        <f>#REF!*COM!$R$4</f>
        <v>#REF!</v>
      </c>
      <c r="T404" s="111" t="e">
        <f t="shared" si="25"/>
        <v>#REF!</v>
      </c>
    </row>
    <row r="405" spans="1:20" ht="18.75" x14ac:dyDescent="0.25">
      <c r="A405" s="4">
        <v>311</v>
      </c>
      <c r="B405" s="52">
        <v>55</v>
      </c>
      <c r="C405" s="52">
        <v>920</v>
      </c>
      <c r="D405" s="7">
        <v>70499</v>
      </c>
      <c r="E405" s="20" t="s">
        <v>176</v>
      </c>
      <c r="F405" s="46" t="s">
        <v>268</v>
      </c>
      <c r="G405" s="46"/>
      <c r="H405" s="68" t="e">
        <f>#REF!*COM!$H$4</f>
        <v>#REF!</v>
      </c>
      <c r="I405" s="68" t="e">
        <f>#REF!*COM!$H$4</f>
        <v>#REF!</v>
      </c>
      <c r="J405" s="68" t="e">
        <f>#REF!*COM!$J$4</f>
        <v>#REF!</v>
      </c>
      <c r="K405" s="68" t="e">
        <f>#REF!*COM!$J$4</f>
        <v>#REF!</v>
      </c>
      <c r="L405" s="68" t="e">
        <f>#REF!*COM!$L$4</f>
        <v>#REF!</v>
      </c>
      <c r="M405" s="68" t="e">
        <f>#REF!*COM!$L$4</f>
        <v>#REF!</v>
      </c>
      <c r="N405" s="68" t="e">
        <f>#REF!*COM!$N$4</f>
        <v>#REF!</v>
      </c>
      <c r="O405" s="68" t="e">
        <f>#REF!*COM!$N$4</f>
        <v>#REF!</v>
      </c>
      <c r="P405" s="68" t="e">
        <f>#REF!*COM!$P$4</f>
        <v>#REF!</v>
      </c>
      <c r="Q405" s="68" t="e">
        <f>#REF!*COM!$P$4</f>
        <v>#REF!</v>
      </c>
      <c r="R405" s="68" t="e">
        <f>#REF!*COM!$R$4</f>
        <v>#REF!</v>
      </c>
      <c r="S405" s="68" t="e">
        <f>#REF!*COM!$R$4</f>
        <v>#REF!</v>
      </c>
      <c r="T405" s="111" t="e">
        <f t="shared" si="25"/>
        <v>#REF!</v>
      </c>
    </row>
    <row r="406" spans="1:20" ht="18.75" x14ac:dyDescent="0.25">
      <c r="A406" s="4">
        <v>321</v>
      </c>
      <c r="B406" s="52">
        <v>55</v>
      </c>
      <c r="C406" s="52">
        <v>930</v>
      </c>
      <c r="D406" s="7">
        <v>70499</v>
      </c>
      <c r="E406" s="20" t="s">
        <v>176</v>
      </c>
      <c r="F406" s="46" t="s">
        <v>269</v>
      </c>
      <c r="G406" s="46"/>
      <c r="H406" s="68" t="e">
        <f>#REF!*COM!$H$4</f>
        <v>#REF!</v>
      </c>
      <c r="I406" s="68" t="e">
        <f>#REF!*COM!$H$4</f>
        <v>#REF!</v>
      </c>
      <c r="J406" s="68" t="e">
        <f>#REF!*COM!$J$4</f>
        <v>#REF!</v>
      </c>
      <c r="K406" s="68" t="e">
        <f>#REF!*COM!$J$4</f>
        <v>#REF!</v>
      </c>
      <c r="L406" s="68" t="e">
        <f>#REF!*COM!$L$4</f>
        <v>#REF!</v>
      </c>
      <c r="M406" s="68" t="e">
        <f>#REF!*COM!$L$4</f>
        <v>#REF!</v>
      </c>
      <c r="N406" s="68" t="e">
        <f>#REF!*COM!$N$4</f>
        <v>#REF!</v>
      </c>
      <c r="O406" s="68" t="e">
        <f>#REF!*COM!$N$4</f>
        <v>#REF!</v>
      </c>
      <c r="P406" s="68" t="e">
        <f>#REF!*COM!$P$4</f>
        <v>#REF!</v>
      </c>
      <c r="Q406" s="68" t="e">
        <f>#REF!*COM!$P$4</f>
        <v>#REF!</v>
      </c>
      <c r="R406" s="68" t="e">
        <f>#REF!*COM!$R$4</f>
        <v>#REF!</v>
      </c>
      <c r="S406" s="68" t="e">
        <f>#REF!*COM!$R$4</f>
        <v>#REF!</v>
      </c>
      <c r="T406" s="111" t="e">
        <f t="shared" ref="T406:T432" si="30">I406+K406+M406+O406+Q406+S406</f>
        <v>#REF!</v>
      </c>
    </row>
    <row r="407" spans="1:20" ht="47.25" customHeight="1" x14ac:dyDescent="0.25">
      <c r="A407" s="4">
        <v>311</v>
      </c>
      <c r="B407" s="52">
        <v>55</v>
      </c>
      <c r="C407" s="52">
        <v>920</v>
      </c>
      <c r="D407" s="7">
        <v>70499</v>
      </c>
      <c r="E407" s="20" t="s">
        <v>176</v>
      </c>
      <c r="F407" s="46" t="s">
        <v>270</v>
      </c>
      <c r="G407" s="46"/>
      <c r="H407" s="68" t="e">
        <f>#REF!*COM!$H$4</f>
        <v>#REF!</v>
      </c>
      <c r="I407" s="68" t="e">
        <f>#REF!*COM!$H$4</f>
        <v>#REF!</v>
      </c>
      <c r="J407" s="68" t="e">
        <f>#REF!*COM!$J$4</f>
        <v>#REF!</v>
      </c>
      <c r="K407" s="68" t="e">
        <f>#REF!*COM!$J$4</f>
        <v>#REF!</v>
      </c>
      <c r="L407" s="68" t="e">
        <f>#REF!*COM!$L$4</f>
        <v>#REF!</v>
      </c>
      <c r="M407" s="68" t="e">
        <f>#REF!*COM!$L$4</f>
        <v>#REF!</v>
      </c>
      <c r="N407" s="68" t="e">
        <f>#REF!*COM!$N$4</f>
        <v>#REF!</v>
      </c>
      <c r="O407" s="68" t="e">
        <f>#REF!*COM!$N$4</f>
        <v>#REF!</v>
      </c>
      <c r="P407" s="68" t="e">
        <f>#REF!*COM!$P$4</f>
        <v>#REF!</v>
      </c>
      <c r="Q407" s="68" t="e">
        <f>#REF!*COM!$P$4</f>
        <v>#REF!</v>
      </c>
      <c r="R407" s="68" t="e">
        <f>#REF!*COM!$R$4</f>
        <v>#REF!</v>
      </c>
      <c r="S407" s="68" t="e">
        <f>#REF!*COM!$R$4</f>
        <v>#REF!</v>
      </c>
      <c r="T407" s="111" t="e">
        <f t="shared" si="30"/>
        <v>#REF!</v>
      </c>
    </row>
    <row r="408" spans="1:20" ht="37.5" x14ac:dyDescent="0.25">
      <c r="A408" s="4">
        <v>321</v>
      </c>
      <c r="B408" s="52">
        <v>55</v>
      </c>
      <c r="C408" s="52">
        <v>930</v>
      </c>
      <c r="D408" s="7">
        <v>70499</v>
      </c>
      <c r="E408" s="20" t="s">
        <v>176</v>
      </c>
      <c r="F408" s="46" t="s">
        <v>271</v>
      </c>
      <c r="G408" s="46"/>
      <c r="H408" s="68" t="e">
        <f>#REF!*COM!$H$4</f>
        <v>#REF!</v>
      </c>
      <c r="I408" s="68" t="e">
        <f>#REF!*COM!$H$4</f>
        <v>#REF!</v>
      </c>
      <c r="J408" s="68" t="e">
        <f>#REF!*COM!$J$4</f>
        <v>#REF!</v>
      </c>
      <c r="K408" s="68" t="e">
        <f>#REF!*COM!$J$4</f>
        <v>#REF!</v>
      </c>
      <c r="L408" s="68" t="e">
        <f>#REF!*COM!$L$4</f>
        <v>#REF!</v>
      </c>
      <c r="M408" s="68" t="e">
        <f>#REF!*COM!$L$4</f>
        <v>#REF!</v>
      </c>
      <c r="N408" s="68" t="e">
        <f>#REF!*COM!$N$4</f>
        <v>#REF!</v>
      </c>
      <c r="O408" s="68" t="e">
        <f>#REF!*COM!$N$4</f>
        <v>#REF!</v>
      </c>
      <c r="P408" s="68" t="e">
        <f>#REF!*COM!$P$4</f>
        <v>#REF!</v>
      </c>
      <c r="Q408" s="68" t="e">
        <f>#REF!*COM!$P$4</f>
        <v>#REF!</v>
      </c>
      <c r="R408" s="68" t="e">
        <f>#REF!*COM!$R$4</f>
        <v>#REF!</v>
      </c>
      <c r="S408" s="68" t="e">
        <f>#REF!*COM!$R$4</f>
        <v>#REF!</v>
      </c>
      <c r="T408" s="111" t="e">
        <f t="shared" si="30"/>
        <v>#REF!</v>
      </c>
    </row>
    <row r="409" spans="1:20" ht="37.5" x14ac:dyDescent="0.25">
      <c r="A409" s="4">
        <v>321</v>
      </c>
      <c r="B409" s="52">
        <v>55</v>
      </c>
      <c r="C409" s="52">
        <v>930</v>
      </c>
      <c r="D409" s="7">
        <v>70499</v>
      </c>
      <c r="E409" s="20" t="s">
        <v>419</v>
      </c>
      <c r="F409" s="38" t="s">
        <v>433</v>
      </c>
      <c r="G409" s="46"/>
      <c r="H409" s="68" t="e">
        <f>#REF!*COM!$H$4</f>
        <v>#REF!</v>
      </c>
      <c r="I409" s="68" t="e">
        <f>#REF!*COM!$H$4</f>
        <v>#REF!</v>
      </c>
      <c r="J409" s="68" t="e">
        <f>#REF!*COM!$J$4</f>
        <v>#REF!</v>
      </c>
      <c r="K409" s="68" t="e">
        <f>#REF!*COM!$J$4</f>
        <v>#REF!</v>
      </c>
      <c r="L409" s="68" t="e">
        <f>#REF!*COM!$L$4</f>
        <v>#REF!</v>
      </c>
      <c r="M409" s="68" t="e">
        <f>#REF!*COM!$L$4</f>
        <v>#REF!</v>
      </c>
      <c r="N409" s="68" t="e">
        <f>#REF!*COM!$N$4</f>
        <v>#REF!</v>
      </c>
      <c r="O409" s="68" t="e">
        <f>#REF!*COM!$N$4</f>
        <v>#REF!</v>
      </c>
      <c r="P409" s="68" t="e">
        <f>#REF!*COM!$P$4</f>
        <v>#REF!</v>
      </c>
      <c r="Q409" s="68" t="e">
        <f>#REF!*COM!$P$4</f>
        <v>#REF!</v>
      </c>
      <c r="R409" s="68" t="e">
        <f>#REF!*COM!$R$4</f>
        <v>#REF!</v>
      </c>
      <c r="S409" s="68" t="e">
        <f>#REF!*COM!$R$4</f>
        <v>#REF!</v>
      </c>
      <c r="T409" s="111" t="e">
        <f t="shared" si="30"/>
        <v>#REF!</v>
      </c>
    </row>
    <row r="410" spans="1:20" ht="37.5" x14ac:dyDescent="0.25">
      <c r="A410" s="4">
        <v>311</v>
      </c>
      <c r="B410" s="52">
        <v>55</v>
      </c>
      <c r="C410" s="52">
        <v>910</v>
      </c>
      <c r="D410" s="7">
        <v>70499</v>
      </c>
      <c r="E410" s="20"/>
      <c r="F410" s="38" t="s">
        <v>405</v>
      </c>
      <c r="G410" s="46"/>
      <c r="H410" s="68" t="e">
        <f>#REF!*COM!$H$4</f>
        <v>#REF!</v>
      </c>
      <c r="I410" s="68" t="e">
        <f>#REF!*COM!$H$4</f>
        <v>#REF!</v>
      </c>
      <c r="J410" s="68" t="e">
        <f>#REF!*COM!$J$4</f>
        <v>#REF!</v>
      </c>
      <c r="K410" s="68" t="e">
        <f>#REF!*COM!$J$4</f>
        <v>#REF!</v>
      </c>
      <c r="L410" s="68" t="e">
        <f>#REF!*COM!$L$4</f>
        <v>#REF!</v>
      </c>
      <c r="M410" s="68" t="e">
        <f>#REF!*COM!$L$4</f>
        <v>#REF!</v>
      </c>
      <c r="N410" s="68" t="e">
        <f>#REF!*COM!$N$4</f>
        <v>#REF!</v>
      </c>
      <c r="O410" s="68" t="e">
        <f>#REF!*COM!$N$4</f>
        <v>#REF!</v>
      </c>
      <c r="P410" s="68" t="e">
        <f>#REF!*COM!$P$4</f>
        <v>#REF!</v>
      </c>
      <c r="Q410" s="68" t="e">
        <f>#REF!*COM!$P$4</f>
        <v>#REF!</v>
      </c>
      <c r="R410" s="68" t="e">
        <f>#REF!*COM!$R$4</f>
        <v>#REF!</v>
      </c>
      <c r="S410" s="68" t="e">
        <f>#REF!*COM!$R$4</f>
        <v>#REF!</v>
      </c>
      <c r="T410" s="111"/>
    </row>
    <row r="411" spans="1:20" ht="56.25" x14ac:dyDescent="0.25">
      <c r="A411" s="4">
        <v>311</v>
      </c>
      <c r="B411" s="52">
        <v>55</v>
      </c>
      <c r="C411" s="52">
        <v>920</v>
      </c>
      <c r="D411" s="7">
        <v>70499</v>
      </c>
      <c r="E411" s="20" t="s">
        <v>173</v>
      </c>
      <c r="F411" s="38" t="s">
        <v>406</v>
      </c>
      <c r="G411" s="46"/>
      <c r="H411" s="68" t="e">
        <f>#REF!*COM!$H$4</f>
        <v>#REF!</v>
      </c>
      <c r="I411" s="68" t="e">
        <f>#REF!*COM!$H$4</f>
        <v>#REF!</v>
      </c>
      <c r="J411" s="68" t="e">
        <f>#REF!*COM!$J$4</f>
        <v>#REF!</v>
      </c>
      <c r="K411" s="68" t="e">
        <f>#REF!*COM!$J$4</f>
        <v>#REF!</v>
      </c>
      <c r="L411" s="68" t="e">
        <f>#REF!*COM!$L$4</f>
        <v>#REF!</v>
      </c>
      <c r="M411" s="68" t="e">
        <f>#REF!*COM!$L$4</f>
        <v>#REF!</v>
      </c>
      <c r="N411" s="68" t="e">
        <f>#REF!*COM!$N$4</f>
        <v>#REF!</v>
      </c>
      <c r="O411" s="68" t="e">
        <f>#REF!*COM!$N$4</f>
        <v>#REF!</v>
      </c>
      <c r="P411" s="68" t="e">
        <f>#REF!*COM!$P$4</f>
        <v>#REF!</v>
      </c>
      <c r="Q411" s="68" t="e">
        <f>#REF!*COM!$P$4</f>
        <v>#REF!</v>
      </c>
      <c r="R411" s="68" t="e">
        <f>#REF!*COM!$R$4</f>
        <v>#REF!</v>
      </c>
      <c r="S411" s="68" t="e">
        <f>#REF!*COM!$R$4</f>
        <v>#REF!</v>
      </c>
      <c r="T411" s="111"/>
    </row>
    <row r="412" spans="1:20" ht="56.25" x14ac:dyDescent="0.25">
      <c r="A412" s="4">
        <v>321</v>
      </c>
      <c r="B412" s="52">
        <v>55</v>
      </c>
      <c r="C412" s="52">
        <v>930</v>
      </c>
      <c r="D412" s="7">
        <v>70499</v>
      </c>
      <c r="E412" s="20" t="s">
        <v>173</v>
      </c>
      <c r="F412" s="38" t="s">
        <v>407</v>
      </c>
      <c r="G412" s="46"/>
      <c r="H412" s="68" t="e">
        <f>#REF!*COM!$H$4</f>
        <v>#REF!</v>
      </c>
      <c r="I412" s="68" t="e">
        <f>#REF!*COM!$H$4</f>
        <v>#REF!</v>
      </c>
      <c r="J412" s="68" t="e">
        <f>#REF!*COM!$J$4</f>
        <v>#REF!</v>
      </c>
      <c r="K412" s="68" t="e">
        <f>#REF!*COM!$J$4</f>
        <v>#REF!</v>
      </c>
      <c r="L412" s="68" t="e">
        <f>#REF!*COM!$L$4</f>
        <v>#REF!</v>
      </c>
      <c r="M412" s="68" t="e">
        <f>#REF!*COM!$L$4</f>
        <v>#REF!</v>
      </c>
      <c r="N412" s="68" t="e">
        <f>#REF!*COM!$N$4</f>
        <v>#REF!</v>
      </c>
      <c r="O412" s="68" t="e">
        <f>#REF!*COM!$N$4</f>
        <v>#REF!</v>
      </c>
      <c r="P412" s="68" t="e">
        <f>#REF!*COM!$P$4</f>
        <v>#REF!</v>
      </c>
      <c r="Q412" s="68" t="e">
        <f>#REF!*COM!$P$4</f>
        <v>#REF!</v>
      </c>
      <c r="R412" s="68" t="e">
        <f>#REF!*COM!$R$4</f>
        <v>#REF!</v>
      </c>
      <c r="S412" s="68" t="e">
        <f>#REF!*COM!$R$4</f>
        <v>#REF!</v>
      </c>
      <c r="T412" s="111" t="e">
        <f t="shared" si="30"/>
        <v>#REF!</v>
      </c>
    </row>
    <row r="413" spans="1:20" ht="37.5" x14ac:dyDescent="0.25">
      <c r="A413" s="4">
        <v>311</v>
      </c>
      <c r="B413" s="52">
        <v>55</v>
      </c>
      <c r="C413" s="52">
        <v>920</v>
      </c>
      <c r="D413" s="7">
        <v>70499</v>
      </c>
      <c r="E413" s="20" t="s">
        <v>172</v>
      </c>
      <c r="F413" s="38" t="s">
        <v>416</v>
      </c>
      <c r="G413" s="46"/>
      <c r="H413" s="68" t="e">
        <f>#REF!*COM!$H$4</f>
        <v>#REF!</v>
      </c>
      <c r="I413" s="68" t="e">
        <f>#REF!*COM!$H$4</f>
        <v>#REF!</v>
      </c>
      <c r="J413" s="68" t="e">
        <f>#REF!*COM!$J$4</f>
        <v>#REF!</v>
      </c>
      <c r="K413" s="68" t="e">
        <f>#REF!*COM!$J$4</f>
        <v>#REF!</v>
      </c>
      <c r="L413" s="68" t="e">
        <f>#REF!*COM!$L$4</f>
        <v>#REF!</v>
      </c>
      <c r="M413" s="68" t="e">
        <f>#REF!*COM!$L$4</f>
        <v>#REF!</v>
      </c>
      <c r="N413" s="68" t="e">
        <f>#REF!*COM!$N$4</f>
        <v>#REF!</v>
      </c>
      <c r="O413" s="68" t="e">
        <f>#REF!*COM!$N$4</f>
        <v>#REF!</v>
      </c>
      <c r="P413" s="68" t="e">
        <f>#REF!*COM!$P$4</f>
        <v>#REF!</v>
      </c>
      <c r="Q413" s="68" t="e">
        <f>#REF!*COM!$P$4</f>
        <v>#REF!</v>
      </c>
      <c r="R413" s="68" t="e">
        <f>#REF!*COM!$R$4</f>
        <v>#REF!</v>
      </c>
      <c r="S413" s="68" t="e">
        <f>#REF!*COM!$R$4</f>
        <v>#REF!</v>
      </c>
      <c r="T413" s="111"/>
    </row>
    <row r="414" spans="1:20" ht="37.5" x14ac:dyDescent="0.25">
      <c r="A414" s="4">
        <v>321</v>
      </c>
      <c r="B414" s="52">
        <v>55</v>
      </c>
      <c r="C414" s="52">
        <v>930</v>
      </c>
      <c r="D414" s="7">
        <v>70499</v>
      </c>
      <c r="E414" s="20" t="s">
        <v>172</v>
      </c>
      <c r="F414" s="38" t="s">
        <v>417</v>
      </c>
      <c r="G414" s="46"/>
      <c r="H414" s="68" t="e">
        <f>#REF!*COM!$H$4</f>
        <v>#REF!</v>
      </c>
      <c r="I414" s="68" t="e">
        <f>#REF!*COM!$H$4</f>
        <v>#REF!</v>
      </c>
      <c r="J414" s="68" t="e">
        <f>#REF!*COM!$J$4</f>
        <v>#REF!</v>
      </c>
      <c r="K414" s="68" t="e">
        <f>#REF!*COM!$J$4</f>
        <v>#REF!</v>
      </c>
      <c r="L414" s="68" t="e">
        <f>#REF!*COM!$L$4</f>
        <v>#REF!</v>
      </c>
      <c r="M414" s="68" t="e">
        <f>#REF!*COM!$L$4</f>
        <v>#REF!</v>
      </c>
      <c r="N414" s="68" t="e">
        <f>#REF!*COM!$N$4</f>
        <v>#REF!</v>
      </c>
      <c r="O414" s="68" t="e">
        <f>#REF!*COM!$N$4</f>
        <v>#REF!</v>
      </c>
      <c r="P414" s="68" t="e">
        <f>#REF!*COM!$P$4</f>
        <v>#REF!</v>
      </c>
      <c r="Q414" s="68" t="e">
        <f>#REF!*COM!$P$4</f>
        <v>#REF!</v>
      </c>
      <c r="R414" s="68" t="e">
        <f>#REF!*COM!$R$4</f>
        <v>#REF!</v>
      </c>
      <c r="S414" s="68" t="e">
        <f>#REF!*COM!$R$4</f>
        <v>#REF!</v>
      </c>
      <c r="T414" s="111"/>
    </row>
    <row r="415" spans="1:20" ht="18.75" x14ac:dyDescent="0.25">
      <c r="A415" s="4"/>
      <c r="B415" s="52"/>
      <c r="C415" s="52"/>
      <c r="D415" s="7"/>
      <c r="E415" s="20"/>
      <c r="F415" s="38"/>
      <c r="G415" s="46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111"/>
    </row>
    <row r="416" spans="1:20" ht="18.75" x14ac:dyDescent="0.25">
      <c r="A416" s="4"/>
      <c r="B416" s="52"/>
      <c r="C416" s="52"/>
      <c r="D416" s="7"/>
      <c r="E416" s="20"/>
      <c r="F416" s="38"/>
      <c r="G416" s="46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111"/>
    </row>
    <row r="417" spans="1:20" ht="18.75" x14ac:dyDescent="0.25">
      <c r="A417" s="4"/>
      <c r="B417" s="52"/>
      <c r="C417" s="52"/>
      <c r="D417" s="7"/>
      <c r="E417" s="20"/>
      <c r="F417" s="46"/>
      <c r="G417" s="46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111">
        <f t="shared" si="30"/>
        <v>0</v>
      </c>
    </row>
    <row r="418" spans="1:20" ht="18.75" x14ac:dyDescent="0.25">
      <c r="A418" s="4"/>
      <c r="B418" s="52"/>
      <c r="C418" s="52"/>
      <c r="D418" s="7"/>
      <c r="E418" s="20"/>
      <c r="F418" s="38"/>
      <c r="G418" s="3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111">
        <f t="shared" si="30"/>
        <v>0</v>
      </c>
    </row>
    <row r="419" spans="1:20" ht="18.75" x14ac:dyDescent="0.25">
      <c r="A419" s="4"/>
      <c r="B419" s="52"/>
      <c r="C419" s="52"/>
      <c r="D419" s="7"/>
      <c r="E419" s="20"/>
      <c r="F419" s="38"/>
      <c r="G419" s="3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111">
        <f t="shared" si="30"/>
        <v>0</v>
      </c>
    </row>
    <row r="420" spans="1:20" ht="18.75" x14ac:dyDescent="0.25">
      <c r="A420" s="56"/>
      <c r="B420" s="50"/>
      <c r="C420" s="50"/>
      <c r="D420" s="50"/>
      <c r="E420" s="54"/>
      <c r="F420" s="36" t="s">
        <v>435</v>
      </c>
      <c r="G420" s="36"/>
      <c r="H420" s="99" t="e">
        <f t="shared" ref="H420" si="31">H421</f>
        <v>#REF!</v>
      </c>
      <c r="I420" s="99" t="e">
        <f>I421</f>
        <v>#REF!</v>
      </c>
      <c r="J420" s="99" t="e">
        <f t="shared" ref="J420:S420" si="32">J421</f>
        <v>#REF!</v>
      </c>
      <c r="K420" s="99" t="e">
        <f t="shared" si="32"/>
        <v>#REF!</v>
      </c>
      <c r="L420" s="99" t="e">
        <f t="shared" si="32"/>
        <v>#REF!</v>
      </c>
      <c r="M420" s="99" t="e">
        <f t="shared" si="32"/>
        <v>#REF!</v>
      </c>
      <c r="N420" s="99" t="e">
        <f t="shared" si="32"/>
        <v>#REF!</v>
      </c>
      <c r="O420" s="99" t="e">
        <f t="shared" si="32"/>
        <v>#REF!</v>
      </c>
      <c r="P420" s="99" t="e">
        <f t="shared" si="32"/>
        <v>#REF!</v>
      </c>
      <c r="Q420" s="99" t="e">
        <f t="shared" si="32"/>
        <v>#REF!</v>
      </c>
      <c r="R420" s="99" t="e">
        <f t="shared" si="32"/>
        <v>#REF!</v>
      </c>
      <c r="S420" s="99" t="e">
        <f t="shared" si="32"/>
        <v>#REF!</v>
      </c>
      <c r="T420" s="111" t="e">
        <f t="shared" si="30"/>
        <v>#REF!</v>
      </c>
    </row>
    <row r="421" spans="1:20" ht="18.75" x14ac:dyDescent="0.25">
      <c r="A421" s="57"/>
      <c r="B421" s="51"/>
      <c r="C421" s="51"/>
      <c r="D421" s="51"/>
      <c r="E421" s="55"/>
      <c r="F421" s="37" t="s">
        <v>6</v>
      </c>
      <c r="G421" s="37"/>
      <c r="H421" s="100" t="e">
        <f>SUM(H422:H430)</f>
        <v>#REF!</v>
      </c>
      <c r="I421" s="100" t="e">
        <f t="shared" ref="I421:S421" si="33">SUM(I422:I430)</f>
        <v>#REF!</v>
      </c>
      <c r="J421" s="100" t="e">
        <f t="shared" si="33"/>
        <v>#REF!</v>
      </c>
      <c r="K421" s="100" t="e">
        <f t="shared" si="33"/>
        <v>#REF!</v>
      </c>
      <c r="L421" s="100" t="e">
        <f t="shared" si="33"/>
        <v>#REF!</v>
      </c>
      <c r="M421" s="100" t="e">
        <f t="shared" si="33"/>
        <v>#REF!</v>
      </c>
      <c r="N421" s="100" t="e">
        <f t="shared" si="33"/>
        <v>#REF!</v>
      </c>
      <c r="O421" s="100" t="e">
        <f t="shared" si="33"/>
        <v>#REF!</v>
      </c>
      <c r="P421" s="100" t="e">
        <f t="shared" si="33"/>
        <v>#REF!</v>
      </c>
      <c r="Q421" s="100" t="e">
        <f t="shared" si="33"/>
        <v>#REF!</v>
      </c>
      <c r="R421" s="100" t="e">
        <f t="shared" si="33"/>
        <v>#REF!</v>
      </c>
      <c r="S421" s="100" t="e">
        <f t="shared" si="33"/>
        <v>#REF!</v>
      </c>
      <c r="T421" s="111" t="e">
        <f t="shared" si="30"/>
        <v>#REF!</v>
      </c>
    </row>
    <row r="422" spans="1:20" ht="18.75" x14ac:dyDescent="0.25">
      <c r="A422" s="77">
        <v>311</v>
      </c>
      <c r="B422" s="78">
        <v>69</v>
      </c>
      <c r="C422" s="78">
        <v>920</v>
      </c>
      <c r="D422" s="79">
        <v>70499</v>
      </c>
      <c r="E422" s="80" t="s">
        <v>172</v>
      </c>
      <c r="F422" s="81" t="s">
        <v>301</v>
      </c>
      <c r="G422" s="46"/>
      <c r="H422" s="68" t="e">
        <f>#REF!*COM!$H$4</f>
        <v>#REF!</v>
      </c>
      <c r="I422" s="68" t="e">
        <f>#REF!*COM!$H$4</f>
        <v>#REF!</v>
      </c>
      <c r="J422" s="68" t="e">
        <f>#REF!*COM!$J$4</f>
        <v>#REF!</v>
      </c>
      <c r="K422" s="68" t="e">
        <f>#REF!*COM!$J$4</f>
        <v>#REF!</v>
      </c>
      <c r="L422" s="68" t="e">
        <f>#REF!*COM!$L$4</f>
        <v>#REF!</v>
      </c>
      <c r="M422" s="68" t="e">
        <f>#REF!*COM!$L$4</f>
        <v>#REF!</v>
      </c>
      <c r="N422" s="68" t="e">
        <f>#REF!*COM!$N$4</f>
        <v>#REF!</v>
      </c>
      <c r="O422" s="68" t="e">
        <f>#REF!*COM!$N$4</f>
        <v>#REF!</v>
      </c>
      <c r="P422" s="68" t="e">
        <f>#REF!*COM!$P$4</f>
        <v>#REF!</v>
      </c>
      <c r="Q422" s="68" t="e">
        <f>#REF!*COM!$P$4</f>
        <v>#REF!</v>
      </c>
      <c r="R422" s="68" t="e">
        <f>#REF!*COM!$R$4</f>
        <v>#REF!</v>
      </c>
      <c r="S422" s="68" t="e">
        <f>#REF!*COM!$R$4</f>
        <v>#REF!</v>
      </c>
      <c r="T422" s="111" t="e">
        <f t="shared" si="30"/>
        <v>#REF!</v>
      </c>
    </row>
    <row r="423" spans="1:20" ht="18.75" x14ac:dyDescent="0.25">
      <c r="A423" s="77">
        <v>311</v>
      </c>
      <c r="B423" s="78">
        <v>69</v>
      </c>
      <c r="C423" s="78">
        <v>930</v>
      </c>
      <c r="D423" s="79">
        <v>70499</v>
      </c>
      <c r="E423" s="80" t="s">
        <v>172</v>
      </c>
      <c r="F423" s="81" t="s">
        <v>302</v>
      </c>
      <c r="G423" s="46"/>
      <c r="H423" s="68" t="e">
        <f>#REF!*COM!$H$4</f>
        <v>#REF!</v>
      </c>
      <c r="I423" s="68" t="e">
        <f>#REF!*COM!$H$4</f>
        <v>#REF!</v>
      </c>
      <c r="J423" s="68" t="e">
        <f>#REF!*COM!$J$4</f>
        <v>#REF!</v>
      </c>
      <c r="K423" s="68" t="e">
        <f>#REF!*COM!$J$4</f>
        <v>#REF!</v>
      </c>
      <c r="L423" s="68" t="e">
        <f>#REF!*COM!$L$4</f>
        <v>#REF!</v>
      </c>
      <c r="M423" s="68" t="e">
        <f>#REF!*COM!$L$4</f>
        <v>#REF!</v>
      </c>
      <c r="N423" s="68" t="e">
        <f>#REF!*COM!$N$4</f>
        <v>#REF!</v>
      </c>
      <c r="O423" s="68" t="e">
        <f>#REF!*COM!$N$4</f>
        <v>#REF!</v>
      </c>
      <c r="P423" s="68" t="e">
        <f>#REF!*COM!$P$4</f>
        <v>#REF!</v>
      </c>
      <c r="Q423" s="68" t="e">
        <f>#REF!*COM!$P$4</f>
        <v>#REF!</v>
      </c>
      <c r="R423" s="68" t="e">
        <f>#REF!*COM!$R$4</f>
        <v>#REF!</v>
      </c>
      <c r="S423" s="68" t="e">
        <f>#REF!*COM!$R$4</f>
        <v>#REF!</v>
      </c>
      <c r="T423" s="111" t="e">
        <f t="shared" si="30"/>
        <v>#REF!</v>
      </c>
    </row>
    <row r="424" spans="1:20" ht="37.5" x14ac:dyDescent="0.25">
      <c r="A424" s="77">
        <v>311</v>
      </c>
      <c r="B424" s="78">
        <v>69</v>
      </c>
      <c r="C424" s="78">
        <v>930</v>
      </c>
      <c r="D424" s="79">
        <v>70499</v>
      </c>
      <c r="E424" s="80" t="s">
        <v>172</v>
      </c>
      <c r="F424" s="81" t="s">
        <v>303</v>
      </c>
      <c r="G424" s="38"/>
      <c r="H424" s="68" t="e">
        <f>#REF!*COM!$H$4</f>
        <v>#REF!</v>
      </c>
      <c r="I424" s="68" t="e">
        <f>#REF!*COM!$H$4</f>
        <v>#REF!</v>
      </c>
      <c r="J424" s="68" t="e">
        <f>#REF!*COM!$J$4</f>
        <v>#REF!</v>
      </c>
      <c r="K424" s="68" t="e">
        <f>#REF!*COM!$J$4</f>
        <v>#REF!</v>
      </c>
      <c r="L424" s="68" t="e">
        <f>#REF!*COM!$L$4</f>
        <v>#REF!</v>
      </c>
      <c r="M424" s="68" t="e">
        <f>#REF!*COM!$L$4</f>
        <v>#REF!</v>
      </c>
      <c r="N424" s="68" t="e">
        <f>#REF!*COM!$N$4</f>
        <v>#REF!</v>
      </c>
      <c r="O424" s="68" t="e">
        <f>#REF!*COM!$N$4</f>
        <v>#REF!</v>
      </c>
      <c r="P424" s="68" t="e">
        <f>#REF!*COM!$P$4</f>
        <v>#REF!</v>
      </c>
      <c r="Q424" s="68" t="e">
        <f>#REF!*COM!$P$4</f>
        <v>#REF!</v>
      </c>
      <c r="R424" s="68" t="e">
        <f>#REF!*COM!$R$4</f>
        <v>#REF!</v>
      </c>
      <c r="S424" s="68" t="e">
        <f>#REF!*COM!$R$4</f>
        <v>#REF!</v>
      </c>
      <c r="T424" s="111" t="e">
        <f t="shared" si="30"/>
        <v>#REF!</v>
      </c>
    </row>
    <row r="425" spans="1:20" ht="18.75" x14ac:dyDescent="0.25">
      <c r="A425" s="4">
        <v>311</v>
      </c>
      <c r="B425" s="52">
        <v>69</v>
      </c>
      <c r="C425" s="52">
        <v>930</v>
      </c>
      <c r="D425" s="7">
        <v>70499</v>
      </c>
      <c r="E425" s="20" t="s">
        <v>172</v>
      </c>
      <c r="F425" s="38" t="s">
        <v>278</v>
      </c>
      <c r="G425" s="38"/>
      <c r="H425" s="68" t="e">
        <f>#REF!*COM!$H$4</f>
        <v>#REF!</v>
      </c>
      <c r="I425" s="68" t="e">
        <f>#REF!*COM!$H$4</f>
        <v>#REF!</v>
      </c>
      <c r="J425" s="68" t="e">
        <f>#REF!*COM!$J$4</f>
        <v>#REF!</v>
      </c>
      <c r="K425" s="68" t="e">
        <f>#REF!*COM!$J$4</f>
        <v>#REF!</v>
      </c>
      <c r="L425" s="68" t="e">
        <f>#REF!*COM!$L$4</f>
        <v>#REF!</v>
      </c>
      <c r="M425" s="68" t="e">
        <f>#REF!*COM!$L$4</f>
        <v>#REF!</v>
      </c>
      <c r="N425" s="68" t="e">
        <f>#REF!*COM!$N$4</f>
        <v>#REF!</v>
      </c>
      <c r="O425" s="68" t="e">
        <f>#REF!*COM!$N$4</f>
        <v>#REF!</v>
      </c>
      <c r="P425" s="68" t="e">
        <f>#REF!*COM!$P$4</f>
        <v>#REF!</v>
      </c>
      <c r="Q425" s="68" t="e">
        <f>#REF!*COM!$P$4</f>
        <v>#REF!</v>
      </c>
      <c r="R425" s="68" t="e">
        <f>#REF!*COM!$R$4</f>
        <v>#REF!</v>
      </c>
      <c r="S425" s="68" t="e">
        <f>#REF!*COM!$R$4</f>
        <v>#REF!</v>
      </c>
      <c r="T425" s="111" t="e">
        <f t="shared" si="30"/>
        <v>#REF!</v>
      </c>
    </row>
    <row r="426" spans="1:20" ht="18.75" x14ac:dyDescent="0.25">
      <c r="A426" s="4"/>
      <c r="B426" s="52"/>
      <c r="C426" s="52"/>
      <c r="D426" s="7"/>
      <c r="E426" s="20"/>
      <c r="F426" s="38"/>
      <c r="G426" s="3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111"/>
    </row>
    <row r="427" spans="1:20" ht="18.75" x14ac:dyDescent="0.25">
      <c r="A427" s="4"/>
      <c r="B427" s="52"/>
      <c r="C427" s="52"/>
      <c r="D427" s="7"/>
      <c r="E427" s="20"/>
      <c r="F427" s="38"/>
      <c r="G427" s="3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111"/>
    </row>
    <row r="428" spans="1:20" ht="18.75" x14ac:dyDescent="0.25">
      <c r="A428" s="4"/>
      <c r="B428" s="52"/>
      <c r="C428" s="52"/>
      <c r="D428" s="7"/>
      <c r="E428" s="20"/>
      <c r="F428" s="38"/>
      <c r="G428" s="3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111"/>
    </row>
    <row r="429" spans="1:20" ht="18.75" x14ac:dyDescent="0.25">
      <c r="A429" s="4"/>
      <c r="B429" s="52"/>
      <c r="C429" s="52"/>
      <c r="D429" s="7"/>
      <c r="E429" s="20"/>
      <c r="F429" s="38"/>
      <c r="G429" s="3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111"/>
    </row>
    <row r="430" spans="1:20" ht="18.75" x14ac:dyDescent="0.25">
      <c r="A430" s="4"/>
      <c r="B430" s="52"/>
      <c r="C430" s="52"/>
      <c r="D430" s="7"/>
      <c r="E430" s="20"/>
      <c r="F430" s="38"/>
      <c r="G430" s="3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111">
        <f t="shared" si="30"/>
        <v>0</v>
      </c>
    </row>
    <row r="431" spans="1:20" ht="37.5" x14ac:dyDescent="0.25">
      <c r="A431" s="56"/>
      <c r="B431" s="50"/>
      <c r="C431" s="50"/>
      <c r="D431" s="50"/>
      <c r="E431" s="54"/>
      <c r="F431" s="40" t="s">
        <v>145</v>
      </c>
      <c r="G431" s="40"/>
      <c r="H431" s="99" t="e">
        <f>H432</f>
        <v>#REF!</v>
      </c>
      <c r="I431" s="99" t="e">
        <f>I432</f>
        <v>#REF!</v>
      </c>
      <c r="J431" s="99" t="e">
        <f t="shared" ref="I431:S432" si="34">J432</f>
        <v>#REF!</v>
      </c>
      <c r="K431" s="99" t="e">
        <f t="shared" si="34"/>
        <v>#REF!</v>
      </c>
      <c r="L431" s="99" t="e">
        <f t="shared" si="34"/>
        <v>#REF!</v>
      </c>
      <c r="M431" s="99" t="e">
        <f t="shared" si="34"/>
        <v>#REF!</v>
      </c>
      <c r="N431" s="99" t="e">
        <f t="shared" si="34"/>
        <v>#REF!</v>
      </c>
      <c r="O431" s="99" t="e">
        <f t="shared" si="34"/>
        <v>#REF!</v>
      </c>
      <c r="P431" s="99" t="e">
        <f t="shared" si="34"/>
        <v>#REF!</v>
      </c>
      <c r="Q431" s="99" t="e">
        <f t="shared" si="34"/>
        <v>#REF!</v>
      </c>
      <c r="R431" s="99" t="e">
        <f t="shared" si="34"/>
        <v>#REF!</v>
      </c>
      <c r="S431" s="99" t="e">
        <f t="shared" si="34"/>
        <v>#REF!</v>
      </c>
      <c r="T431" s="111" t="e">
        <f t="shared" si="30"/>
        <v>#REF!</v>
      </c>
    </row>
    <row r="432" spans="1:20" ht="18.75" x14ac:dyDescent="0.25">
      <c r="A432" s="57"/>
      <c r="B432" s="51"/>
      <c r="C432" s="51"/>
      <c r="D432" s="51"/>
      <c r="E432" s="55"/>
      <c r="F432" s="37" t="s">
        <v>6</v>
      </c>
      <c r="G432" s="37"/>
      <c r="H432" s="100" t="e">
        <f>H433</f>
        <v>#REF!</v>
      </c>
      <c r="I432" s="100" t="e">
        <f t="shared" si="34"/>
        <v>#REF!</v>
      </c>
      <c r="J432" s="100" t="e">
        <f t="shared" si="34"/>
        <v>#REF!</v>
      </c>
      <c r="K432" s="100" t="e">
        <f t="shared" si="34"/>
        <v>#REF!</v>
      </c>
      <c r="L432" s="100" t="e">
        <f t="shared" si="34"/>
        <v>#REF!</v>
      </c>
      <c r="M432" s="100" t="e">
        <f t="shared" si="34"/>
        <v>#REF!</v>
      </c>
      <c r="N432" s="100" t="e">
        <f t="shared" si="34"/>
        <v>#REF!</v>
      </c>
      <c r="O432" s="100" t="e">
        <f t="shared" si="34"/>
        <v>#REF!</v>
      </c>
      <c r="P432" s="100" t="e">
        <f t="shared" si="34"/>
        <v>#REF!</v>
      </c>
      <c r="Q432" s="100" t="e">
        <f t="shared" si="34"/>
        <v>#REF!</v>
      </c>
      <c r="R432" s="100" t="e">
        <f t="shared" si="34"/>
        <v>#REF!</v>
      </c>
      <c r="S432" s="100" t="e">
        <f t="shared" si="34"/>
        <v>#REF!</v>
      </c>
      <c r="T432" s="111" t="e">
        <f t="shared" si="30"/>
        <v>#REF!</v>
      </c>
    </row>
    <row r="433" spans="1:20" ht="18.75" x14ac:dyDescent="0.25">
      <c r="A433" s="88">
        <v>311</v>
      </c>
      <c r="B433" s="89">
        <v>65</v>
      </c>
      <c r="C433" s="89">
        <v>930</v>
      </c>
      <c r="D433" s="90">
        <v>70499</v>
      </c>
      <c r="E433" s="91" t="s">
        <v>172</v>
      </c>
      <c r="F433" s="109" t="s">
        <v>146</v>
      </c>
      <c r="G433" s="127" t="s">
        <v>353</v>
      </c>
      <c r="H433" s="68" t="e">
        <f>#REF!*COM!$H$4</f>
        <v>#REF!</v>
      </c>
      <c r="I433" s="68" t="e">
        <f>#REF!*COM!$H$4</f>
        <v>#REF!</v>
      </c>
      <c r="J433" s="68" t="e">
        <f>#REF!*COM!$J$4</f>
        <v>#REF!</v>
      </c>
      <c r="K433" s="68" t="e">
        <f>#REF!*COM!$J$4</f>
        <v>#REF!</v>
      </c>
      <c r="L433" s="68" t="e">
        <f>#REF!*COM!$L$4</f>
        <v>#REF!</v>
      </c>
      <c r="M433" s="68" t="e">
        <f>#REF!*COM!$L$4</f>
        <v>#REF!</v>
      </c>
      <c r="N433" s="68" t="e">
        <f>#REF!*COM!$N$4</f>
        <v>#REF!</v>
      </c>
      <c r="O433" s="68" t="e">
        <f>#REF!*COM!$N$4</f>
        <v>#REF!</v>
      </c>
      <c r="P433" s="68" t="e">
        <f>#REF!*COM!$P$4</f>
        <v>#REF!</v>
      </c>
      <c r="Q433" s="68" t="e">
        <f>#REF!*COM!$P$4</f>
        <v>#REF!</v>
      </c>
      <c r="R433" s="68" t="e">
        <f>#REF!*COM!$R$4</f>
        <v>#REF!</v>
      </c>
      <c r="S433" s="68" t="e">
        <f>#REF!*COM!$R$4</f>
        <v>#REF!</v>
      </c>
      <c r="T433" s="111" t="e">
        <f>I433+K433+M433+O433+Q433+S433</f>
        <v>#REF!</v>
      </c>
    </row>
    <row r="434" spans="1:20" s="121" customFormat="1" ht="18.75" x14ac:dyDescent="0.25">
      <c r="A434" s="114"/>
      <c r="B434" s="115"/>
      <c r="C434" s="115"/>
      <c r="D434" s="116"/>
      <c r="E434" s="117"/>
      <c r="F434" s="139"/>
      <c r="G434" s="140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20"/>
    </row>
    <row r="435" spans="1:20" s="121" customFormat="1" ht="18.75" x14ac:dyDescent="0.25">
      <c r="A435" s="114"/>
      <c r="B435" s="115"/>
      <c r="C435" s="115"/>
      <c r="D435" s="116"/>
      <c r="E435" s="117"/>
      <c r="F435" s="139"/>
      <c r="G435" s="140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20"/>
    </row>
    <row r="436" spans="1:20" s="121" customFormat="1" ht="18.75" x14ac:dyDescent="0.25">
      <c r="A436" s="114"/>
      <c r="B436" s="115"/>
      <c r="C436" s="115"/>
      <c r="D436" s="116"/>
      <c r="E436" s="117"/>
      <c r="F436" s="139"/>
      <c r="G436" s="140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20"/>
    </row>
    <row r="437" spans="1:20" s="121" customFormat="1" ht="18.75" x14ac:dyDescent="0.25">
      <c r="A437" s="114"/>
      <c r="B437" s="115"/>
      <c r="C437" s="115"/>
      <c r="D437" s="116"/>
      <c r="E437" s="117"/>
      <c r="F437" s="139"/>
      <c r="G437" s="140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20"/>
    </row>
    <row r="438" spans="1:20" s="121" customFormat="1" ht="18.75" x14ac:dyDescent="0.25">
      <c r="A438" s="114"/>
      <c r="B438" s="115"/>
      <c r="C438" s="115"/>
      <c r="D438" s="116"/>
      <c r="E438" s="117"/>
      <c r="F438" s="139"/>
      <c r="G438" s="13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20">
        <f t="shared" ref="T438:T451" si="35">I438+K438+M438+O438+Q438+S438</f>
        <v>0</v>
      </c>
    </row>
    <row r="439" spans="1:20" ht="18.75" x14ac:dyDescent="0.25">
      <c r="A439" s="56"/>
      <c r="B439" s="50"/>
      <c r="C439" s="50"/>
      <c r="D439" s="50"/>
      <c r="E439" s="54"/>
      <c r="F439" s="36" t="s">
        <v>147</v>
      </c>
      <c r="G439" s="36"/>
      <c r="H439" s="99" t="e">
        <f>H440</f>
        <v>#REF!</v>
      </c>
      <c r="I439" s="99" t="e">
        <f t="shared" ref="I439:S439" si="36">I440</f>
        <v>#REF!</v>
      </c>
      <c r="J439" s="99" t="e">
        <f t="shared" si="36"/>
        <v>#REF!</v>
      </c>
      <c r="K439" s="99" t="e">
        <f t="shared" si="36"/>
        <v>#REF!</v>
      </c>
      <c r="L439" s="99" t="e">
        <f t="shared" si="36"/>
        <v>#REF!</v>
      </c>
      <c r="M439" s="99" t="e">
        <f t="shared" si="36"/>
        <v>#REF!</v>
      </c>
      <c r="N439" s="99" t="e">
        <f t="shared" si="36"/>
        <v>#REF!</v>
      </c>
      <c r="O439" s="99" t="e">
        <f t="shared" si="36"/>
        <v>#REF!</v>
      </c>
      <c r="P439" s="99" t="e">
        <f t="shared" si="36"/>
        <v>#REF!</v>
      </c>
      <c r="Q439" s="99" t="e">
        <f t="shared" si="36"/>
        <v>#REF!</v>
      </c>
      <c r="R439" s="99" t="e">
        <f t="shared" si="36"/>
        <v>#REF!</v>
      </c>
      <c r="S439" s="99" t="e">
        <f t="shared" si="36"/>
        <v>#REF!</v>
      </c>
      <c r="T439" s="111" t="e">
        <f t="shared" si="35"/>
        <v>#REF!</v>
      </c>
    </row>
    <row r="440" spans="1:20" ht="18.75" x14ac:dyDescent="0.25">
      <c r="A440" s="57"/>
      <c r="B440" s="51"/>
      <c r="C440" s="51"/>
      <c r="D440" s="51"/>
      <c r="E440" s="55"/>
      <c r="F440" s="37" t="s">
        <v>6</v>
      </c>
      <c r="G440" s="37"/>
      <c r="H440" s="100" t="e">
        <f>SUM(H441:H447)</f>
        <v>#REF!</v>
      </c>
      <c r="I440" s="100" t="e">
        <f t="shared" ref="I440:S440" si="37">SUM(I441:I447)</f>
        <v>#REF!</v>
      </c>
      <c r="J440" s="100" t="e">
        <f t="shared" si="37"/>
        <v>#REF!</v>
      </c>
      <c r="K440" s="100" t="e">
        <f t="shared" si="37"/>
        <v>#REF!</v>
      </c>
      <c r="L440" s="100" t="e">
        <f t="shared" si="37"/>
        <v>#REF!</v>
      </c>
      <c r="M440" s="100" t="e">
        <f t="shared" si="37"/>
        <v>#REF!</v>
      </c>
      <c r="N440" s="100" t="e">
        <f t="shared" si="37"/>
        <v>#REF!</v>
      </c>
      <c r="O440" s="100" t="e">
        <f t="shared" si="37"/>
        <v>#REF!</v>
      </c>
      <c r="P440" s="100" t="e">
        <f t="shared" si="37"/>
        <v>#REF!</v>
      </c>
      <c r="Q440" s="100" t="e">
        <f t="shared" si="37"/>
        <v>#REF!</v>
      </c>
      <c r="R440" s="100" t="e">
        <f t="shared" si="37"/>
        <v>#REF!</v>
      </c>
      <c r="S440" s="100" t="e">
        <f t="shared" si="37"/>
        <v>#REF!</v>
      </c>
      <c r="T440" s="111" t="e">
        <f t="shared" si="35"/>
        <v>#REF!</v>
      </c>
    </row>
    <row r="441" spans="1:20" ht="37.5" x14ac:dyDescent="0.25">
      <c r="A441" s="88">
        <v>311</v>
      </c>
      <c r="B441" s="89">
        <v>74</v>
      </c>
      <c r="C441" s="89">
        <v>920</v>
      </c>
      <c r="D441" s="90">
        <v>70499</v>
      </c>
      <c r="E441" s="91" t="s">
        <v>172</v>
      </c>
      <c r="F441" s="125" t="s">
        <v>23</v>
      </c>
      <c r="G441" s="125"/>
      <c r="H441" s="68" t="e">
        <f>#REF!*COM!$H$4</f>
        <v>#REF!</v>
      </c>
      <c r="I441" s="68" t="e">
        <f>#REF!*COM!$H$4</f>
        <v>#REF!</v>
      </c>
      <c r="J441" s="68" t="e">
        <f>#REF!*COM!$J$4</f>
        <v>#REF!</v>
      </c>
      <c r="K441" s="68" t="e">
        <f>#REF!*COM!$J$4</f>
        <v>#REF!</v>
      </c>
      <c r="L441" s="68" t="e">
        <f>#REF!*COM!$L$4</f>
        <v>#REF!</v>
      </c>
      <c r="M441" s="68" t="e">
        <f>#REF!*COM!$L$4</f>
        <v>#REF!</v>
      </c>
      <c r="N441" s="68" t="e">
        <f>#REF!*COM!$N$4</f>
        <v>#REF!</v>
      </c>
      <c r="O441" s="68" t="e">
        <f>#REF!*COM!$N$4</f>
        <v>#REF!</v>
      </c>
      <c r="P441" s="68" t="e">
        <f>#REF!*COM!$P$4</f>
        <v>#REF!</v>
      </c>
      <c r="Q441" s="68" t="e">
        <f>#REF!*COM!$P$4</f>
        <v>#REF!</v>
      </c>
      <c r="R441" s="68" t="e">
        <f>#REF!*COM!$R$4</f>
        <v>#REF!</v>
      </c>
      <c r="S441" s="68" t="e">
        <f>#REF!*COM!$R$4</f>
        <v>#REF!</v>
      </c>
      <c r="T441" s="111" t="e">
        <f t="shared" si="35"/>
        <v>#REF!</v>
      </c>
    </row>
    <row r="442" spans="1:20" ht="37.5" x14ac:dyDescent="0.25">
      <c r="A442" s="88">
        <v>311</v>
      </c>
      <c r="B442" s="89">
        <v>74</v>
      </c>
      <c r="C442" s="89">
        <v>930</v>
      </c>
      <c r="D442" s="90">
        <v>70499</v>
      </c>
      <c r="E442" s="91" t="s">
        <v>172</v>
      </c>
      <c r="F442" s="92" t="s">
        <v>24</v>
      </c>
      <c r="G442" s="126" t="s">
        <v>380</v>
      </c>
      <c r="H442" s="68" t="e">
        <f>#REF!*COM!$H$4</f>
        <v>#REF!</v>
      </c>
      <c r="I442" s="68" t="e">
        <f>#REF!*COM!$H$4</f>
        <v>#REF!</v>
      </c>
      <c r="J442" s="68" t="e">
        <f>#REF!*COM!$J$4</f>
        <v>#REF!</v>
      </c>
      <c r="K442" s="68" t="e">
        <f>#REF!*COM!$J$4</f>
        <v>#REF!</v>
      </c>
      <c r="L442" s="68" t="e">
        <f>#REF!*COM!$L$4</f>
        <v>#REF!</v>
      </c>
      <c r="M442" s="68" t="e">
        <f>#REF!*COM!$L$4</f>
        <v>#REF!</v>
      </c>
      <c r="N442" s="68" t="e">
        <f>#REF!*COM!$N$4</f>
        <v>#REF!</v>
      </c>
      <c r="O442" s="68" t="e">
        <f>#REF!*COM!$N$4</f>
        <v>#REF!</v>
      </c>
      <c r="P442" s="68" t="e">
        <f>#REF!*COM!$P$4</f>
        <v>#REF!</v>
      </c>
      <c r="Q442" s="68" t="e">
        <f>#REF!*COM!$P$4</f>
        <v>#REF!</v>
      </c>
      <c r="R442" s="68" t="e">
        <f>#REF!*COM!$R$4</f>
        <v>#REF!</v>
      </c>
      <c r="S442" s="68" t="e">
        <f>#REF!*COM!$R$4</f>
        <v>#REF!</v>
      </c>
      <c r="T442" s="111" t="e">
        <f t="shared" si="35"/>
        <v>#REF!</v>
      </c>
    </row>
    <row r="443" spans="1:20" s="121" customFormat="1" ht="18.75" x14ac:dyDescent="0.25">
      <c r="A443" s="114"/>
      <c r="B443" s="115"/>
      <c r="C443" s="115"/>
      <c r="D443" s="116"/>
      <c r="E443" s="117"/>
      <c r="F443" s="118"/>
      <c r="G443" s="141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20"/>
    </row>
    <row r="444" spans="1:20" s="121" customFormat="1" ht="18.75" x14ac:dyDescent="0.25">
      <c r="A444" s="114"/>
      <c r="B444" s="115"/>
      <c r="C444" s="115"/>
      <c r="D444" s="116"/>
      <c r="E444" s="117"/>
      <c r="F444" s="118"/>
      <c r="G444" s="141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20"/>
    </row>
    <row r="445" spans="1:20" s="121" customFormat="1" ht="18.75" x14ac:dyDescent="0.25">
      <c r="A445" s="114"/>
      <c r="B445" s="115"/>
      <c r="C445" s="115"/>
      <c r="D445" s="116"/>
      <c r="E445" s="117"/>
      <c r="F445" s="118"/>
      <c r="G445" s="141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20"/>
    </row>
    <row r="446" spans="1:20" s="121" customFormat="1" ht="18.75" x14ac:dyDescent="0.25">
      <c r="A446" s="114"/>
      <c r="B446" s="115"/>
      <c r="C446" s="115"/>
      <c r="D446" s="116"/>
      <c r="E446" s="117"/>
      <c r="F446" s="118"/>
      <c r="G446" s="141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20"/>
    </row>
    <row r="447" spans="1:20" s="121" customFormat="1" ht="18.75" x14ac:dyDescent="0.25">
      <c r="A447" s="114"/>
      <c r="B447" s="115"/>
      <c r="C447" s="115"/>
      <c r="D447" s="116"/>
      <c r="E447" s="117"/>
      <c r="F447" s="118"/>
      <c r="G447" s="118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20">
        <f t="shared" si="35"/>
        <v>0</v>
      </c>
    </row>
    <row r="448" spans="1:20" ht="37.5" x14ac:dyDescent="0.25">
      <c r="A448" s="56"/>
      <c r="B448" s="50"/>
      <c r="C448" s="50"/>
      <c r="D448" s="50"/>
      <c r="E448" s="54"/>
      <c r="F448" s="69" t="s">
        <v>148</v>
      </c>
      <c r="G448" s="36"/>
      <c r="H448" s="99" t="e">
        <f>H449</f>
        <v>#REF!</v>
      </c>
      <c r="I448" s="99" t="e">
        <f>I449</f>
        <v>#REF!</v>
      </c>
      <c r="J448" s="99" t="e">
        <f>J449</f>
        <v>#REF!</v>
      </c>
      <c r="K448" s="99" t="e">
        <f t="shared" ref="K448:S448" si="38">K449</f>
        <v>#REF!</v>
      </c>
      <c r="L448" s="99" t="e">
        <f t="shared" si="38"/>
        <v>#REF!</v>
      </c>
      <c r="M448" s="99" t="e">
        <f t="shared" si="38"/>
        <v>#REF!</v>
      </c>
      <c r="N448" s="99" t="e">
        <f t="shared" si="38"/>
        <v>#REF!</v>
      </c>
      <c r="O448" s="99" t="e">
        <f t="shared" si="38"/>
        <v>#REF!</v>
      </c>
      <c r="P448" s="99" t="e">
        <f t="shared" si="38"/>
        <v>#REF!</v>
      </c>
      <c r="Q448" s="99" t="e">
        <f t="shared" si="38"/>
        <v>#REF!</v>
      </c>
      <c r="R448" s="99" t="e">
        <f t="shared" si="38"/>
        <v>#REF!</v>
      </c>
      <c r="S448" s="99" t="e">
        <f t="shared" si="38"/>
        <v>#REF!</v>
      </c>
      <c r="T448" s="111" t="e">
        <f t="shared" si="35"/>
        <v>#REF!</v>
      </c>
    </row>
    <row r="449" spans="1:20" ht="18.75" x14ac:dyDescent="0.25">
      <c r="A449" s="57"/>
      <c r="B449" s="51"/>
      <c r="C449" s="51"/>
      <c r="D449" s="51"/>
      <c r="E449" s="55"/>
      <c r="F449" s="37" t="s">
        <v>6</v>
      </c>
      <c r="G449" s="37"/>
      <c r="H449" s="100" t="e">
        <f>SUM(H450:H459)</f>
        <v>#REF!</v>
      </c>
      <c r="I449" s="100" t="e">
        <f t="shared" ref="I449:S449" si="39">SUM(I450:I459)</f>
        <v>#REF!</v>
      </c>
      <c r="J449" s="100" t="e">
        <f>SUM(J450:J459)</f>
        <v>#REF!</v>
      </c>
      <c r="K449" s="100" t="e">
        <f t="shared" si="39"/>
        <v>#REF!</v>
      </c>
      <c r="L449" s="100" t="e">
        <f t="shared" si="39"/>
        <v>#REF!</v>
      </c>
      <c r="M449" s="100" t="e">
        <f t="shared" si="39"/>
        <v>#REF!</v>
      </c>
      <c r="N449" s="100" t="e">
        <f t="shared" si="39"/>
        <v>#REF!</v>
      </c>
      <c r="O449" s="100" t="e">
        <f t="shared" si="39"/>
        <v>#REF!</v>
      </c>
      <c r="P449" s="100" t="e">
        <f t="shared" si="39"/>
        <v>#REF!</v>
      </c>
      <c r="Q449" s="100" t="e">
        <f t="shared" si="39"/>
        <v>#REF!</v>
      </c>
      <c r="R449" s="100" t="e">
        <f t="shared" si="39"/>
        <v>#REF!</v>
      </c>
      <c r="S449" s="100" t="e">
        <f t="shared" si="39"/>
        <v>#REF!</v>
      </c>
      <c r="T449" s="111" t="e">
        <f t="shared" si="35"/>
        <v>#REF!</v>
      </c>
    </row>
    <row r="450" spans="1:20" ht="18.75" x14ac:dyDescent="0.25">
      <c r="A450" s="63">
        <v>311</v>
      </c>
      <c r="B450" s="64">
        <v>67</v>
      </c>
      <c r="C450" s="64">
        <v>910</v>
      </c>
      <c r="D450" s="65">
        <v>70259</v>
      </c>
      <c r="E450" s="66"/>
      <c r="F450" s="67" t="s">
        <v>149</v>
      </c>
      <c r="G450" s="38"/>
      <c r="H450" s="68" t="e">
        <f>#REF!*COM!$H$4</f>
        <v>#REF!</v>
      </c>
      <c r="I450" s="68" t="e">
        <f>#REF!*COM!$H$4</f>
        <v>#REF!</v>
      </c>
      <c r="J450" s="68" t="e">
        <f>#REF!*COM!$J$4</f>
        <v>#REF!</v>
      </c>
      <c r="K450" s="68" t="e">
        <f>#REF!*COM!$J$4</f>
        <v>#REF!</v>
      </c>
      <c r="L450" s="68" t="e">
        <f>#REF!*COM!$L$4</f>
        <v>#REF!</v>
      </c>
      <c r="M450" s="68" t="e">
        <f>#REF!*COM!$L$4</f>
        <v>#REF!</v>
      </c>
      <c r="N450" s="68" t="e">
        <f>#REF!*COM!$N$4</f>
        <v>#REF!</v>
      </c>
      <c r="O450" s="68" t="e">
        <f>#REF!*COM!$N$4</f>
        <v>#REF!</v>
      </c>
      <c r="P450" s="68" t="e">
        <f>#REF!*COM!$P$4</f>
        <v>#REF!</v>
      </c>
      <c r="Q450" s="68" t="e">
        <f>#REF!*COM!$P$4</f>
        <v>#REF!</v>
      </c>
      <c r="R450" s="68" t="e">
        <f>#REF!*COM!$R$4</f>
        <v>#REF!</v>
      </c>
      <c r="S450" s="68" t="e">
        <f>#REF!*COM!$R$4</f>
        <v>#REF!</v>
      </c>
      <c r="T450" s="111" t="e">
        <f t="shared" si="35"/>
        <v>#REF!</v>
      </c>
    </row>
    <row r="451" spans="1:20" ht="18.75" x14ac:dyDescent="0.25">
      <c r="A451" s="63">
        <v>311</v>
      </c>
      <c r="B451" s="64">
        <v>67</v>
      </c>
      <c r="C451" s="64">
        <v>920</v>
      </c>
      <c r="D451" s="65">
        <v>70259</v>
      </c>
      <c r="E451" s="66" t="s">
        <v>173</v>
      </c>
      <c r="F451" s="67" t="s">
        <v>150</v>
      </c>
      <c r="G451" s="38"/>
      <c r="H451" s="68" t="e">
        <f>#REF!*COM!$H$4</f>
        <v>#REF!</v>
      </c>
      <c r="I451" s="68" t="e">
        <f>#REF!*COM!$H$4</f>
        <v>#REF!</v>
      </c>
      <c r="J451" s="68" t="e">
        <f>#REF!*COM!$J$4</f>
        <v>#REF!</v>
      </c>
      <c r="K451" s="68" t="e">
        <f>#REF!*COM!$J$4</f>
        <v>#REF!</v>
      </c>
      <c r="L451" s="68" t="e">
        <f>#REF!*COM!$L$4</f>
        <v>#REF!</v>
      </c>
      <c r="M451" s="68" t="e">
        <f>#REF!*COM!$L$4</f>
        <v>#REF!</v>
      </c>
      <c r="N451" s="68" t="e">
        <f>#REF!*COM!$N$4</f>
        <v>#REF!</v>
      </c>
      <c r="O451" s="68" t="e">
        <f>#REF!*COM!$N$4</f>
        <v>#REF!</v>
      </c>
      <c r="P451" s="68" t="e">
        <f>#REF!*COM!$P$4</f>
        <v>#REF!</v>
      </c>
      <c r="Q451" s="68" t="e">
        <f>#REF!*COM!$P$4</f>
        <v>#REF!</v>
      </c>
      <c r="R451" s="68" t="e">
        <f>#REF!*COM!$R$4</f>
        <v>#REF!</v>
      </c>
      <c r="S451" s="68" t="e">
        <f>#REF!*COM!$R$4</f>
        <v>#REF!</v>
      </c>
      <c r="T451" s="111" t="e">
        <f t="shared" si="35"/>
        <v>#REF!</v>
      </c>
    </row>
    <row r="452" spans="1:20" ht="37.5" x14ac:dyDescent="0.25">
      <c r="A452" s="63">
        <v>311</v>
      </c>
      <c r="B452" s="64">
        <v>67</v>
      </c>
      <c r="C452" s="64">
        <v>910</v>
      </c>
      <c r="D452" s="65">
        <v>70259</v>
      </c>
      <c r="E452" s="66"/>
      <c r="F452" s="67" t="s">
        <v>408</v>
      </c>
      <c r="G452" s="38"/>
      <c r="H452" s="68" t="e">
        <f>#REF!*COM!$H$4</f>
        <v>#REF!</v>
      </c>
      <c r="I452" s="68" t="e">
        <f>#REF!*COM!$H$4</f>
        <v>#REF!</v>
      </c>
      <c r="J452" s="68" t="e">
        <f>#REF!*COM!$J$4</f>
        <v>#REF!</v>
      </c>
      <c r="K452" s="68" t="e">
        <f>#REF!*COM!$J$4</f>
        <v>#REF!</v>
      </c>
      <c r="L452" s="68" t="e">
        <f>#REF!*COM!$L$4</f>
        <v>#REF!</v>
      </c>
      <c r="M452" s="68" t="e">
        <f>#REF!*COM!$L$4</f>
        <v>#REF!</v>
      </c>
      <c r="N452" s="68" t="e">
        <f>#REF!*COM!$N$4</f>
        <v>#REF!</v>
      </c>
      <c r="O452" s="68" t="e">
        <f>#REF!*COM!$N$4</f>
        <v>#REF!</v>
      </c>
      <c r="P452" s="68" t="e">
        <f>#REF!*COM!$P$4</f>
        <v>#REF!</v>
      </c>
      <c r="Q452" s="68" t="e">
        <f>#REF!*COM!$P$4</f>
        <v>#REF!</v>
      </c>
      <c r="R452" s="68" t="e">
        <f>#REF!*COM!$R$4</f>
        <v>#REF!</v>
      </c>
      <c r="S452" s="68" t="e">
        <f>#REF!*COM!$R$4</f>
        <v>#REF!</v>
      </c>
      <c r="T452" s="111"/>
    </row>
    <row r="453" spans="1:20" ht="37.5" x14ac:dyDescent="0.25">
      <c r="A453" s="63">
        <v>311</v>
      </c>
      <c r="B453" s="64">
        <v>67</v>
      </c>
      <c r="C453" s="64">
        <v>920</v>
      </c>
      <c r="D453" s="65">
        <v>70259</v>
      </c>
      <c r="E453" s="66" t="s">
        <v>173</v>
      </c>
      <c r="F453" s="67" t="s">
        <v>409</v>
      </c>
      <c r="G453" s="38"/>
      <c r="H453" s="68" t="e">
        <f>#REF!*COM!$H$4</f>
        <v>#REF!</v>
      </c>
      <c r="I453" s="68" t="e">
        <f>#REF!*COM!$H$4</f>
        <v>#REF!</v>
      </c>
      <c r="J453" s="68" t="e">
        <f>#REF!*COM!$J$4</f>
        <v>#REF!</v>
      </c>
      <c r="K453" s="68" t="e">
        <f>#REF!*COM!$J$4</f>
        <v>#REF!</v>
      </c>
      <c r="L453" s="68" t="e">
        <f>#REF!*COM!$L$4</f>
        <v>#REF!</v>
      </c>
      <c r="M453" s="68" t="e">
        <f>#REF!*COM!$L$4</f>
        <v>#REF!</v>
      </c>
      <c r="N453" s="68" t="e">
        <f>#REF!*COM!$N$4</f>
        <v>#REF!</v>
      </c>
      <c r="O453" s="68" t="e">
        <f>#REF!*COM!$N$4</f>
        <v>#REF!</v>
      </c>
      <c r="P453" s="68" t="e">
        <f>#REF!*COM!$P$4</f>
        <v>#REF!</v>
      </c>
      <c r="Q453" s="68" t="e">
        <f>#REF!*COM!$P$4</f>
        <v>#REF!</v>
      </c>
      <c r="R453" s="68" t="e">
        <f>#REF!*COM!$R$4</f>
        <v>#REF!</v>
      </c>
      <c r="S453" s="68" t="e">
        <f>#REF!*COM!$R$4</f>
        <v>#REF!</v>
      </c>
      <c r="T453" s="111"/>
    </row>
    <row r="454" spans="1:20" ht="37.5" x14ac:dyDescent="0.25">
      <c r="A454" s="63">
        <v>311</v>
      </c>
      <c r="B454" s="64">
        <v>67</v>
      </c>
      <c r="C454" s="64">
        <v>930</v>
      </c>
      <c r="D454" s="65">
        <v>70259</v>
      </c>
      <c r="E454" s="66" t="s">
        <v>173</v>
      </c>
      <c r="F454" s="67" t="s">
        <v>410</v>
      </c>
      <c r="G454" s="38"/>
      <c r="H454" s="68" t="e">
        <f>#REF!*COM!$H$4</f>
        <v>#REF!</v>
      </c>
      <c r="I454" s="68" t="e">
        <f>#REF!*COM!$H$4</f>
        <v>#REF!</v>
      </c>
      <c r="J454" s="68" t="e">
        <f>#REF!*COM!$J$4</f>
        <v>#REF!</v>
      </c>
      <c r="K454" s="68" t="e">
        <f>#REF!*COM!$J$4</f>
        <v>#REF!</v>
      </c>
      <c r="L454" s="68" t="e">
        <f>#REF!*COM!$L$4</f>
        <v>#REF!</v>
      </c>
      <c r="M454" s="68" t="e">
        <f>#REF!*COM!$L$4</f>
        <v>#REF!</v>
      </c>
      <c r="N454" s="68" t="e">
        <f>#REF!*COM!$N$4</f>
        <v>#REF!</v>
      </c>
      <c r="O454" s="68" t="e">
        <f>#REF!*COM!$N$4</f>
        <v>#REF!</v>
      </c>
      <c r="P454" s="68" t="e">
        <f>#REF!*COM!$P$4</f>
        <v>#REF!</v>
      </c>
      <c r="Q454" s="68" t="e">
        <f>#REF!*COM!$P$4</f>
        <v>#REF!</v>
      </c>
      <c r="R454" s="68" t="e">
        <f>#REF!*COM!$R$4</f>
        <v>#REF!</v>
      </c>
      <c r="S454" s="68" t="e">
        <f>#REF!*COM!$R$4</f>
        <v>#REF!</v>
      </c>
      <c r="T454" s="111"/>
    </row>
    <row r="455" spans="1:20" s="121" customFormat="1" ht="18.75" x14ac:dyDescent="0.25">
      <c r="A455" s="114"/>
      <c r="B455" s="115"/>
      <c r="C455" s="115"/>
      <c r="D455" s="116"/>
      <c r="E455" s="117"/>
      <c r="F455" s="118"/>
      <c r="G455" s="118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20"/>
    </row>
    <row r="456" spans="1:20" s="121" customFormat="1" ht="18.75" x14ac:dyDescent="0.25">
      <c r="A456" s="114"/>
      <c r="B456" s="115"/>
      <c r="C456" s="115"/>
      <c r="D456" s="116"/>
      <c r="E456" s="117"/>
      <c r="F456" s="118"/>
      <c r="G456" s="118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20"/>
    </row>
    <row r="457" spans="1:20" s="121" customFormat="1" ht="18.75" x14ac:dyDescent="0.25">
      <c r="A457" s="114"/>
      <c r="B457" s="115"/>
      <c r="C457" s="115"/>
      <c r="D457" s="116"/>
      <c r="E457" s="117"/>
      <c r="F457" s="118"/>
      <c r="G457" s="118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20"/>
    </row>
    <row r="458" spans="1:20" s="121" customFormat="1" ht="18.75" x14ac:dyDescent="0.25">
      <c r="A458" s="114"/>
      <c r="B458" s="115"/>
      <c r="C458" s="115"/>
      <c r="D458" s="116"/>
      <c r="E458" s="117"/>
      <c r="F458" s="118"/>
      <c r="G458" s="118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20"/>
    </row>
    <row r="459" spans="1:20" s="121" customFormat="1" ht="18.75" x14ac:dyDescent="0.25">
      <c r="A459" s="114"/>
      <c r="B459" s="115"/>
      <c r="C459" s="115"/>
      <c r="D459" s="116"/>
      <c r="E459" s="117"/>
      <c r="F459" s="118"/>
      <c r="G459" s="118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42"/>
    </row>
    <row r="460" spans="1:20" ht="18.75" x14ac:dyDescent="0.25">
      <c r="A460" s="23"/>
      <c r="B460" s="24"/>
      <c r="C460" s="24"/>
      <c r="D460" s="24"/>
      <c r="E460" s="25"/>
      <c r="F460" s="45" t="s">
        <v>151</v>
      </c>
      <c r="G460" s="45"/>
      <c r="H460" s="103" t="e">
        <f>H7+H39+H69+H78+H95+H127+H136+H160+H254+H305+H338+H358+H420+H431+H439+H448</f>
        <v>#REF!</v>
      </c>
      <c r="I460" s="103" t="e">
        <f>I7+I39+I69+I78+I95+I127+I136+I160+I254+I305+I338+I358+I420+I431+I439+I448</f>
        <v>#REF!</v>
      </c>
      <c r="J460" s="103" t="e">
        <f>J7+J39+J69+J78+J95+J127+J136+J160+J254+J305+J338+J358+J420+J431+J439+J448</f>
        <v>#REF!</v>
      </c>
      <c r="K460" s="103" t="e">
        <f>K7+K39+K69+K78+K95+K127+K136+K160+K254+K305+K338+K358+K420+K431+K439+K448</f>
        <v>#REF!</v>
      </c>
      <c r="L460" s="103" t="e">
        <f t="shared" ref="L460:R460" si="40">L7+L39+L69+L78+L95+L127+L136+L160+L254+L305+L338+L358+L420+L431+L439+L448</f>
        <v>#REF!</v>
      </c>
      <c r="M460" s="103" t="e">
        <f>M7+M39+M69+M78+M95+M127+M136+M160+M254+M305+M338+M358+M420+M431+M439+M448</f>
        <v>#REF!</v>
      </c>
      <c r="N460" s="103" t="e">
        <f t="shared" si="40"/>
        <v>#REF!</v>
      </c>
      <c r="O460" s="103" t="e">
        <f t="shared" si="40"/>
        <v>#REF!</v>
      </c>
      <c r="P460" s="103" t="e">
        <f t="shared" si="40"/>
        <v>#REF!</v>
      </c>
      <c r="Q460" s="103" t="e">
        <f>Q7+Q39+Q69+Q78+Q95+Q127+Q136+Q160+Q254+Q305+Q338+Q358+Q420+Q431+Q439+Q448</f>
        <v>#REF!</v>
      </c>
      <c r="R460" s="103" t="e">
        <f t="shared" si="40"/>
        <v>#REF!</v>
      </c>
      <c r="S460" s="103" t="e">
        <f>S7+S39+S69+S78+S95+S127+S136+S160+S254+S305+S338+S358+S420+S431+S439+S448</f>
        <v>#REF!</v>
      </c>
    </row>
    <row r="461" spans="1:20" ht="16.5" x14ac:dyDescent="0.25">
      <c r="A461" s="6"/>
      <c r="B461" s="12"/>
      <c r="C461" s="12"/>
      <c r="D461" s="12"/>
      <c r="E461" s="12"/>
      <c r="F461" s="13"/>
      <c r="G461" s="13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</row>
    <row r="462" spans="1:20" ht="18.75" x14ac:dyDescent="0.25">
      <c r="A462" s="6"/>
      <c r="B462" s="12"/>
      <c r="C462" s="12" t="s">
        <v>182</v>
      </c>
      <c r="D462" s="12"/>
      <c r="E462" s="12"/>
      <c r="F462" s="14" t="s">
        <v>152</v>
      </c>
      <c r="G462" s="14"/>
      <c r="H462" s="68" t="e">
        <f>#REF!*COM!$H$4</f>
        <v>#REF!</v>
      </c>
      <c r="I462" s="68" t="e">
        <f>#REF!*COM!$H$4</f>
        <v>#REF!</v>
      </c>
      <c r="J462" s="68" t="e">
        <f>#REF!*COM!$J$4</f>
        <v>#REF!</v>
      </c>
      <c r="K462" s="68" t="e">
        <f>#REF!*COM!$J$4</f>
        <v>#REF!</v>
      </c>
      <c r="L462" s="68" t="e">
        <f>#REF!*COM!$L$4</f>
        <v>#REF!</v>
      </c>
      <c r="M462" s="68" t="e">
        <f>#REF!*COM!$L$4</f>
        <v>#REF!</v>
      </c>
      <c r="N462" s="68" t="e">
        <f>#REF!*COM!$N$4</f>
        <v>#REF!</v>
      </c>
      <c r="O462" s="68" t="e">
        <f>#REF!*COM!$N$4</f>
        <v>#REF!</v>
      </c>
      <c r="P462" s="68" t="e">
        <f>#REF!*COM!$P$4</f>
        <v>#REF!</v>
      </c>
      <c r="Q462" s="68" t="e">
        <f>#REF!*COM!$P$4</f>
        <v>#REF!</v>
      </c>
      <c r="R462" s="68" t="e">
        <f>#REF!*COM!$R$4</f>
        <v>#REF!</v>
      </c>
      <c r="S462" s="68" t="e">
        <f>#REF!*COM!$R$4</f>
        <v>#REF!</v>
      </c>
    </row>
    <row r="463" spans="1:20" ht="18.75" x14ac:dyDescent="0.25">
      <c r="A463" s="6"/>
      <c r="B463" s="12"/>
      <c r="C463" s="12" t="s">
        <v>183</v>
      </c>
      <c r="D463" s="12"/>
      <c r="E463" s="12"/>
      <c r="F463" s="14" t="s">
        <v>153</v>
      </c>
      <c r="G463" s="14"/>
      <c r="H463" s="68" t="e">
        <f>#REF!*COM!$H$4</f>
        <v>#REF!</v>
      </c>
      <c r="I463" s="68" t="e">
        <f>#REF!*COM!$H$4</f>
        <v>#REF!</v>
      </c>
      <c r="J463" s="68" t="e">
        <f>#REF!*COM!$J$4</f>
        <v>#REF!</v>
      </c>
      <c r="K463" s="68" t="e">
        <f>#REF!*COM!$J$4</f>
        <v>#REF!</v>
      </c>
      <c r="L463" s="68" t="e">
        <f>#REF!*COM!$L$4</f>
        <v>#REF!</v>
      </c>
      <c r="M463" s="68" t="e">
        <f>#REF!*COM!$L$4</f>
        <v>#REF!</v>
      </c>
      <c r="N463" s="68" t="e">
        <f>#REF!*COM!$N$4</f>
        <v>#REF!</v>
      </c>
      <c r="O463" s="68" t="e">
        <f>#REF!*COM!$N$4</f>
        <v>#REF!</v>
      </c>
      <c r="P463" s="68" t="e">
        <f>#REF!*COM!$P$4</f>
        <v>#REF!</v>
      </c>
      <c r="Q463" s="68" t="e">
        <f>#REF!*COM!$P$4</f>
        <v>#REF!</v>
      </c>
      <c r="R463" s="68" t="e">
        <f>#REF!*COM!$R$4</f>
        <v>#REF!</v>
      </c>
      <c r="S463" s="68" t="e">
        <f>#REF!*COM!$R$4</f>
        <v>#REF!</v>
      </c>
    </row>
    <row r="464" spans="1:20" ht="18.75" x14ac:dyDescent="0.25">
      <c r="A464" s="6"/>
      <c r="B464" s="12"/>
      <c r="C464" s="12"/>
      <c r="D464" s="12"/>
      <c r="E464" s="12"/>
      <c r="F464" s="13"/>
      <c r="G464" s="13"/>
      <c r="H464" s="104"/>
      <c r="I464" s="104"/>
      <c r="J464" s="68"/>
      <c r="K464" s="68"/>
      <c r="L464" s="104"/>
      <c r="M464" s="104"/>
      <c r="N464" s="104"/>
      <c r="O464" s="104"/>
      <c r="P464" s="104"/>
      <c r="Q464" s="104"/>
      <c r="R464" s="104"/>
      <c r="S464" s="104"/>
    </row>
    <row r="465" spans="1:20" ht="18.75" x14ac:dyDescent="0.25">
      <c r="A465" s="26">
        <v>321</v>
      </c>
      <c r="B465" s="26"/>
      <c r="C465" s="26">
        <v>930</v>
      </c>
      <c r="D465" s="27"/>
      <c r="E465" s="33"/>
      <c r="F465" s="14" t="s">
        <v>154</v>
      </c>
      <c r="G465" s="14"/>
      <c r="H465" s="68" t="e">
        <f>#REF!*COM!$H$4</f>
        <v>#REF!</v>
      </c>
      <c r="I465" s="68" t="e">
        <f>#REF!*COM!$H$4</f>
        <v>#REF!</v>
      </c>
      <c r="J465" s="68" t="e">
        <f>#REF!*COM!$J$4</f>
        <v>#REF!</v>
      </c>
      <c r="K465" s="68" t="e">
        <f>#REF!*COM!$J$4</f>
        <v>#REF!</v>
      </c>
      <c r="L465" s="68" t="e">
        <f>#REF!*COM!$L$4</f>
        <v>#REF!</v>
      </c>
      <c r="M465" s="68" t="e">
        <f>#REF!*COM!$L$4</f>
        <v>#REF!</v>
      </c>
      <c r="N465" s="68" t="e">
        <f>#REF!*COM!$N$4</f>
        <v>#REF!</v>
      </c>
      <c r="O465" s="68" t="e">
        <f>#REF!*COM!$N$4</f>
        <v>#REF!</v>
      </c>
      <c r="P465" s="68" t="e">
        <f>#REF!*COM!$P$4</f>
        <v>#REF!</v>
      </c>
      <c r="Q465" s="68" t="e">
        <f>#REF!*COM!$P$4</f>
        <v>#REF!</v>
      </c>
      <c r="R465" s="68" t="e">
        <f>#REF!*COM!$R$4</f>
        <v>#REF!</v>
      </c>
      <c r="S465" s="68" t="e">
        <f>#REF!*COM!$R$4</f>
        <v>#REF!</v>
      </c>
    </row>
    <row r="466" spans="1:20" ht="18.75" x14ac:dyDescent="0.25">
      <c r="A466" s="28">
        <v>321</v>
      </c>
      <c r="B466" s="28"/>
      <c r="C466" s="28">
        <v>920</v>
      </c>
      <c r="D466" s="29"/>
      <c r="E466" s="6"/>
      <c r="F466" s="14" t="s">
        <v>155</v>
      </c>
      <c r="G466" s="14"/>
      <c r="H466" s="68" t="e">
        <f>#REF!*COM!$H$4</f>
        <v>#REF!</v>
      </c>
      <c r="I466" s="68" t="e">
        <f>#REF!*COM!$H$4</f>
        <v>#REF!</v>
      </c>
      <c r="J466" s="68" t="e">
        <f>#REF!*COM!$J$4</f>
        <v>#REF!</v>
      </c>
      <c r="K466" s="68" t="e">
        <f>#REF!*COM!$J$4</f>
        <v>#REF!</v>
      </c>
      <c r="L466" s="68" t="e">
        <f>#REF!*COM!$L$4</f>
        <v>#REF!</v>
      </c>
      <c r="M466" s="68" t="e">
        <f>#REF!*COM!$L$4</f>
        <v>#REF!</v>
      </c>
      <c r="N466" s="68" t="e">
        <f>#REF!*COM!$N$4</f>
        <v>#REF!</v>
      </c>
      <c r="O466" s="68" t="e">
        <f>#REF!*COM!$N$4</f>
        <v>#REF!</v>
      </c>
      <c r="P466" s="68" t="e">
        <f>#REF!*COM!$P$4</f>
        <v>#REF!</v>
      </c>
      <c r="Q466" s="68" t="e">
        <f>#REF!*COM!$P$4</f>
        <v>#REF!</v>
      </c>
      <c r="R466" s="68" t="e">
        <f>#REF!*COM!$R$4</f>
        <v>#REF!</v>
      </c>
      <c r="S466" s="68" t="e">
        <f>#REF!*COM!$R$4</f>
        <v>#REF!</v>
      </c>
    </row>
    <row r="467" spans="1:20" ht="18.75" x14ac:dyDescent="0.25">
      <c r="A467" s="30"/>
      <c r="B467" s="31"/>
      <c r="C467" s="31"/>
      <c r="D467" s="32"/>
      <c r="E467" s="35"/>
      <c r="F467" s="14" t="s">
        <v>156</v>
      </c>
      <c r="G467" s="14"/>
      <c r="H467" s="68" t="e">
        <f>#REF!*COM!$H$4</f>
        <v>#REF!</v>
      </c>
      <c r="I467" s="68" t="e">
        <f>#REF!*COM!$H$4</f>
        <v>#REF!</v>
      </c>
      <c r="J467" s="68" t="e">
        <f>#REF!*COM!$J$4</f>
        <v>#REF!</v>
      </c>
      <c r="K467" s="68" t="e">
        <f>#REF!*COM!$J$4</f>
        <v>#REF!</v>
      </c>
      <c r="L467" s="68" t="e">
        <f>#REF!*COM!$L$4</f>
        <v>#REF!</v>
      </c>
      <c r="M467" s="68" t="e">
        <f>#REF!*COM!$L$4</f>
        <v>#REF!</v>
      </c>
      <c r="N467" s="68" t="e">
        <f>#REF!*COM!$N$4</f>
        <v>#REF!</v>
      </c>
      <c r="O467" s="68" t="e">
        <f>#REF!*COM!$N$4</f>
        <v>#REF!</v>
      </c>
      <c r="P467" s="68" t="e">
        <f>#REF!*COM!$P$4</f>
        <v>#REF!</v>
      </c>
      <c r="Q467" s="68" t="e">
        <f>#REF!*COM!$P$4</f>
        <v>#REF!</v>
      </c>
      <c r="R467" s="68" t="e">
        <f>#REF!*COM!$R$4</f>
        <v>#REF!</v>
      </c>
      <c r="S467" s="68" t="e">
        <f>#REF!*COM!$R$4</f>
        <v>#REF!</v>
      </c>
    </row>
    <row r="468" spans="1:20" ht="18.75" x14ac:dyDescent="0.25">
      <c r="A468" s="26">
        <v>311</v>
      </c>
      <c r="B468" s="26"/>
      <c r="C468" s="26">
        <v>930</v>
      </c>
      <c r="D468" s="27"/>
      <c r="E468" s="33"/>
      <c r="F468" s="14" t="s">
        <v>157</v>
      </c>
      <c r="G468" s="14"/>
      <c r="H468" s="68" t="e">
        <f>#REF!*COM!$H$4</f>
        <v>#REF!</v>
      </c>
      <c r="I468" s="68" t="e">
        <f>#REF!*COM!$H$4</f>
        <v>#REF!</v>
      </c>
      <c r="J468" s="68" t="e">
        <f>#REF!*COM!$J$4</f>
        <v>#REF!</v>
      </c>
      <c r="K468" s="68" t="e">
        <f>#REF!*COM!$J$4</f>
        <v>#REF!</v>
      </c>
      <c r="L468" s="68" t="e">
        <f>#REF!*COM!$L$4</f>
        <v>#REF!</v>
      </c>
      <c r="M468" s="68" t="e">
        <f>#REF!*COM!$L$4</f>
        <v>#REF!</v>
      </c>
      <c r="N468" s="68" t="e">
        <f>#REF!*COM!$N$4</f>
        <v>#REF!</v>
      </c>
      <c r="O468" s="68" t="e">
        <f>#REF!*COM!$N$4</f>
        <v>#REF!</v>
      </c>
      <c r="P468" s="68" t="e">
        <f>#REF!*COM!$P$4</f>
        <v>#REF!</v>
      </c>
      <c r="Q468" s="68" t="e">
        <f>#REF!*COM!$P$4</f>
        <v>#REF!</v>
      </c>
      <c r="R468" s="68" t="e">
        <f>#REF!*COM!$R$4</f>
        <v>#REF!</v>
      </c>
      <c r="S468" s="68" t="e">
        <f>#REF!*COM!$R$4</f>
        <v>#REF!</v>
      </c>
    </row>
    <row r="469" spans="1:20" ht="18.75" x14ac:dyDescent="0.25">
      <c r="A469" s="28">
        <v>311</v>
      </c>
      <c r="B469" s="28"/>
      <c r="C469" s="28">
        <v>920</v>
      </c>
      <c r="D469" s="29"/>
      <c r="E469" s="6"/>
      <c r="F469" s="14" t="s">
        <v>158</v>
      </c>
      <c r="G469" s="14"/>
      <c r="H469" s="68" t="e">
        <f>#REF!*COM!$H$4</f>
        <v>#REF!</v>
      </c>
      <c r="I469" s="68" t="e">
        <f>#REF!*COM!$H$4</f>
        <v>#REF!</v>
      </c>
      <c r="J469" s="68" t="e">
        <f>#REF!*COM!$J$4</f>
        <v>#REF!</v>
      </c>
      <c r="K469" s="68" t="e">
        <f>#REF!*COM!$J$4</f>
        <v>#REF!</v>
      </c>
      <c r="L469" s="68" t="e">
        <f>#REF!*COM!$L$4</f>
        <v>#REF!</v>
      </c>
      <c r="M469" s="68" t="e">
        <f>#REF!*COM!$L$4</f>
        <v>#REF!</v>
      </c>
      <c r="N469" s="68" t="e">
        <f>#REF!*COM!$N$4</f>
        <v>#REF!</v>
      </c>
      <c r="O469" s="68" t="e">
        <f>#REF!*COM!$N$4</f>
        <v>#REF!</v>
      </c>
      <c r="P469" s="68" t="e">
        <f>#REF!*COM!$P$4</f>
        <v>#REF!</v>
      </c>
      <c r="Q469" s="68" t="e">
        <f>#REF!*COM!$P$4</f>
        <v>#REF!</v>
      </c>
      <c r="R469" s="68" t="e">
        <f>#REF!*COM!$R$4</f>
        <v>#REF!</v>
      </c>
      <c r="S469" s="68" t="e">
        <f>#REF!*COM!$R$4</f>
        <v>#REF!</v>
      </c>
    </row>
    <row r="470" spans="1:20" ht="18.75" x14ac:dyDescent="0.25">
      <c r="A470" s="30"/>
      <c r="B470" s="31"/>
      <c r="C470" s="31"/>
      <c r="D470" s="32"/>
      <c r="E470" s="34"/>
      <c r="F470" s="15" t="s">
        <v>159</v>
      </c>
      <c r="G470" s="15"/>
      <c r="H470" s="68" t="e">
        <f>#REF!*COM!$H$4</f>
        <v>#REF!</v>
      </c>
      <c r="I470" s="68" t="e">
        <f>#REF!*COM!$H$4</f>
        <v>#REF!</v>
      </c>
      <c r="J470" s="68" t="e">
        <f>#REF!*COM!$J$4</f>
        <v>#REF!</v>
      </c>
      <c r="K470" s="68" t="e">
        <f>#REF!*COM!$J$4</f>
        <v>#REF!</v>
      </c>
      <c r="L470" s="68" t="e">
        <f>#REF!*COM!$L$4</f>
        <v>#REF!</v>
      </c>
      <c r="M470" s="68" t="e">
        <f>#REF!*COM!$L$4</f>
        <v>#REF!</v>
      </c>
      <c r="N470" s="68" t="e">
        <f>#REF!*COM!$N$4</f>
        <v>#REF!</v>
      </c>
      <c r="O470" s="68" t="e">
        <f>#REF!*COM!$N$4</f>
        <v>#REF!</v>
      </c>
      <c r="P470" s="68" t="e">
        <f>#REF!*COM!$P$4</f>
        <v>#REF!</v>
      </c>
      <c r="Q470" s="68" t="e">
        <f>#REF!*COM!$P$4</f>
        <v>#REF!</v>
      </c>
      <c r="R470" s="68" t="e">
        <f>#REF!*COM!$R$4</f>
        <v>#REF!</v>
      </c>
      <c r="S470" s="68" t="e">
        <f>#REF!*COM!$R$4</f>
        <v>#REF!</v>
      </c>
      <c r="T470"/>
    </row>
    <row r="471" spans="1:20" ht="18.75" x14ac:dyDescent="0.3">
      <c r="A471" s="16"/>
      <c r="B471" s="16"/>
      <c r="C471" s="16"/>
      <c r="D471" s="16"/>
      <c r="E471" s="16"/>
      <c r="F471" s="17"/>
      <c r="G471" s="17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/>
    </row>
    <row r="474" spans="1:20" ht="15" x14ac:dyDescent="0.25">
      <c r="T474"/>
    </row>
  </sheetData>
  <autoFilter ref="A7:S459"/>
  <mergeCells count="45">
    <mergeCell ref="G163:G164"/>
    <mergeCell ref="G16:G17"/>
    <mergeCell ref="G21:G22"/>
    <mergeCell ref="G26:G27"/>
    <mergeCell ref="G28:G29"/>
    <mergeCell ref="G30:G31"/>
    <mergeCell ref="G41:G42"/>
    <mergeCell ref="G44:G45"/>
    <mergeCell ref="G46:G47"/>
    <mergeCell ref="G58:G59"/>
    <mergeCell ref="G140:G141"/>
    <mergeCell ref="G151:G152"/>
    <mergeCell ref="G195:G196"/>
    <mergeCell ref="G165:G167"/>
    <mergeCell ref="G168:G170"/>
    <mergeCell ref="G171:G172"/>
    <mergeCell ref="G173:G174"/>
    <mergeCell ref="G175:G176"/>
    <mergeCell ref="G177:G178"/>
    <mergeCell ref="G179:G181"/>
    <mergeCell ref="G184:G186"/>
    <mergeCell ref="G187:G189"/>
    <mergeCell ref="G190:G192"/>
    <mergeCell ref="G193:G194"/>
    <mergeCell ref="G231:G233"/>
    <mergeCell ref="G197:G198"/>
    <mergeCell ref="G203:G204"/>
    <mergeCell ref="G207:G208"/>
    <mergeCell ref="G209:G210"/>
    <mergeCell ref="G211:G212"/>
    <mergeCell ref="G217:G218"/>
    <mergeCell ref="G219:G220"/>
    <mergeCell ref="G221:G223"/>
    <mergeCell ref="G224:G225"/>
    <mergeCell ref="G227:G228"/>
    <mergeCell ref="G229:G230"/>
    <mergeCell ref="G314:G316"/>
    <mergeCell ref="G326:G327"/>
    <mergeCell ref="G350:G352"/>
    <mergeCell ref="G234:G236"/>
    <mergeCell ref="G237:G239"/>
    <mergeCell ref="G240:G241"/>
    <mergeCell ref="G242:G243"/>
    <mergeCell ref="G309:G311"/>
    <mergeCell ref="G312:G3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4"/>
  <sheetViews>
    <sheetView zoomScale="55" zoomScaleNormal="55" workbookViewId="0">
      <pane ySplit="8" topLeftCell="A438" activePane="bottomLeft" state="frozen"/>
      <selection pane="bottomLeft" activeCell="I461" sqref="I460:I461"/>
    </sheetView>
  </sheetViews>
  <sheetFormatPr defaultRowHeight="15.75" x14ac:dyDescent="0.25"/>
  <cols>
    <col min="1" max="3" width="9.140625" customWidth="1"/>
    <col min="4" max="4" width="23.28515625" customWidth="1"/>
    <col min="5" max="5" width="15.85546875" customWidth="1"/>
    <col min="6" max="6" width="85.140625" customWidth="1"/>
    <col min="7" max="7" width="27.42578125" customWidth="1"/>
    <col min="8" max="8" width="23.28515625" style="105" customWidth="1"/>
    <col min="9" max="9" width="21" style="105" customWidth="1"/>
    <col min="10" max="10" width="23.28515625" style="105" customWidth="1"/>
    <col min="11" max="11" width="24.7109375" style="105" customWidth="1"/>
    <col min="12" max="12" width="23.28515625" style="105" customWidth="1"/>
    <col min="13" max="13" width="21" style="105" customWidth="1"/>
    <col min="14" max="14" width="23.28515625" style="105" customWidth="1"/>
    <col min="15" max="15" width="22.42578125" style="105" customWidth="1"/>
    <col min="16" max="16" width="23.28515625" style="105" customWidth="1"/>
    <col min="17" max="17" width="22.42578125" style="105" customWidth="1"/>
    <col min="18" max="18" width="23.28515625" style="105" customWidth="1"/>
    <col min="19" max="19" width="22.42578125" style="105" customWidth="1"/>
    <col min="20" max="20" width="18.140625" style="110" customWidth="1"/>
  </cols>
  <sheetData>
    <row r="1" spans="1:20" ht="18.75" x14ac:dyDescent="0.3">
      <c r="A1" s="1"/>
      <c r="B1" s="1"/>
      <c r="C1" s="1"/>
      <c r="D1" s="1"/>
      <c r="E1" s="1"/>
      <c r="F1" s="2"/>
      <c r="G1" s="2"/>
      <c r="H1" s="93"/>
      <c r="I1" s="93"/>
      <c r="J1" s="93"/>
      <c r="K1" s="94"/>
      <c r="L1" s="94"/>
      <c r="M1" s="94"/>
      <c r="N1" s="94"/>
      <c r="O1" s="94"/>
      <c r="P1" s="94"/>
      <c r="Q1" s="94"/>
      <c r="R1" s="94"/>
      <c r="S1" s="94"/>
    </row>
    <row r="2" spans="1:20" ht="18.75" x14ac:dyDescent="0.3">
      <c r="A2" s="1"/>
      <c r="B2" s="1"/>
      <c r="C2" s="1"/>
      <c r="D2" s="1"/>
      <c r="E2" s="1"/>
      <c r="F2" s="2"/>
      <c r="G2" s="2"/>
      <c r="H2" s="93"/>
      <c r="I2" s="93"/>
      <c r="J2" s="93"/>
      <c r="K2" s="94"/>
      <c r="L2" s="94"/>
      <c r="M2" s="94"/>
      <c r="N2" s="94"/>
      <c r="O2" s="94"/>
      <c r="P2" s="94"/>
      <c r="Q2" s="94"/>
      <c r="R2" s="94"/>
      <c r="S2" s="94"/>
    </row>
    <row r="3" spans="1:20" ht="40.5" x14ac:dyDescent="0.3">
      <c r="A3" s="59" t="s">
        <v>194</v>
      </c>
      <c r="B3" s="60"/>
      <c r="C3" s="60"/>
      <c r="D3" s="60"/>
      <c r="E3" s="60"/>
      <c r="F3" s="60"/>
      <c r="G3" s="60"/>
      <c r="H3" s="95"/>
      <c r="I3" s="95"/>
      <c r="J3" s="96"/>
      <c r="K3" s="95"/>
      <c r="L3" s="95"/>
      <c r="M3" s="95"/>
      <c r="N3" s="95"/>
      <c r="O3" s="95"/>
      <c r="P3" s="95"/>
      <c r="Q3" s="95"/>
      <c r="R3" s="95"/>
      <c r="S3" s="95"/>
    </row>
    <row r="4" spans="1:20" ht="18.75" x14ac:dyDescent="0.3">
      <c r="A4" s="16"/>
      <c r="B4" s="1"/>
      <c r="C4" s="1"/>
      <c r="D4" s="1"/>
      <c r="E4" s="1"/>
      <c r="F4" s="2"/>
      <c r="G4" s="2"/>
      <c r="H4" s="93">
        <v>91.6</v>
      </c>
      <c r="I4" s="93"/>
      <c r="J4" s="145">
        <v>88.4</v>
      </c>
      <c r="K4"/>
      <c r="L4" s="145">
        <v>89.3</v>
      </c>
      <c r="M4"/>
      <c r="N4" s="145">
        <v>89.5</v>
      </c>
      <c r="O4" s="1"/>
      <c r="P4" s="145">
        <v>90</v>
      </c>
      <c r="Q4" s="1"/>
      <c r="R4" s="146">
        <v>90.5</v>
      </c>
      <c r="S4" s="94"/>
    </row>
    <row r="5" spans="1:20" ht="49.5" x14ac:dyDescent="0.25">
      <c r="A5" s="61" t="s">
        <v>0</v>
      </c>
      <c r="B5" s="61"/>
      <c r="C5" s="61"/>
      <c r="D5" s="61"/>
      <c r="E5" s="18" t="s">
        <v>163</v>
      </c>
      <c r="F5" s="3" t="s">
        <v>1</v>
      </c>
      <c r="G5" s="3" t="s">
        <v>265</v>
      </c>
      <c r="H5" s="106">
        <v>2025</v>
      </c>
      <c r="I5" s="107"/>
      <c r="J5" s="106">
        <v>2026</v>
      </c>
      <c r="K5" s="107"/>
      <c r="L5" s="106">
        <v>2027</v>
      </c>
      <c r="M5" s="107"/>
      <c r="N5" s="106">
        <v>2028</v>
      </c>
      <c r="O5" s="107"/>
      <c r="P5" s="106">
        <v>2029</v>
      </c>
      <c r="Q5" s="107"/>
      <c r="R5" s="106">
        <v>2030</v>
      </c>
      <c r="S5" s="107"/>
    </row>
    <row r="6" spans="1:20" ht="16.5" x14ac:dyDescent="0.25">
      <c r="A6" s="4" t="s">
        <v>2</v>
      </c>
      <c r="B6" s="49" t="s">
        <v>3</v>
      </c>
      <c r="C6" s="49"/>
      <c r="D6" s="49" t="s">
        <v>4</v>
      </c>
      <c r="E6" s="19"/>
      <c r="F6" s="5"/>
      <c r="G6" s="5"/>
      <c r="H6" s="97" t="s">
        <v>188</v>
      </c>
      <c r="I6" s="98" t="s">
        <v>187</v>
      </c>
      <c r="J6" s="97" t="s">
        <v>188</v>
      </c>
      <c r="K6" s="98" t="s">
        <v>187</v>
      </c>
      <c r="L6" s="97" t="s">
        <v>188</v>
      </c>
      <c r="M6" s="98" t="s">
        <v>187</v>
      </c>
      <c r="N6" s="97" t="s">
        <v>188</v>
      </c>
      <c r="O6" s="98" t="s">
        <v>187</v>
      </c>
      <c r="P6" s="97" t="s">
        <v>188</v>
      </c>
      <c r="Q6" s="98" t="s">
        <v>187</v>
      </c>
      <c r="R6" s="97" t="s">
        <v>188</v>
      </c>
      <c r="S6" s="98" t="s">
        <v>187</v>
      </c>
    </row>
    <row r="7" spans="1:20" ht="18.75" x14ac:dyDescent="0.25">
      <c r="A7" s="56"/>
      <c r="B7" s="50"/>
      <c r="C7" s="50"/>
      <c r="D7" s="50"/>
      <c r="E7" s="54"/>
      <c r="F7" s="36" t="s">
        <v>5</v>
      </c>
      <c r="G7" s="36"/>
      <c r="H7" s="99">
        <v>0</v>
      </c>
      <c r="I7" s="99">
        <v>1106656.2399999998</v>
      </c>
      <c r="J7" s="99">
        <v>243.10000000000002</v>
      </c>
      <c r="K7" s="99">
        <v>2252456.7520000003</v>
      </c>
      <c r="L7" s="99">
        <v>3238.9110000000001</v>
      </c>
      <c r="M7" s="99">
        <v>2318887.9270000001</v>
      </c>
      <c r="N7" s="99">
        <v>0</v>
      </c>
      <c r="O7" s="99">
        <v>1249038.73</v>
      </c>
      <c r="P7" s="99">
        <v>0</v>
      </c>
      <c r="Q7" s="99">
        <v>1453217.4</v>
      </c>
      <c r="R7" s="99">
        <v>0</v>
      </c>
      <c r="S7" s="99">
        <v>1039845</v>
      </c>
      <c r="T7" s="111">
        <v>9420102.0490000006</v>
      </c>
    </row>
    <row r="8" spans="1:20" ht="18.75" x14ac:dyDescent="0.25">
      <c r="A8" s="57"/>
      <c r="B8" s="51"/>
      <c r="C8" s="51"/>
      <c r="D8" s="51"/>
      <c r="E8" s="55"/>
      <c r="F8" s="37" t="s">
        <v>6</v>
      </c>
      <c r="G8" s="37"/>
      <c r="H8" s="100">
        <v>0</v>
      </c>
      <c r="I8" s="100">
        <v>1106656.2399999998</v>
      </c>
      <c r="J8" s="100">
        <v>243.10000000000002</v>
      </c>
      <c r="K8" s="100">
        <v>2252456.7520000003</v>
      </c>
      <c r="L8" s="100">
        <v>3238.9110000000001</v>
      </c>
      <c r="M8" s="100">
        <v>2318887.9270000001</v>
      </c>
      <c r="N8" s="100">
        <v>0</v>
      </c>
      <c r="O8" s="100">
        <v>1249038.73</v>
      </c>
      <c r="P8" s="100">
        <v>0</v>
      </c>
      <c r="Q8" s="100">
        <v>1453217.4</v>
      </c>
      <c r="R8" s="100">
        <v>0</v>
      </c>
      <c r="S8" s="100">
        <v>1039845</v>
      </c>
      <c r="T8" s="111">
        <v>9420102.0490000006</v>
      </c>
    </row>
    <row r="9" spans="1:20" ht="18.75" x14ac:dyDescent="0.25">
      <c r="A9" s="88">
        <v>311</v>
      </c>
      <c r="B9" s="89">
        <v>25</v>
      </c>
      <c r="C9" s="89">
        <v>910</v>
      </c>
      <c r="D9" s="90">
        <v>70499</v>
      </c>
      <c r="E9" s="91"/>
      <c r="F9" s="92" t="s">
        <v>197</v>
      </c>
      <c r="G9" s="92"/>
      <c r="H9" s="68">
        <v>0</v>
      </c>
      <c r="I9" s="68">
        <v>0</v>
      </c>
      <c r="J9" s="68">
        <v>243.10000000000002</v>
      </c>
      <c r="K9" s="68">
        <v>0</v>
      </c>
      <c r="L9" s="68">
        <v>245.6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111">
        <v>0</v>
      </c>
    </row>
    <row r="10" spans="1:20" ht="37.5" x14ac:dyDescent="0.25">
      <c r="A10" s="88">
        <v>311</v>
      </c>
      <c r="B10" s="89">
        <v>25</v>
      </c>
      <c r="C10" s="89">
        <v>920</v>
      </c>
      <c r="D10" s="90">
        <v>70499</v>
      </c>
      <c r="E10" s="91" t="s">
        <v>164</v>
      </c>
      <c r="F10" s="92" t="s">
        <v>196</v>
      </c>
      <c r="G10" s="92"/>
      <c r="H10" s="68">
        <v>0</v>
      </c>
      <c r="I10" s="68">
        <v>0</v>
      </c>
      <c r="J10" s="68">
        <v>0</v>
      </c>
      <c r="K10" s="68">
        <v>551000.69999999995</v>
      </c>
      <c r="L10" s="68">
        <v>0</v>
      </c>
      <c r="M10" s="68">
        <v>425650.2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111">
        <v>976650.97200000007</v>
      </c>
    </row>
    <row r="11" spans="1:20" ht="18.75" x14ac:dyDescent="0.25">
      <c r="A11" s="88">
        <v>311</v>
      </c>
      <c r="B11" s="89">
        <v>25</v>
      </c>
      <c r="C11" s="89">
        <v>910</v>
      </c>
      <c r="D11" s="90">
        <v>70499</v>
      </c>
      <c r="E11" s="91"/>
      <c r="F11" s="92" t="s">
        <v>195</v>
      </c>
      <c r="G11" s="92"/>
      <c r="H11" s="68">
        <v>0</v>
      </c>
      <c r="I11" s="68">
        <v>0</v>
      </c>
      <c r="J11" s="68">
        <v>0</v>
      </c>
      <c r="K11" s="68">
        <v>0</v>
      </c>
      <c r="L11" s="68">
        <v>2993.3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111">
        <v>0</v>
      </c>
    </row>
    <row r="12" spans="1:20" ht="37.5" x14ac:dyDescent="0.25">
      <c r="A12" s="88">
        <v>311</v>
      </c>
      <c r="B12" s="89">
        <v>25</v>
      </c>
      <c r="C12" s="89">
        <v>920</v>
      </c>
      <c r="D12" s="90">
        <v>70499</v>
      </c>
      <c r="E12" s="91" t="s">
        <v>177</v>
      </c>
      <c r="F12" s="92" t="s">
        <v>198</v>
      </c>
      <c r="G12" s="92"/>
      <c r="H12" s="68">
        <v>0</v>
      </c>
      <c r="I12" s="68">
        <v>0</v>
      </c>
      <c r="J12" s="68">
        <v>0</v>
      </c>
      <c r="K12" s="68">
        <v>63875.199999999997</v>
      </c>
      <c r="L12" s="68">
        <v>0</v>
      </c>
      <c r="M12" s="68">
        <v>227281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111">
        <v>291156.19</v>
      </c>
    </row>
    <row r="13" spans="1:20" ht="37.5" x14ac:dyDescent="0.25">
      <c r="A13" s="88">
        <v>321</v>
      </c>
      <c r="B13" s="89">
        <v>25</v>
      </c>
      <c r="C13" s="89">
        <v>930</v>
      </c>
      <c r="D13" s="124">
        <v>70499</v>
      </c>
      <c r="E13" s="122" t="s">
        <v>171</v>
      </c>
      <c r="F13" s="92" t="s">
        <v>7</v>
      </c>
      <c r="G13" s="126" t="s">
        <v>397</v>
      </c>
      <c r="H13" s="68">
        <v>0</v>
      </c>
      <c r="I13" s="68">
        <v>0</v>
      </c>
      <c r="J13" s="68">
        <v>0</v>
      </c>
      <c r="K13" s="68">
        <v>486200.00000000006</v>
      </c>
      <c r="L13" s="68">
        <v>0</v>
      </c>
      <c r="M13" s="68">
        <v>598310</v>
      </c>
      <c r="N13" s="68">
        <v>0</v>
      </c>
      <c r="O13" s="68">
        <v>179000</v>
      </c>
      <c r="P13" s="68">
        <v>0</v>
      </c>
      <c r="Q13" s="68">
        <v>450000</v>
      </c>
      <c r="R13" s="68">
        <v>0</v>
      </c>
      <c r="S13" s="68">
        <v>452500</v>
      </c>
      <c r="T13" s="111">
        <v>2166010</v>
      </c>
    </row>
    <row r="14" spans="1:20" ht="37.5" x14ac:dyDescent="0.25">
      <c r="A14" s="88">
        <v>311</v>
      </c>
      <c r="B14" s="89">
        <v>25</v>
      </c>
      <c r="C14" s="89">
        <v>920</v>
      </c>
      <c r="D14" s="124">
        <v>70499</v>
      </c>
      <c r="E14" s="122" t="s">
        <v>172</v>
      </c>
      <c r="F14" s="92" t="s">
        <v>8</v>
      </c>
      <c r="G14" s="92"/>
      <c r="H14" s="68">
        <v>0</v>
      </c>
      <c r="I14" s="68">
        <v>4251.2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111">
        <v>4251.155999999999</v>
      </c>
    </row>
    <row r="15" spans="1:20" ht="37.5" x14ac:dyDescent="0.25">
      <c r="A15" s="88">
        <v>321</v>
      </c>
      <c r="B15" s="89">
        <v>25</v>
      </c>
      <c r="C15" s="89">
        <v>920</v>
      </c>
      <c r="D15" s="124">
        <v>70499</v>
      </c>
      <c r="E15" s="122" t="s">
        <v>172</v>
      </c>
      <c r="F15" s="92" t="s">
        <v>8</v>
      </c>
      <c r="G15" s="92"/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111">
        <v>0</v>
      </c>
    </row>
    <row r="16" spans="1:20" ht="37.5" x14ac:dyDescent="0.25">
      <c r="A16" s="88">
        <v>311</v>
      </c>
      <c r="B16" s="89">
        <v>25</v>
      </c>
      <c r="C16" s="89">
        <v>930</v>
      </c>
      <c r="D16" s="124">
        <v>70499</v>
      </c>
      <c r="E16" s="122" t="s">
        <v>172</v>
      </c>
      <c r="F16" s="92" t="s">
        <v>9</v>
      </c>
      <c r="G16" s="228" t="s">
        <v>354</v>
      </c>
      <c r="H16" s="68">
        <v>0</v>
      </c>
      <c r="I16" s="68">
        <v>16179.3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111">
        <v>16179.307999999999</v>
      </c>
    </row>
    <row r="17" spans="1:20" ht="37.5" x14ac:dyDescent="0.25">
      <c r="A17" s="88">
        <v>321</v>
      </c>
      <c r="B17" s="89">
        <v>25</v>
      </c>
      <c r="C17" s="89">
        <v>930</v>
      </c>
      <c r="D17" s="124">
        <v>70499</v>
      </c>
      <c r="E17" s="122" t="s">
        <v>172</v>
      </c>
      <c r="F17" s="92" t="s">
        <v>9</v>
      </c>
      <c r="G17" s="229"/>
      <c r="H17" s="68">
        <v>0</v>
      </c>
      <c r="I17" s="68">
        <v>333292.09999999998</v>
      </c>
      <c r="J17" s="68">
        <v>0</v>
      </c>
      <c r="K17" s="68">
        <v>103251.20000000001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111">
        <v>436543.29599999997</v>
      </c>
    </row>
    <row r="18" spans="1:20" ht="18.75" x14ac:dyDescent="0.25">
      <c r="A18" s="88">
        <v>311</v>
      </c>
      <c r="B18" s="89">
        <v>25</v>
      </c>
      <c r="C18" s="89">
        <v>920</v>
      </c>
      <c r="D18" s="124">
        <v>70499</v>
      </c>
      <c r="E18" s="122" t="s">
        <v>172</v>
      </c>
      <c r="F18" s="92" t="s">
        <v>10</v>
      </c>
      <c r="G18" s="92"/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111">
        <v>0</v>
      </c>
    </row>
    <row r="19" spans="1:20" ht="18.75" x14ac:dyDescent="0.25">
      <c r="A19" s="88">
        <v>321</v>
      </c>
      <c r="B19" s="89">
        <v>25</v>
      </c>
      <c r="C19" s="89">
        <v>920</v>
      </c>
      <c r="D19" s="124">
        <v>70499</v>
      </c>
      <c r="E19" s="122" t="s">
        <v>172</v>
      </c>
      <c r="F19" s="92" t="s">
        <v>10</v>
      </c>
      <c r="G19" s="92"/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111">
        <v>0</v>
      </c>
    </row>
    <row r="20" spans="1:20" ht="18.75" x14ac:dyDescent="0.25">
      <c r="A20" s="88">
        <v>321</v>
      </c>
      <c r="B20" s="89">
        <v>25</v>
      </c>
      <c r="C20" s="89">
        <v>930</v>
      </c>
      <c r="D20" s="124">
        <v>70499</v>
      </c>
      <c r="E20" s="122" t="s">
        <v>172</v>
      </c>
      <c r="F20" s="92" t="s">
        <v>11</v>
      </c>
      <c r="G20" s="126" t="s">
        <v>357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111">
        <v>0</v>
      </c>
    </row>
    <row r="21" spans="1:20" ht="18.75" x14ac:dyDescent="0.25">
      <c r="A21" s="88">
        <v>311</v>
      </c>
      <c r="B21" s="89">
        <v>25</v>
      </c>
      <c r="C21" s="89">
        <v>930</v>
      </c>
      <c r="D21" s="124">
        <v>70499</v>
      </c>
      <c r="E21" s="122" t="s">
        <v>179</v>
      </c>
      <c r="F21" s="92" t="s">
        <v>12</v>
      </c>
      <c r="G21" s="228" t="s">
        <v>358</v>
      </c>
      <c r="H21" s="68">
        <v>0</v>
      </c>
      <c r="I21" s="68">
        <v>2851.5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111">
        <v>2851.5079999999998</v>
      </c>
    </row>
    <row r="22" spans="1:20" ht="18.75" x14ac:dyDescent="0.25">
      <c r="A22" s="88">
        <v>321</v>
      </c>
      <c r="B22" s="89">
        <v>25</v>
      </c>
      <c r="C22" s="89">
        <v>930</v>
      </c>
      <c r="D22" s="124">
        <v>70499</v>
      </c>
      <c r="E22" s="122" t="s">
        <v>179</v>
      </c>
      <c r="F22" s="92" t="s">
        <v>12</v>
      </c>
      <c r="G22" s="229"/>
      <c r="H22" s="68">
        <v>0</v>
      </c>
      <c r="I22" s="68">
        <v>731762.2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111">
        <v>731762.1719999999</v>
      </c>
    </row>
    <row r="23" spans="1:20" ht="37.5" x14ac:dyDescent="0.25">
      <c r="A23" s="88">
        <v>311</v>
      </c>
      <c r="B23" s="89">
        <v>25</v>
      </c>
      <c r="C23" s="89">
        <v>920</v>
      </c>
      <c r="D23" s="124">
        <v>70499</v>
      </c>
      <c r="E23" s="122" t="s">
        <v>172</v>
      </c>
      <c r="F23" s="92" t="s">
        <v>13</v>
      </c>
      <c r="G23" s="92"/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111">
        <v>0</v>
      </c>
    </row>
    <row r="24" spans="1:20" ht="37.5" x14ac:dyDescent="0.25">
      <c r="A24" s="88">
        <v>321</v>
      </c>
      <c r="B24" s="89">
        <v>25</v>
      </c>
      <c r="C24" s="89">
        <v>920</v>
      </c>
      <c r="D24" s="124">
        <v>70499</v>
      </c>
      <c r="E24" s="122" t="s">
        <v>172</v>
      </c>
      <c r="F24" s="92" t="s">
        <v>13</v>
      </c>
      <c r="G24" s="92"/>
      <c r="H24" s="68">
        <v>0</v>
      </c>
      <c r="I24" s="68">
        <v>0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111">
        <v>0</v>
      </c>
    </row>
    <row r="25" spans="1:20" ht="37.5" x14ac:dyDescent="0.25">
      <c r="A25" s="88">
        <v>321</v>
      </c>
      <c r="B25" s="89">
        <v>25</v>
      </c>
      <c r="C25" s="89">
        <v>930</v>
      </c>
      <c r="D25" s="124">
        <v>70499</v>
      </c>
      <c r="E25" s="122" t="s">
        <v>172</v>
      </c>
      <c r="F25" s="92" t="s">
        <v>14</v>
      </c>
      <c r="G25" s="126" t="s">
        <v>378</v>
      </c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111">
        <v>0</v>
      </c>
    </row>
    <row r="26" spans="1:20" ht="18.75" x14ac:dyDescent="0.25">
      <c r="A26" s="88">
        <v>311</v>
      </c>
      <c r="B26" s="89">
        <v>25</v>
      </c>
      <c r="C26" s="89">
        <v>930</v>
      </c>
      <c r="D26" s="124">
        <v>70499</v>
      </c>
      <c r="E26" s="124" t="s">
        <v>172</v>
      </c>
      <c r="F26" s="92" t="s">
        <v>180</v>
      </c>
      <c r="G26" s="228" t="s">
        <v>355</v>
      </c>
      <c r="H26" s="68">
        <v>0</v>
      </c>
      <c r="I26" s="68">
        <v>0</v>
      </c>
      <c r="J26" s="68">
        <v>0</v>
      </c>
      <c r="K26" s="68">
        <v>4420</v>
      </c>
      <c r="L26" s="68">
        <v>0</v>
      </c>
      <c r="M26" s="68">
        <v>13395</v>
      </c>
      <c r="N26" s="68">
        <v>0</v>
      </c>
      <c r="O26" s="68">
        <v>13425</v>
      </c>
      <c r="P26" s="68">
        <v>0</v>
      </c>
      <c r="Q26" s="68">
        <v>13500</v>
      </c>
      <c r="R26" s="68">
        <v>0</v>
      </c>
      <c r="S26" s="68">
        <v>13575</v>
      </c>
      <c r="T26" s="111">
        <v>58315</v>
      </c>
    </row>
    <row r="27" spans="1:20" ht="18.75" x14ac:dyDescent="0.25">
      <c r="A27" s="88">
        <v>321</v>
      </c>
      <c r="B27" s="89">
        <v>25</v>
      </c>
      <c r="C27" s="89">
        <v>930</v>
      </c>
      <c r="D27" s="124">
        <v>70499</v>
      </c>
      <c r="E27" s="124" t="s">
        <v>172</v>
      </c>
      <c r="F27" s="92" t="s">
        <v>181</v>
      </c>
      <c r="G27" s="229"/>
      <c r="H27" s="68">
        <v>0</v>
      </c>
      <c r="I27" s="68">
        <v>0</v>
      </c>
      <c r="J27" s="68">
        <v>0</v>
      </c>
      <c r="K27" s="68">
        <v>542776</v>
      </c>
      <c r="L27" s="68">
        <v>0</v>
      </c>
      <c r="M27" s="68">
        <v>548302</v>
      </c>
      <c r="N27" s="68">
        <v>0</v>
      </c>
      <c r="O27" s="68">
        <v>549530</v>
      </c>
      <c r="P27" s="68">
        <v>0</v>
      </c>
      <c r="Q27" s="68">
        <v>552600</v>
      </c>
      <c r="R27" s="68">
        <v>0</v>
      </c>
      <c r="S27" s="68">
        <v>573770</v>
      </c>
      <c r="T27" s="111">
        <v>2766978</v>
      </c>
    </row>
    <row r="28" spans="1:20" ht="37.5" x14ac:dyDescent="0.25">
      <c r="A28" s="88">
        <v>311</v>
      </c>
      <c r="B28" s="89">
        <v>25</v>
      </c>
      <c r="C28" s="89">
        <v>930</v>
      </c>
      <c r="D28" s="90">
        <v>70499</v>
      </c>
      <c r="E28" s="122" t="s">
        <v>172</v>
      </c>
      <c r="F28" s="92" t="s">
        <v>359</v>
      </c>
      <c r="G28" s="228" t="s">
        <v>356</v>
      </c>
      <c r="H28" s="68">
        <v>0</v>
      </c>
      <c r="I28" s="68">
        <v>0</v>
      </c>
      <c r="J28" s="68">
        <v>0</v>
      </c>
      <c r="K28" s="68">
        <v>12965.6</v>
      </c>
      <c r="L28" s="68">
        <v>0</v>
      </c>
      <c r="M28" s="68">
        <v>13013.7</v>
      </c>
      <c r="N28" s="68">
        <v>0</v>
      </c>
      <c r="O28" s="68">
        <v>13043.7</v>
      </c>
      <c r="P28" s="68">
        <v>0</v>
      </c>
      <c r="Q28" s="68">
        <v>19517.400000000001</v>
      </c>
      <c r="R28" s="68">
        <v>0</v>
      </c>
      <c r="S28" s="68">
        <v>0</v>
      </c>
      <c r="T28" s="111">
        <v>58540.447</v>
      </c>
    </row>
    <row r="29" spans="1:20" ht="37.5" x14ac:dyDescent="0.25">
      <c r="A29" s="88">
        <v>321</v>
      </c>
      <c r="B29" s="89">
        <v>25</v>
      </c>
      <c r="C29" s="89">
        <v>930</v>
      </c>
      <c r="D29" s="90">
        <v>70499</v>
      </c>
      <c r="E29" s="122" t="s">
        <v>172</v>
      </c>
      <c r="F29" s="92" t="s">
        <v>359</v>
      </c>
      <c r="G29" s="229"/>
      <c r="H29" s="68">
        <v>0</v>
      </c>
      <c r="I29" s="68">
        <v>0</v>
      </c>
      <c r="J29" s="68">
        <v>0</v>
      </c>
      <c r="K29" s="68">
        <v>487968.00000000006</v>
      </c>
      <c r="L29" s="68">
        <v>0</v>
      </c>
      <c r="M29" s="68">
        <v>492936</v>
      </c>
      <c r="N29" s="68">
        <v>0</v>
      </c>
      <c r="O29" s="68">
        <v>494040</v>
      </c>
      <c r="P29" s="68">
        <v>0</v>
      </c>
      <c r="Q29" s="68">
        <v>417600</v>
      </c>
      <c r="R29" s="68">
        <v>0</v>
      </c>
      <c r="S29" s="68">
        <v>0</v>
      </c>
      <c r="T29" s="111">
        <v>1892544</v>
      </c>
    </row>
    <row r="30" spans="1:20" ht="37.5" x14ac:dyDescent="0.25">
      <c r="A30" s="114">
        <v>311</v>
      </c>
      <c r="B30" s="115">
        <v>25</v>
      </c>
      <c r="C30" s="115">
        <v>930</v>
      </c>
      <c r="D30" s="116">
        <v>70499</v>
      </c>
      <c r="E30" s="117" t="s">
        <v>172</v>
      </c>
      <c r="F30" s="112" t="s">
        <v>395</v>
      </c>
      <c r="G30" s="233" t="s">
        <v>396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111">
        <v>0</v>
      </c>
    </row>
    <row r="31" spans="1:20" ht="37.5" x14ac:dyDescent="0.25">
      <c r="A31" s="114">
        <v>321</v>
      </c>
      <c r="B31" s="115">
        <v>25</v>
      </c>
      <c r="C31" s="115">
        <v>930</v>
      </c>
      <c r="D31" s="116">
        <v>70499</v>
      </c>
      <c r="E31" s="117" t="s">
        <v>172</v>
      </c>
      <c r="F31" s="112" t="s">
        <v>395</v>
      </c>
      <c r="G31" s="234"/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111">
        <v>0</v>
      </c>
    </row>
    <row r="32" spans="1:20" ht="18.75" x14ac:dyDescent="0.25">
      <c r="A32" s="114">
        <v>311</v>
      </c>
      <c r="B32" s="115">
        <v>25</v>
      </c>
      <c r="C32" s="115">
        <v>920</v>
      </c>
      <c r="D32" s="116">
        <v>70499</v>
      </c>
      <c r="E32" s="117" t="s">
        <v>172</v>
      </c>
      <c r="F32" s="118" t="s">
        <v>15</v>
      </c>
      <c r="G32" s="149"/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>
        <v>0</v>
      </c>
      <c r="T32" s="111"/>
    </row>
    <row r="33" spans="1:20" ht="18.75" x14ac:dyDescent="0.25">
      <c r="A33" s="114">
        <v>311</v>
      </c>
      <c r="B33" s="115">
        <v>25</v>
      </c>
      <c r="C33" s="115">
        <v>930</v>
      </c>
      <c r="D33" s="116">
        <v>70499</v>
      </c>
      <c r="E33" s="117" t="s">
        <v>172</v>
      </c>
      <c r="F33" s="118" t="s">
        <v>16</v>
      </c>
      <c r="G33" s="149"/>
      <c r="H33" s="68">
        <v>0</v>
      </c>
      <c r="I33" s="68">
        <v>18320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111"/>
    </row>
    <row r="34" spans="1:20" ht="18.75" x14ac:dyDescent="0.25">
      <c r="A34" s="4"/>
      <c r="B34" s="52"/>
      <c r="C34" s="52"/>
      <c r="D34" s="7"/>
      <c r="E34" s="20"/>
      <c r="F34" s="38"/>
      <c r="G34" s="3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11">
        <v>0</v>
      </c>
    </row>
    <row r="35" spans="1:20" ht="18.75" x14ac:dyDescent="0.25">
      <c r="A35" s="4"/>
      <c r="B35" s="52"/>
      <c r="C35" s="52"/>
      <c r="D35" s="7"/>
      <c r="E35" s="20"/>
      <c r="F35" s="38"/>
      <c r="G35" s="3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11"/>
    </row>
    <row r="36" spans="1:20" ht="18.75" x14ac:dyDescent="0.25">
      <c r="A36" s="4"/>
      <c r="B36" s="52"/>
      <c r="C36" s="52"/>
      <c r="D36" s="7"/>
      <c r="E36" s="20"/>
      <c r="F36" s="38"/>
      <c r="G36" s="3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11">
        <v>0</v>
      </c>
    </row>
    <row r="37" spans="1:20" ht="18.75" x14ac:dyDescent="0.25">
      <c r="A37" s="4"/>
      <c r="B37" s="52"/>
      <c r="C37" s="52"/>
      <c r="D37" s="7"/>
      <c r="E37" s="20"/>
      <c r="F37" s="38"/>
      <c r="G37" s="3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11">
        <v>0</v>
      </c>
    </row>
    <row r="38" spans="1:20" ht="18.75" x14ac:dyDescent="0.25">
      <c r="A38" s="4"/>
      <c r="B38" s="52"/>
      <c r="C38" s="52"/>
      <c r="D38" s="7"/>
      <c r="E38" s="20"/>
      <c r="F38" s="38"/>
      <c r="G38" s="3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11">
        <v>0</v>
      </c>
    </row>
    <row r="39" spans="1:20" ht="18.75" x14ac:dyDescent="0.25">
      <c r="A39" s="56"/>
      <c r="B39" s="50"/>
      <c r="C39" s="50"/>
      <c r="D39" s="50"/>
      <c r="E39" s="54"/>
      <c r="F39" s="36" t="s">
        <v>17</v>
      </c>
      <c r="G39" s="36"/>
      <c r="H39" s="99">
        <v>0</v>
      </c>
      <c r="I39" s="99">
        <v>5596760</v>
      </c>
      <c r="J39" s="99">
        <v>0</v>
      </c>
      <c r="K39" s="99">
        <v>4345551.2880000006</v>
      </c>
      <c r="L39" s="99">
        <v>0</v>
      </c>
      <c r="M39" s="99">
        <v>3799801.6209999998</v>
      </c>
      <c r="N39" s="99">
        <v>0</v>
      </c>
      <c r="O39" s="99">
        <v>7481928.8149999995</v>
      </c>
      <c r="P39" s="99">
        <v>0</v>
      </c>
      <c r="Q39" s="99">
        <v>2764350</v>
      </c>
      <c r="R39" s="99">
        <v>0</v>
      </c>
      <c r="S39" s="99">
        <v>1577867.5</v>
      </c>
      <c r="T39" s="111">
        <v>25566259.223999999</v>
      </c>
    </row>
    <row r="40" spans="1:20" ht="18.75" x14ac:dyDescent="0.25">
      <c r="A40" s="57"/>
      <c r="B40" s="51"/>
      <c r="C40" s="51"/>
      <c r="D40" s="51"/>
      <c r="E40" s="55"/>
      <c r="F40" s="37" t="s">
        <v>6</v>
      </c>
      <c r="G40" s="37"/>
      <c r="H40" s="100">
        <v>0</v>
      </c>
      <c r="I40" s="100">
        <v>5596760</v>
      </c>
      <c r="J40" s="100">
        <v>0</v>
      </c>
      <c r="K40" s="100">
        <v>4345551.2880000006</v>
      </c>
      <c r="L40" s="100">
        <v>0</v>
      </c>
      <c r="M40" s="100">
        <v>3799801.6209999998</v>
      </c>
      <c r="N40" s="100">
        <v>0</v>
      </c>
      <c r="O40" s="100">
        <v>7481928.8149999995</v>
      </c>
      <c r="P40" s="100">
        <v>0</v>
      </c>
      <c r="Q40" s="100">
        <v>2764350</v>
      </c>
      <c r="R40" s="100">
        <v>0</v>
      </c>
      <c r="S40" s="100">
        <v>1577867.5</v>
      </c>
      <c r="T40" s="111">
        <v>25566259.223999999</v>
      </c>
    </row>
    <row r="41" spans="1:20" ht="37.5" x14ac:dyDescent="0.25">
      <c r="A41" s="4">
        <v>311</v>
      </c>
      <c r="B41" s="52">
        <v>28</v>
      </c>
      <c r="C41" s="52">
        <v>920</v>
      </c>
      <c r="D41" s="73">
        <v>70499</v>
      </c>
      <c r="E41" s="20" t="s">
        <v>172</v>
      </c>
      <c r="F41" s="74" t="s">
        <v>20</v>
      </c>
      <c r="G41" s="225" t="s">
        <v>279</v>
      </c>
      <c r="H41" s="68">
        <v>0</v>
      </c>
      <c r="I41" s="68">
        <v>916000</v>
      </c>
      <c r="J41" s="68">
        <v>0</v>
      </c>
      <c r="K41" s="68">
        <v>0</v>
      </c>
      <c r="L41" s="68">
        <v>0</v>
      </c>
      <c r="M41" s="68">
        <v>23276.044999999998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111">
        <v>939276.04500000004</v>
      </c>
    </row>
    <row r="42" spans="1:20" ht="37.5" x14ac:dyDescent="0.25">
      <c r="A42" s="4">
        <v>311</v>
      </c>
      <c r="B42" s="52">
        <v>28</v>
      </c>
      <c r="C42" s="52">
        <v>930</v>
      </c>
      <c r="D42" s="7">
        <v>70499</v>
      </c>
      <c r="E42" s="20" t="s">
        <v>172</v>
      </c>
      <c r="F42" s="74" t="s">
        <v>21</v>
      </c>
      <c r="G42" s="227"/>
      <c r="H42" s="68">
        <v>0</v>
      </c>
      <c r="I42" s="68">
        <v>732800</v>
      </c>
      <c r="J42" s="68">
        <v>0</v>
      </c>
      <c r="K42" s="68">
        <v>1591200</v>
      </c>
      <c r="L42" s="68">
        <v>0</v>
      </c>
      <c r="M42" s="68">
        <v>357200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111">
        <v>2681200</v>
      </c>
    </row>
    <row r="43" spans="1:20" ht="37.5" x14ac:dyDescent="0.25">
      <c r="A43" s="4">
        <v>311</v>
      </c>
      <c r="B43" s="52">
        <v>28</v>
      </c>
      <c r="C43" s="52">
        <v>930</v>
      </c>
      <c r="D43" s="7">
        <v>70499</v>
      </c>
      <c r="E43" s="20" t="s">
        <v>172</v>
      </c>
      <c r="F43" s="74" t="s">
        <v>343</v>
      </c>
      <c r="G43" s="153"/>
      <c r="H43" s="68">
        <v>0</v>
      </c>
      <c r="I43" s="68">
        <v>0</v>
      </c>
      <c r="J43" s="68">
        <v>0</v>
      </c>
      <c r="K43" s="68">
        <v>88400</v>
      </c>
      <c r="L43" s="68">
        <v>0</v>
      </c>
      <c r="M43" s="68">
        <v>267900</v>
      </c>
      <c r="N43" s="68">
        <v>0</v>
      </c>
      <c r="O43" s="68">
        <v>358000</v>
      </c>
      <c r="P43" s="68">
        <v>0</v>
      </c>
      <c r="Q43" s="68">
        <v>45000</v>
      </c>
      <c r="R43" s="68">
        <v>0</v>
      </c>
      <c r="S43" s="68">
        <v>0</v>
      </c>
      <c r="T43" s="111">
        <v>759300</v>
      </c>
    </row>
    <row r="44" spans="1:20" ht="37.5" x14ac:dyDescent="0.25">
      <c r="A44" s="4">
        <v>311</v>
      </c>
      <c r="B44" s="52">
        <v>28</v>
      </c>
      <c r="C44" s="52">
        <v>920</v>
      </c>
      <c r="D44" s="7">
        <v>70499</v>
      </c>
      <c r="E44" s="20" t="s">
        <v>172</v>
      </c>
      <c r="F44" s="62" t="s">
        <v>295</v>
      </c>
      <c r="G44" s="225" t="s">
        <v>280</v>
      </c>
      <c r="H44" s="68">
        <v>0</v>
      </c>
      <c r="I44" s="68">
        <v>732800</v>
      </c>
      <c r="J44" s="68">
        <v>0</v>
      </c>
      <c r="K44" s="68">
        <v>751400</v>
      </c>
      <c r="L44" s="68">
        <v>0</v>
      </c>
      <c r="M44" s="68">
        <v>491150</v>
      </c>
      <c r="N44" s="68">
        <v>0</v>
      </c>
      <c r="O44" s="68">
        <v>25346.399999999998</v>
      </c>
      <c r="P44" s="68">
        <v>0</v>
      </c>
      <c r="Q44" s="68">
        <v>0</v>
      </c>
      <c r="R44" s="68">
        <v>0</v>
      </c>
      <c r="S44" s="68">
        <v>0</v>
      </c>
      <c r="T44" s="111">
        <v>2000696.4</v>
      </c>
    </row>
    <row r="45" spans="1:20" ht="37.5" x14ac:dyDescent="0.25">
      <c r="A45" s="4">
        <v>311</v>
      </c>
      <c r="B45" s="52">
        <v>28</v>
      </c>
      <c r="C45" s="52">
        <v>930</v>
      </c>
      <c r="D45" s="7">
        <v>70499</v>
      </c>
      <c r="E45" s="20" t="s">
        <v>172</v>
      </c>
      <c r="F45" s="62" t="s">
        <v>296</v>
      </c>
      <c r="G45" s="227"/>
      <c r="H45" s="68">
        <v>0</v>
      </c>
      <c r="I45" s="68">
        <v>366400</v>
      </c>
      <c r="J45" s="68">
        <v>0</v>
      </c>
      <c r="K45" s="68">
        <v>353600</v>
      </c>
      <c r="L45" s="68">
        <v>0</v>
      </c>
      <c r="M45" s="68">
        <v>357200</v>
      </c>
      <c r="N45" s="68">
        <v>0</v>
      </c>
      <c r="O45" s="68">
        <v>156038.77499999999</v>
      </c>
      <c r="P45" s="68">
        <v>0</v>
      </c>
      <c r="Q45" s="68">
        <v>90000</v>
      </c>
      <c r="R45" s="68">
        <v>0</v>
      </c>
      <c r="S45" s="68">
        <v>181000</v>
      </c>
      <c r="T45" s="111">
        <v>1504238.7749999999</v>
      </c>
    </row>
    <row r="46" spans="1:20" ht="18.75" x14ac:dyDescent="0.25">
      <c r="A46" s="4">
        <v>311</v>
      </c>
      <c r="B46" s="52">
        <v>28</v>
      </c>
      <c r="C46" s="52">
        <v>920</v>
      </c>
      <c r="D46" s="7">
        <v>70499</v>
      </c>
      <c r="E46" s="20" t="s">
        <v>172</v>
      </c>
      <c r="F46" s="62" t="s">
        <v>297</v>
      </c>
      <c r="G46" s="225" t="s">
        <v>342</v>
      </c>
      <c r="H46" s="68">
        <v>0</v>
      </c>
      <c r="I46" s="68">
        <v>18320</v>
      </c>
      <c r="J46" s="68">
        <v>0</v>
      </c>
      <c r="K46" s="68">
        <v>17680</v>
      </c>
      <c r="L46" s="68">
        <v>0</v>
      </c>
      <c r="M46" s="68">
        <v>142880</v>
      </c>
      <c r="N46" s="68">
        <v>0</v>
      </c>
      <c r="O46" s="68">
        <v>0</v>
      </c>
      <c r="P46" s="68">
        <v>0</v>
      </c>
      <c r="Q46" s="68">
        <v>0</v>
      </c>
      <c r="R46" s="68">
        <v>0</v>
      </c>
      <c r="S46" s="68">
        <v>0</v>
      </c>
      <c r="T46" s="111">
        <v>178880</v>
      </c>
    </row>
    <row r="47" spans="1:20" ht="18.75" x14ac:dyDescent="0.25">
      <c r="A47" s="4">
        <v>311</v>
      </c>
      <c r="B47" s="52">
        <v>28</v>
      </c>
      <c r="C47" s="52">
        <v>930</v>
      </c>
      <c r="D47" s="7">
        <v>70499</v>
      </c>
      <c r="E47" s="20" t="s">
        <v>172</v>
      </c>
      <c r="F47" s="62" t="s">
        <v>298</v>
      </c>
      <c r="G47" s="227"/>
      <c r="H47" s="68">
        <v>0</v>
      </c>
      <c r="I47" s="68">
        <v>73280</v>
      </c>
      <c r="J47" s="68">
        <v>0</v>
      </c>
      <c r="K47" s="68">
        <v>159120</v>
      </c>
      <c r="L47" s="68">
        <v>0</v>
      </c>
      <c r="M47" s="68">
        <v>446500</v>
      </c>
      <c r="N47" s="68">
        <v>0</v>
      </c>
      <c r="O47" s="68">
        <v>1074000</v>
      </c>
      <c r="P47" s="68">
        <v>0</v>
      </c>
      <c r="Q47" s="68">
        <v>486000</v>
      </c>
      <c r="R47" s="68">
        <v>0</v>
      </c>
      <c r="S47" s="68">
        <v>0</v>
      </c>
      <c r="T47" s="111">
        <v>2238900</v>
      </c>
    </row>
    <row r="48" spans="1:20" ht="18.75" x14ac:dyDescent="0.25">
      <c r="A48" s="88">
        <v>311</v>
      </c>
      <c r="B48" s="89">
        <v>28</v>
      </c>
      <c r="C48" s="89">
        <v>910</v>
      </c>
      <c r="D48" s="90">
        <v>70499</v>
      </c>
      <c r="E48" s="91"/>
      <c r="F48" s="92" t="s">
        <v>390</v>
      </c>
      <c r="G48" s="92"/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  <c r="O48" s="68">
        <v>0</v>
      </c>
      <c r="P48" s="68">
        <v>0</v>
      </c>
      <c r="Q48" s="68">
        <v>0</v>
      </c>
      <c r="R48" s="68">
        <v>0</v>
      </c>
      <c r="S48" s="68">
        <v>0</v>
      </c>
      <c r="T48" s="111"/>
    </row>
    <row r="49" spans="1:20" ht="37.5" x14ac:dyDescent="0.25">
      <c r="A49" s="88">
        <v>311</v>
      </c>
      <c r="B49" s="89">
        <v>28</v>
      </c>
      <c r="C49" s="89">
        <v>920</v>
      </c>
      <c r="D49" s="90">
        <v>70499</v>
      </c>
      <c r="E49" s="91" t="s">
        <v>173</v>
      </c>
      <c r="F49" s="92" t="s">
        <v>389</v>
      </c>
      <c r="G49" s="92"/>
      <c r="H49" s="68">
        <v>0</v>
      </c>
      <c r="I49" s="68">
        <v>0</v>
      </c>
      <c r="J49" s="68">
        <v>0</v>
      </c>
      <c r="K49" s="68">
        <v>0</v>
      </c>
      <c r="L49" s="68">
        <v>0</v>
      </c>
      <c r="M49" s="68">
        <v>0</v>
      </c>
      <c r="N49" s="68">
        <v>0</v>
      </c>
      <c r="O49" s="68">
        <v>0</v>
      </c>
      <c r="P49" s="68">
        <v>0</v>
      </c>
      <c r="Q49" s="68">
        <v>0</v>
      </c>
      <c r="R49" s="68">
        <v>0</v>
      </c>
      <c r="S49" s="68">
        <v>0</v>
      </c>
      <c r="T49" s="111"/>
    </row>
    <row r="50" spans="1:20" ht="18.75" x14ac:dyDescent="0.25">
      <c r="A50" s="114">
        <v>311</v>
      </c>
      <c r="B50" s="115">
        <v>28</v>
      </c>
      <c r="C50" s="115">
        <v>910</v>
      </c>
      <c r="D50" s="116">
        <v>70499</v>
      </c>
      <c r="E50" s="117"/>
      <c r="F50" s="118" t="s">
        <v>401</v>
      </c>
      <c r="G50" s="118"/>
      <c r="H50" s="68">
        <v>0</v>
      </c>
      <c r="I50" s="68">
        <v>0</v>
      </c>
      <c r="J50" s="68">
        <v>0</v>
      </c>
      <c r="K50" s="68">
        <v>0</v>
      </c>
      <c r="L50" s="68">
        <v>0</v>
      </c>
      <c r="M50" s="68">
        <v>0</v>
      </c>
      <c r="N50" s="68">
        <v>0</v>
      </c>
      <c r="O50" s="68">
        <v>0</v>
      </c>
      <c r="P50" s="68">
        <v>0</v>
      </c>
      <c r="Q50" s="68">
        <v>0</v>
      </c>
      <c r="R50" s="68">
        <v>0</v>
      </c>
      <c r="S50" s="68">
        <v>0</v>
      </c>
      <c r="T50" s="111"/>
    </row>
    <row r="51" spans="1:20" ht="18.75" x14ac:dyDescent="0.25">
      <c r="A51" s="114">
        <v>311</v>
      </c>
      <c r="B51" s="115">
        <v>28</v>
      </c>
      <c r="C51" s="115">
        <v>920</v>
      </c>
      <c r="D51" s="116">
        <v>70499</v>
      </c>
      <c r="E51" s="117" t="s">
        <v>173</v>
      </c>
      <c r="F51" s="118" t="s">
        <v>402</v>
      </c>
      <c r="G51" s="118"/>
      <c r="H51" s="68">
        <v>0</v>
      </c>
      <c r="I51" s="68">
        <v>0</v>
      </c>
      <c r="J51" s="68">
        <v>0</v>
      </c>
      <c r="K51" s="68">
        <v>0</v>
      </c>
      <c r="L51" s="68">
        <v>0</v>
      </c>
      <c r="M51" s="68">
        <v>0</v>
      </c>
      <c r="N51" s="68">
        <v>0</v>
      </c>
      <c r="O51" s="68">
        <v>0</v>
      </c>
      <c r="P51" s="68">
        <v>0</v>
      </c>
      <c r="Q51" s="68">
        <v>0</v>
      </c>
      <c r="R51" s="68">
        <v>0</v>
      </c>
      <c r="S51" s="68">
        <v>0</v>
      </c>
      <c r="T51" s="111"/>
    </row>
    <row r="52" spans="1:20" ht="18.75" x14ac:dyDescent="0.25">
      <c r="A52" s="114">
        <v>311</v>
      </c>
      <c r="B52" s="115">
        <v>28</v>
      </c>
      <c r="C52" s="115">
        <v>930</v>
      </c>
      <c r="D52" s="116">
        <v>70499</v>
      </c>
      <c r="E52" s="117" t="s">
        <v>173</v>
      </c>
      <c r="F52" s="118" t="s">
        <v>403</v>
      </c>
      <c r="G52" s="118"/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68">
        <v>0</v>
      </c>
      <c r="S52" s="68">
        <v>0</v>
      </c>
      <c r="T52" s="111"/>
    </row>
    <row r="53" spans="1:20" ht="18.75" x14ac:dyDescent="0.25">
      <c r="A53" s="88">
        <v>311</v>
      </c>
      <c r="B53" s="89">
        <v>28</v>
      </c>
      <c r="C53" s="89">
        <v>920</v>
      </c>
      <c r="D53" s="90">
        <v>70499</v>
      </c>
      <c r="E53" s="91" t="s">
        <v>164</v>
      </c>
      <c r="F53" s="108" t="s">
        <v>18</v>
      </c>
      <c r="G53" s="108"/>
      <c r="H53" s="68">
        <v>0</v>
      </c>
      <c r="I53" s="68">
        <v>0</v>
      </c>
      <c r="J53" s="68">
        <v>0</v>
      </c>
      <c r="K53" s="68">
        <v>2073.9</v>
      </c>
      <c r="L53" s="68">
        <v>0</v>
      </c>
      <c r="M53" s="68">
        <v>0</v>
      </c>
      <c r="N53" s="68">
        <v>0</v>
      </c>
      <c r="O53" s="68">
        <v>0</v>
      </c>
      <c r="P53" s="68">
        <v>0</v>
      </c>
      <c r="Q53" s="68">
        <v>0</v>
      </c>
      <c r="R53" s="68">
        <v>0</v>
      </c>
      <c r="S53" s="68">
        <v>0</v>
      </c>
      <c r="T53" s="111">
        <v>2073.864</v>
      </c>
    </row>
    <row r="54" spans="1:20" ht="18.75" x14ac:dyDescent="0.25">
      <c r="A54" s="88">
        <v>311</v>
      </c>
      <c r="B54" s="89">
        <v>28</v>
      </c>
      <c r="C54" s="89">
        <v>920</v>
      </c>
      <c r="D54" s="90">
        <v>70499</v>
      </c>
      <c r="E54" s="91" t="s">
        <v>164</v>
      </c>
      <c r="F54" s="108" t="s">
        <v>19</v>
      </c>
      <c r="G54" s="108"/>
      <c r="H54" s="68">
        <v>0</v>
      </c>
      <c r="I54" s="68">
        <v>9160</v>
      </c>
      <c r="J54" s="68">
        <v>0</v>
      </c>
      <c r="K54" s="68">
        <v>11877.424000000003</v>
      </c>
      <c r="L54" s="68">
        <v>0</v>
      </c>
      <c r="M54" s="159">
        <v>14093.325999999999</v>
      </c>
      <c r="N54" s="68">
        <v>0</v>
      </c>
      <c r="O54" s="68">
        <v>14124.89</v>
      </c>
      <c r="P54" s="68">
        <v>0</v>
      </c>
      <c r="Q54" s="68">
        <v>0</v>
      </c>
      <c r="R54" s="68">
        <v>0</v>
      </c>
      <c r="S54" s="68">
        <v>0</v>
      </c>
      <c r="T54" s="111">
        <v>49255.64</v>
      </c>
    </row>
    <row r="55" spans="1:20" ht="18.75" x14ac:dyDescent="0.25">
      <c r="A55" s="88">
        <v>311</v>
      </c>
      <c r="B55" s="89">
        <v>28</v>
      </c>
      <c r="C55" s="89">
        <v>910</v>
      </c>
      <c r="D55" s="90">
        <v>70499</v>
      </c>
      <c r="E55" s="91"/>
      <c r="F55" s="108" t="s">
        <v>374</v>
      </c>
      <c r="G55" s="108"/>
      <c r="H55" s="68">
        <v>0</v>
      </c>
      <c r="I55" s="68">
        <v>0</v>
      </c>
      <c r="J55" s="68">
        <v>0</v>
      </c>
      <c r="K55" s="68">
        <v>0</v>
      </c>
      <c r="L55" s="68">
        <v>0</v>
      </c>
      <c r="M55" s="68">
        <v>0</v>
      </c>
      <c r="N55" s="68">
        <v>0</v>
      </c>
      <c r="O55" s="68">
        <v>0</v>
      </c>
      <c r="P55" s="68">
        <v>0</v>
      </c>
      <c r="Q55" s="68">
        <v>0</v>
      </c>
      <c r="R55" s="68">
        <v>0</v>
      </c>
      <c r="S55" s="68">
        <v>0</v>
      </c>
      <c r="T55" s="111"/>
    </row>
    <row r="56" spans="1:20" ht="37.5" x14ac:dyDescent="0.25">
      <c r="A56" s="88">
        <v>321</v>
      </c>
      <c r="B56" s="89">
        <v>28</v>
      </c>
      <c r="C56" s="89">
        <v>930</v>
      </c>
      <c r="D56" s="90">
        <v>70499</v>
      </c>
      <c r="E56" s="91" t="s">
        <v>166</v>
      </c>
      <c r="F56" s="92" t="s">
        <v>375</v>
      </c>
      <c r="G56" s="126" t="s">
        <v>351</v>
      </c>
      <c r="H56" s="68">
        <v>0</v>
      </c>
      <c r="I56" s="68">
        <v>1832000</v>
      </c>
      <c r="J56" s="68">
        <v>0</v>
      </c>
      <c r="K56" s="68">
        <v>1326000</v>
      </c>
      <c r="L56" s="68">
        <v>0</v>
      </c>
      <c r="M56" s="68">
        <v>1339500</v>
      </c>
      <c r="N56" s="68">
        <v>0</v>
      </c>
      <c r="O56" s="68">
        <v>2808510</v>
      </c>
      <c r="P56" s="68">
        <v>0</v>
      </c>
      <c r="Q56" s="68">
        <v>1204200</v>
      </c>
      <c r="R56" s="68">
        <v>0</v>
      </c>
      <c r="S56" s="68">
        <v>452500</v>
      </c>
      <c r="T56" s="111">
        <v>8962710</v>
      </c>
    </row>
    <row r="57" spans="1:20" ht="18.75" x14ac:dyDescent="0.25">
      <c r="A57" s="88">
        <v>311</v>
      </c>
      <c r="B57" s="89">
        <v>28</v>
      </c>
      <c r="C57" s="89">
        <v>910</v>
      </c>
      <c r="D57" s="90">
        <v>70499</v>
      </c>
      <c r="E57" s="91"/>
      <c r="F57" s="92" t="s">
        <v>376</v>
      </c>
      <c r="G57" s="128"/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111"/>
    </row>
    <row r="58" spans="1:20" ht="37.5" x14ac:dyDescent="0.25">
      <c r="A58" s="88">
        <v>311</v>
      </c>
      <c r="B58" s="89">
        <v>28</v>
      </c>
      <c r="C58" s="89">
        <v>930</v>
      </c>
      <c r="D58" s="90">
        <v>70499</v>
      </c>
      <c r="E58" s="91" t="s">
        <v>174</v>
      </c>
      <c r="F58" s="92" t="s">
        <v>377</v>
      </c>
      <c r="G58" s="228" t="s">
        <v>352</v>
      </c>
      <c r="H58" s="68">
        <v>0</v>
      </c>
      <c r="I58" s="68">
        <v>0</v>
      </c>
      <c r="J58" s="68">
        <v>0</v>
      </c>
      <c r="K58" s="68">
        <v>0</v>
      </c>
      <c r="L58" s="68">
        <v>0</v>
      </c>
      <c r="M58" s="68">
        <v>0</v>
      </c>
      <c r="N58" s="68">
        <v>0</v>
      </c>
      <c r="O58" s="68">
        <v>0</v>
      </c>
      <c r="P58" s="68">
        <v>0</v>
      </c>
      <c r="Q58" s="68">
        <v>0</v>
      </c>
      <c r="R58" s="68">
        <v>0</v>
      </c>
      <c r="S58" s="68">
        <v>0</v>
      </c>
      <c r="T58" s="111">
        <v>0</v>
      </c>
    </row>
    <row r="59" spans="1:20" ht="37.5" x14ac:dyDescent="0.25">
      <c r="A59" s="88">
        <v>321</v>
      </c>
      <c r="B59" s="89">
        <v>28</v>
      </c>
      <c r="C59" s="89">
        <v>930</v>
      </c>
      <c r="D59" s="90">
        <v>70499</v>
      </c>
      <c r="E59" s="91" t="s">
        <v>174</v>
      </c>
      <c r="F59" s="92" t="s">
        <v>377</v>
      </c>
      <c r="G59" s="229"/>
      <c r="H59" s="68">
        <v>0</v>
      </c>
      <c r="I59" s="68">
        <v>916000</v>
      </c>
      <c r="J59" s="68">
        <v>0</v>
      </c>
      <c r="K59" s="68">
        <v>44200</v>
      </c>
      <c r="L59" s="68">
        <v>0</v>
      </c>
      <c r="M59" s="68">
        <v>360102.25</v>
      </c>
      <c r="N59" s="68">
        <v>0</v>
      </c>
      <c r="O59" s="68">
        <v>3045908.75</v>
      </c>
      <c r="P59" s="68">
        <v>0</v>
      </c>
      <c r="Q59" s="68">
        <v>939150</v>
      </c>
      <c r="R59" s="68">
        <v>0</v>
      </c>
      <c r="S59" s="68">
        <v>944367.5</v>
      </c>
      <c r="T59" s="111">
        <v>6249728.5</v>
      </c>
    </row>
    <row r="60" spans="1:20" s="121" customFormat="1" ht="37.5" x14ac:dyDescent="0.25">
      <c r="A60" s="88">
        <v>311</v>
      </c>
      <c r="B60" s="89">
        <v>28</v>
      </c>
      <c r="C60" s="89">
        <v>910</v>
      </c>
      <c r="D60" s="90">
        <v>70499</v>
      </c>
      <c r="E60" s="91"/>
      <c r="F60" s="92" t="s">
        <v>386</v>
      </c>
      <c r="G60" s="130"/>
      <c r="H60" s="68">
        <v>0</v>
      </c>
      <c r="I60" s="68">
        <v>0</v>
      </c>
      <c r="J60" s="68">
        <v>0</v>
      </c>
      <c r="K60" s="68">
        <v>0</v>
      </c>
      <c r="L60" s="68">
        <v>0</v>
      </c>
      <c r="M60" s="68">
        <v>0</v>
      </c>
      <c r="N60" s="68">
        <v>0</v>
      </c>
      <c r="O60" s="68">
        <v>0</v>
      </c>
      <c r="P60" s="68">
        <v>0</v>
      </c>
      <c r="Q60" s="68">
        <v>0</v>
      </c>
      <c r="R60" s="68">
        <v>0</v>
      </c>
      <c r="S60" s="68">
        <v>0</v>
      </c>
      <c r="T60" s="120"/>
    </row>
    <row r="61" spans="1:20" ht="37.5" x14ac:dyDescent="0.25">
      <c r="A61" s="88">
        <v>321</v>
      </c>
      <c r="B61" s="89">
        <v>28</v>
      </c>
      <c r="C61" s="89">
        <v>920</v>
      </c>
      <c r="D61" s="90">
        <v>70499</v>
      </c>
      <c r="E61" s="91" t="s">
        <v>173</v>
      </c>
      <c r="F61" s="92" t="s">
        <v>385</v>
      </c>
      <c r="G61" s="92"/>
      <c r="H61" s="68">
        <v>0</v>
      </c>
      <c r="I61" s="68">
        <v>0</v>
      </c>
      <c r="J61" s="68">
        <v>0</v>
      </c>
      <c r="K61" s="68">
        <v>0</v>
      </c>
      <c r="L61" s="68">
        <v>0</v>
      </c>
      <c r="M61" s="68">
        <v>0</v>
      </c>
      <c r="N61" s="68">
        <v>0</v>
      </c>
      <c r="O61" s="68">
        <v>0</v>
      </c>
      <c r="P61" s="68">
        <v>0</v>
      </c>
      <c r="Q61" s="68">
        <v>0</v>
      </c>
      <c r="R61" s="68">
        <v>0</v>
      </c>
      <c r="S61" s="68">
        <v>0</v>
      </c>
      <c r="T61" s="111">
        <v>0</v>
      </c>
    </row>
    <row r="62" spans="1:20" ht="37.5" x14ac:dyDescent="0.25">
      <c r="A62" s="88">
        <v>321</v>
      </c>
      <c r="B62" s="89">
        <v>28</v>
      </c>
      <c r="C62" s="89">
        <v>930</v>
      </c>
      <c r="D62" s="90">
        <v>70499</v>
      </c>
      <c r="E62" s="91" t="s">
        <v>173</v>
      </c>
      <c r="F62" s="92" t="s">
        <v>384</v>
      </c>
      <c r="G62" s="92"/>
      <c r="H62" s="68">
        <v>0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111">
        <v>0</v>
      </c>
    </row>
    <row r="63" spans="1:20" s="121" customFormat="1" ht="18.75" x14ac:dyDescent="0.25">
      <c r="A63" s="114">
        <v>321</v>
      </c>
      <c r="B63" s="115">
        <v>28</v>
      </c>
      <c r="C63" s="115">
        <v>930</v>
      </c>
      <c r="D63" s="116">
        <v>70499</v>
      </c>
      <c r="E63" s="117" t="s">
        <v>169</v>
      </c>
      <c r="F63" s="118" t="s">
        <v>404</v>
      </c>
      <c r="G63" s="118"/>
      <c r="H63" s="68">
        <v>0</v>
      </c>
      <c r="I63" s="68">
        <v>0</v>
      </c>
      <c r="J63" s="68">
        <v>0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0</v>
      </c>
      <c r="Q63" s="68">
        <v>0</v>
      </c>
      <c r="R63" s="68">
        <v>0</v>
      </c>
      <c r="S63" s="68">
        <v>0</v>
      </c>
      <c r="T63" s="120"/>
    </row>
    <row r="64" spans="1:20" s="121" customFormat="1" ht="18.75" x14ac:dyDescent="0.25">
      <c r="A64" s="114"/>
      <c r="B64" s="115"/>
      <c r="C64" s="115"/>
      <c r="D64" s="116"/>
      <c r="E64" s="117"/>
      <c r="F64" s="118"/>
      <c r="G64" s="118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20"/>
    </row>
    <row r="65" spans="1:20" s="121" customFormat="1" ht="18.75" x14ac:dyDescent="0.25">
      <c r="A65" s="114"/>
      <c r="B65" s="115"/>
      <c r="C65" s="115"/>
      <c r="D65" s="116"/>
      <c r="E65" s="117"/>
      <c r="F65" s="118"/>
      <c r="G65" s="118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20"/>
    </row>
    <row r="66" spans="1:20" ht="18.75" x14ac:dyDescent="0.25">
      <c r="A66" s="4"/>
      <c r="B66" s="52"/>
      <c r="C66" s="52"/>
      <c r="D66" s="7"/>
      <c r="E66" s="117"/>
      <c r="F66" s="118"/>
      <c r="G66" s="3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11"/>
    </row>
    <row r="67" spans="1:20" ht="18.75" x14ac:dyDescent="0.25">
      <c r="A67" s="4"/>
      <c r="B67" s="52"/>
      <c r="C67" s="52"/>
      <c r="D67" s="7"/>
      <c r="E67" s="20"/>
      <c r="F67" s="38"/>
      <c r="G67" s="3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11">
        <v>0</v>
      </c>
    </row>
    <row r="68" spans="1:20" ht="18.75" x14ac:dyDescent="0.25">
      <c r="A68" s="4"/>
      <c r="B68" s="52"/>
      <c r="C68" s="52"/>
      <c r="D68" s="7"/>
      <c r="E68" s="20"/>
      <c r="F68" s="38"/>
      <c r="G68" s="3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11">
        <v>0</v>
      </c>
    </row>
    <row r="69" spans="1:20" ht="18.75" x14ac:dyDescent="0.25">
      <c r="A69" s="56"/>
      <c r="B69" s="50"/>
      <c r="C69" s="50"/>
      <c r="D69" s="50"/>
      <c r="E69" s="54"/>
      <c r="F69" s="36" t="s">
        <v>22</v>
      </c>
      <c r="G69" s="36"/>
      <c r="H69" s="99">
        <v>0</v>
      </c>
      <c r="I69" s="99">
        <v>387330.6</v>
      </c>
      <c r="J69" s="99">
        <v>0</v>
      </c>
      <c r="K69" s="99">
        <v>165348.66400000002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111">
        <v>552679.26399999997</v>
      </c>
    </row>
    <row r="70" spans="1:20" ht="18.75" x14ac:dyDescent="0.25">
      <c r="A70" s="57"/>
      <c r="B70" s="51"/>
      <c r="C70" s="51"/>
      <c r="D70" s="51"/>
      <c r="E70" s="55"/>
      <c r="F70" s="37" t="s">
        <v>6</v>
      </c>
      <c r="G70" s="37"/>
      <c r="H70" s="100">
        <v>0</v>
      </c>
      <c r="I70" s="100">
        <v>387330.6</v>
      </c>
      <c r="J70" s="100">
        <v>0</v>
      </c>
      <c r="K70" s="100">
        <v>165348.66400000002</v>
      </c>
      <c r="L70" s="100">
        <v>0</v>
      </c>
      <c r="M70" s="100">
        <v>0</v>
      </c>
      <c r="N70" s="100">
        <v>0</v>
      </c>
      <c r="O70" s="100">
        <v>0</v>
      </c>
      <c r="P70" s="100">
        <v>0</v>
      </c>
      <c r="Q70" s="100">
        <v>0</v>
      </c>
      <c r="R70" s="100">
        <v>0</v>
      </c>
      <c r="S70" s="100">
        <v>0</v>
      </c>
      <c r="T70" s="111">
        <v>552679.26399999997</v>
      </c>
    </row>
    <row r="71" spans="1:20" ht="37.5" x14ac:dyDescent="0.25">
      <c r="A71" s="88">
        <v>311</v>
      </c>
      <c r="B71" s="89">
        <v>25</v>
      </c>
      <c r="C71" s="89">
        <v>920</v>
      </c>
      <c r="D71" s="90">
        <v>70499</v>
      </c>
      <c r="E71" s="91" t="s">
        <v>172</v>
      </c>
      <c r="F71" s="109" t="s">
        <v>23</v>
      </c>
      <c r="G71" s="125"/>
      <c r="H71" s="68">
        <v>0</v>
      </c>
      <c r="I71" s="68">
        <v>170641.63999999998</v>
      </c>
      <c r="J71" s="68">
        <v>0</v>
      </c>
      <c r="K71" s="68">
        <v>165348.66400000002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111">
        <v>335990.304</v>
      </c>
    </row>
    <row r="72" spans="1:20" ht="37.5" x14ac:dyDescent="0.25">
      <c r="A72" s="88">
        <v>311</v>
      </c>
      <c r="B72" s="89">
        <v>25</v>
      </c>
      <c r="C72" s="89">
        <v>930</v>
      </c>
      <c r="D72" s="90">
        <v>70499</v>
      </c>
      <c r="E72" s="91" t="s">
        <v>172</v>
      </c>
      <c r="F72" s="112" t="s">
        <v>24</v>
      </c>
      <c r="G72" s="126" t="s">
        <v>380</v>
      </c>
      <c r="H72" s="68">
        <v>0</v>
      </c>
      <c r="I72" s="68">
        <v>216688.96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111">
        <v>216688.96</v>
      </c>
    </row>
    <row r="73" spans="1:20" ht="18.75" x14ac:dyDescent="0.25">
      <c r="A73" s="4"/>
      <c r="B73" s="52"/>
      <c r="C73" s="52"/>
      <c r="D73" s="7"/>
      <c r="E73" s="20"/>
      <c r="F73" s="38"/>
      <c r="G73" s="3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11">
        <v>0</v>
      </c>
    </row>
    <row r="74" spans="1:20" ht="18.75" x14ac:dyDescent="0.25">
      <c r="A74" s="4"/>
      <c r="B74" s="52"/>
      <c r="C74" s="52"/>
      <c r="D74" s="7"/>
      <c r="E74" s="20"/>
      <c r="F74" s="38"/>
      <c r="G74" s="3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11">
        <v>0</v>
      </c>
    </row>
    <row r="75" spans="1:20" ht="18.75" x14ac:dyDescent="0.25">
      <c r="A75" s="4"/>
      <c r="B75" s="52"/>
      <c r="C75" s="52"/>
      <c r="D75" s="7"/>
      <c r="E75" s="20"/>
      <c r="F75" s="38"/>
      <c r="G75" s="3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11">
        <v>0</v>
      </c>
    </row>
    <row r="76" spans="1:20" ht="18.75" x14ac:dyDescent="0.25">
      <c r="A76" s="4"/>
      <c r="B76" s="52"/>
      <c r="C76" s="52"/>
      <c r="D76" s="7"/>
      <c r="E76" s="20"/>
      <c r="F76" s="38"/>
      <c r="G76" s="3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11">
        <v>0</v>
      </c>
    </row>
    <row r="77" spans="1:20" ht="18.75" x14ac:dyDescent="0.25">
      <c r="A77" s="4"/>
      <c r="B77" s="52"/>
      <c r="C77" s="52"/>
      <c r="D77" s="7"/>
      <c r="E77" s="20"/>
      <c r="F77" s="38"/>
      <c r="G77" s="3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11">
        <v>0</v>
      </c>
    </row>
    <row r="78" spans="1:20" ht="18.75" x14ac:dyDescent="0.25">
      <c r="A78" s="56"/>
      <c r="B78" s="50"/>
      <c r="C78" s="50"/>
      <c r="D78" s="50"/>
      <c r="E78" s="54"/>
      <c r="F78" s="36" t="s">
        <v>25</v>
      </c>
      <c r="G78" s="36"/>
      <c r="H78" s="99">
        <v>0</v>
      </c>
      <c r="I78" s="99">
        <v>1232084.1200000001</v>
      </c>
      <c r="J78" s="99">
        <v>88400</v>
      </c>
      <c r="K78" s="99">
        <v>923780</v>
      </c>
      <c r="L78" s="99">
        <v>89300</v>
      </c>
      <c r="M78" s="99">
        <v>1080530</v>
      </c>
      <c r="N78" s="99">
        <v>71600</v>
      </c>
      <c r="O78" s="99">
        <v>1543875</v>
      </c>
      <c r="P78" s="99">
        <v>0</v>
      </c>
      <c r="Q78" s="99">
        <v>828000</v>
      </c>
      <c r="R78" s="99">
        <v>0</v>
      </c>
      <c r="S78" s="99">
        <v>0</v>
      </c>
      <c r="T78" s="111">
        <v>5608269.1200000001</v>
      </c>
    </row>
    <row r="79" spans="1:20" ht="18.75" x14ac:dyDescent="0.25">
      <c r="A79" s="57"/>
      <c r="B79" s="51"/>
      <c r="C79" s="51"/>
      <c r="D79" s="51"/>
      <c r="E79" s="55"/>
      <c r="F79" s="37" t="s">
        <v>6</v>
      </c>
      <c r="G79" s="37"/>
      <c r="H79" s="100">
        <v>0</v>
      </c>
      <c r="I79" s="100">
        <v>1232084.1200000001</v>
      </c>
      <c r="J79" s="100">
        <v>88400</v>
      </c>
      <c r="K79" s="100">
        <v>923780</v>
      </c>
      <c r="L79" s="100">
        <v>89300</v>
      </c>
      <c r="M79" s="100">
        <v>1080530</v>
      </c>
      <c r="N79" s="100">
        <v>71600</v>
      </c>
      <c r="O79" s="100">
        <v>1543875</v>
      </c>
      <c r="P79" s="100">
        <v>0</v>
      </c>
      <c r="Q79" s="100">
        <v>828000</v>
      </c>
      <c r="R79" s="100">
        <v>0</v>
      </c>
      <c r="S79" s="100">
        <v>0</v>
      </c>
      <c r="T79" s="111">
        <v>5608269.1200000001</v>
      </c>
    </row>
    <row r="80" spans="1:20" ht="18.75" x14ac:dyDescent="0.25">
      <c r="A80" s="4">
        <v>311</v>
      </c>
      <c r="B80" s="52">
        <v>34</v>
      </c>
      <c r="C80" s="52">
        <v>920</v>
      </c>
      <c r="D80" s="7">
        <v>70989</v>
      </c>
      <c r="E80" s="20" t="s">
        <v>172</v>
      </c>
      <c r="F80" s="75" t="s">
        <v>26</v>
      </c>
      <c r="G80" s="126"/>
      <c r="H80" s="68">
        <v>0</v>
      </c>
      <c r="I80" s="68">
        <v>569074.16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0</v>
      </c>
      <c r="P80" s="68">
        <v>0</v>
      </c>
      <c r="Q80" s="68">
        <v>0</v>
      </c>
      <c r="R80" s="68">
        <v>0</v>
      </c>
      <c r="S80" s="68">
        <v>0</v>
      </c>
      <c r="T80" s="111">
        <v>569074.16</v>
      </c>
    </row>
    <row r="81" spans="1:20" ht="18.75" x14ac:dyDescent="0.25">
      <c r="A81" s="4">
        <v>311</v>
      </c>
      <c r="B81" s="52">
        <v>34</v>
      </c>
      <c r="C81" s="52">
        <v>930</v>
      </c>
      <c r="D81" s="7">
        <v>70989</v>
      </c>
      <c r="E81" s="20" t="s">
        <v>172</v>
      </c>
      <c r="F81" s="75" t="s">
        <v>27</v>
      </c>
      <c r="G81" s="126" t="s">
        <v>400</v>
      </c>
      <c r="H81" s="68">
        <v>0</v>
      </c>
      <c r="I81" s="68">
        <v>569074.16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111">
        <v>569074.16</v>
      </c>
    </row>
    <row r="82" spans="1:20" ht="18.75" x14ac:dyDescent="0.25">
      <c r="A82" s="4">
        <v>311</v>
      </c>
      <c r="B82" s="52">
        <v>34</v>
      </c>
      <c r="C82" s="52">
        <v>920</v>
      </c>
      <c r="D82" s="7">
        <v>70989</v>
      </c>
      <c r="E82" s="20" t="s">
        <v>172</v>
      </c>
      <c r="F82" s="75" t="s">
        <v>28</v>
      </c>
      <c r="G82" s="126"/>
      <c r="H82" s="68">
        <v>0</v>
      </c>
      <c r="I82" s="68">
        <v>93935.799999999988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111">
        <v>93935.799999999988</v>
      </c>
    </row>
    <row r="83" spans="1:20" ht="37.5" x14ac:dyDescent="0.25">
      <c r="A83" s="4">
        <v>311</v>
      </c>
      <c r="B83" s="52">
        <v>34</v>
      </c>
      <c r="C83" s="52">
        <v>910</v>
      </c>
      <c r="D83" s="7">
        <v>70989</v>
      </c>
      <c r="E83" s="20"/>
      <c r="F83" s="75" t="s">
        <v>29</v>
      </c>
      <c r="G83" s="126"/>
      <c r="H83" s="68">
        <v>0</v>
      </c>
      <c r="I83" s="68">
        <v>0</v>
      </c>
      <c r="J83" s="68">
        <v>88400</v>
      </c>
      <c r="K83" s="68">
        <v>0</v>
      </c>
      <c r="L83" s="68">
        <v>89300</v>
      </c>
      <c r="M83" s="68">
        <v>0</v>
      </c>
      <c r="N83" s="68">
        <v>71600</v>
      </c>
      <c r="O83" s="68">
        <v>0</v>
      </c>
      <c r="P83" s="68">
        <v>0</v>
      </c>
      <c r="Q83" s="68">
        <v>0</v>
      </c>
      <c r="R83" s="68">
        <v>0</v>
      </c>
      <c r="S83" s="68">
        <v>0</v>
      </c>
      <c r="T83" s="111">
        <v>0</v>
      </c>
    </row>
    <row r="84" spans="1:20" ht="37.5" x14ac:dyDescent="0.25">
      <c r="A84" s="4">
        <v>311</v>
      </c>
      <c r="B84" s="52">
        <v>34</v>
      </c>
      <c r="C84" s="52">
        <v>920</v>
      </c>
      <c r="D84" s="7">
        <v>70989</v>
      </c>
      <c r="E84" s="20" t="s">
        <v>173</v>
      </c>
      <c r="F84" s="75" t="s">
        <v>30</v>
      </c>
      <c r="G84" s="126" t="s">
        <v>331</v>
      </c>
      <c r="H84" s="68">
        <v>0</v>
      </c>
      <c r="I84" s="68">
        <v>0</v>
      </c>
      <c r="J84" s="68">
        <v>0</v>
      </c>
      <c r="K84" s="68">
        <v>88400</v>
      </c>
      <c r="L84" s="68">
        <v>0</v>
      </c>
      <c r="M84" s="68">
        <v>160740</v>
      </c>
      <c r="N84" s="68">
        <v>0</v>
      </c>
      <c r="O84" s="68">
        <v>152150</v>
      </c>
      <c r="P84" s="68">
        <v>0</v>
      </c>
      <c r="Q84" s="68">
        <v>0</v>
      </c>
      <c r="R84" s="68">
        <v>0</v>
      </c>
      <c r="S84" s="68">
        <v>0</v>
      </c>
      <c r="T84" s="111">
        <v>401290</v>
      </c>
    </row>
    <row r="85" spans="1:20" ht="37.5" x14ac:dyDescent="0.25">
      <c r="A85" s="4">
        <v>311</v>
      </c>
      <c r="B85" s="52">
        <v>34</v>
      </c>
      <c r="C85" s="52">
        <v>930</v>
      </c>
      <c r="D85" s="7">
        <v>70989</v>
      </c>
      <c r="E85" s="20" t="s">
        <v>173</v>
      </c>
      <c r="F85" s="75" t="s">
        <v>31</v>
      </c>
      <c r="G85" s="126" t="s">
        <v>332</v>
      </c>
      <c r="H85" s="68">
        <v>0</v>
      </c>
      <c r="I85" s="68">
        <v>0</v>
      </c>
      <c r="J85" s="68">
        <v>0</v>
      </c>
      <c r="K85" s="68">
        <v>424320</v>
      </c>
      <c r="L85" s="68">
        <v>0</v>
      </c>
      <c r="M85" s="68">
        <v>437570</v>
      </c>
      <c r="N85" s="68">
        <v>0</v>
      </c>
      <c r="O85" s="68">
        <v>698100</v>
      </c>
      <c r="P85" s="68">
        <v>0</v>
      </c>
      <c r="Q85" s="68">
        <v>180000</v>
      </c>
      <c r="R85" s="68">
        <v>0</v>
      </c>
      <c r="S85" s="68">
        <v>0</v>
      </c>
      <c r="T85" s="111">
        <v>1739990</v>
      </c>
    </row>
    <row r="86" spans="1:20" ht="18.75" x14ac:dyDescent="0.25">
      <c r="A86" s="4">
        <v>311</v>
      </c>
      <c r="B86" s="52">
        <v>34</v>
      </c>
      <c r="C86" s="52">
        <v>930</v>
      </c>
      <c r="D86" s="7">
        <v>70989</v>
      </c>
      <c r="E86" s="20" t="s">
        <v>172</v>
      </c>
      <c r="F86" s="75" t="s">
        <v>264</v>
      </c>
      <c r="G86" s="126" t="s">
        <v>399</v>
      </c>
      <c r="H86" s="68">
        <v>0</v>
      </c>
      <c r="I86" s="68">
        <v>0</v>
      </c>
      <c r="J86" s="68">
        <v>0</v>
      </c>
      <c r="K86" s="68">
        <v>411060</v>
      </c>
      <c r="L86" s="68">
        <v>0</v>
      </c>
      <c r="M86" s="68">
        <v>482220</v>
      </c>
      <c r="N86" s="68">
        <v>0</v>
      </c>
      <c r="O86" s="68">
        <v>693625</v>
      </c>
      <c r="P86" s="68">
        <v>0</v>
      </c>
      <c r="Q86" s="68">
        <v>648000</v>
      </c>
      <c r="R86" s="68">
        <v>0</v>
      </c>
      <c r="S86" s="68">
        <v>0</v>
      </c>
      <c r="T86" s="111">
        <v>2234905</v>
      </c>
    </row>
    <row r="87" spans="1:20" ht="56.25" x14ac:dyDescent="0.25">
      <c r="A87" s="154">
        <v>311</v>
      </c>
      <c r="B87" s="155">
        <v>34</v>
      </c>
      <c r="C87" s="155">
        <v>920</v>
      </c>
      <c r="D87" s="156">
        <v>70989</v>
      </c>
      <c r="E87" s="157" t="s">
        <v>419</v>
      </c>
      <c r="F87" s="151" t="s">
        <v>425</v>
      </c>
      <c r="G87" s="38"/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111">
        <v>0</v>
      </c>
    </row>
    <row r="88" spans="1:20" ht="56.25" x14ac:dyDescent="0.25">
      <c r="A88" s="154">
        <v>311</v>
      </c>
      <c r="B88" s="155">
        <v>34</v>
      </c>
      <c r="C88" s="155">
        <v>920</v>
      </c>
      <c r="D88" s="156">
        <v>70989</v>
      </c>
      <c r="E88" s="157" t="s">
        <v>174</v>
      </c>
      <c r="F88" s="151" t="s">
        <v>424</v>
      </c>
      <c r="G88" s="38"/>
      <c r="H88" s="68">
        <v>0</v>
      </c>
      <c r="I88" s="68">
        <v>0</v>
      </c>
      <c r="J88" s="68">
        <v>0</v>
      </c>
      <c r="K88" s="68">
        <v>0</v>
      </c>
      <c r="L88" s="68">
        <v>0</v>
      </c>
      <c r="M88" s="68">
        <v>0</v>
      </c>
      <c r="N88" s="68">
        <v>0</v>
      </c>
      <c r="O88" s="68">
        <v>0</v>
      </c>
      <c r="P88" s="68">
        <v>0</v>
      </c>
      <c r="Q88" s="68">
        <v>0</v>
      </c>
      <c r="R88" s="68">
        <v>0</v>
      </c>
      <c r="S88" s="68">
        <v>0</v>
      </c>
      <c r="T88" s="111"/>
    </row>
    <row r="89" spans="1:20" ht="56.25" x14ac:dyDescent="0.25">
      <c r="A89" s="154">
        <v>311</v>
      </c>
      <c r="B89" s="155">
        <v>34</v>
      </c>
      <c r="C89" s="155">
        <v>930</v>
      </c>
      <c r="D89" s="156">
        <v>70989</v>
      </c>
      <c r="E89" s="157" t="s">
        <v>174</v>
      </c>
      <c r="F89" s="151" t="s">
        <v>423</v>
      </c>
      <c r="G89" s="38"/>
      <c r="H89" s="68">
        <v>0</v>
      </c>
      <c r="I89" s="68">
        <v>0</v>
      </c>
      <c r="J89" s="68">
        <v>0</v>
      </c>
      <c r="K89" s="68">
        <v>0</v>
      </c>
      <c r="L89" s="68">
        <v>0</v>
      </c>
      <c r="M89" s="68">
        <v>0</v>
      </c>
      <c r="N89" s="68">
        <v>0</v>
      </c>
      <c r="O89" s="68">
        <v>0</v>
      </c>
      <c r="P89" s="68">
        <v>0</v>
      </c>
      <c r="Q89" s="68">
        <v>0</v>
      </c>
      <c r="R89" s="68">
        <v>0</v>
      </c>
      <c r="S89" s="68">
        <v>0</v>
      </c>
      <c r="T89" s="111">
        <v>0</v>
      </c>
    </row>
    <row r="90" spans="1:20" ht="37.5" x14ac:dyDescent="0.25">
      <c r="A90" s="154">
        <v>311</v>
      </c>
      <c r="B90" s="155">
        <v>34</v>
      </c>
      <c r="C90" s="155">
        <v>920</v>
      </c>
      <c r="D90" s="156">
        <v>70989</v>
      </c>
      <c r="E90" s="157" t="s">
        <v>420</v>
      </c>
      <c r="F90" s="151" t="s">
        <v>414</v>
      </c>
      <c r="H90" s="68">
        <v>0</v>
      </c>
      <c r="I90" s="68">
        <v>0</v>
      </c>
      <c r="J90" s="68">
        <v>0</v>
      </c>
      <c r="K90" s="68">
        <v>0</v>
      </c>
      <c r="L90" s="68">
        <v>0</v>
      </c>
      <c r="M90" s="68">
        <v>0</v>
      </c>
      <c r="N90" s="68">
        <v>0</v>
      </c>
      <c r="O90" s="68">
        <v>0</v>
      </c>
      <c r="P90" s="68">
        <v>0</v>
      </c>
      <c r="Q90" s="68">
        <v>0</v>
      </c>
      <c r="R90" s="68">
        <v>0</v>
      </c>
      <c r="S90" s="68">
        <v>0</v>
      </c>
    </row>
    <row r="91" spans="1:20" ht="18.75" x14ac:dyDescent="0.25">
      <c r="A91" s="154">
        <v>311</v>
      </c>
      <c r="B91" s="155">
        <v>34</v>
      </c>
      <c r="C91" s="155">
        <v>920</v>
      </c>
      <c r="D91" s="156">
        <v>70989</v>
      </c>
      <c r="E91" s="157" t="s">
        <v>172</v>
      </c>
      <c r="F91" s="151" t="s">
        <v>421</v>
      </c>
      <c r="G91" s="38"/>
      <c r="H91" s="68">
        <v>0</v>
      </c>
      <c r="I91" s="68">
        <v>0</v>
      </c>
      <c r="J91" s="68">
        <v>0</v>
      </c>
      <c r="K91" s="68">
        <v>0</v>
      </c>
      <c r="L91" s="68">
        <v>0</v>
      </c>
      <c r="M91" s="68">
        <v>0</v>
      </c>
      <c r="N91" s="68">
        <v>0</v>
      </c>
      <c r="O91" s="68">
        <v>0</v>
      </c>
      <c r="P91" s="68">
        <v>0</v>
      </c>
      <c r="Q91" s="68">
        <v>0</v>
      </c>
      <c r="R91" s="68">
        <v>0</v>
      </c>
      <c r="S91" s="68">
        <v>0</v>
      </c>
      <c r="T91" s="111">
        <v>0</v>
      </c>
    </row>
    <row r="92" spans="1:20" ht="18.75" x14ac:dyDescent="0.25">
      <c r="G92" s="3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11"/>
    </row>
    <row r="93" spans="1:20" ht="18.75" x14ac:dyDescent="0.25">
      <c r="A93" s="4"/>
      <c r="B93" s="52"/>
      <c r="C93" s="52"/>
      <c r="D93" s="7"/>
      <c r="E93" s="20"/>
      <c r="F93" s="38"/>
      <c r="G93" s="3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11">
        <v>0</v>
      </c>
    </row>
    <row r="94" spans="1:20" ht="18.75" x14ac:dyDescent="0.25">
      <c r="A94" s="4"/>
      <c r="B94" s="52"/>
      <c r="C94" s="52"/>
      <c r="D94" s="7"/>
      <c r="E94" s="20"/>
      <c r="F94" s="38"/>
      <c r="G94" s="3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11">
        <v>0</v>
      </c>
    </row>
    <row r="95" spans="1:20" s="58" customFormat="1" ht="18.75" x14ac:dyDescent="0.25">
      <c r="A95" s="56"/>
      <c r="B95" s="50"/>
      <c r="C95" s="50"/>
      <c r="D95" s="50"/>
      <c r="E95" s="54"/>
      <c r="F95" s="36" t="s">
        <v>32</v>
      </c>
      <c r="G95" s="36"/>
      <c r="H95" s="99">
        <v>0</v>
      </c>
      <c r="I95" s="99">
        <v>2638091.9080000003</v>
      </c>
      <c r="J95" s="99">
        <v>85173.4</v>
      </c>
      <c r="K95" s="99">
        <v>2502849.7520000003</v>
      </c>
      <c r="L95" s="99">
        <v>80370</v>
      </c>
      <c r="M95" s="99">
        <v>2218015.54</v>
      </c>
      <c r="N95" s="99">
        <v>13425</v>
      </c>
      <c r="O95" s="99">
        <v>906222.40500000003</v>
      </c>
      <c r="P95" s="99">
        <v>0</v>
      </c>
      <c r="Q95" s="99">
        <v>956496.6</v>
      </c>
      <c r="R95" s="99">
        <v>0</v>
      </c>
      <c r="S95" s="99">
        <v>0</v>
      </c>
      <c r="T95" s="111">
        <v>9221676.2050000001</v>
      </c>
    </row>
    <row r="96" spans="1:20" s="58" customFormat="1" ht="18.75" x14ac:dyDescent="0.25">
      <c r="A96" s="57"/>
      <c r="B96" s="51"/>
      <c r="C96" s="51"/>
      <c r="D96" s="51"/>
      <c r="E96" s="55"/>
      <c r="F96" s="37" t="s">
        <v>6</v>
      </c>
      <c r="G96" s="37"/>
      <c r="H96" s="100">
        <v>0</v>
      </c>
      <c r="I96" s="100">
        <v>2638091.9080000003</v>
      </c>
      <c r="J96" s="100">
        <v>85173.4</v>
      </c>
      <c r="K96" s="100">
        <v>2502849.7520000003</v>
      </c>
      <c r="L96" s="100">
        <v>80370</v>
      </c>
      <c r="M96" s="100">
        <v>2218015.54</v>
      </c>
      <c r="N96" s="100">
        <v>13425</v>
      </c>
      <c r="O96" s="100">
        <v>906222.40500000003</v>
      </c>
      <c r="P96" s="100">
        <v>0</v>
      </c>
      <c r="Q96" s="100">
        <v>956496.6</v>
      </c>
      <c r="R96" s="100">
        <v>0</v>
      </c>
      <c r="S96" s="100">
        <v>0</v>
      </c>
      <c r="T96" s="111">
        <v>9221676.2050000001</v>
      </c>
    </row>
    <row r="97" spans="1:20" ht="37.5" x14ac:dyDescent="0.25">
      <c r="A97" s="61">
        <v>311</v>
      </c>
      <c r="B97" s="61">
        <v>37</v>
      </c>
      <c r="C97" s="61">
        <v>920</v>
      </c>
      <c r="D97" s="7">
        <v>70769</v>
      </c>
      <c r="E97" s="20" t="s">
        <v>164</v>
      </c>
      <c r="F97" s="112" t="s">
        <v>33</v>
      </c>
      <c r="G97" s="38"/>
      <c r="H97" s="68">
        <v>0</v>
      </c>
      <c r="I97" s="68">
        <v>0</v>
      </c>
      <c r="J97" s="68">
        <v>0</v>
      </c>
      <c r="K97" s="68">
        <v>0</v>
      </c>
      <c r="L97" s="68">
        <v>0</v>
      </c>
      <c r="M97" s="68">
        <v>0</v>
      </c>
      <c r="N97" s="68">
        <v>0</v>
      </c>
      <c r="O97" s="68">
        <v>0</v>
      </c>
      <c r="P97" s="68">
        <v>0</v>
      </c>
      <c r="Q97" s="68">
        <v>0</v>
      </c>
      <c r="R97" s="68">
        <v>0</v>
      </c>
      <c r="S97" s="68">
        <v>0</v>
      </c>
      <c r="T97" s="111">
        <v>0</v>
      </c>
    </row>
    <row r="98" spans="1:20" ht="18.75" x14ac:dyDescent="0.25">
      <c r="A98" s="61">
        <v>311</v>
      </c>
      <c r="B98" s="61">
        <v>37</v>
      </c>
      <c r="C98" s="61">
        <v>910</v>
      </c>
      <c r="D98" s="7">
        <v>70769</v>
      </c>
      <c r="E98" s="20"/>
      <c r="F98" s="112" t="s">
        <v>34</v>
      </c>
      <c r="G98" s="38"/>
      <c r="H98" s="68">
        <v>0</v>
      </c>
      <c r="I98" s="68">
        <v>0</v>
      </c>
      <c r="J98" s="68">
        <v>0</v>
      </c>
      <c r="K98" s="68">
        <v>0</v>
      </c>
      <c r="L98" s="68">
        <v>0</v>
      </c>
      <c r="M98" s="68">
        <v>0</v>
      </c>
      <c r="N98" s="68">
        <v>0</v>
      </c>
      <c r="O98" s="68">
        <v>0</v>
      </c>
      <c r="P98" s="68">
        <v>0</v>
      </c>
      <c r="Q98" s="68">
        <v>0</v>
      </c>
      <c r="R98" s="68">
        <v>0</v>
      </c>
      <c r="S98" s="68">
        <v>0</v>
      </c>
      <c r="T98" s="111">
        <v>0</v>
      </c>
    </row>
    <row r="99" spans="1:20" ht="56.25" x14ac:dyDescent="0.25">
      <c r="A99" s="4">
        <v>311</v>
      </c>
      <c r="B99" s="52">
        <v>37</v>
      </c>
      <c r="C99" s="52">
        <v>920</v>
      </c>
      <c r="D99" s="7">
        <v>70769</v>
      </c>
      <c r="E99" s="20" t="s">
        <v>164</v>
      </c>
      <c r="F99" s="76" t="s">
        <v>35</v>
      </c>
      <c r="G99" s="126" t="s">
        <v>335</v>
      </c>
      <c r="H99" s="68">
        <v>0</v>
      </c>
      <c r="I99" s="68">
        <v>9867.152</v>
      </c>
      <c r="J99" s="68">
        <v>0</v>
      </c>
      <c r="K99" s="68">
        <v>3400.748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111">
        <v>13267.9</v>
      </c>
    </row>
    <row r="100" spans="1:20" ht="18.75" x14ac:dyDescent="0.25">
      <c r="A100" s="4">
        <v>311</v>
      </c>
      <c r="B100" s="52">
        <v>37</v>
      </c>
      <c r="C100" s="52">
        <v>910</v>
      </c>
      <c r="D100" s="7">
        <v>70769</v>
      </c>
      <c r="E100" s="20"/>
      <c r="F100" s="112" t="s">
        <v>36</v>
      </c>
      <c r="G100" s="38"/>
      <c r="H100" s="68">
        <v>0</v>
      </c>
      <c r="I100" s="68">
        <v>0</v>
      </c>
      <c r="J100" s="68">
        <v>0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0</v>
      </c>
      <c r="Q100" s="68">
        <v>0</v>
      </c>
      <c r="R100" s="68">
        <v>0</v>
      </c>
      <c r="S100" s="68">
        <v>0</v>
      </c>
      <c r="T100" s="111">
        <v>0</v>
      </c>
    </row>
    <row r="101" spans="1:20" ht="18.75" x14ac:dyDescent="0.25">
      <c r="A101" s="4">
        <v>311</v>
      </c>
      <c r="B101" s="52">
        <v>37</v>
      </c>
      <c r="C101" s="52">
        <v>920</v>
      </c>
      <c r="D101" s="7">
        <v>70769</v>
      </c>
      <c r="E101" s="20" t="s">
        <v>164</v>
      </c>
      <c r="F101" s="112" t="s">
        <v>37</v>
      </c>
      <c r="G101" s="38"/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68">
        <v>0</v>
      </c>
      <c r="S101" s="68">
        <v>0</v>
      </c>
      <c r="T101" s="111">
        <v>0</v>
      </c>
    </row>
    <row r="102" spans="1:20" ht="18.75" x14ac:dyDescent="0.25">
      <c r="A102" s="4">
        <v>311</v>
      </c>
      <c r="B102" s="52">
        <v>37</v>
      </c>
      <c r="C102" s="52">
        <v>910</v>
      </c>
      <c r="D102" s="7">
        <v>70769</v>
      </c>
      <c r="E102" s="20"/>
      <c r="F102" s="112" t="s">
        <v>38</v>
      </c>
      <c r="G102" s="112"/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0</v>
      </c>
      <c r="Q102" s="68">
        <v>0</v>
      </c>
      <c r="R102" s="68">
        <v>0</v>
      </c>
      <c r="S102" s="68">
        <v>0</v>
      </c>
      <c r="T102" s="111">
        <v>0</v>
      </c>
    </row>
    <row r="103" spans="1:20" ht="56.25" x14ac:dyDescent="0.25">
      <c r="A103" s="4">
        <v>311</v>
      </c>
      <c r="B103" s="52">
        <v>37</v>
      </c>
      <c r="C103" s="52">
        <v>920</v>
      </c>
      <c r="D103" s="7">
        <v>70769</v>
      </c>
      <c r="E103" s="20" t="s">
        <v>164</v>
      </c>
      <c r="F103" s="75" t="s">
        <v>39</v>
      </c>
      <c r="G103" s="126" t="s">
        <v>336</v>
      </c>
      <c r="H103" s="68">
        <v>0</v>
      </c>
      <c r="I103" s="68">
        <v>24081.639999999996</v>
      </c>
      <c r="J103" s="68">
        <v>0</v>
      </c>
      <c r="K103" s="68">
        <v>2278.0680000000002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111">
        <v>26359.707999999995</v>
      </c>
    </row>
    <row r="104" spans="1:20" ht="56.25" x14ac:dyDescent="0.25">
      <c r="A104" s="4">
        <v>311</v>
      </c>
      <c r="B104" s="52">
        <v>37</v>
      </c>
      <c r="C104" s="52">
        <v>930</v>
      </c>
      <c r="D104" s="7">
        <v>70769</v>
      </c>
      <c r="E104" s="20" t="s">
        <v>166</v>
      </c>
      <c r="F104" s="76" t="s">
        <v>40</v>
      </c>
      <c r="G104" s="132" t="s">
        <v>289</v>
      </c>
      <c r="H104" s="68">
        <v>0</v>
      </c>
      <c r="I104" s="68">
        <v>1158987.32</v>
      </c>
      <c r="J104" s="68">
        <v>0</v>
      </c>
      <c r="K104" s="68">
        <v>695975.85200000007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8">
        <v>0</v>
      </c>
      <c r="R104" s="68">
        <v>0</v>
      </c>
      <c r="S104" s="68">
        <v>0</v>
      </c>
      <c r="T104" s="111">
        <v>1854963.1720000003</v>
      </c>
    </row>
    <row r="105" spans="1:20" ht="37.5" x14ac:dyDescent="0.25">
      <c r="A105" s="4">
        <v>311</v>
      </c>
      <c r="B105" s="52">
        <v>37</v>
      </c>
      <c r="C105" s="52">
        <v>910</v>
      </c>
      <c r="D105" s="7">
        <v>70769</v>
      </c>
      <c r="E105" s="20"/>
      <c r="F105" s="112" t="s">
        <v>41</v>
      </c>
      <c r="G105" s="38"/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111">
        <v>0</v>
      </c>
    </row>
    <row r="106" spans="1:20" ht="37.5" x14ac:dyDescent="0.25">
      <c r="A106" s="4">
        <v>311</v>
      </c>
      <c r="B106" s="52">
        <v>37</v>
      </c>
      <c r="C106" s="52">
        <v>930</v>
      </c>
      <c r="D106" s="7">
        <v>70769</v>
      </c>
      <c r="E106" s="20" t="s">
        <v>165</v>
      </c>
      <c r="F106" s="112" t="s">
        <v>42</v>
      </c>
      <c r="G106" s="38"/>
      <c r="H106" s="68">
        <v>0</v>
      </c>
      <c r="I106" s="68">
        <v>0</v>
      </c>
      <c r="J106" s="68">
        <v>0</v>
      </c>
      <c r="K106" s="68">
        <v>0</v>
      </c>
      <c r="L106" s="68">
        <v>0</v>
      </c>
      <c r="M106" s="68">
        <v>0</v>
      </c>
      <c r="N106" s="68">
        <v>0</v>
      </c>
      <c r="O106" s="68">
        <v>0</v>
      </c>
      <c r="P106" s="68">
        <v>0</v>
      </c>
      <c r="Q106" s="68">
        <v>0</v>
      </c>
      <c r="R106" s="68">
        <v>0</v>
      </c>
      <c r="S106" s="68">
        <v>0</v>
      </c>
      <c r="T106" s="111">
        <v>0</v>
      </c>
    </row>
    <row r="107" spans="1:20" ht="56.25" x14ac:dyDescent="0.25">
      <c r="A107" s="4">
        <v>311</v>
      </c>
      <c r="B107" s="52">
        <v>37</v>
      </c>
      <c r="C107" s="52">
        <v>920</v>
      </c>
      <c r="D107" s="7">
        <v>70769</v>
      </c>
      <c r="E107" s="20" t="s">
        <v>164</v>
      </c>
      <c r="F107" s="76" t="s">
        <v>43</v>
      </c>
      <c r="G107" s="132" t="s">
        <v>337</v>
      </c>
      <c r="H107" s="68">
        <v>0</v>
      </c>
      <c r="I107" s="68">
        <v>139758.69999999998</v>
      </c>
      <c r="J107" s="68">
        <v>0</v>
      </c>
      <c r="K107" s="68">
        <v>217972.30000000002</v>
      </c>
      <c r="L107" s="68">
        <v>0</v>
      </c>
      <c r="M107" s="68">
        <v>411137.2</v>
      </c>
      <c r="N107" s="68">
        <v>0</v>
      </c>
      <c r="O107" s="68">
        <v>347241.20500000002</v>
      </c>
      <c r="P107" s="68">
        <v>0</v>
      </c>
      <c r="Q107" s="68">
        <v>0</v>
      </c>
      <c r="R107" s="68">
        <v>0</v>
      </c>
      <c r="S107" s="68">
        <v>0</v>
      </c>
      <c r="T107" s="111">
        <v>1116109.405</v>
      </c>
    </row>
    <row r="108" spans="1:20" ht="37.5" x14ac:dyDescent="0.25">
      <c r="A108" s="4">
        <v>311</v>
      </c>
      <c r="B108" s="52">
        <v>37</v>
      </c>
      <c r="C108" s="52">
        <v>920</v>
      </c>
      <c r="D108" s="7">
        <v>70769</v>
      </c>
      <c r="E108" s="20" t="s">
        <v>164</v>
      </c>
      <c r="F108" s="76" t="s">
        <v>44</v>
      </c>
      <c r="G108" s="132" t="s">
        <v>338</v>
      </c>
      <c r="H108" s="68">
        <v>0</v>
      </c>
      <c r="I108" s="68">
        <v>130535.49599999998</v>
      </c>
      <c r="J108" s="68">
        <v>0</v>
      </c>
      <c r="K108" s="68">
        <v>148075.304</v>
      </c>
      <c r="L108" s="68">
        <v>0</v>
      </c>
      <c r="M108" s="68">
        <v>202648.49000000002</v>
      </c>
      <c r="N108" s="68">
        <v>0</v>
      </c>
      <c r="O108" s="68">
        <v>0</v>
      </c>
      <c r="P108" s="68">
        <v>0</v>
      </c>
      <c r="Q108" s="68">
        <v>0</v>
      </c>
      <c r="R108" s="68">
        <v>0</v>
      </c>
      <c r="S108" s="68">
        <v>0</v>
      </c>
      <c r="T108" s="111">
        <v>481259.29000000004</v>
      </c>
    </row>
    <row r="109" spans="1:20" ht="37.5" x14ac:dyDescent="0.25">
      <c r="A109" s="4">
        <v>311</v>
      </c>
      <c r="B109" s="52">
        <v>37</v>
      </c>
      <c r="C109" s="52">
        <v>920</v>
      </c>
      <c r="D109" s="7">
        <v>70769</v>
      </c>
      <c r="E109" s="20" t="s">
        <v>172</v>
      </c>
      <c r="F109" s="41" t="s">
        <v>45</v>
      </c>
      <c r="G109" s="41"/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68">
        <v>0</v>
      </c>
      <c r="S109" s="68">
        <v>0</v>
      </c>
      <c r="T109" s="111">
        <v>0</v>
      </c>
    </row>
    <row r="110" spans="1:20" ht="37.5" x14ac:dyDescent="0.25">
      <c r="A110" s="4">
        <v>311</v>
      </c>
      <c r="B110" s="52">
        <v>37</v>
      </c>
      <c r="C110" s="52">
        <v>930</v>
      </c>
      <c r="D110" s="7">
        <v>70769</v>
      </c>
      <c r="E110" s="20" t="s">
        <v>172</v>
      </c>
      <c r="F110" s="41" t="s">
        <v>46</v>
      </c>
      <c r="G110" s="41"/>
      <c r="H110" s="68">
        <v>0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0</v>
      </c>
      <c r="P110" s="68">
        <v>0</v>
      </c>
      <c r="Q110" s="68">
        <v>0</v>
      </c>
      <c r="R110" s="68">
        <v>0</v>
      </c>
      <c r="S110" s="68">
        <v>0</v>
      </c>
      <c r="T110" s="111">
        <v>0</v>
      </c>
    </row>
    <row r="111" spans="1:20" ht="18.75" x14ac:dyDescent="0.25">
      <c r="A111" s="4">
        <v>311</v>
      </c>
      <c r="B111" s="52">
        <v>37</v>
      </c>
      <c r="C111" s="52">
        <v>920</v>
      </c>
      <c r="D111" s="7">
        <v>70769</v>
      </c>
      <c r="E111" s="20" t="s">
        <v>173</v>
      </c>
      <c r="F111" s="38" t="s">
        <v>47</v>
      </c>
      <c r="G111" s="38"/>
      <c r="H111" s="68">
        <v>0</v>
      </c>
      <c r="I111" s="68">
        <v>0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68">
        <v>0</v>
      </c>
      <c r="S111" s="68">
        <v>0</v>
      </c>
      <c r="T111" s="111">
        <v>0</v>
      </c>
    </row>
    <row r="112" spans="1:20" ht="37.5" x14ac:dyDescent="0.25">
      <c r="A112" s="4">
        <v>311</v>
      </c>
      <c r="B112" s="52">
        <v>37</v>
      </c>
      <c r="C112" s="52">
        <v>930</v>
      </c>
      <c r="D112" s="7">
        <v>70769</v>
      </c>
      <c r="E112" s="20" t="s">
        <v>173</v>
      </c>
      <c r="F112" s="38" t="s">
        <v>48</v>
      </c>
      <c r="G112" s="38"/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0</v>
      </c>
      <c r="R112" s="68">
        <v>0</v>
      </c>
      <c r="S112" s="68">
        <v>0</v>
      </c>
      <c r="T112" s="111">
        <v>0</v>
      </c>
    </row>
    <row r="113" spans="1:20" ht="37.5" x14ac:dyDescent="0.25">
      <c r="A113" s="4">
        <v>311</v>
      </c>
      <c r="B113" s="52">
        <v>37</v>
      </c>
      <c r="C113" s="52">
        <v>910</v>
      </c>
      <c r="D113" s="7">
        <v>70769</v>
      </c>
      <c r="E113" s="20"/>
      <c r="F113" s="112" t="s">
        <v>49</v>
      </c>
      <c r="G113" s="38"/>
      <c r="H113" s="68">
        <v>0</v>
      </c>
      <c r="I113" s="68">
        <v>0</v>
      </c>
      <c r="J113" s="68">
        <v>14453.400000000001</v>
      </c>
      <c r="K113" s="68">
        <v>0</v>
      </c>
      <c r="L113" s="68">
        <v>0</v>
      </c>
      <c r="M113" s="68">
        <v>0</v>
      </c>
      <c r="N113" s="68">
        <v>0</v>
      </c>
      <c r="O113" s="68">
        <v>0</v>
      </c>
      <c r="P113" s="68">
        <v>0</v>
      </c>
      <c r="Q113" s="68">
        <v>0</v>
      </c>
      <c r="R113" s="68">
        <v>0</v>
      </c>
      <c r="S113" s="68">
        <v>0</v>
      </c>
      <c r="T113" s="111">
        <v>0</v>
      </c>
    </row>
    <row r="114" spans="1:20" ht="37.5" x14ac:dyDescent="0.25">
      <c r="A114" s="4">
        <v>311</v>
      </c>
      <c r="B114" s="52">
        <v>37</v>
      </c>
      <c r="C114" s="52">
        <v>930</v>
      </c>
      <c r="D114" s="7">
        <v>70769</v>
      </c>
      <c r="E114" s="20" t="s">
        <v>169</v>
      </c>
      <c r="F114" s="112" t="s">
        <v>50</v>
      </c>
      <c r="G114" s="38"/>
      <c r="H114" s="68">
        <v>0</v>
      </c>
      <c r="I114" s="68">
        <v>0</v>
      </c>
      <c r="J114" s="68">
        <v>0</v>
      </c>
      <c r="K114" s="68">
        <v>487676.28</v>
      </c>
      <c r="L114" s="68">
        <v>0</v>
      </c>
      <c r="M114" s="68">
        <v>375524.36</v>
      </c>
      <c r="N114" s="68">
        <v>0</v>
      </c>
      <c r="O114" s="68">
        <v>495122.95</v>
      </c>
      <c r="P114" s="68">
        <v>0</v>
      </c>
      <c r="Q114" s="68">
        <v>956496.6</v>
      </c>
      <c r="R114" s="68">
        <v>0</v>
      </c>
      <c r="S114" s="68">
        <v>0</v>
      </c>
      <c r="T114" s="111">
        <v>2314820.19</v>
      </c>
    </row>
    <row r="115" spans="1:20" ht="54.75" customHeight="1" x14ac:dyDescent="0.25">
      <c r="A115" s="4">
        <v>311</v>
      </c>
      <c r="B115" s="52">
        <v>37</v>
      </c>
      <c r="C115" s="52">
        <v>910</v>
      </c>
      <c r="D115" s="7">
        <v>70769</v>
      </c>
      <c r="E115" s="7"/>
      <c r="F115" s="85" t="s">
        <v>51</v>
      </c>
      <c r="G115" s="133"/>
      <c r="H115" s="68">
        <v>0</v>
      </c>
      <c r="I115" s="68">
        <v>0</v>
      </c>
      <c r="J115" s="68">
        <v>70720</v>
      </c>
      <c r="K115" s="68">
        <v>0</v>
      </c>
      <c r="L115" s="68">
        <v>80370</v>
      </c>
      <c r="M115" s="68">
        <v>0</v>
      </c>
      <c r="N115" s="68">
        <v>13425</v>
      </c>
      <c r="O115" s="68">
        <v>0</v>
      </c>
      <c r="P115" s="68">
        <v>0</v>
      </c>
      <c r="Q115" s="68">
        <v>0</v>
      </c>
      <c r="R115" s="68">
        <v>0</v>
      </c>
      <c r="S115" s="68">
        <v>0</v>
      </c>
      <c r="T115" s="111">
        <v>0</v>
      </c>
    </row>
    <row r="116" spans="1:20" ht="60.75" customHeight="1" x14ac:dyDescent="0.25">
      <c r="A116" s="4">
        <v>311</v>
      </c>
      <c r="B116" s="52">
        <v>37</v>
      </c>
      <c r="C116" s="52">
        <v>920</v>
      </c>
      <c r="D116" s="7">
        <v>70769</v>
      </c>
      <c r="E116" s="7" t="s">
        <v>173</v>
      </c>
      <c r="F116" s="85" t="s">
        <v>52</v>
      </c>
      <c r="G116" s="133" t="s">
        <v>333</v>
      </c>
      <c r="H116" s="68">
        <v>0</v>
      </c>
      <c r="I116" s="68">
        <v>749288</v>
      </c>
      <c r="J116" s="68">
        <v>0</v>
      </c>
      <c r="K116" s="68">
        <v>416187.2</v>
      </c>
      <c r="L116" s="68">
        <v>0</v>
      </c>
      <c r="M116" s="68">
        <v>420540.49</v>
      </c>
      <c r="N116" s="68">
        <v>0</v>
      </c>
      <c r="O116" s="68">
        <v>63858.25</v>
      </c>
      <c r="P116" s="68">
        <v>0</v>
      </c>
      <c r="Q116" s="68">
        <v>0</v>
      </c>
      <c r="R116" s="68">
        <v>0</v>
      </c>
      <c r="S116" s="68">
        <v>0</v>
      </c>
      <c r="T116" s="111">
        <v>1649873.94</v>
      </c>
    </row>
    <row r="117" spans="1:20" ht="57.75" customHeight="1" x14ac:dyDescent="0.25">
      <c r="A117" s="4">
        <v>311</v>
      </c>
      <c r="B117" s="52">
        <v>37</v>
      </c>
      <c r="C117" s="52">
        <v>930</v>
      </c>
      <c r="D117" s="7">
        <v>70769</v>
      </c>
      <c r="E117" s="7" t="s">
        <v>173</v>
      </c>
      <c r="F117" s="85" t="s">
        <v>53</v>
      </c>
      <c r="G117" s="133" t="s">
        <v>330</v>
      </c>
      <c r="H117" s="68">
        <v>0</v>
      </c>
      <c r="I117" s="68">
        <v>425573.6</v>
      </c>
      <c r="J117" s="68">
        <v>0</v>
      </c>
      <c r="K117" s="68">
        <v>283764</v>
      </c>
      <c r="L117" s="68">
        <v>0</v>
      </c>
      <c r="M117" s="68">
        <v>56259</v>
      </c>
      <c r="N117" s="68">
        <v>0</v>
      </c>
      <c r="O117" s="68">
        <v>0</v>
      </c>
      <c r="P117" s="68">
        <v>0</v>
      </c>
      <c r="Q117" s="68">
        <v>0</v>
      </c>
      <c r="R117" s="68">
        <v>0</v>
      </c>
      <c r="S117" s="68">
        <v>0</v>
      </c>
      <c r="T117" s="111">
        <v>765596.6</v>
      </c>
    </row>
    <row r="118" spans="1:20" ht="57.75" customHeight="1" x14ac:dyDescent="0.25">
      <c r="A118" s="4">
        <v>311</v>
      </c>
      <c r="B118" s="52">
        <v>37</v>
      </c>
      <c r="C118" s="52">
        <v>930</v>
      </c>
      <c r="D118" s="7">
        <v>70769</v>
      </c>
      <c r="E118" s="20" t="s">
        <v>172</v>
      </c>
      <c r="F118" s="144" t="s">
        <v>418</v>
      </c>
      <c r="G118" s="143"/>
      <c r="H118" s="68">
        <v>0</v>
      </c>
      <c r="I118" s="68">
        <v>0</v>
      </c>
      <c r="J118" s="68">
        <v>0</v>
      </c>
      <c r="K118" s="68">
        <v>247520.00000000003</v>
      </c>
      <c r="L118" s="68">
        <v>0</v>
      </c>
      <c r="M118" s="68">
        <v>751906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111">
        <v>999426</v>
      </c>
    </row>
    <row r="119" spans="1:20" ht="39" customHeight="1" x14ac:dyDescent="0.25">
      <c r="A119" s="154">
        <v>311</v>
      </c>
      <c r="B119" s="155">
        <v>37</v>
      </c>
      <c r="C119" s="155">
        <v>930</v>
      </c>
      <c r="D119" s="156">
        <v>70769</v>
      </c>
      <c r="E119" s="157" t="s">
        <v>169</v>
      </c>
      <c r="F119" s="158" t="s">
        <v>411</v>
      </c>
      <c r="G119" s="42"/>
      <c r="H119" s="68">
        <v>0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111">
        <v>0</v>
      </c>
    </row>
    <row r="120" spans="1:20" ht="54" customHeight="1" x14ac:dyDescent="0.25">
      <c r="A120" s="154">
        <v>311</v>
      </c>
      <c r="B120" s="155">
        <v>37</v>
      </c>
      <c r="C120" s="155">
        <v>930</v>
      </c>
      <c r="D120" s="156">
        <v>70769</v>
      </c>
      <c r="E120" s="157" t="s">
        <v>169</v>
      </c>
      <c r="F120" s="158" t="s">
        <v>412</v>
      </c>
      <c r="G120" s="42"/>
      <c r="H120" s="68">
        <v>0</v>
      </c>
      <c r="I120" s="68">
        <v>0</v>
      </c>
      <c r="J120" s="68">
        <v>0</v>
      </c>
      <c r="K120" s="68">
        <v>0</v>
      </c>
      <c r="L120" s="68">
        <v>0</v>
      </c>
      <c r="M120" s="68">
        <v>0</v>
      </c>
      <c r="N120" s="68">
        <v>0</v>
      </c>
      <c r="O120" s="68">
        <v>0</v>
      </c>
      <c r="P120" s="68">
        <v>0</v>
      </c>
      <c r="Q120" s="68">
        <v>0</v>
      </c>
      <c r="R120" s="68">
        <v>0</v>
      </c>
      <c r="S120" s="68">
        <v>0</v>
      </c>
      <c r="T120" s="111">
        <v>0</v>
      </c>
    </row>
    <row r="121" spans="1:20" ht="40.5" customHeight="1" x14ac:dyDescent="0.25">
      <c r="A121" s="154">
        <v>311</v>
      </c>
      <c r="B121" s="155">
        <v>37</v>
      </c>
      <c r="C121" s="155">
        <v>930</v>
      </c>
      <c r="D121" s="156">
        <v>70769</v>
      </c>
      <c r="E121" s="157" t="s">
        <v>169</v>
      </c>
      <c r="F121" s="158" t="s">
        <v>413</v>
      </c>
      <c r="G121" s="42"/>
      <c r="H121" s="68">
        <v>0</v>
      </c>
      <c r="I121" s="68">
        <v>0</v>
      </c>
      <c r="J121" s="68">
        <v>0</v>
      </c>
      <c r="K121" s="68">
        <v>0</v>
      </c>
      <c r="L121" s="68">
        <v>0</v>
      </c>
      <c r="M121" s="68">
        <v>0</v>
      </c>
      <c r="N121" s="68">
        <v>0</v>
      </c>
      <c r="O121" s="68">
        <v>0</v>
      </c>
      <c r="P121" s="68">
        <v>0</v>
      </c>
      <c r="Q121" s="68">
        <v>0</v>
      </c>
      <c r="R121" s="68">
        <v>0</v>
      </c>
      <c r="S121" s="68">
        <v>0</v>
      </c>
      <c r="T121" s="111">
        <v>0</v>
      </c>
    </row>
    <row r="122" spans="1:20" ht="46.5" customHeight="1" x14ac:dyDescent="0.25">
      <c r="A122" s="154">
        <v>311</v>
      </c>
      <c r="B122" s="155">
        <v>37</v>
      </c>
      <c r="C122" s="155">
        <v>930</v>
      </c>
      <c r="D122" s="156">
        <v>70769</v>
      </c>
      <c r="E122" s="157" t="s">
        <v>172</v>
      </c>
      <c r="F122" s="158" t="s">
        <v>422</v>
      </c>
      <c r="G122" s="42"/>
      <c r="H122" s="68">
        <v>0</v>
      </c>
      <c r="I122" s="68">
        <v>0</v>
      </c>
      <c r="J122" s="68">
        <v>0</v>
      </c>
      <c r="K122" s="68">
        <v>0</v>
      </c>
      <c r="L122" s="68">
        <v>0</v>
      </c>
      <c r="M122" s="68">
        <v>0</v>
      </c>
      <c r="N122" s="68">
        <v>0</v>
      </c>
      <c r="O122" s="68">
        <v>0</v>
      </c>
      <c r="P122" s="68">
        <v>0</v>
      </c>
      <c r="Q122" s="68">
        <v>0</v>
      </c>
      <c r="R122" s="68">
        <v>0</v>
      </c>
      <c r="S122" s="68">
        <v>0</v>
      </c>
      <c r="T122" s="111">
        <v>0</v>
      </c>
    </row>
    <row r="123" spans="1:20" ht="18.75" customHeight="1" x14ac:dyDescent="0.25">
      <c r="A123" s="4"/>
      <c r="B123" s="52"/>
      <c r="C123" s="52"/>
      <c r="D123" s="7"/>
      <c r="E123" s="20"/>
      <c r="F123" s="42"/>
      <c r="G123" s="42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11">
        <v>0</v>
      </c>
    </row>
    <row r="124" spans="1:20" ht="18.75" customHeight="1" x14ac:dyDescent="0.25">
      <c r="A124" s="4"/>
      <c r="B124" s="52"/>
      <c r="C124" s="52"/>
      <c r="D124" s="7"/>
      <c r="E124" s="20"/>
      <c r="F124" s="42"/>
      <c r="G124" s="42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11">
        <v>0</v>
      </c>
    </row>
    <row r="125" spans="1:20" ht="18.75" customHeight="1" x14ac:dyDescent="0.25">
      <c r="A125" s="4"/>
      <c r="B125" s="52"/>
      <c r="C125" s="52"/>
      <c r="D125" s="7"/>
      <c r="E125" s="20"/>
      <c r="F125" s="42"/>
      <c r="G125" s="42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11">
        <v>0</v>
      </c>
    </row>
    <row r="126" spans="1:20" ht="18.75" customHeight="1" x14ac:dyDescent="0.25">
      <c r="A126" s="4"/>
      <c r="B126" s="52"/>
      <c r="C126" s="52"/>
      <c r="D126" s="7"/>
      <c r="E126" s="20"/>
      <c r="F126" s="42"/>
      <c r="G126" s="42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11">
        <v>0</v>
      </c>
    </row>
    <row r="127" spans="1:20" s="47" customFormat="1" ht="18.75" customHeight="1" x14ac:dyDescent="0.25">
      <c r="A127" s="56"/>
      <c r="B127" s="50"/>
      <c r="C127" s="50"/>
      <c r="D127" s="50"/>
      <c r="E127" s="54"/>
      <c r="F127" s="36" t="s">
        <v>54</v>
      </c>
      <c r="G127" s="36"/>
      <c r="H127" s="99">
        <v>0</v>
      </c>
      <c r="I127" s="99">
        <v>1090040</v>
      </c>
      <c r="J127" s="99">
        <v>0</v>
      </c>
      <c r="K127" s="99">
        <v>521560.00000000006</v>
      </c>
      <c r="L127" s="99">
        <v>0</v>
      </c>
      <c r="M127" s="99">
        <v>267900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111">
        <v>1879500</v>
      </c>
    </row>
    <row r="128" spans="1:20" s="47" customFormat="1" ht="18.75" customHeight="1" x14ac:dyDescent="0.25">
      <c r="A128" s="57"/>
      <c r="B128" s="51"/>
      <c r="C128" s="51"/>
      <c r="D128" s="51"/>
      <c r="E128" s="55"/>
      <c r="F128" s="37" t="s">
        <v>6</v>
      </c>
      <c r="G128" s="37"/>
      <c r="H128" s="100">
        <v>0</v>
      </c>
      <c r="I128" s="100">
        <v>1090040</v>
      </c>
      <c r="J128" s="100">
        <v>0</v>
      </c>
      <c r="K128" s="100">
        <v>521560.00000000006</v>
      </c>
      <c r="L128" s="100">
        <v>0</v>
      </c>
      <c r="M128" s="100">
        <v>267900</v>
      </c>
      <c r="N128" s="100">
        <v>0</v>
      </c>
      <c r="O128" s="100">
        <v>0</v>
      </c>
      <c r="P128" s="100">
        <v>0</v>
      </c>
      <c r="Q128" s="100">
        <v>0</v>
      </c>
      <c r="R128" s="100">
        <v>0</v>
      </c>
      <c r="S128" s="100">
        <v>0</v>
      </c>
      <c r="T128" s="111">
        <v>1879500</v>
      </c>
    </row>
    <row r="129" spans="1:22" ht="37.5" customHeight="1" x14ac:dyDescent="0.25">
      <c r="A129" s="4">
        <v>311</v>
      </c>
      <c r="B129" s="52">
        <v>38</v>
      </c>
      <c r="C129" s="52">
        <v>930</v>
      </c>
      <c r="D129" s="7">
        <v>70499</v>
      </c>
      <c r="E129" s="20" t="s">
        <v>172</v>
      </c>
      <c r="F129" s="75" t="s">
        <v>55</v>
      </c>
      <c r="G129" s="131" t="s">
        <v>398</v>
      </c>
      <c r="H129" s="68">
        <v>0</v>
      </c>
      <c r="I129" s="68">
        <v>1090040</v>
      </c>
      <c r="J129" s="68">
        <v>0</v>
      </c>
      <c r="K129" s="68">
        <v>521560.00000000006</v>
      </c>
      <c r="L129" s="68">
        <v>0</v>
      </c>
      <c r="M129" s="68">
        <v>267900</v>
      </c>
      <c r="N129" s="68">
        <v>0</v>
      </c>
      <c r="O129" s="68">
        <v>0</v>
      </c>
      <c r="P129" s="68">
        <v>0</v>
      </c>
      <c r="Q129" s="68">
        <v>0</v>
      </c>
      <c r="R129" s="68">
        <v>0</v>
      </c>
      <c r="S129" s="68">
        <v>0</v>
      </c>
      <c r="T129" s="111">
        <v>1879500</v>
      </c>
      <c r="V129" s="105">
        <f>T129+19492.2</f>
        <v>1898992.2</v>
      </c>
    </row>
    <row r="130" spans="1:22" ht="37.5" customHeight="1" x14ac:dyDescent="0.25">
      <c r="A130" s="4">
        <v>311</v>
      </c>
      <c r="B130" s="52">
        <v>38</v>
      </c>
      <c r="C130" s="52">
        <v>920</v>
      </c>
      <c r="D130" s="7">
        <v>70499</v>
      </c>
      <c r="E130" s="20" t="s">
        <v>172</v>
      </c>
      <c r="F130" s="38" t="s">
        <v>56</v>
      </c>
      <c r="G130" s="38"/>
      <c r="H130" s="68">
        <v>0</v>
      </c>
      <c r="I130" s="68">
        <v>0</v>
      </c>
      <c r="J130" s="68">
        <v>0</v>
      </c>
      <c r="K130" s="68">
        <v>0</v>
      </c>
      <c r="L130" s="68">
        <v>0</v>
      </c>
      <c r="M130" s="68">
        <v>0</v>
      </c>
      <c r="N130" s="68">
        <v>0</v>
      </c>
      <c r="O130" s="68">
        <v>0</v>
      </c>
      <c r="P130" s="68">
        <v>0</v>
      </c>
      <c r="Q130" s="68">
        <v>0</v>
      </c>
      <c r="R130" s="68">
        <v>0</v>
      </c>
      <c r="S130" s="68">
        <v>0</v>
      </c>
      <c r="T130" s="111">
        <v>0</v>
      </c>
    </row>
    <row r="131" spans="1:22" ht="18.75" x14ac:dyDescent="0.25">
      <c r="A131" s="4"/>
      <c r="B131" s="52"/>
      <c r="C131" s="52"/>
      <c r="D131" s="7"/>
      <c r="E131" s="20"/>
      <c r="F131" s="38"/>
      <c r="G131" s="3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11">
        <v>0</v>
      </c>
    </row>
    <row r="132" spans="1:22" ht="18.75" x14ac:dyDescent="0.25">
      <c r="A132" s="4"/>
      <c r="B132" s="52"/>
      <c r="C132" s="52"/>
      <c r="D132" s="7"/>
      <c r="E132" s="20"/>
      <c r="F132" s="38"/>
      <c r="G132" s="3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11">
        <v>0</v>
      </c>
    </row>
    <row r="133" spans="1:22" ht="18.75" x14ac:dyDescent="0.25">
      <c r="A133" s="4"/>
      <c r="B133" s="52"/>
      <c r="C133" s="52"/>
      <c r="D133" s="7"/>
      <c r="E133" s="20"/>
      <c r="F133" s="38"/>
      <c r="G133" s="3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11">
        <v>0</v>
      </c>
    </row>
    <row r="134" spans="1:22" ht="18.75" x14ac:dyDescent="0.25">
      <c r="A134" s="4"/>
      <c r="B134" s="52"/>
      <c r="C134" s="52"/>
      <c r="D134" s="7"/>
      <c r="E134" s="20"/>
      <c r="F134" s="38"/>
      <c r="G134" s="3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11">
        <v>0</v>
      </c>
    </row>
    <row r="135" spans="1:22" ht="18.75" x14ac:dyDescent="0.25">
      <c r="A135" s="4"/>
      <c r="B135" s="52"/>
      <c r="C135" s="52"/>
      <c r="D135" s="7"/>
      <c r="E135" s="20"/>
      <c r="F135" s="38"/>
      <c r="G135" s="3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11">
        <v>0</v>
      </c>
    </row>
    <row r="136" spans="1:22" s="47" customFormat="1" ht="37.5" x14ac:dyDescent="0.25">
      <c r="A136" s="56"/>
      <c r="B136" s="50"/>
      <c r="C136" s="50"/>
      <c r="D136" s="50"/>
      <c r="E136" s="54"/>
      <c r="F136" s="40" t="s">
        <v>266</v>
      </c>
      <c r="G136" s="36"/>
      <c r="H136" s="99">
        <v>0</v>
      </c>
      <c r="I136" s="99">
        <v>59540</v>
      </c>
      <c r="J136" s="99">
        <v>17680</v>
      </c>
      <c r="K136" s="99">
        <v>1922700</v>
      </c>
      <c r="L136" s="99">
        <v>172349</v>
      </c>
      <c r="M136" s="99">
        <v>2087110.6700000002</v>
      </c>
      <c r="N136" s="99">
        <v>179000</v>
      </c>
      <c r="O136" s="99">
        <v>1894983.5</v>
      </c>
      <c r="P136" s="99">
        <v>117000</v>
      </c>
      <c r="Q136" s="99">
        <v>1878120</v>
      </c>
      <c r="R136" s="99">
        <v>0</v>
      </c>
      <c r="S136" s="99">
        <v>1086000</v>
      </c>
      <c r="T136" s="111">
        <v>8928454.1699999999</v>
      </c>
    </row>
    <row r="137" spans="1:22" s="47" customFormat="1" ht="18.75" x14ac:dyDescent="0.25">
      <c r="A137" s="57"/>
      <c r="B137" s="51"/>
      <c r="C137" s="51"/>
      <c r="D137" s="51"/>
      <c r="E137" s="55"/>
      <c r="F137" s="37" t="s">
        <v>6</v>
      </c>
      <c r="G137" s="37"/>
      <c r="H137" s="100">
        <v>0</v>
      </c>
      <c r="I137" s="100">
        <v>59540</v>
      </c>
      <c r="J137" s="100">
        <v>17680</v>
      </c>
      <c r="K137" s="100">
        <v>1922700</v>
      </c>
      <c r="L137" s="100">
        <v>172349</v>
      </c>
      <c r="M137" s="100">
        <v>2087110.6700000002</v>
      </c>
      <c r="N137" s="100">
        <v>179000</v>
      </c>
      <c r="O137" s="100">
        <v>1894983.5</v>
      </c>
      <c r="P137" s="100">
        <v>117000</v>
      </c>
      <c r="Q137" s="100">
        <v>1878120</v>
      </c>
      <c r="R137" s="100">
        <v>0</v>
      </c>
      <c r="S137" s="100">
        <v>1086000</v>
      </c>
      <c r="T137" s="111">
        <v>8928454.1699999999</v>
      </c>
    </row>
    <row r="138" spans="1:22" ht="37.5" x14ac:dyDescent="0.25">
      <c r="A138" s="88">
        <v>311</v>
      </c>
      <c r="B138" s="89">
        <v>41</v>
      </c>
      <c r="C138" s="89">
        <v>920</v>
      </c>
      <c r="D138" s="90">
        <v>70499</v>
      </c>
      <c r="E138" s="91" t="s">
        <v>172</v>
      </c>
      <c r="F138" s="92" t="s">
        <v>8</v>
      </c>
      <c r="G138" s="92"/>
      <c r="H138" s="68">
        <v>0</v>
      </c>
      <c r="I138" s="68">
        <v>41220</v>
      </c>
      <c r="J138" s="68">
        <v>0</v>
      </c>
      <c r="K138" s="68">
        <v>0</v>
      </c>
      <c r="L138" s="68">
        <v>0</v>
      </c>
      <c r="M138" s="68">
        <v>0</v>
      </c>
      <c r="N138" s="68">
        <v>0</v>
      </c>
      <c r="O138" s="68">
        <v>0</v>
      </c>
      <c r="P138" s="68">
        <v>0</v>
      </c>
      <c r="Q138" s="68">
        <v>0</v>
      </c>
      <c r="R138" s="68">
        <v>0</v>
      </c>
      <c r="S138" s="68">
        <v>0</v>
      </c>
      <c r="T138" s="111">
        <v>41220</v>
      </c>
    </row>
    <row r="139" spans="1:22" ht="37.5" x14ac:dyDescent="0.25">
      <c r="A139" s="88">
        <v>321</v>
      </c>
      <c r="B139" s="89">
        <v>41</v>
      </c>
      <c r="C139" s="89">
        <v>920</v>
      </c>
      <c r="D139" s="90">
        <v>70499</v>
      </c>
      <c r="E139" s="91" t="s">
        <v>172</v>
      </c>
      <c r="F139" s="92" t="s">
        <v>8</v>
      </c>
      <c r="G139" s="92"/>
      <c r="H139" s="68">
        <v>0</v>
      </c>
      <c r="I139" s="68">
        <v>0</v>
      </c>
      <c r="J139" s="68">
        <v>0</v>
      </c>
      <c r="K139" s="68">
        <v>0</v>
      </c>
      <c r="L139" s="68">
        <v>0</v>
      </c>
      <c r="M139" s="68">
        <v>0</v>
      </c>
      <c r="N139" s="68">
        <v>0</v>
      </c>
      <c r="O139" s="68">
        <v>0</v>
      </c>
      <c r="P139" s="68">
        <v>0</v>
      </c>
      <c r="Q139" s="68">
        <v>0</v>
      </c>
      <c r="R139" s="68">
        <v>0</v>
      </c>
      <c r="S139" s="68">
        <v>0</v>
      </c>
      <c r="T139" s="111">
        <v>0</v>
      </c>
    </row>
    <row r="140" spans="1:22" ht="37.5" x14ac:dyDescent="0.25">
      <c r="A140" s="88">
        <v>311</v>
      </c>
      <c r="B140" s="89">
        <v>41</v>
      </c>
      <c r="C140" s="89">
        <v>930</v>
      </c>
      <c r="D140" s="90">
        <v>70499</v>
      </c>
      <c r="E140" s="91" t="s">
        <v>172</v>
      </c>
      <c r="F140" s="92" t="s">
        <v>9</v>
      </c>
      <c r="G140" s="228" t="s">
        <v>354</v>
      </c>
      <c r="H140" s="68">
        <v>0</v>
      </c>
      <c r="I140" s="68">
        <v>18320</v>
      </c>
      <c r="J140" s="68">
        <v>0</v>
      </c>
      <c r="K140" s="68">
        <v>0</v>
      </c>
      <c r="L140" s="68">
        <v>0</v>
      </c>
      <c r="M140" s="68">
        <v>0</v>
      </c>
      <c r="N140" s="68">
        <v>0</v>
      </c>
      <c r="O140" s="68">
        <v>0</v>
      </c>
      <c r="P140" s="68">
        <v>0</v>
      </c>
      <c r="Q140" s="68">
        <v>0</v>
      </c>
      <c r="R140" s="68">
        <v>0</v>
      </c>
      <c r="S140" s="68">
        <v>0</v>
      </c>
      <c r="T140" s="111">
        <v>18320</v>
      </c>
    </row>
    <row r="141" spans="1:22" ht="37.5" x14ac:dyDescent="0.25">
      <c r="A141" s="88">
        <v>321</v>
      </c>
      <c r="B141" s="89">
        <v>41</v>
      </c>
      <c r="C141" s="89">
        <v>930</v>
      </c>
      <c r="D141" s="90">
        <v>70499</v>
      </c>
      <c r="E141" s="91" t="s">
        <v>172</v>
      </c>
      <c r="F141" s="92" t="s">
        <v>9</v>
      </c>
      <c r="G141" s="229"/>
      <c r="H141" s="68">
        <v>0</v>
      </c>
      <c r="I141" s="68">
        <v>0</v>
      </c>
      <c r="J141" s="68">
        <v>0</v>
      </c>
      <c r="K141" s="68">
        <v>0</v>
      </c>
      <c r="L141" s="68">
        <v>0</v>
      </c>
      <c r="M141" s="68">
        <v>0</v>
      </c>
      <c r="N141" s="68">
        <v>0</v>
      </c>
      <c r="O141" s="68">
        <v>0</v>
      </c>
      <c r="P141" s="68">
        <v>0</v>
      </c>
      <c r="Q141" s="68">
        <v>0</v>
      </c>
      <c r="R141" s="68">
        <v>0</v>
      </c>
      <c r="S141" s="68">
        <v>0</v>
      </c>
      <c r="T141" s="111">
        <v>0</v>
      </c>
    </row>
    <row r="142" spans="1:22" ht="37.5" x14ac:dyDescent="0.25">
      <c r="A142" s="4">
        <v>311</v>
      </c>
      <c r="B142" s="52">
        <v>41</v>
      </c>
      <c r="C142" s="52">
        <v>920</v>
      </c>
      <c r="D142" s="7">
        <v>70499</v>
      </c>
      <c r="E142" s="20" t="s">
        <v>166</v>
      </c>
      <c r="F142" s="112" t="s">
        <v>57</v>
      </c>
      <c r="G142" s="38"/>
      <c r="H142" s="68">
        <v>0</v>
      </c>
      <c r="I142" s="68">
        <v>0</v>
      </c>
      <c r="J142" s="68">
        <v>0</v>
      </c>
      <c r="K142" s="68">
        <v>48620</v>
      </c>
      <c r="L142" s="68">
        <v>0</v>
      </c>
      <c r="M142" s="68">
        <v>47605.83</v>
      </c>
      <c r="N142" s="68">
        <v>0</v>
      </c>
      <c r="O142" s="68">
        <v>0</v>
      </c>
      <c r="P142" s="68">
        <v>0</v>
      </c>
      <c r="Q142" s="68">
        <v>0</v>
      </c>
      <c r="R142" s="68">
        <v>0</v>
      </c>
      <c r="S142" s="68">
        <v>0</v>
      </c>
      <c r="T142" s="111">
        <v>96225.83</v>
      </c>
    </row>
    <row r="143" spans="1:22" ht="37.5" x14ac:dyDescent="0.25">
      <c r="A143" s="88">
        <v>311</v>
      </c>
      <c r="B143" s="89">
        <v>41</v>
      </c>
      <c r="C143" s="89">
        <v>910</v>
      </c>
      <c r="D143" s="90">
        <v>70499</v>
      </c>
      <c r="E143" s="91"/>
      <c r="F143" s="92" t="s">
        <v>160</v>
      </c>
      <c r="G143" s="92"/>
      <c r="H143" s="68">
        <v>0</v>
      </c>
      <c r="I143" s="68">
        <v>0</v>
      </c>
      <c r="J143" s="68">
        <v>0</v>
      </c>
      <c r="K143" s="68">
        <v>0</v>
      </c>
      <c r="L143" s="68">
        <v>0</v>
      </c>
      <c r="M143" s="68">
        <v>0</v>
      </c>
      <c r="N143" s="68">
        <v>0</v>
      </c>
      <c r="O143" s="68">
        <v>0</v>
      </c>
      <c r="P143" s="68">
        <v>0</v>
      </c>
      <c r="Q143" s="68">
        <v>0</v>
      </c>
      <c r="R143" s="68">
        <v>0</v>
      </c>
      <c r="S143" s="68">
        <v>0</v>
      </c>
      <c r="T143" s="111">
        <v>0</v>
      </c>
    </row>
    <row r="144" spans="1:22" ht="37.5" x14ac:dyDescent="0.25">
      <c r="A144" s="88">
        <v>311</v>
      </c>
      <c r="B144" s="89">
        <v>41</v>
      </c>
      <c r="C144" s="89">
        <v>920</v>
      </c>
      <c r="D144" s="90">
        <v>70499</v>
      </c>
      <c r="E144" s="91" t="s">
        <v>173</v>
      </c>
      <c r="F144" s="112" t="s">
        <v>161</v>
      </c>
      <c r="G144" s="92"/>
      <c r="H144" s="68">
        <v>0</v>
      </c>
      <c r="I144" s="68">
        <v>0</v>
      </c>
      <c r="J144" s="68">
        <v>0</v>
      </c>
      <c r="K144" s="68">
        <v>106080</v>
      </c>
      <c r="L144" s="68">
        <v>0</v>
      </c>
      <c r="M144" s="68">
        <v>112678.73999999999</v>
      </c>
      <c r="N144" s="68">
        <v>0</v>
      </c>
      <c r="O144" s="68">
        <v>72763.5</v>
      </c>
      <c r="P144" s="68">
        <v>0</v>
      </c>
      <c r="Q144" s="68">
        <v>49500</v>
      </c>
      <c r="R144" s="68">
        <v>0</v>
      </c>
      <c r="S144" s="68">
        <v>0</v>
      </c>
      <c r="T144" s="113">
        <v>341022.24</v>
      </c>
      <c r="U144" s="105">
        <f>4000-T144</f>
        <v>-337022.24</v>
      </c>
    </row>
    <row r="145" spans="1:20" ht="37.5" x14ac:dyDescent="0.25">
      <c r="A145" s="88">
        <v>321</v>
      </c>
      <c r="B145" s="89">
        <v>41</v>
      </c>
      <c r="C145" s="89">
        <v>920</v>
      </c>
      <c r="D145" s="90">
        <v>70499</v>
      </c>
      <c r="E145" s="91" t="s">
        <v>173</v>
      </c>
      <c r="F145" s="112" t="s">
        <v>161</v>
      </c>
      <c r="G145" s="92"/>
      <c r="H145" s="68">
        <v>0</v>
      </c>
      <c r="I145" s="68">
        <v>0</v>
      </c>
      <c r="J145" s="68">
        <v>0</v>
      </c>
      <c r="K145" s="68">
        <v>795600</v>
      </c>
      <c r="L145" s="68">
        <v>0</v>
      </c>
      <c r="M145" s="68">
        <v>625100</v>
      </c>
      <c r="N145" s="68">
        <v>0</v>
      </c>
      <c r="O145" s="68">
        <v>0</v>
      </c>
      <c r="P145" s="68">
        <v>0</v>
      </c>
      <c r="Q145" s="68">
        <v>0</v>
      </c>
      <c r="R145" s="68">
        <v>0</v>
      </c>
      <c r="S145" s="68">
        <v>0</v>
      </c>
      <c r="T145" s="113">
        <v>1420700</v>
      </c>
    </row>
    <row r="146" spans="1:20" ht="37.5" x14ac:dyDescent="0.25">
      <c r="A146" s="88">
        <v>321</v>
      </c>
      <c r="B146" s="89">
        <v>41</v>
      </c>
      <c r="C146" s="89">
        <v>930</v>
      </c>
      <c r="D146" s="90">
        <v>70499</v>
      </c>
      <c r="E146" s="91" t="s">
        <v>173</v>
      </c>
      <c r="F146" s="112" t="s">
        <v>162</v>
      </c>
      <c r="G146" s="152" t="s">
        <v>394</v>
      </c>
      <c r="H146" s="68">
        <v>0</v>
      </c>
      <c r="I146" s="68">
        <v>0</v>
      </c>
      <c r="J146" s="68">
        <v>0</v>
      </c>
      <c r="K146" s="68">
        <v>265200</v>
      </c>
      <c r="L146" s="68">
        <v>0</v>
      </c>
      <c r="M146" s="68">
        <v>446500</v>
      </c>
      <c r="N146" s="68">
        <v>0</v>
      </c>
      <c r="O146" s="68">
        <v>537000</v>
      </c>
      <c r="P146" s="68">
        <v>0</v>
      </c>
      <c r="Q146" s="68">
        <v>270000</v>
      </c>
      <c r="R146" s="68">
        <v>0</v>
      </c>
      <c r="S146" s="68">
        <v>271500</v>
      </c>
      <c r="T146" s="113">
        <v>1790200</v>
      </c>
    </row>
    <row r="147" spans="1:20" ht="37.5" customHeight="1" x14ac:dyDescent="0.25">
      <c r="A147" s="88">
        <v>311</v>
      </c>
      <c r="B147" s="89">
        <v>41</v>
      </c>
      <c r="C147" s="89">
        <v>920</v>
      </c>
      <c r="D147" s="90">
        <v>70499</v>
      </c>
      <c r="E147" s="122" t="s">
        <v>172</v>
      </c>
      <c r="F147" s="92" t="s">
        <v>379</v>
      </c>
      <c r="G147" s="130"/>
      <c r="H147" s="68">
        <v>0</v>
      </c>
      <c r="I147" s="68">
        <v>0</v>
      </c>
      <c r="J147" s="68">
        <v>0</v>
      </c>
      <c r="K147" s="68">
        <v>150280</v>
      </c>
      <c r="L147" s="68">
        <v>0</v>
      </c>
      <c r="M147" s="68">
        <v>151810</v>
      </c>
      <c r="N147" s="68">
        <v>0</v>
      </c>
      <c r="O147" s="68">
        <v>80550</v>
      </c>
      <c r="P147" s="68">
        <v>0</v>
      </c>
      <c r="Q147" s="68">
        <v>63000</v>
      </c>
      <c r="R147" s="68">
        <v>0</v>
      </c>
      <c r="S147" s="68">
        <v>0</v>
      </c>
      <c r="T147" s="113">
        <v>445640</v>
      </c>
    </row>
    <row r="148" spans="1:20" ht="45.75" customHeight="1" x14ac:dyDescent="0.25">
      <c r="A148" s="88">
        <v>311</v>
      </c>
      <c r="B148" s="89">
        <v>41</v>
      </c>
      <c r="C148" s="89">
        <v>930</v>
      </c>
      <c r="D148" s="90">
        <v>70499</v>
      </c>
      <c r="E148" s="122" t="s">
        <v>172</v>
      </c>
      <c r="F148" s="92" t="s">
        <v>359</v>
      </c>
      <c r="G148" s="126" t="s">
        <v>356</v>
      </c>
      <c r="H148" s="68">
        <v>0</v>
      </c>
      <c r="I148" s="68">
        <v>0</v>
      </c>
      <c r="J148" s="68">
        <v>0</v>
      </c>
      <c r="K148" s="68">
        <v>238680.00000000003</v>
      </c>
      <c r="L148" s="68">
        <v>0</v>
      </c>
      <c r="M148" s="68">
        <v>241110</v>
      </c>
      <c r="N148" s="68">
        <v>0</v>
      </c>
      <c r="O148" s="68">
        <v>134250</v>
      </c>
      <c r="P148" s="68">
        <v>0</v>
      </c>
      <c r="Q148" s="68">
        <v>112050</v>
      </c>
      <c r="R148" s="68">
        <v>0</v>
      </c>
      <c r="S148" s="68">
        <v>0</v>
      </c>
      <c r="T148" s="111">
        <v>726090</v>
      </c>
    </row>
    <row r="149" spans="1:20" ht="45.75" customHeight="1" x14ac:dyDescent="0.25">
      <c r="A149" s="114">
        <v>311</v>
      </c>
      <c r="B149" s="115">
        <v>41</v>
      </c>
      <c r="C149" s="115">
        <v>910</v>
      </c>
      <c r="D149" s="116">
        <v>70499</v>
      </c>
      <c r="E149" s="123"/>
      <c r="F149" s="112" t="s">
        <v>373</v>
      </c>
      <c r="G149" s="73"/>
      <c r="H149" s="68">
        <v>0</v>
      </c>
      <c r="I149" s="68">
        <v>0</v>
      </c>
      <c r="J149" s="68">
        <v>17680</v>
      </c>
      <c r="K149" s="68">
        <v>0</v>
      </c>
      <c r="L149" s="68">
        <v>172349</v>
      </c>
      <c r="M149" s="68">
        <v>0</v>
      </c>
      <c r="N149" s="68">
        <v>179000</v>
      </c>
      <c r="O149" s="68">
        <v>0</v>
      </c>
      <c r="P149" s="68">
        <v>117000</v>
      </c>
      <c r="Q149" s="68">
        <v>0</v>
      </c>
      <c r="R149" s="68">
        <v>0</v>
      </c>
      <c r="S149" s="68">
        <v>0</v>
      </c>
      <c r="T149" s="111">
        <v>486029</v>
      </c>
    </row>
    <row r="150" spans="1:20" ht="45.75" customHeight="1" x14ac:dyDescent="0.25">
      <c r="A150" s="4">
        <v>311</v>
      </c>
      <c r="B150" s="52">
        <v>41</v>
      </c>
      <c r="C150" s="52">
        <v>920</v>
      </c>
      <c r="D150" s="7">
        <v>70499</v>
      </c>
      <c r="E150" s="48" t="s">
        <v>174</v>
      </c>
      <c r="F150" s="112" t="s">
        <v>391</v>
      </c>
      <c r="G150" s="129"/>
      <c r="H150" s="68">
        <v>0</v>
      </c>
      <c r="I150" s="68">
        <v>0</v>
      </c>
      <c r="J150" s="68">
        <v>0</v>
      </c>
      <c r="K150" s="68">
        <v>0</v>
      </c>
      <c r="L150" s="68">
        <v>0</v>
      </c>
      <c r="M150" s="68">
        <v>9823</v>
      </c>
      <c r="N150" s="68">
        <v>0</v>
      </c>
      <c r="O150" s="68">
        <v>0</v>
      </c>
      <c r="P150" s="68">
        <v>0</v>
      </c>
      <c r="Q150" s="68">
        <v>0</v>
      </c>
      <c r="R150" s="68">
        <v>0</v>
      </c>
      <c r="S150" s="68">
        <v>0</v>
      </c>
      <c r="T150" s="111">
        <v>9823</v>
      </c>
    </row>
    <row r="151" spans="1:20" ht="45.75" customHeight="1" x14ac:dyDescent="0.25">
      <c r="A151" s="4">
        <v>311</v>
      </c>
      <c r="B151" s="52">
        <v>41</v>
      </c>
      <c r="C151" s="52">
        <v>930</v>
      </c>
      <c r="D151" s="7">
        <v>70499</v>
      </c>
      <c r="E151" s="48" t="s">
        <v>174</v>
      </c>
      <c r="F151" s="112" t="s">
        <v>392</v>
      </c>
      <c r="G151" s="225" t="s">
        <v>393</v>
      </c>
      <c r="H151" s="68">
        <v>0</v>
      </c>
      <c r="I151" s="68">
        <v>0</v>
      </c>
      <c r="J151" s="68">
        <v>0</v>
      </c>
      <c r="K151" s="68">
        <v>13260</v>
      </c>
      <c r="L151" s="68">
        <v>0</v>
      </c>
      <c r="M151" s="68">
        <v>5983.0999999999995</v>
      </c>
      <c r="N151" s="68">
        <v>0</v>
      </c>
      <c r="O151" s="68">
        <v>5996.5</v>
      </c>
      <c r="P151" s="68">
        <v>0</v>
      </c>
      <c r="Q151" s="68">
        <v>5940</v>
      </c>
      <c r="R151" s="68">
        <v>0</v>
      </c>
      <c r="S151" s="68">
        <v>0</v>
      </c>
      <c r="T151" s="111">
        <v>31179.599999999999</v>
      </c>
    </row>
    <row r="152" spans="1:20" ht="51" customHeight="1" x14ac:dyDescent="0.25">
      <c r="A152" s="4">
        <v>321</v>
      </c>
      <c r="B152" s="52">
        <v>41</v>
      </c>
      <c r="C152" s="52">
        <v>930</v>
      </c>
      <c r="D152" s="7">
        <v>70499</v>
      </c>
      <c r="E152" s="48" t="s">
        <v>174</v>
      </c>
      <c r="F152" s="112" t="s">
        <v>392</v>
      </c>
      <c r="G152" s="227"/>
      <c r="H152" s="68">
        <v>0</v>
      </c>
      <c r="I152" s="68">
        <v>0</v>
      </c>
      <c r="J152" s="68">
        <v>0</v>
      </c>
      <c r="K152" s="68">
        <v>304980</v>
      </c>
      <c r="L152" s="68">
        <v>0</v>
      </c>
      <c r="M152" s="68">
        <v>446500</v>
      </c>
      <c r="N152" s="68">
        <v>0</v>
      </c>
      <c r="O152" s="68">
        <v>1064423.5</v>
      </c>
      <c r="P152" s="68">
        <v>0</v>
      </c>
      <c r="Q152" s="68">
        <v>1377630</v>
      </c>
      <c r="R152" s="68">
        <v>0</v>
      </c>
      <c r="S152" s="68">
        <v>814500</v>
      </c>
      <c r="T152" s="111">
        <v>4008033.5</v>
      </c>
    </row>
    <row r="153" spans="1:20" ht="83.25" customHeight="1" x14ac:dyDescent="0.25">
      <c r="A153" s="88">
        <v>311</v>
      </c>
      <c r="B153" s="89">
        <v>41</v>
      </c>
      <c r="C153" s="89">
        <v>920</v>
      </c>
      <c r="D153" s="90">
        <v>70499</v>
      </c>
      <c r="E153" s="122" t="s">
        <v>172</v>
      </c>
      <c r="F153" s="92" t="s">
        <v>387</v>
      </c>
      <c r="G153" s="92"/>
      <c r="H153" s="68">
        <v>0</v>
      </c>
      <c r="I153" s="68">
        <v>0</v>
      </c>
      <c r="J153" s="68">
        <v>0</v>
      </c>
      <c r="K153" s="68">
        <v>0</v>
      </c>
      <c r="L153" s="68">
        <v>0</v>
      </c>
      <c r="M153" s="68">
        <v>0</v>
      </c>
      <c r="N153" s="68">
        <v>0</v>
      </c>
      <c r="O153" s="68">
        <v>0</v>
      </c>
      <c r="P153" s="68">
        <v>0</v>
      </c>
      <c r="Q153" s="68">
        <v>0</v>
      </c>
      <c r="R153" s="68">
        <v>0</v>
      </c>
      <c r="S153" s="68">
        <v>0</v>
      </c>
      <c r="T153" s="111">
        <v>0</v>
      </c>
    </row>
    <row r="154" spans="1:20" ht="83.25" customHeight="1" x14ac:dyDescent="0.25">
      <c r="A154" s="88">
        <v>311</v>
      </c>
      <c r="B154" s="89">
        <v>41</v>
      </c>
      <c r="C154" s="89">
        <v>930</v>
      </c>
      <c r="D154" s="90">
        <v>70499</v>
      </c>
      <c r="E154" s="122" t="s">
        <v>172</v>
      </c>
      <c r="F154" s="92" t="s">
        <v>388</v>
      </c>
      <c r="G154" s="92"/>
      <c r="H154" s="68">
        <v>0</v>
      </c>
      <c r="I154" s="68">
        <v>0</v>
      </c>
      <c r="J154" s="68">
        <v>0</v>
      </c>
      <c r="K154" s="68">
        <v>0</v>
      </c>
      <c r="L154" s="68">
        <v>0</v>
      </c>
      <c r="M154" s="68">
        <v>0</v>
      </c>
      <c r="N154" s="68">
        <v>0</v>
      </c>
      <c r="O154" s="68">
        <v>0</v>
      </c>
      <c r="P154" s="68">
        <v>0</v>
      </c>
      <c r="Q154" s="68">
        <v>0</v>
      </c>
      <c r="R154" s="68">
        <v>0</v>
      </c>
      <c r="S154" s="68">
        <v>0</v>
      </c>
      <c r="T154" s="111">
        <v>0</v>
      </c>
    </row>
    <row r="155" spans="1:20" ht="18.75" customHeight="1" x14ac:dyDescent="0.25">
      <c r="A155" s="4"/>
      <c r="B155" s="52"/>
      <c r="C155" s="52"/>
      <c r="D155" s="7"/>
      <c r="E155" s="20"/>
      <c r="F155" s="38"/>
      <c r="G155" s="3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11">
        <v>0</v>
      </c>
    </row>
    <row r="156" spans="1:20" ht="18.75" customHeight="1" x14ac:dyDescent="0.25">
      <c r="A156" s="4"/>
      <c r="B156" s="52"/>
      <c r="C156" s="52"/>
      <c r="D156" s="7"/>
      <c r="E156" s="20"/>
      <c r="F156" s="38"/>
      <c r="G156" s="3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11">
        <v>0</v>
      </c>
    </row>
    <row r="157" spans="1:20" ht="18.75" customHeight="1" x14ac:dyDescent="0.25">
      <c r="A157" s="4"/>
      <c r="B157" s="52"/>
      <c r="C157" s="52"/>
      <c r="D157" s="7"/>
      <c r="E157" s="20"/>
      <c r="F157" s="38"/>
      <c r="G157" s="3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11">
        <v>0</v>
      </c>
    </row>
    <row r="158" spans="1:20" ht="18.75" customHeight="1" x14ac:dyDescent="0.25">
      <c r="A158" s="4"/>
      <c r="B158" s="52"/>
      <c r="C158" s="52"/>
      <c r="D158" s="7"/>
      <c r="E158" s="20"/>
      <c r="F158" s="38"/>
      <c r="G158" s="3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11">
        <v>0</v>
      </c>
    </row>
    <row r="159" spans="1:20" ht="18.75" customHeight="1" x14ac:dyDescent="0.25">
      <c r="A159" s="4"/>
      <c r="B159" s="52"/>
      <c r="C159" s="52"/>
      <c r="D159" s="7"/>
      <c r="E159" s="20"/>
      <c r="F159" s="38"/>
      <c r="G159" s="3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11">
        <v>0</v>
      </c>
    </row>
    <row r="160" spans="1:20" s="47" customFormat="1" ht="69" customHeight="1" x14ac:dyDescent="0.25">
      <c r="A160" s="56"/>
      <c r="B160" s="50"/>
      <c r="C160" s="50"/>
      <c r="D160" s="50"/>
      <c r="E160" s="54"/>
      <c r="F160" s="40" t="s">
        <v>226</v>
      </c>
      <c r="G160" s="40"/>
      <c r="H160" s="99">
        <v>1024761.26</v>
      </c>
      <c r="I160" s="99">
        <v>8912598.7439996153</v>
      </c>
      <c r="J160" s="99">
        <v>544840.14000000013</v>
      </c>
      <c r="K160" s="99">
        <v>8473065.5106240027</v>
      </c>
      <c r="L160" s="99">
        <v>326152.17599999998</v>
      </c>
      <c r="M160" s="99">
        <v>5379230.4400769994</v>
      </c>
      <c r="N160" s="99">
        <v>246572.5</v>
      </c>
      <c r="O160" s="99">
        <v>8564400.5269999988</v>
      </c>
      <c r="P160" s="99">
        <v>10800</v>
      </c>
      <c r="Q160" s="99">
        <v>9436054.6799999997</v>
      </c>
      <c r="R160" s="99">
        <v>0</v>
      </c>
      <c r="S160" s="99">
        <v>11324534.9615</v>
      </c>
      <c r="T160" s="111">
        <v>52089884.86320062</v>
      </c>
    </row>
    <row r="161" spans="1:20" s="47" customFormat="1" ht="38.25" customHeight="1" x14ac:dyDescent="0.25">
      <c r="A161" s="57"/>
      <c r="B161" s="51"/>
      <c r="C161" s="51"/>
      <c r="D161" s="51"/>
      <c r="E161" s="55"/>
      <c r="F161" s="37" t="s">
        <v>6</v>
      </c>
      <c r="G161" s="37"/>
      <c r="H161" s="100">
        <v>1024761.26</v>
      </c>
      <c r="I161" s="100">
        <v>8912598.7439996153</v>
      </c>
      <c r="J161" s="100">
        <v>544840.14000000013</v>
      </c>
      <c r="K161" s="100">
        <v>8473065.5106240027</v>
      </c>
      <c r="L161" s="100">
        <v>326152.17599999998</v>
      </c>
      <c r="M161" s="100">
        <v>5379230.4400769994</v>
      </c>
      <c r="N161" s="100">
        <v>246572.5</v>
      </c>
      <c r="O161" s="100">
        <v>8564400.5269999988</v>
      </c>
      <c r="P161" s="100">
        <v>10800</v>
      </c>
      <c r="Q161" s="100">
        <v>9436054.6799999997</v>
      </c>
      <c r="R161" s="100">
        <v>0</v>
      </c>
      <c r="S161" s="100">
        <v>11324534.9615</v>
      </c>
      <c r="T161" s="111">
        <v>52089884.86320062</v>
      </c>
    </row>
    <row r="162" spans="1:20" s="121" customFormat="1" ht="38.25" customHeight="1" x14ac:dyDescent="0.25">
      <c r="A162" s="49">
        <v>311</v>
      </c>
      <c r="B162" s="52">
        <v>41</v>
      </c>
      <c r="C162" s="52">
        <v>920</v>
      </c>
      <c r="D162" s="53">
        <v>70499</v>
      </c>
      <c r="E162" s="48" t="s">
        <v>172</v>
      </c>
      <c r="F162" s="151" t="s">
        <v>58</v>
      </c>
      <c r="G162" s="150"/>
      <c r="H162" s="68">
        <v>0</v>
      </c>
      <c r="I162" s="68">
        <v>131333.59999961598</v>
      </c>
      <c r="J162" s="68">
        <v>0</v>
      </c>
      <c r="K162" s="68">
        <v>0</v>
      </c>
      <c r="L162" s="68">
        <v>0</v>
      </c>
      <c r="M162" s="68">
        <v>0</v>
      </c>
      <c r="N162" s="68">
        <v>0</v>
      </c>
      <c r="O162" s="68">
        <v>0</v>
      </c>
      <c r="P162" s="68">
        <v>0</v>
      </c>
      <c r="Q162" s="68">
        <v>0</v>
      </c>
      <c r="R162" s="68">
        <v>0</v>
      </c>
      <c r="S162" s="68">
        <v>0</v>
      </c>
      <c r="T162" s="120"/>
    </row>
    <row r="163" spans="1:20" ht="80.25" customHeight="1" x14ac:dyDescent="0.25">
      <c r="A163" s="49">
        <v>311</v>
      </c>
      <c r="B163" s="52">
        <v>41</v>
      </c>
      <c r="C163" s="52">
        <v>920</v>
      </c>
      <c r="D163" s="53">
        <v>70499</v>
      </c>
      <c r="E163" s="48" t="s">
        <v>172</v>
      </c>
      <c r="F163" s="62" t="s">
        <v>224</v>
      </c>
      <c r="G163" s="225" t="s">
        <v>290</v>
      </c>
      <c r="H163" s="68">
        <v>0</v>
      </c>
      <c r="I163" s="68">
        <v>407244.43999999994</v>
      </c>
      <c r="J163" s="68">
        <v>0</v>
      </c>
      <c r="K163" s="68">
        <v>707200</v>
      </c>
      <c r="L163" s="68">
        <v>0</v>
      </c>
      <c r="M163" s="68">
        <v>89300</v>
      </c>
      <c r="N163" s="68">
        <v>0</v>
      </c>
      <c r="O163" s="68">
        <v>64082</v>
      </c>
      <c r="P163" s="68">
        <v>0</v>
      </c>
      <c r="Q163" s="68">
        <v>27000</v>
      </c>
      <c r="R163" s="68">
        <v>0</v>
      </c>
      <c r="S163" s="68">
        <v>724000</v>
      </c>
      <c r="T163" s="111">
        <v>2018826.44</v>
      </c>
    </row>
    <row r="164" spans="1:20" ht="83.25" customHeight="1" x14ac:dyDescent="0.25">
      <c r="A164" s="49">
        <v>311</v>
      </c>
      <c r="B164" s="52">
        <v>41</v>
      </c>
      <c r="C164" s="52">
        <v>930</v>
      </c>
      <c r="D164" s="53">
        <v>70499</v>
      </c>
      <c r="E164" s="48" t="s">
        <v>172</v>
      </c>
      <c r="F164" s="62" t="s">
        <v>225</v>
      </c>
      <c r="G164" s="227"/>
      <c r="H164" s="68">
        <v>0</v>
      </c>
      <c r="I164" s="68">
        <v>180992.44</v>
      </c>
      <c r="J164" s="68">
        <v>0</v>
      </c>
      <c r="K164" s="68">
        <v>0</v>
      </c>
      <c r="L164" s="68">
        <v>0</v>
      </c>
      <c r="M164" s="68">
        <v>258970</v>
      </c>
      <c r="N164" s="68">
        <v>0</v>
      </c>
      <c r="O164" s="68">
        <v>483317.89999999997</v>
      </c>
      <c r="P164" s="68">
        <v>0</v>
      </c>
      <c r="Q164" s="68">
        <v>432000</v>
      </c>
      <c r="R164" s="68">
        <v>0</v>
      </c>
      <c r="S164" s="68">
        <v>724000</v>
      </c>
      <c r="T164" s="111">
        <v>2079280.3399999999</v>
      </c>
    </row>
    <row r="165" spans="1:20" ht="81.75" customHeight="1" x14ac:dyDescent="0.25">
      <c r="A165" s="49">
        <v>311</v>
      </c>
      <c r="B165" s="52">
        <v>41</v>
      </c>
      <c r="C165" s="52">
        <v>910</v>
      </c>
      <c r="D165" s="53">
        <v>70499</v>
      </c>
      <c r="E165" s="48"/>
      <c r="F165" s="62" t="s">
        <v>59</v>
      </c>
      <c r="G165" s="225" t="s">
        <v>323</v>
      </c>
      <c r="H165" s="68">
        <v>355554.56</v>
      </c>
      <c r="I165" s="68">
        <v>0</v>
      </c>
      <c r="J165" s="68">
        <v>60112.000000000007</v>
      </c>
      <c r="K165" s="68">
        <v>0</v>
      </c>
      <c r="L165" s="68">
        <v>0</v>
      </c>
      <c r="M165" s="68">
        <v>0</v>
      </c>
      <c r="N165" s="68">
        <v>0</v>
      </c>
      <c r="O165" s="68">
        <v>0</v>
      </c>
      <c r="P165" s="68">
        <v>0</v>
      </c>
      <c r="Q165" s="68">
        <v>0</v>
      </c>
      <c r="R165" s="68">
        <v>0</v>
      </c>
      <c r="S165" s="68">
        <v>0</v>
      </c>
      <c r="T165" s="111">
        <v>0</v>
      </c>
    </row>
    <row r="166" spans="1:20" ht="72" customHeight="1" x14ac:dyDescent="0.25">
      <c r="A166" s="49">
        <v>311</v>
      </c>
      <c r="B166" s="52">
        <v>41</v>
      </c>
      <c r="C166" s="52">
        <v>930</v>
      </c>
      <c r="D166" s="53">
        <v>70499</v>
      </c>
      <c r="E166" s="48" t="s">
        <v>174</v>
      </c>
      <c r="F166" s="62" t="s">
        <v>60</v>
      </c>
      <c r="G166" s="226"/>
      <c r="H166" s="68">
        <v>0</v>
      </c>
      <c r="I166" s="68">
        <v>692324.70799999998</v>
      </c>
      <c r="J166" s="68">
        <v>0</v>
      </c>
      <c r="K166" s="68">
        <v>269620</v>
      </c>
      <c r="L166" s="68">
        <v>0</v>
      </c>
      <c r="M166" s="68">
        <v>0</v>
      </c>
      <c r="N166" s="68">
        <v>0</v>
      </c>
      <c r="O166" s="68">
        <v>0</v>
      </c>
      <c r="P166" s="68">
        <v>0</v>
      </c>
      <c r="Q166" s="68">
        <v>0</v>
      </c>
      <c r="R166" s="68">
        <v>0</v>
      </c>
      <c r="S166" s="68">
        <v>0</v>
      </c>
      <c r="T166" s="111">
        <v>961944.70799999998</v>
      </c>
    </row>
    <row r="167" spans="1:20" ht="89.25" customHeight="1" x14ac:dyDescent="0.25">
      <c r="A167" s="49">
        <v>311</v>
      </c>
      <c r="B167" s="52">
        <v>41</v>
      </c>
      <c r="C167" s="52">
        <v>930</v>
      </c>
      <c r="D167" s="53">
        <v>70499</v>
      </c>
      <c r="E167" s="48" t="s">
        <v>166</v>
      </c>
      <c r="F167" s="74" t="s">
        <v>61</v>
      </c>
      <c r="G167" s="227"/>
      <c r="H167" s="68">
        <v>0</v>
      </c>
      <c r="I167" s="68">
        <v>1402749.5759999999</v>
      </c>
      <c r="J167" s="68">
        <v>0</v>
      </c>
      <c r="K167" s="68">
        <v>247520.00000000003</v>
      </c>
      <c r="L167" s="68">
        <v>0</v>
      </c>
      <c r="M167" s="68">
        <v>0</v>
      </c>
      <c r="N167" s="68">
        <v>0</v>
      </c>
      <c r="O167" s="68">
        <v>0</v>
      </c>
      <c r="P167" s="68">
        <v>0</v>
      </c>
      <c r="Q167" s="68">
        <v>0</v>
      </c>
      <c r="R167" s="68">
        <v>0</v>
      </c>
      <c r="S167" s="68">
        <v>0</v>
      </c>
      <c r="T167" s="111">
        <v>1650269.5759999999</v>
      </c>
    </row>
    <row r="168" spans="1:20" ht="80.25" customHeight="1" x14ac:dyDescent="0.25">
      <c r="A168" s="49">
        <v>311</v>
      </c>
      <c r="B168" s="52">
        <v>41</v>
      </c>
      <c r="C168" s="52">
        <v>910</v>
      </c>
      <c r="D168" s="53">
        <v>70499</v>
      </c>
      <c r="E168" s="48"/>
      <c r="F168" s="62" t="s">
        <v>62</v>
      </c>
      <c r="G168" s="225" t="s">
        <v>300</v>
      </c>
      <c r="H168" s="68">
        <v>123728.7</v>
      </c>
      <c r="I168" s="68">
        <v>0</v>
      </c>
      <c r="J168" s="68">
        <v>884</v>
      </c>
      <c r="K168" s="68">
        <v>0</v>
      </c>
      <c r="L168" s="68">
        <v>0</v>
      </c>
      <c r="M168" s="68">
        <v>0</v>
      </c>
      <c r="N168" s="68">
        <v>0</v>
      </c>
      <c r="O168" s="68">
        <v>0</v>
      </c>
      <c r="P168" s="68">
        <v>0</v>
      </c>
      <c r="Q168" s="68">
        <v>0</v>
      </c>
      <c r="R168" s="68">
        <v>0</v>
      </c>
      <c r="S168" s="68">
        <v>0</v>
      </c>
      <c r="T168" s="111">
        <v>0</v>
      </c>
    </row>
    <row r="169" spans="1:20" ht="93.75" customHeight="1" x14ac:dyDescent="0.25">
      <c r="A169" s="49">
        <v>311</v>
      </c>
      <c r="B169" s="52">
        <v>41</v>
      </c>
      <c r="C169" s="52">
        <v>920</v>
      </c>
      <c r="D169" s="53">
        <v>70499</v>
      </c>
      <c r="E169" s="48" t="s">
        <v>173</v>
      </c>
      <c r="F169" s="62" t="s">
        <v>63</v>
      </c>
      <c r="G169" s="226"/>
      <c r="H169" s="68">
        <v>0</v>
      </c>
      <c r="I169" s="68">
        <v>108600.04399999998</v>
      </c>
      <c r="J169" s="68">
        <v>0</v>
      </c>
      <c r="K169" s="68">
        <v>13260</v>
      </c>
      <c r="L169" s="68">
        <v>0</v>
      </c>
      <c r="M169" s="68">
        <v>0</v>
      </c>
      <c r="N169" s="68">
        <v>0</v>
      </c>
      <c r="O169" s="68">
        <v>0</v>
      </c>
      <c r="P169" s="68">
        <v>0</v>
      </c>
      <c r="Q169" s="68">
        <v>0</v>
      </c>
      <c r="R169" s="68">
        <v>0</v>
      </c>
      <c r="S169" s="68">
        <v>0</v>
      </c>
      <c r="T169" s="111">
        <v>121860.04399999998</v>
      </c>
    </row>
    <row r="170" spans="1:20" ht="97.5" customHeight="1" x14ac:dyDescent="0.25">
      <c r="A170" s="49">
        <v>311</v>
      </c>
      <c r="B170" s="52">
        <v>41</v>
      </c>
      <c r="C170" s="52">
        <v>930</v>
      </c>
      <c r="D170" s="53">
        <v>70499</v>
      </c>
      <c r="E170" s="48" t="s">
        <v>173</v>
      </c>
      <c r="F170" s="62" t="s">
        <v>64</v>
      </c>
      <c r="G170" s="227"/>
      <c r="H170" s="68">
        <v>0</v>
      </c>
      <c r="I170" s="68">
        <v>316750.05199999997</v>
      </c>
      <c r="J170" s="68">
        <v>0</v>
      </c>
      <c r="K170" s="68">
        <v>4420</v>
      </c>
      <c r="L170" s="68">
        <v>0</v>
      </c>
      <c r="M170" s="68">
        <v>0</v>
      </c>
      <c r="N170" s="68">
        <v>0</v>
      </c>
      <c r="O170" s="68">
        <v>0</v>
      </c>
      <c r="P170" s="68">
        <v>0</v>
      </c>
      <c r="Q170" s="68">
        <v>0</v>
      </c>
      <c r="R170" s="68">
        <v>0</v>
      </c>
      <c r="S170" s="68">
        <v>0</v>
      </c>
      <c r="T170" s="111">
        <v>321170.05199999997</v>
      </c>
    </row>
    <row r="171" spans="1:20" ht="80.25" customHeight="1" x14ac:dyDescent="0.25">
      <c r="A171" s="49">
        <v>311</v>
      </c>
      <c r="B171" s="52">
        <v>41</v>
      </c>
      <c r="C171" s="52">
        <v>920</v>
      </c>
      <c r="D171" s="53">
        <v>70499</v>
      </c>
      <c r="E171" s="48" t="s">
        <v>176</v>
      </c>
      <c r="F171" s="62" t="s">
        <v>209</v>
      </c>
      <c r="G171" s="225" t="s">
        <v>272</v>
      </c>
      <c r="H171" s="68">
        <v>0</v>
      </c>
      <c r="I171" s="68">
        <v>0</v>
      </c>
      <c r="J171" s="68">
        <v>0</v>
      </c>
      <c r="K171" s="68">
        <v>129329.20000000001</v>
      </c>
      <c r="L171" s="68">
        <v>0</v>
      </c>
      <c r="M171" s="68">
        <v>139486.6</v>
      </c>
      <c r="N171" s="68">
        <v>0</v>
      </c>
      <c r="O171" s="68">
        <v>47256</v>
      </c>
      <c r="P171" s="68">
        <v>0</v>
      </c>
      <c r="Q171" s="68">
        <v>9900</v>
      </c>
      <c r="R171" s="68">
        <v>0</v>
      </c>
      <c r="S171" s="68">
        <v>0</v>
      </c>
      <c r="T171" s="111">
        <v>325971.80000000005</v>
      </c>
    </row>
    <row r="172" spans="1:20" ht="92.25" customHeight="1" x14ac:dyDescent="0.25">
      <c r="A172" s="49">
        <v>311</v>
      </c>
      <c r="B172" s="52">
        <v>41</v>
      </c>
      <c r="C172" s="52">
        <v>930</v>
      </c>
      <c r="D172" s="53">
        <v>70499</v>
      </c>
      <c r="E172" s="48" t="s">
        <v>176</v>
      </c>
      <c r="F172" s="62" t="s">
        <v>218</v>
      </c>
      <c r="G172" s="227"/>
      <c r="H172" s="68">
        <v>0</v>
      </c>
      <c r="I172" s="68">
        <v>165246.39999999999</v>
      </c>
      <c r="J172" s="68">
        <v>0</v>
      </c>
      <c r="K172" s="68">
        <v>492034.4</v>
      </c>
      <c r="L172" s="68">
        <v>0</v>
      </c>
      <c r="M172" s="68">
        <v>522583.6</v>
      </c>
      <c r="N172" s="68">
        <v>0</v>
      </c>
      <c r="O172" s="68">
        <v>177210</v>
      </c>
      <c r="P172" s="68">
        <v>0</v>
      </c>
      <c r="Q172" s="68">
        <v>30690</v>
      </c>
      <c r="R172" s="68">
        <v>0</v>
      </c>
      <c r="S172" s="68">
        <v>0</v>
      </c>
      <c r="T172" s="111">
        <v>1387764.4</v>
      </c>
    </row>
    <row r="173" spans="1:20" ht="104.25" customHeight="1" x14ac:dyDescent="0.25">
      <c r="A173" s="49">
        <v>311</v>
      </c>
      <c r="B173" s="52">
        <v>41</v>
      </c>
      <c r="C173" s="52">
        <v>910</v>
      </c>
      <c r="D173" s="53">
        <v>70499</v>
      </c>
      <c r="E173" s="48"/>
      <c r="F173" s="62" t="s">
        <v>221</v>
      </c>
      <c r="G173" s="225" t="s">
        <v>320</v>
      </c>
      <c r="H173" s="68">
        <v>16488</v>
      </c>
      <c r="I173" s="68">
        <v>0</v>
      </c>
      <c r="J173" s="68">
        <v>2298.4</v>
      </c>
      <c r="K173" s="68">
        <v>0</v>
      </c>
      <c r="L173" s="68">
        <v>0</v>
      </c>
      <c r="M173" s="68">
        <v>0</v>
      </c>
      <c r="N173" s="68">
        <v>0</v>
      </c>
      <c r="O173" s="68">
        <v>0</v>
      </c>
      <c r="P173" s="68">
        <v>0</v>
      </c>
      <c r="Q173" s="68">
        <v>0</v>
      </c>
      <c r="R173" s="68">
        <v>0</v>
      </c>
      <c r="S173" s="68">
        <v>0</v>
      </c>
      <c r="T173" s="111">
        <v>0</v>
      </c>
    </row>
    <row r="174" spans="1:20" ht="101.25" customHeight="1" x14ac:dyDescent="0.25">
      <c r="A174" s="49">
        <v>311</v>
      </c>
      <c r="B174" s="52">
        <v>41</v>
      </c>
      <c r="C174" s="52">
        <v>920</v>
      </c>
      <c r="D174" s="53">
        <v>70499</v>
      </c>
      <c r="E174" s="48" t="s">
        <v>173</v>
      </c>
      <c r="F174" s="62" t="s">
        <v>222</v>
      </c>
      <c r="G174" s="227"/>
      <c r="H174" s="68">
        <v>0</v>
      </c>
      <c r="I174" s="68">
        <v>117614.39999999999</v>
      </c>
      <c r="J174" s="68">
        <v>0</v>
      </c>
      <c r="K174" s="68">
        <v>8840</v>
      </c>
      <c r="L174" s="68">
        <v>0</v>
      </c>
      <c r="M174" s="68">
        <v>0</v>
      </c>
      <c r="N174" s="68">
        <v>0</v>
      </c>
      <c r="O174" s="68">
        <v>0</v>
      </c>
      <c r="P174" s="68">
        <v>0</v>
      </c>
      <c r="Q174" s="68">
        <v>0</v>
      </c>
      <c r="R174" s="68">
        <v>0</v>
      </c>
      <c r="S174" s="68">
        <v>0</v>
      </c>
      <c r="T174" s="111">
        <v>126454.39999999999</v>
      </c>
    </row>
    <row r="175" spans="1:20" ht="101.25" customHeight="1" x14ac:dyDescent="0.25">
      <c r="A175" s="49">
        <v>311</v>
      </c>
      <c r="B175" s="52">
        <v>41</v>
      </c>
      <c r="C175" s="52">
        <v>920</v>
      </c>
      <c r="D175" s="53">
        <v>70499</v>
      </c>
      <c r="E175" s="48" t="s">
        <v>178</v>
      </c>
      <c r="F175" s="62" t="s">
        <v>325</v>
      </c>
      <c r="G175" s="225" t="s">
        <v>272</v>
      </c>
      <c r="H175" s="68">
        <v>0</v>
      </c>
      <c r="I175" s="68">
        <v>0</v>
      </c>
      <c r="J175" s="68">
        <v>0</v>
      </c>
      <c r="K175" s="68">
        <v>0</v>
      </c>
      <c r="L175" s="68">
        <v>0</v>
      </c>
      <c r="M175" s="68">
        <v>108347.68999999999</v>
      </c>
      <c r="N175" s="68">
        <v>0</v>
      </c>
      <c r="O175" s="68">
        <v>217180.69999999998</v>
      </c>
      <c r="P175" s="68">
        <v>0</v>
      </c>
      <c r="Q175" s="68">
        <v>436788</v>
      </c>
      <c r="R175" s="68">
        <v>0</v>
      </c>
      <c r="S175" s="68">
        <v>274509.125</v>
      </c>
      <c r="T175" s="111">
        <v>1036825.5149999999</v>
      </c>
    </row>
    <row r="176" spans="1:20" ht="101.25" customHeight="1" x14ac:dyDescent="0.25">
      <c r="A176" s="49">
        <v>311</v>
      </c>
      <c r="B176" s="52">
        <v>41</v>
      </c>
      <c r="C176" s="52">
        <v>930</v>
      </c>
      <c r="D176" s="53">
        <v>70499</v>
      </c>
      <c r="E176" s="48" t="s">
        <v>176</v>
      </c>
      <c r="F176" s="62" t="s">
        <v>326</v>
      </c>
      <c r="G176" s="227"/>
      <c r="H176" s="68">
        <v>0</v>
      </c>
      <c r="I176" s="68">
        <v>0</v>
      </c>
      <c r="J176" s="68">
        <v>0</v>
      </c>
      <c r="K176" s="68">
        <v>0</v>
      </c>
      <c r="L176" s="68">
        <v>0</v>
      </c>
      <c r="M176" s="68">
        <v>264516.69089999999</v>
      </c>
      <c r="N176" s="68">
        <v>0</v>
      </c>
      <c r="O176" s="68">
        <v>530218.22699999996</v>
      </c>
      <c r="P176" s="68">
        <v>0</v>
      </c>
      <c r="Q176" s="68">
        <v>1066360.68</v>
      </c>
      <c r="R176" s="68">
        <v>0</v>
      </c>
      <c r="S176" s="68">
        <v>670178.1115</v>
      </c>
      <c r="T176" s="111">
        <v>2531273.7094000001</v>
      </c>
    </row>
    <row r="177" spans="1:20" ht="101.25" customHeight="1" x14ac:dyDescent="0.25">
      <c r="A177" s="49">
        <v>311</v>
      </c>
      <c r="B177" s="52">
        <v>41</v>
      </c>
      <c r="C177" s="52">
        <v>920</v>
      </c>
      <c r="D177" s="53">
        <v>70499</v>
      </c>
      <c r="E177" s="48" t="s">
        <v>178</v>
      </c>
      <c r="F177" s="62" t="s">
        <v>327</v>
      </c>
      <c r="G177" s="225" t="s">
        <v>329</v>
      </c>
      <c r="H177" s="68">
        <v>0</v>
      </c>
      <c r="I177" s="68">
        <v>0</v>
      </c>
      <c r="J177" s="68">
        <v>0</v>
      </c>
      <c r="K177" s="68">
        <v>19448</v>
      </c>
      <c r="L177" s="68">
        <v>0</v>
      </c>
      <c r="M177" s="68">
        <v>84477.8</v>
      </c>
      <c r="N177" s="68">
        <v>0</v>
      </c>
      <c r="O177" s="68">
        <v>169334</v>
      </c>
      <c r="P177" s="68">
        <v>0</v>
      </c>
      <c r="Q177" s="68">
        <v>340560</v>
      </c>
      <c r="R177" s="68">
        <v>0</v>
      </c>
      <c r="S177" s="68">
        <v>214032.5</v>
      </c>
      <c r="T177" s="111">
        <v>827852.3</v>
      </c>
    </row>
    <row r="178" spans="1:20" ht="101.25" customHeight="1" x14ac:dyDescent="0.25">
      <c r="A178" s="49">
        <v>311</v>
      </c>
      <c r="B178" s="52">
        <v>41</v>
      </c>
      <c r="C178" s="52">
        <v>930</v>
      </c>
      <c r="D178" s="53">
        <v>70499</v>
      </c>
      <c r="E178" s="48" t="s">
        <v>176</v>
      </c>
      <c r="F178" s="62" t="s">
        <v>328</v>
      </c>
      <c r="G178" s="227"/>
      <c r="H178" s="68">
        <v>0</v>
      </c>
      <c r="I178" s="68">
        <v>0</v>
      </c>
      <c r="J178" s="68">
        <v>0</v>
      </c>
      <c r="K178" s="68">
        <v>78587.600000000006</v>
      </c>
      <c r="L178" s="68">
        <v>0</v>
      </c>
      <c r="M178" s="68">
        <v>149604.28999999998</v>
      </c>
      <c r="N178" s="68">
        <v>0</v>
      </c>
      <c r="O178" s="68">
        <v>299878.7</v>
      </c>
      <c r="P178" s="68">
        <v>0</v>
      </c>
      <c r="Q178" s="68">
        <v>603108</v>
      </c>
      <c r="R178" s="68">
        <v>0</v>
      </c>
      <c r="S178" s="68">
        <v>379036.625</v>
      </c>
      <c r="T178" s="111">
        <v>1510215.2149999999</v>
      </c>
    </row>
    <row r="179" spans="1:20" ht="101.25" customHeight="1" x14ac:dyDescent="0.25">
      <c r="A179" s="49">
        <v>311</v>
      </c>
      <c r="B179" s="52">
        <v>41</v>
      </c>
      <c r="C179" s="52">
        <v>910</v>
      </c>
      <c r="D179" s="53">
        <v>70499</v>
      </c>
      <c r="E179" s="48" t="s">
        <v>173</v>
      </c>
      <c r="F179" s="62" t="s">
        <v>339</v>
      </c>
      <c r="G179" s="225" t="s">
        <v>300</v>
      </c>
      <c r="H179" s="68">
        <v>0</v>
      </c>
      <c r="I179" s="68">
        <v>0</v>
      </c>
      <c r="J179" s="68">
        <v>8840</v>
      </c>
      <c r="K179" s="68">
        <v>0</v>
      </c>
      <c r="L179" s="68">
        <v>0</v>
      </c>
      <c r="M179" s="68">
        <v>0</v>
      </c>
      <c r="N179" s="68">
        <v>0</v>
      </c>
      <c r="O179" s="68">
        <v>0</v>
      </c>
      <c r="P179" s="68">
        <v>0</v>
      </c>
      <c r="Q179" s="68">
        <v>0</v>
      </c>
      <c r="R179" s="68">
        <v>0</v>
      </c>
      <c r="S179" s="68">
        <v>0</v>
      </c>
      <c r="T179" s="111">
        <v>0</v>
      </c>
    </row>
    <row r="180" spans="1:20" ht="101.25" customHeight="1" x14ac:dyDescent="0.25">
      <c r="A180" s="49">
        <v>311</v>
      </c>
      <c r="B180" s="52">
        <v>41</v>
      </c>
      <c r="C180" s="52">
        <v>920</v>
      </c>
      <c r="D180" s="53">
        <v>70499</v>
      </c>
      <c r="E180" s="48" t="s">
        <v>173</v>
      </c>
      <c r="F180" s="62" t="s">
        <v>340</v>
      </c>
      <c r="G180" s="226"/>
      <c r="H180" s="68">
        <v>0</v>
      </c>
      <c r="I180" s="68">
        <v>0</v>
      </c>
      <c r="J180" s="68">
        <v>0</v>
      </c>
      <c r="K180" s="68">
        <v>44200</v>
      </c>
      <c r="L180" s="68">
        <v>0</v>
      </c>
      <c r="M180" s="68">
        <v>0</v>
      </c>
      <c r="N180" s="68">
        <v>0</v>
      </c>
      <c r="O180" s="68">
        <v>0</v>
      </c>
      <c r="P180" s="68">
        <v>0</v>
      </c>
      <c r="Q180" s="68">
        <v>0</v>
      </c>
      <c r="R180" s="68">
        <v>0</v>
      </c>
      <c r="S180" s="68">
        <v>0</v>
      </c>
      <c r="T180" s="111">
        <v>44200</v>
      </c>
    </row>
    <row r="181" spans="1:20" ht="101.25" customHeight="1" x14ac:dyDescent="0.25">
      <c r="A181" s="49">
        <v>311</v>
      </c>
      <c r="B181" s="52">
        <v>41</v>
      </c>
      <c r="C181" s="52">
        <v>930</v>
      </c>
      <c r="D181" s="53">
        <v>70499</v>
      </c>
      <c r="E181" s="48" t="s">
        <v>173</v>
      </c>
      <c r="F181" s="62" t="s">
        <v>341</v>
      </c>
      <c r="G181" s="227"/>
      <c r="H181" s="68">
        <v>0</v>
      </c>
      <c r="I181" s="68">
        <v>0</v>
      </c>
      <c r="J181" s="68">
        <v>0</v>
      </c>
      <c r="K181" s="68">
        <v>44200</v>
      </c>
      <c r="L181" s="68">
        <v>0</v>
      </c>
      <c r="M181" s="68">
        <v>0</v>
      </c>
      <c r="N181" s="68">
        <v>0</v>
      </c>
      <c r="O181" s="68">
        <v>0</v>
      </c>
      <c r="P181" s="68">
        <v>0</v>
      </c>
      <c r="Q181" s="68">
        <v>0</v>
      </c>
      <c r="R181" s="68">
        <v>0</v>
      </c>
      <c r="S181" s="68">
        <v>0</v>
      </c>
      <c r="T181" s="111">
        <v>44200</v>
      </c>
    </row>
    <row r="182" spans="1:20" ht="68.25" customHeight="1" x14ac:dyDescent="0.25">
      <c r="A182" s="4">
        <v>311</v>
      </c>
      <c r="B182" s="52">
        <v>41</v>
      </c>
      <c r="C182" s="52">
        <v>920</v>
      </c>
      <c r="D182" s="7">
        <v>70499</v>
      </c>
      <c r="E182" s="20" t="s">
        <v>170</v>
      </c>
      <c r="F182" s="38" t="s">
        <v>78</v>
      </c>
      <c r="G182" s="38"/>
      <c r="H182" s="68">
        <v>0</v>
      </c>
      <c r="I182" s="68">
        <v>169918</v>
      </c>
      <c r="J182" s="68">
        <v>0</v>
      </c>
      <c r="K182" s="68">
        <v>0</v>
      </c>
      <c r="L182" s="68">
        <v>0</v>
      </c>
      <c r="M182" s="68">
        <v>0</v>
      </c>
      <c r="N182" s="68">
        <v>0</v>
      </c>
      <c r="O182" s="68">
        <v>0</v>
      </c>
      <c r="P182" s="68">
        <v>0</v>
      </c>
      <c r="Q182" s="68">
        <v>0</v>
      </c>
      <c r="R182" s="68">
        <v>0</v>
      </c>
      <c r="S182" s="68">
        <v>0</v>
      </c>
      <c r="T182" s="111">
        <v>169918</v>
      </c>
    </row>
    <row r="183" spans="1:20" ht="78" customHeight="1" x14ac:dyDescent="0.25">
      <c r="A183" s="4">
        <v>321</v>
      </c>
      <c r="B183" s="52">
        <v>41</v>
      </c>
      <c r="C183" s="52">
        <v>930</v>
      </c>
      <c r="D183" s="7">
        <v>70499</v>
      </c>
      <c r="E183" s="20" t="s">
        <v>176</v>
      </c>
      <c r="F183" s="38" t="s">
        <v>79</v>
      </c>
      <c r="G183" s="38"/>
      <c r="H183" s="68">
        <v>0</v>
      </c>
      <c r="I183" s="68">
        <v>77676.799999999988</v>
      </c>
      <c r="J183" s="68">
        <v>0</v>
      </c>
      <c r="K183" s="68">
        <v>0</v>
      </c>
      <c r="L183" s="68">
        <v>0</v>
      </c>
      <c r="M183" s="68">
        <v>0</v>
      </c>
      <c r="N183" s="68">
        <v>0</v>
      </c>
      <c r="O183" s="68">
        <v>0</v>
      </c>
      <c r="P183" s="68">
        <v>0</v>
      </c>
      <c r="Q183" s="68">
        <v>0</v>
      </c>
      <c r="R183" s="68">
        <v>0</v>
      </c>
      <c r="S183" s="68">
        <v>0</v>
      </c>
      <c r="T183" s="111">
        <v>77676.799999999988</v>
      </c>
    </row>
    <row r="184" spans="1:20" ht="55.5" customHeight="1" x14ac:dyDescent="0.25">
      <c r="A184" s="4">
        <v>311</v>
      </c>
      <c r="B184" s="52">
        <v>41</v>
      </c>
      <c r="C184" s="52">
        <v>920</v>
      </c>
      <c r="D184" s="7">
        <v>70499</v>
      </c>
      <c r="E184" s="20" t="s">
        <v>178</v>
      </c>
      <c r="F184" s="86" t="s">
        <v>80</v>
      </c>
      <c r="G184" s="225" t="s">
        <v>361</v>
      </c>
      <c r="H184" s="68">
        <v>0</v>
      </c>
      <c r="I184" s="68">
        <v>48034.1</v>
      </c>
      <c r="J184" s="68">
        <v>0</v>
      </c>
      <c r="K184" s="68">
        <v>69977.399999999994</v>
      </c>
      <c r="L184" s="68">
        <v>0</v>
      </c>
      <c r="M184" s="68">
        <v>0</v>
      </c>
      <c r="N184" s="68">
        <v>0</v>
      </c>
      <c r="O184" s="68">
        <v>0</v>
      </c>
      <c r="P184" s="68">
        <v>0</v>
      </c>
      <c r="Q184" s="68">
        <v>0</v>
      </c>
      <c r="R184" s="68">
        <v>0</v>
      </c>
      <c r="S184" s="68">
        <v>0</v>
      </c>
      <c r="T184" s="111">
        <v>118011.56400000001</v>
      </c>
    </row>
    <row r="185" spans="1:20" ht="55.5" customHeight="1" x14ac:dyDescent="0.25">
      <c r="A185" s="4">
        <v>321</v>
      </c>
      <c r="B185" s="52">
        <v>41</v>
      </c>
      <c r="C185" s="52">
        <v>930</v>
      </c>
      <c r="D185" s="7">
        <v>70499</v>
      </c>
      <c r="E185" s="20" t="s">
        <v>171</v>
      </c>
      <c r="F185" s="86" t="s">
        <v>81</v>
      </c>
      <c r="G185" s="226"/>
      <c r="H185" s="68">
        <v>0</v>
      </c>
      <c r="I185" s="68">
        <v>0</v>
      </c>
      <c r="J185" s="68">
        <v>0</v>
      </c>
      <c r="K185" s="68">
        <v>0</v>
      </c>
      <c r="L185" s="68">
        <v>0</v>
      </c>
      <c r="M185" s="68">
        <v>0</v>
      </c>
      <c r="N185" s="68">
        <v>0</v>
      </c>
      <c r="O185" s="68">
        <v>0</v>
      </c>
      <c r="P185" s="68">
        <v>0</v>
      </c>
      <c r="Q185" s="68">
        <v>0</v>
      </c>
      <c r="R185" s="68">
        <v>0</v>
      </c>
      <c r="S185" s="68">
        <v>0</v>
      </c>
      <c r="T185" s="111">
        <v>0</v>
      </c>
    </row>
    <row r="186" spans="1:20" ht="48.75" customHeight="1" x14ac:dyDescent="0.25">
      <c r="A186" s="4">
        <v>321</v>
      </c>
      <c r="B186" s="52">
        <v>41</v>
      </c>
      <c r="C186" s="52">
        <v>930</v>
      </c>
      <c r="D186" s="7">
        <v>70499</v>
      </c>
      <c r="E186" s="20" t="s">
        <v>176</v>
      </c>
      <c r="F186" s="86" t="s">
        <v>220</v>
      </c>
      <c r="G186" s="227"/>
      <c r="H186" s="68">
        <v>0</v>
      </c>
      <c r="I186" s="68">
        <v>59979.7</v>
      </c>
      <c r="J186" s="68">
        <v>0</v>
      </c>
      <c r="K186" s="68">
        <v>39355.679999999993</v>
      </c>
      <c r="L186" s="68">
        <v>0</v>
      </c>
      <c r="M186" s="68">
        <v>0</v>
      </c>
      <c r="N186" s="68">
        <v>0</v>
      </c>
      <c r="O186" s="68">
        <v>0</v>
      </c>
      <c r="P186" s="68">
        <v>0</v>
      </c>
      <c r="Q186" s="68">
        <v>0</v>
      </c>
      <c r="R186" s="68">
        <v>0</v>
      </c>
      <c r="S186" s="68">
        <v>0</v>
      </c>
      <c r="T186" s="111">
        <v>99335.359999999986</v>
      </c>
    </row>
    <row r="187" spans="1:20" ht="51" customHeight="1" x14ac:dyDescent="0.25">
      <c r="A187" s="4">
        <v>311</v>
      </c>
      <c r="B187" s="52">
        <v>41</v>
      </c>
      <c r="C187" s="52">
        <v>920</v>
      </c>
      <c r="D187" s="7">
        <v>70499</v>
      </c>
      <c r="E187" s="20" t="s">
        <v>178</v>
      </c>
      <c r="F187" s="86" t="s">
        <v>82</v>
      </c>
      <c r="G187" s="225" t="s">
        <v>362</v>
      </c>
      <c r="H187" s="68">
        <v>0</v>
      </c>
      <c r="I187" s="68">
        <v>18778</v>
      </c>
      <c r="J187" s="68">
        <v>0</v>
      </c>
      <c r="K187" s="68">
        <v>14462.240000000003</v>
      </c>
      <c r="L187" s="68">
        <v>0</v>
      </c>
      <c r="M187" s="68">
        <v>0</v>
      </c>
      <c r="N187" s="68">
        <v>0</v>
      </c>
      <c r="O187" s="68">
        <v>0</v>
      </c>
      <c r="P187" s="68">
        <v>0</v>
      </c>
      <c r="Q187" s="68">
        <v>0</v>
      </c>
      <c r="R187" s="68">
        <v>0</v>
      </c>
      <c r="S187" s="68">
        <v>0</v>
      </c>
      <c r="T187" s="111">
        <v>33240.240000000005</v>
      </c>
    </row>
    <row r="188" spans="1:20" ht="56.25" customHeight="1" x14ac:dyDescent="0.25">
      <c r="A188" s="4">
        <v>321</v>
      </c>
      <c r="B188" s="52">
        <v>41</v>
      </c>
      <c r="C188" s="52">
        <v>930</v>
      </c>
      <c r="D188" s="7">
        <v>70499</v>
      </c>
      <c r="E188" s="20" t="s">
        <v>176</v>
      </c>
      <c r="F188" s="86" t="s">
        <v>83</v>
      </c>
      <c r="G188" s="226"/>
      <c r="H188" s="68">
        <v>0</v>
      </c>
      <c r="I188" s="68">
        <v>14289.599999999999</v>
      </c>
      <c r="J188" s="68">
        <v>0</v>
      </c>
      <c r="K188" s="68">
        <v>162496.88</v>
      </c>
      <c r="L188" s="68">
        <v>0</v>
      </c>
      <c r="M188" s="68">
        <v>0</v>
      </c>
      <c r="N188" s="68">
        <v>0</v>
      </c>
      <c r="O188" s="68">
        <v>0</v>
      </c>
      <c r="P188" s="68">
        <v>0</v>
      </c>
      <c r="Q188" s="68">
        <v>0</v>
      </c>
      <c r="R188" s="68">
        <v>0</v>
      </c>
      <c r="S188" s="68">
        <v>0</v>
      </c>
      <c r="T188" s="111">
        <v>176786.48</v>
      </c>
    </row>
    <row r="189" spans="1:20" ht="57.75" customHeight="1" x14ac:dyDescent="0.25">
      <c r="A189" s="4">
        <v>321</v>
      </c>
      <c r="B189" s="52">
        <v>41</v>
      </c>
      <c r="C189" s="52">
        <v>930</v>
      </c>
      <c r="D189" s="7">
        <v>70499</v>
      </c>
      <c r="E189" s="20" t="s">
        <v>171</v>
      </c>
      <c r="F189" s="86" t="s">
        <v>84</v>
      </c>
      <c r="G189" s="227"/>
      <c r="H189" s="68">
        <v>0</v>
      </c>
      <c r="I189" s="68">
        <v>0</v>
      </c>
      <c r="J189" s="68">
        <v>0</v>
      </c>
      <c r="K189" s="68">
        <v>0</v>
      </c>
      <c r="L189" s="68">
        <v>0</v>
      </c>
      <c r="M189" s="68">
        <v>0</v>
      </c>
      <c r="N189" s="68">
        <v>0</v>
      </c>
      <c r="O189" s="68">
        <v>0</v>
      </c>
      <c r="P189" s="68">
        <v>0</v>
      </c>
      <c r="Q189" s="68">
        <v>0</v>
      </c>
      <c r="R189" s="68">
        <v>0</v>
      </c>
      <c r="S189" s="68">
        <v>0</v>
      </c>
      <c r="T189" s="111">
        <v>0</v>
      </c>
    </row>
    <row r="190" spans="1:20" ht="42.75" customHeight="1" x14ac:dyDescent="0.25">
      <c r="A190" s="4">
        <v>311</v>
      </c>
      <c r="B190" s="52">
        <v>41</v>
      </c>
      <c r="C190" s="52">
        <v>920</v>
      </c>
      <c r="D190" s="7">
        <v>70499</v>
      </c>
      <c r="E190" s="20" t="s">
        <v>178</v>
      </c>
      <c r="F190" s="86" t="s">
        <v>85</v>
      </c>
      <c r="G190" s="225" t="s">
        <v>363</v>
      </c>
      <c r="H190" s="68">
        <v>0</v>
      </c>
      <c r="I190" s="68">
        <v>137400</v>
      </c>
      <c r="J190" s="68">
        <v>0</v>
      </c>
      <c r="K190" s="68">
        <v>0</v>
      </c>
      <c r="L190" s="68">
        <v>0</v>
      </c>
      <c r="M190" s="68">
        <v>0</v>
      </c>
      <c r="N190" s="68">
        <v>0</v>
      </c>
      <c r="O190" s="68">
        <v>0</v>
      </c>
      <c r="P190" s="68">
        <v>0</v>
      </c>
      <c r="Q190" s="68">
        <v>0</v>
      </c>
      <c r="R190" s="68">
        <v>0</v>
      </c>
      <c r="S190" s="68">
        <v>0</v>
      </c>
      <c r="T190" s="111">
        <v>137400</v>
      </c>
    </row>
    <row r="191" spans="1:20" ht="66" customHeight="1" x14ac:dyDescent="0.25">
      <c r="A191" s="4">
        <v>321</v>
      </c>
      <c r="B191" s="52">
        <v>41</v>
      </c>
      <c r="C191" s="52">
        <v>930</v>
      </c>
      <c r="D191" s="7">
        <v>70499</v>
      </c>
      <c r="E191" s="20" t="s">
        <v>176</v>
      </c>
      <c r="F191" s="86" t="s">
        <v>86</v>
      </c>
      <c r="G191" s="226"/>
      <c r="H191" s="68">
        <v>0</v>
      </c>
      <c r="I191" s="68">
        <v>64119.999999999993</v>
      </c>
      <c r="J191" s="68">
        <v>0</v>
      </c>
      <c r="K191" s="68">
        <v>0</v>
      </c>
      <c r="L191" s="68">
        <v>0</v>
      </c>
      <c r="M191" s="68">
        <v>0</v>
      </c>
      <c r="N191" s="68">
        <v>0</v>
      </c>
      <c r="O191" s="68">
        <v>0</v>
      </c>
      <c r="P191" s="68">
        <v>0</v>
      </c>
      <c r="Q191" s="68">
        <v>0</v>
      </c>
      <c r="R191" s="68">
        <v>0</v>
      </c>
      <c r="S191" s="68">
        <v>0</v>
      </c>
      <c r="T191" s="111">
        <v>64119.999999999993</v>
      </c>
    </row>
    <row r="192" spans="1:20" ht="65.25" customHeight="1" x14ac:dyDescent="0.25">
      <c r="A192" s="4">
        <v>321</v>
      </c>
      <c r="B192" s="52">
        <v>41</v>
      </c>
      <c r="C192" s="52">
        <v>930</v>
      </c>
      <c r="D192" s="7">
        <v>70499</v>
      </c>
      <c r="E192" s="20" t="s">
        <v>171</v>
      </c>
      <c r="F192" s="86" t="s">
        <v>219</v>
      </c>
      <c r="G192" s="227"/>
      <c r="H192" s="68">
        <v>0</v>
      </c>
      <c r="I192" s="68">
        <v>0</v>
      </c>
      <c r="J192" s="68">
        <v>0</v>
      </c>
      <c r="K192" s="68">
        <v>0</v>
      </c>
      <c r="L192" s="68">
        <v>0</v>
      </c>
      <c r="M192" s="68">
        <v>0</v>
      </c>
      <c r="N192" s="68">
        <v>0</v>
      </c>
      <c r="O192" s="68">
        <v>0</v>
      </c>
      <c r="P192" s="68">
        <v>0</v>
      </c>
      <c r="Q192" s="68">
        <v>0</v>
      </c>
      <c r="R192" s="68">
        <v>0</v>
      </c>
      <c r="S192" s="68">
        <v>0</v>
      </c>
      <c r="T192" s="111">
        <v>0</v>
      </c>
    </row>
    <row r="193" spans="1:20" ht="59.25" customHeight="1" x14ac:dyDescent="0.25">
      <c r="A193" s="4">
        <v>311</v>
      </c>
      <c r="B193" s="52">
        <v>41</v>
      </c>
      <c r="C193" s="52">
        <v>920</v>
      </c>
      <c r="D193" s="7">
        <v>70499</v>
      </c>
      <c r="E193" s="20" t="s">
        <v>178</v>
      </c>
      <c r="F193" s="86" t="s">
        <v>87</v>
      </c>
      <c r="G193" s="225" t="s">
        <v>372</v>
      </c>
      <c r="H193" s="68">
        <v>0</v>
      </c>
      <c r="I193" s="68">
        <v>93121.475999999995</v>
      </c>
      <c r="J193" s="68">
        <v>0</v>
      </c>
      <c r="K193" s="68">
        <v>85898.280000000013</v>
      </c>
      <c r="L193" s="68">
        <v>0</v>
      </c>
      <c r="M193" s="68">
        <v>0</v>
      </c>
      <c r="N193" s="68">
        <v>0</v>
      </c>
      <c r="O193" s="68">
        <v>0</v>
      </c>
      <c r="P193" s="68">
        <v>0</v>
      </c>
      <c r="Q193" s="68">
        <v>0</v>
      </c>
      <c r="R193" s="68">
        <v>0</v>
      </c>
      <c r="S193" s="68">
        <v>0</v>
      </c>
      <c r="T193" s="111">
        <v>179019.75599999999</v>
      </c>
    </row>
    <row r="194" spans="1:20" ht="62.25" customHeight="1" x14ac:dyDescent="0.25">
      <c r="A194" s="4">
        <v>321</v>
      </c>
      <c r="B194" s="52">
        <v>41</v>
      </c>
      <c r="C194" s="52">
        <v>930</v>
      </c>
      <c r="D194" s="7">
        <v>70499</v>
      </c>
      <c r="E194" s="20" t="s">
        <v>176</v>
      </c>
      <c r="F194" s="86" t="s">
        <v>88</v>
      </c>
      <c r="G194" s="227"/>
      <c r="H194" s="68">
        <v>0</v>
      </c>
      <c r="I194" s="68">
        <v>58944.6</v>
      </c>
      <c r="J194" s="68">
        <v>0</v>
      </c>
      <c r="K194" s="68">
        <v>136940.44</v>
      </c>
      <c r="L194" s="68">
        <v>0</v>
      </c>
      <c r="M194" s="68">
        <v>0</v>
      </c>
      <c r="N194" s="68">
        <v>0</v>
      </c>
      <c r="O194" s="68">
        <v>0</v>
      </c>
      <c r="P194" s="68">
        <v>0</v>
      </c>
      <c r="Q194" s="68">
        <v>0</v>
      </c>
      <c r="R194" s="68">
        <v>0</v>
      </c>
      <c r="S194" s="68">
        <v>0</v>
      </c>
      <c r="T194" s="111">
        <v>195885.04</v>
      </c>
    </row>
    <row r="195" spans="1:20" ht="67.5" customHeight="1" x14ac:dyDescent="0.25">
      <c r="A195" s="4">
        <v>311</v>
      </c>
      <c r="B195" s="52">
        <v>41</v>
      </c>
      <c r="C195" s="52">
        <v>920</v>
      </c>
      <c r="D195" s="7">
        <v>70499</v>
      </c>
      <c r="E195" s="20" t="s">
        <v>178</v>
      </c>
      <c r="F195" s="86" t="s">
        <v>89</v>
      </c>
      <c r="G195" s="225" t="s">
        <v>365</v>
      </c>
      <c r="H195" s="68">
        <v>0</v>
      </c>
      <c r="I195" s="68">
        <v>0</v>
      </c>
      <c r="J195" s="68">
        <v>0</v>
      </c>
      <c r="K195" s="68">
        <v>106928.19888400001</v>
      </c>
      <c r="L195" s="68">
        <v>0</v>
      </c>
      <c r="M195" s="68">
        <v>0</v>
      </c>
      <c r="N195" s="68">
        <v>0</v>
      </c>
      <c r="O195" s="68">
        <v>0</v>
      </c>
      <c r="P195" s="68">
        <v>0</v>
      </c>
      <c r="Q195" s="68">
        <v>0</v>
      </c>
      <c r="R195" s="68">
        <v>0</v>
      </c>
      <c r="S195" s="68">
        <v>0</v>
      </c>
      <c r="T195" s="111">
        <v>106928.19888400001</v>
      </c>
    </row>
    <row r="196" spans="1:20" ht="63" customHeight="1" x14ac:dyDescent="0.25">
      <c r="A196" s="4">
        <v>321</v>
      </c>
      <c r="B196" s="52">
        <v>41</v>
      </c>
      <c r="C196" s="52">
        <v>930</v>
      </c>
      <c r="D196" s="7">
        <v>70499</v>
      </c>
      <c r="E196" s="20" t="s">
        <v>176</v>
      </c>
      <c r="F196" s="86" t="s">
        <v>90</v>
      </c>
      <c r="G196" s="227"/>
      <c r="H196" s="68">
        <v>0</v>
      </c>
      <c r="I196" s="68">
        <v>0</v>
      </c>
      <c r="J196" s="68">
        <v>0</v>
      </c>
      <c r="K196" s="68">
        <v>28685.800000000003</v>
      </c>
      <c r="L196" s="68">
        <v>0</v>
      </c>
      <c r="M196" s="68">
        <v>0</v>
      </c>
      <c r="N196" s="68">
        <v>0</v>
      </c>
      <c r="O196" s="68">
        <v>0</v>
      </c>
      <c r="P196" s="68">
        <v>0</v>
      </c>
      <c r="Q196" s="68">
        <v>0</v>
      </c>
      <c r="R196" s="68">
        <v>0</v>
      </c>
      <c r="S196" s="68">
        <v>0</v>
      </c>
      <c r="T196" s="111">
        <v>28685.800000000003</v>
      </c>
    </row>
    <row r="197" spans="1:20" ht="64.5" customHeight="1" x14ac:dyDescent="0.25">
      <c r="A197" s="4">
        <v>311</v>
      </c>
      <c r="B197" s="52">
        <v>41</v>
      </c>
      <c r="C197" s="52">
        <v>920</v>
      </c>
      <c r="D197" s="7">
        <v>70499</v>
      </c>
      <c r="E197" s="20" t="s">
        <v>170</v>
      </c>
      <c r="F197" s="86" t="s">
        <v>91</v>
      </c>
      <c r="G197" s="225" t="s">
        <v>371</v>
      </c>
      <c r="H197" s="68">
        <v>0</v>
      </c>
      <c r="I197" s="68">
        <v>151140</v>
      </c>
      <c r="J197" s="68">
        <v>0</v>
      </c>
      <c r="K197" s="68">
        <v>103392.64</v>
      </c>
      <c r="L197" s="68">
        <v>0</v>
      </c>
      <c r="M197" s="68">
        <v>11609</v>
      </c>
      <c r="N197" s="68">
        <v>0</v>
      </c>
      <c r="O197" s="68">
        <v>0</v>
      </c>
      <c r="P197" s="68">
        <v>0</v>
      </c>
      <c r="Q197" s="68">
        <v>0</v>
      </c>
      <c r="R197" s="68">
        <v>0</v>
      </c>
      <c r="S197" s="68">
        <v>0</v>
      </c>
      <c r="T197" s="111">
        <v>266141.64</v>
      </c>
    </row>
    <row r="198" spans="1:20" ht="70.5" customHeight="1" x14ac:dyDescent="0.25">
      <c r="A198" s="4">
        <v>321</v>
      </c>
      <c r="B198" s="52">
        <v>41</v>
      </c>
      <c r="C198" s="52">
        <v>930</v>
      </c>
      <c r="D198" s="7">
        <v>70499</v>
      </c>
      <c r="E198" s="20" t="s">
        <v>176</v>
      </c>
      <c r="F198" s="86" t="s">
        <v>92</v>
      </c>
      <c r="G198" s="227"/>
      <c r="H198" s="68">
        <v>0</v>
      </c>
      <c r="I198" s="68">
        <v>302280</v>
      </c>
      <c r="J198" s="68">
        <v>0</v>
      </c>
      <c r="K198" s="68">
        <v>41097.160000000003</v>
      </c>
      <c r="L198" s="68">
        <v>0</v>
      </c>
      <c r="M198" s="68">
        <v>4616.8100000000004</v>
      </c>
      <c r="N198" s="68">
        <v>0</v>
      </c>
      <c r="O198" s="68">
        <v>0</v>
      </c>
      <c r="P198" s="68">
        <v>0</v>
      </c>
      <c r="Q198" s="68">
        <v>0</v>
      </c>
      <c r="R198" s="68">
        <v>0</v>
      </c>
      <c r="S198" s="68">
        <v>0</v>
      </c>
      <c r="T198" s="111">
        <v>347993.97000000003</v>
      </c>
    </row>
    <row r="199" spans="1:20" ht="56.25" customHeight="1" x14ac:dyDescent="0.25">
      <c r="A199" s="4">
        <v>311</v>
      </c>
      <c r="B199" s="52">
        <v>41</v>
      </c>
      <c r="C199" s="52">
        <v>920</v>
      </c>
      <c r="D199" s="7">
        <v>70499</v>
      </c>
      <c r="E199" s="20" t="s">
        <v>176</v>
      </c>
      <c r="F199" s="86" t="s">
        <v>93</v>
      </c>
      <c r="G199" s="38"/>
      <c r="H199" s="68">
        <v>0</v>
      </c>
      <c r="I199" s="68">
        <v>82440</v>
      </c>
      <c r="J199" s="68">
        <v>0</v>
      </c>
      <c r="K199" s="68">
        <v>203495.26891200003</v>
      </c>
      <c r="L199" s="68">
        <v>0</v>
      </c>
      <c r="M199" s="68">
        <v>0</v>
      </c>
      <c r="N199" s="68">
        <v>0</v>
      </c>
      <c r="O199" s="68">
        <v>0</v>
      </c>
      <c r="P199" s="68">
        <v>0</v>
      </c>
      <c r="Q199" s="68">
        <v>0</v>
      </c>
      <c r="R199" s="68">
        <v>0</v>
      </c>
      <c r="S199" s="68">
        <v>0</v>
      </c>
      <c r="T199" s="111">
        <v>285935.268912</v>
      </c>
    </row>
    <row r="200" spans="1:20" ht="56.25" customHeight="1" x14ac:dyDescent="0.25">
      <c r="A200" s="4">
        <v>321</v>
      </c>
      <c r="B200" s="52">
        <v>41</v>
      </c>
      <c r="C200" s="52">
        <v>930</v>
      </c>
      <c r="D200" s="7">
        <v>70499</v>
      </c>
      <c r="E200" s="20" t="s">
        <v>176</v>
      </c>
      <c r="F200" s="86" t="s">
        <v>94</v>
      </c>
      <c r="G200" s="38"/>
      <c r="H200" s="68">
        <v>0</v>
      </c>
      <c r="I200" s="68">
        <v>82440</v>
      </c>
      <c r="J200" s="68">
        <v>0</v>
      </c>
      <c r="K200" s="68">
        <v>223779.22174400001</v>
      </c>
      <c r="L200" s="68">
        <v>0</v>
      </c>
      <c r="M200" s="68">
        <v>0</v>
      </c>
      <c r="N200" s="68">
        <v>0</v>
      </c>
      <c r="O200" s="68">
        <v>0</v>
      </c>
      <c r="P200" s="68">
        <v>0</v>
      </c>
      <c r="Q200" s="68">
        <v>0</v>
      </c>
      <c r="R200" s="68">
        <v>0</v>
      </c>
      <c r="S200" s="68">
        <v>0</v>
      </c>
      <c r="T200" s="111">
        <v>306219.22174399998</v>
      </c>
    </row>
    <row r="201" spans="1:20" ht="56.25" customHeight="1" x14ac:dyDescent="0.25">
      <c r="A201" s="4">
        <v>311</v>
      </c>
      <c r="B201" s="52">
        <v>41</v>
      </c>
      <c r="C201" s="52">
        <v>920</v>
      </c>
      <c r="D201" s="7">
        <v>70499</v>
      </c>
      <c r="E201" s="20" t="s">
        <v>178</v>
      </c>
      <c r="F201" s="86" t="s">
        <v>95</v>
      </c>
      <c r="G201" s="38"/>
      <c r="H201" s="68">
        <v>0</v>
      </c>
      <c r="I201" s="68">
        <v>54914.2</v>
      </c>
      <c r="J201" s="68">
        <v>0</v>
      </c>
      <c r="K201" s="68">
        <v>115441.56000000001</v>
      </c>
      <c r="L201" s="68">
        <v>0</v>
      </c>
      <c r="M201" s="68">
        <v>0</v>
      </c>
      <c r="N201" s="68">
        <v>0</v>
      </c>
      <c r="O201" s="68">
        <v>0</v>
      </c>
      <c r="P201" s="68">
        <v>0</v>
      </c>
      <c r="Q201" s="68">
        <v>0</v>
      </c>
      <c r="R201" s="68">
        <v>0</v>
      </c>
      <c r="S201" s="68">
        <v>0</v>
      </c>
      <c r="T201" s="111">
        <v>170355.76</v>
      </c>
    </row>
    <row r="202" spans="1:20" ht="56.25" customHeight="1" x14ac:dyDescent="0.25">
      <c r="A202" s="4">
        <v>321</v>
      </c>
      <c r="B202" s="52">
        <v>41</v>
      </c>
      <c r="C202" s="52">
        <v>930</v>
      </c>
      <c r="D202" s="7">
        <v>70499</v>
      </c>
      <c r="E202" s="20" t="s">
        <v>176</v>
      </c>
      <c r="F202" s="86" t="s">
        <v>96</v>
      </c>
      <c r="G202" s="38"/>
      <c r="H202" s="68">
        <v>0</v>
      </c>
      <c r="I202" s="68">
        <v>54914.2</v>
      </c>
      <c r="J202" s="68">
        <v>0</v>
      </c>
      <c r="K202" s="68">
        <v>16822.52</v>
      </c>
      <c r="L202" s="68">
        <v>0</v>
      </c>
      <c r="M202" s="68">
        <v>0</v>
      </c>
      <c r="N202" s="68">
        <v>0</v>
      </c>
      <c r="O202" s="68">
        <v>0</v>
      </c>
      <c r="P202" s="68">
        <v>0</v>
      </c>
      <c r="Q202" s="68">
        <v>0</v>
      </c>
      <c r="R202" s="68">
        <v>0</v>
      </c>
      <c r="S202" s="68">
        <v>0</v>
      </c>
      <c r="T202" s="111">
        <v>71736.72</v>
      </c>
    </row>
    <row r="203" spans="1:20" ht="60.75" customHeight="1" x14ac:dyDescent="0.25">
      <c r="A203" s="4">
        <v>311</v>
      </c>
      <c r="B203" s="52">
        <v>41</v>
      </c>
      <c r="C203" s="52">
        <v>920</v>
      </c>
      <c r="D203" s="7">
        <v>70499</v>
      </c>
      <c r="E203" s="20" t="s">
        <v>178</v>
      </c>
      <c r="F203" s="86" t="s">
        <v>216</v>
      </c>
      <c r="G203" s="233" t="s">
        <v>370</v>
      </c>
      <c r="H203" s="68">
        <v>0</v>
      </c>
      <c r="I203" s="68">
        <v>111561.47199999999</v>
      </c>
      <c r="J203" s="68">
        <v>0</v>
      </c>
      <c r="K203" s="68">
        <v>42664.019944</v>
      </c>
      <c r="L203" s="68">
        <v>0</v>
      </c>
      <c r="M203" s="68">
        <v>18470.735202</v>
      </c>
      <c r="N203" s="68">
        <v>0</v>
      </c>
      <c r="O203" s="68">
        <v>0</v>
      </c>
      <c r="P203" s="68">
        <v>0</v>
      </c>
      <c r="Q203" s="68">
        <v>0</v>
      </c>
      <c r="R203" s="68">
        <v>0</v>
      </c>
      <c r="S203" s="68">
        <v>0</v>
      </c>
      <c r="T203" s="111">
        <v>172696.22714600002</v>
      </c>
    </row>
    <row r="204" spans="1:20" ht="55.5" customHeight="1" x14ac:dyDescent="0.25">
      <c r="A204" s="4">
        <v>321</v>
      </c>
      <c r="B204" s="52">
        <v>41</v>
      </c>
      <c r="C204" s="52">
        <v>930</v>
      </c>
      <c r="D204" s="7">
        <v>70499</v>
      </c>
      <c r="E204" s="20" t="s">
        <v>176</v>
      </c>
      <c r="F204" s="86" t="s">
        <v>210</v>
      </c>
      <c r="G204" s="234"/>
      <c r="H204" s="68">
        <v>0</v>
      </c>
      <c r="I204" s="68">
        <v>27890.367999999999</v>
      </c>
      <c r="J204" s="68">
        <v>0</v>
      </c>
      <c r="K204" s="68">
        <v>110166.66570000001</v>
      </c>
      <c r="L204" s="68">
        <v>0</v>
      </c>
      <c r="M204" s="68">
        <v>49051.663974999996</v>
      </c>
      <c r="N204" s="68">
        <v>0</v>
      </c>
      <c r="O204" s="68">
        <v>0</v>
      </c>
      <c r="P204" s="68">
        <v>0</v>
      </c>
      <c r="Q204" s="68">
        <v>0</v>
      </c>
      <c r="R204" s="68">
        <v>0</v>
      </c>
      <c r="S204" s="68">
        <v>0</v>
      </c>
      <c r="T204" s="111">
        <v>187108.697675</v>
      </c>
    </row>
    <row r="205" spans="1:20" ht="51" customHeight="1" x14ac:dyDescent="0.25">
      <c r="A205" s="4">
        <v>311</v>
      </c>
      <c r="B205" s="52">
        <v>41</v>
      </c>
      <c r="C205" s="52">
        <v>920</v>
      </c>
      <c r="D205" s="7">
        <v>70499</v>
      </c>
      <c r="E205" s="20" t="s">
        <v>178</v>
      </c>
      <c r="F205" s="86" t="s">
        <v>217</v>
      </c>
      <c r="G205" s="38"/>
      <c r="H205" s="68">
        <v>0</v>
      </c>
      <c r="I205" s="68">
        <v>77174.099199999997</v>
      </c>
      <c r="J205" s="68">
        <v>0</v>
      </c>
      <c r="K205" s="68">
        <v>94248.269960000005</v>
      </c>
      <c r="L205" s="68">
        <v>0</v>
      </c>
      <c r="M205" s="68">
        <v>0</v>
      </c>
      <c r="N205" s="68">
        <v>0</v>
      </c>
      <c r="O205" s="68">
        <v>0</v>
      </c>
      <c r="P205" s="68">
        <v>0</v>
      </c>
      <c r="Q205" s="68">
        <v>0</v>
      </c>
      <c r="R205" s="68">
        <v>0</v>
      </c>
      <c r="S205" s="68">
        <v>0</v>
      </c>
      <c r="T205" s="111">
        <v>171422.36916</v>
      </c>
    </row>
    <row r="206" spans="1:20" ht="62.25" customHeight="1" x14ac:dyDescent="0.25">
      <c r="A206" s="4">
        <v>321</v>
      </c>
      <c r="B206" s="52">
        <v>41</v>
      </c>
      <c r="C206" s="52">
        <v>930</v>
      </c>
      <c r="D206" s="7">
        <v>70499</v>
      </c>
      <c r="E206" s="20" t="s">
        <v>176</v>
      </c>
      <c r="F206" s="86" t="s">
        <v>211</v>
      </c>
      <c r="G206" s="38"/>
      <c r="H206" s="68">
        <v>0</v>
      </c>
      <c r="I206" s="68">
        <v>19293.524799999999</v>
      </c>
      <c r="J206" s="68">
        <v>0</v>
      </c>
      <c r="K206" s="68">
        <v>167020.30799999999</v>
      </c>
      <c r="L206" s="68">
        <v>0</v>
      </c>
      <c r="M206" s="68">
        <v>0</v>
      </c>
      <c r="N206" s="68">
        <v>0</v>
      </c>
      <c r="O206" s="68">
        <v>0</v>
      </c>
      <c r="P206" s="68">
        <v>0</v>
      </c>
      <c r="Q206" s="68">
        <v>0</v>
      </c>
      <c r="R206" s="68">
        <v>0</v>
      </c>
      <c r="S206" s="68">
        <v>0</v>
      </c>
      <c r="T206" s="111">
        <v>186313.83279999997</v>
      </c>
    </row>
    <row r="207" spans="1:20" ht="48" customHeight="1" x14ac:dyDescent="0.25">
      <c r="A207" s="4">
        <v>311</v>
      </c>
      <c r="B207" s="52">
        <v>41</v>
      </c>
      <c r="C207" s="52">
        <v>920</v>
      </c>
      <c r="D207" s="7">
        <v>70499</v>
      </c>
      <c r="E207" s="20" t="s">
        <v>178</v>
      </c>
      <c r="F207" s="86" t="s">
        <v>212</v>
      </c>
      <c r="G207" s="225" t="s">
        <v>369</v>
      </c>
      <c r="H207" s="68">
        <v>0</v>
      </c>
      <c r="I207" s="68">
        <v>84146.691200000001</v>
      </c>
      <c r="J207" s="68">
        <v>0</v>
      </c>
      <c r="K207" s="68">
        <v>84033.499680000008</v>
      </c>
      <c r="L207" s="68">
        <v>0</v>
      </c>
      <c r="M207" s="68">
        <v>0</v>
      </c>
      <c r="N207" s="68">
        <v>0</v>
      </c>
      <c r="O207" s="68">
        <v>0</v>
      </c>
      <c r="P207" s="68">
        <v>0</v>
      </c>
      <c r="Q207" s="68">
        <v>0</v>
      </c>
      <c r="R207" s="68">
        <v>0</v>
      </c>
      <c r="S207" s="68">
        <v>0</v>
      </c>
      <c r="T207" s="111">
        <v>168180.19088000001</v>
      </c>
    </row>
    <row r="208" spans="1:20" ht="56.25" customHeight="1" x14ac:dyDescent="0.25">
      <c r="A208" s="4">
        <v>321</v>
      </c>
      <c r="B208" s="52">
        <v>41</v>
      </c>
      <c r="C208" s="52">
        <v>930</v>
      </c>
      <c r="D208" s="7">
        <v>70499</v>
      </c>
      <c r="E208" s="20" t="s">
        <v>176</v>
      </c>
      <c r="F208" s="86" t="s">
        <v>213</v>
      </c>
      <c r="G208" s="227"/>
      <c r="H208" s="68">
        <v>0</v>
      </c>
      <c r="I208" s="68">
        <v>21036.672799999997</v>
      </c>
      <c r="J208" s="68">
        <v>0</v>
      </c>
      <c r="K208" s="68">
        <v>165338.05600000001</v>
      </c>
      <c r="L208" s="68">
        <v>0</v>
      </c>
      <c r="M208" s="68">
        <v>0</v>
      </c>
      <c r="N208" s="68">
        <v>0</v>
      </c>
      <c r="O208" s="68">
        <v>0</v>
      </c>
      <c r="P208" s="68">
        <v>0</v>
      </c>
      <c r="Q208" s="68">
        <v>0</v>
      </c>
      <c r="R208" s="68">
        <v>0</v>
      </c>
      <c r="S208" s="68">
        <v>0</v>
      </c>
      <c r="T208" s="111">
        <v>186374.72880000001</v>
      </c>
    </row>
    <row r="209" spans="1:20" ht="51" customHeight="1" x14ac:dyDescent="0.25">
      <c r="A209" s="4">
        <v>311</v>
      </c>
      <c r="B209" s="52">
        <v>41</v>
      </c>
      <c r="C209" s="52">
        <v>920</v>
      </c>
      <c r="D209" s="7">
        <v>70499</v>
      </c>
      <c r="E209" s="20" t="s">
        <v>178</v>
      </c>
      <c r="F209" s="86" t="s">
        <v>214</v>
      </c>
      <c r="G209" s="225" t="s">
        <v>368</v>
      </c>
      <c r="H209" s="68">
        <v>0</v>
      </c>
      <c r="I209" s="68">
        <v>69274.515200000009</v>
      </c>
      <c r="J209" s="68">
        <v>0</v>
      </c>
      <c r="K209" s="68">
        <v>98169.481800000009</v>
      </c>
      <c r="L209" s="68">
        <v>0</v>
      </c>
      <c r="M209" s="68">
        <v>0</v>
      </c>
      <c r="N209" s="68">
        <v>0</v>
      </c>
      <c r="O209" s="68">
        <v>0</v>
      </c>
      <c r="P209" s="68">
        <v>0</v>
      </c>
      <c r="Q209" s="68">
        <v>0</v>
      </c>
      <c r="R209" s="68">
        <v>0</v>
      </c>
      <c r="S209" s="68">
        <v>0</v>
      </c>
      <c r="T209" s="111">
        <v>167443.99700000003</v>
      </c>
    </row>
    <row r="210" spans="1:20" ht="63" customHeight="1" x14ac:dyDescent="0.25">
      <c r="A210" s="4">
        <v>321</v>
      </c>
      <c r="B210" s="52">
        <v>41</v>
      </c>
      <c r="C210" s="52">
        <v>930</v>
      </c>
      <c r="D210" s="7">
        <v>70499</v>
      </c>
      <c r="E210" s="20" t="s">
        <v>176</v>
      </c>
      <c r="F210" s="86" t="s">
        <v>215</v>
      </c>
      <c r="G210" s="227"/>
      <c r="H210" s="68">
        <v>0</v>
      </c>
      <c r="I210" s="68">
        <v>17318.628799999999</v>
      </c>
      <c r="J210" s="68">
        <v>0</v>
      </c>
      <c r="K210" s="68">
        <v>168926.21200000003</v>
      </c>
      <c r="L210" s="68">
        <v>0</v>
      </c>
      <c r="M210" s="68">
        <v>0</v>
      </c>
      <c r="N210" s="68">
        <v>0</v>
      </c>
      <c r="O210" s="68">
        <v>0</v>
      </c>
      <c r="P210" s="68">
        <v>0</v>
      </c>
      <c r="Q210" s="68">
        <v>0</v>
      </c>
      <c r="R210" s="68">
        <v>0</v>
      </c>
      <c r="S210" s="68">
        <v>0</v>
      </c>
      <c r="T210" s="111">
        <v>186244.84080000003</v>
      </c>
    </row>
    <row r="211" spans="1:20" ht="64.5" customHeight="1" x14ac:dyDescent="0.25">
      <c r="A211" s="4">
        <v>311</v>
      </c>
      <c r="B211" s="52">
        <v>41</v>
      </c>
      <c r="C211" s="52">
        <v>920</v>
      </c>
      <c r="D211" s="7">
        <v>70499</v>
      </c>
      <c r="E211" s="20" t="s">
        <v>176</v>
      </c>
      <c r="F211" s="86" t="s">
        <v>201</v>
      </c>
      <c r="G211" s="225" t="s">
        <v>367</v>
      </c>
      <c r="H211" s="68">
        <v>0</v>
      </c>
      <c r="I211" s="68">
        <v>0</v>
      </c>
      <c r="J211" s="68">
        <v>0</v>
      </c>
      <c r="K211" s="68">
        <v>195894.40000000002</v>
      </c>
      <c r="L211" s="68">
        <v>0</v>
      </c>
      <c r="M211" s="68">
        <v>0</v>
      </c>
      <c r="N211" s="68">
        <v>0</v>
      </c>
      <c r="O211" s="68">
        <v>0</v>
      </c>
      <c r="P211" s="68">
        <v>0</v>
      </c>
      <c r="Q211" s="68">
        <v>0</v>
      </c>
      <c r="R211" s="68">
        <v>0</v>
      </c>
      <c r="S211" s="68">
        <v>0</v>
      </c>
      <c r="T211" s="111">
        <v>195894.40000000002</v>
      </c>
    </row>
    <row r="212" spans="1:20" ht="54" customHeight="1" x14ac:dyDescent="0.25">
      <c r="A212" s="4">
        <v>321</v>
      </c>
      <c r="B212" s="52">
        <v>41</v>
      </c>
      <c r="C212" s="52">
        <v>930</v>
      </c>
      <c r="D212" s="7">
        <v>70499</v>
      </c>
      <c r="E212" s="20" t="s">
        <v>176</v>
      </c>
      <c r="F212" s="86" t="s">
        <v>200</v>
      </c>
      <c r="G212" s="227"/>
      <c r="H212" s="68">
        <v>0</v>
      </c>
      <c r="I212" s="68">
        <v>0</v>
      </c>
      <c r="J212" s="68">
        <v>0</v>
      </c>
      <c r="K212" s="68">
        <v>232050.00000000003</v>
      </c>
      <c r="L212" s="68">
        <v>0</v>
      </c>
      <c r="M212" s="68">
        <v>116715.09999999999</v>
      </c>
      <c r="N212" s="68">
        <v>0</v>
      </c>
      <c r="O212" s="68">
        <v>0</v>
      </c>
      <c r="P212" s="68">
        <v>0</v>
      </c>
      <c r="Q212" s="68">
        <v>0</v>
      </c>
      <c r="R212" s="68">
        <v>0</v>
      </c>
      <c r="S212" s="68">
        <v>0</v>
      </c>
      <c r="T212" s="111">
        <v>348765.10000000003</v>
      </c>
    </row>
    <row r="213" spans="1:20" ht="55.5" customHeight="1" x14ac:dyDescent="0.25">
      <c r="A213" s="4">
        <v>311</v>
      </c>
      <c r="B213" s="52">
        <v>41</v>
      </c>
      <c r="C213" s="52">
        <v>920</v>
      </c>
      <c r="D213" s="7">
        <v>70499</v>
      </c>
      <c r="E213" s="20" t="s">
        <v>176</v>
      </c>
      <c r="F213" s="86" t="s">
        <v>202</v>
      </c>
      <c r="G213" s="38"/>
      <c r="H213" s="68">
        <v>0</v>
      </c>
      <c r="I213" s="68">
        <v>0</v>
      </c>
      <c r="J213" s="68">
        <v>0</v>
      </c>
      <c r="K213" s="68">
        <v>14851.2</v>
      </c>
      <c r="L213" s="68">
        <v>0</v>
      </c>
      <c r="M213" s="68">
        <v>46882.5</v>
      </c>
      <c r="N213" s="68">
        <v>0</v>
      </c>
      <c r="O213" s="68">
        <v>56385</v>
      </c>
      <c r="P213" s="68">
        <v>0</v>
      </c>
      <c r="Q213" s="68">
        <v>47250</v>
      </c>
      <c r="R213" s="68">
        <v>0</v>
      </c>
      <c r="S213" s="68">
        <v>22806</v>
      </c>
      <c r="T213" s="111">
        <v>188174.7</v>
      </c>
    </row>
    <row r="214" spans="1:20" ht="54" customHeight="1" x14ac:dyDescent="0.25">
      <c r="A214" s="4">
        <v>321</v>
      </c>
      <c r="B214" s="52">
        <v>41</v>
      </c>
      <c r="C214" s="52">
        <v>930</v>
      </c>
      <c r="D214" s="7">
        <v>70499</v>
      </c>
      <c r="E214" s="20" t="s">
        <v>176</v>
      </c>
      <c r="F214" s="86" t="s">
        <v>203</v>
      </c>
      <c r="G214" s="38"/>
      <c r="H214" s="68">
        <v>0</v>
      </c>
      <c r="I214" s="68">
        <v>0</v>
      </c>
      <c r="J214" s="68">
        <v>0</v>
      </c>
      <c r="K214" s="68">
        <v>14851.2</v>
      </c>
      <c r="L214" s="68">
        <v>0</v>
      </c>
      <c r="M214" s="68">
        <v>37506</v>
      </c>
      <c r="N214" s="68">
        <v>0</v>
      </c>
      <c r="O214" s="68">
        <v>60144</v>
      </c>
      <c r="P214" s="68">
        <v>0</v>
      </c>
      <c r="Q214" s="68">
        <v>47250</v>
      </c>
      <c r="R214" s="68">
        <v>0</v>
      </c>
      <c r="S214" s="68">
        <v>28507.5</v>
      </c>
      <c r="T214" s="111">
        <v>188258.7</v>
      </c>
    </row>
    <row r="215" spans="1:20" ht="66.75" customHeight="1" x14ac:dyDescent="0.25">
      <c r="A215" s="4">
        <v>311</v>
      </c>
      <c r="B215" s="52">
        <v>41</v>
      </c>
      <c r="C215" s="52">
        <v>920</v>
      </c>
      <c r="D215" s="7">
        <v>70499</v>
      </c>
      <c r="E215" s="20" t="s">
        <v>176</v>
      </c>
      <c r="F215" s="86" t="s">
        <v>204</v>
      </c>
      <c r="G215" s="38"/>
      <c r="H215" s="68">
        <v>0</v>
      </c>
      <c r="I215" s="68">
        <v>0</v>
      </c>
      <c r="J215" s="68">
        <v>0</v>
      </c>
      <c r="K215" s="68">
        <v>52447.72</v>
      </c>
      <c r="L215" s="68">
        <v>0</v>
      </c>
      <c r="M215" s="68">
        <v>28888.55</v>
      </c>
      <c r="N215" s="68">
        <v>0</v>
      </c>
      <c r="O215" s="68">
        <v>72405.5</v>
      </c>
      <c r="P215" s="68">
        <v>0</v>
      </c>
      <c r="Q215" s="68">
        <v>97073.999999999985</v>
      </c>
      <c r="R215" s="68">
        <v>0</v>
      </c>
      <c r="S215" s="68">
        <v>97613.299999999988</v>
      </c>
      <c r="T215" s="111">
        <v>348429.07</v>
      </c>
    </row>
    <row r="216" spans="1:20" ht="65.25" customHeight="1" x14ac:dyDescent="0.25">
      <c r="A216" s="4">
        <v>321</v>
      </c>
      <c r="B216" s="52">
        <v>41</v>
      </c>
      <c r="C216" s="52">
        <v>930</v>
      </c>
      <c r="D216" s="7">
        <v>70499</v>
      </c>
      <c r="E216" s="20" t="s">
        <v>176</v>
      </c>
      <c r="F216" s="86" t="s">
        <v>205</v>
      </c>
      <c r="G216" s="38"/>
      <c r="H216" s="68">
        <v>0</v>
      </c>
      <c r="I216" s="68">
        <v>0</v>
      </c>
      <c r="J216" s="68">
        <v>0</v>
      </c>
      <c r="K216" s="68">
        <v>52447.72</v>
      </c>
      <c r="L216" s="68">
        <v>0</v>
      </c>
      <c r="M216" s="68">
        <v>28888.55</v>
      </c>
      <c r="N216" s="68">
        <v>0</v>
      </c>
      <c r="O216" s="68">
        <v>72405.5</v>
      </c>
      <c r="P216" s="68">
        <v>0</v>
      </c>
      <c r="Q216" s="68">
        <v>97073.999999999985</v>
      </c>
      <c r="R216" s="68">
        <v>0</v>
      </c>
      <c r="S216" s="68">
        <v>97613.299999999988</v>
      </c>
      <c r="T216" s="111">
        <v>348429.07</v>
      </c>
    </row>
    <row r="217" spans="1:20" ht="79.5" customHeight="1" x14ac:dyDescent="0.25">
      <c r="A217" s="4">
        <v>311</v>
      </c>
      <c r="B217" s="52">
        <v>41</v>
      </c>
      <c r="C217" s="52">
        <v>920</v>
      </c>
      <c r="D217" s="7">
        <v>70499</v>
      </c>
      <c r="E217" s="20" t="s">
        <v>176</v>
      </c>
      <c r="F217" s="86" t="s">
        <v>360</v>
      </c>
      <c r="G217" s="225" t="s">
        <v>366</v>
      </c>
      <c r="H217" s="68">
        <v>0</v>
      </c>
      <c r="I217" s="68">
        <v>0</v>
      </c>
      <c r="J217" s="68">
        <v>0</v>
      </c>
      <c r="K217" s="68">
        <v>14851.2</v>
      </c>
      <c r="L217" s="68">
        <v>0</v>
      </c>
      <c r="M217" s="68">
        <v>46882.5</v>
      </c>
      <c r="N217" s="68">
        <v>0</v>
      </c>
      <c r="O217" s="68">
        <v>56385</v>
      </c>
      <c r="P217" s="68">
        <v>0</v>
      </c>
      <c r="Q217" s="68">
        <v>47250</v>
      </c>
      <c r="R217" s="68">
        <v>0</v>
      </c>
      <c r="S217" s="68">
        <v>22806</v>
      </c>
      <c r="T217" s="111">
        <v>191933.7</v>
      </c>
    </row>
    <row r="218" spans="1:20" ht="78" customHeight="1" x14ac:dyDescent="0.25">
      <c r="A218" s="4">
        <v>321</v>
      </c>
      <c r="B218" s="52">
        <v>41</v>
      </c>
      <c r="C218" s="52">
        <v>930</v>
      </c>
      <c r="D218" s="7">
        <v>70499</v>
      </c>
      <c r="E218" s="20" t="s">
        <v>176</v>
      </c>
      <c r="F218" s="86" t="s">
        <v>206</v>
      </c>
      <c r="G218" s="227"/>
      <c r="H218" s="68">
        <v>0</v>
      </c>
      <c r="I218" s="68">
        <v>0</v>
      </c>
      <c r="J218" s="68">
        <v>0</v>
      </c>
      <c r="K218" s="68">
        <v>14851.2</v>
      </c>
      <c r="L218" s="68">
        <v>0</v>
      </c>
      <c r="M218" s="68">
        <v>37506</v>
      </c>
      <c r="N218" s="68">
        <v>0</v>
      </c>
      <c r="O218" s="68">
        <v>60144</v>
      </c>
      <c r="P218" s="68">
        <v>0</v>
      </c>
      <c r="Q218" s="68">
        <v>47250</v>
      </c>
      <c r="R218" s="68">
        <v>0</v>
      </c>
      <c r="S218" s="68">
        <v>28507.5</v>
      </c>
      <c r="T218" s="111" t="e">
        <v>#REF!</v>
      </c>
    </row>
    <row r="219" spans="1:20" ht="83.25" customHeight="1" x14ac:dyDescent="0.25">
      <c r="A219" s="4">
        <v>311</v>
      </c>
      <c r="B219" s="52">
        <v>41</v>
      </c>
      <c r="C219" s="52">
        <v>920</v>
      </c>
      <c r="D219" s="7">
        <v>70499</v>
      </c>
      <c r="E219" s="20" t="s">
        <v>176</v>
      </c>
      <c r="F219" s="86" t="s">
        <v>208</v>
      </c>
      <c r="G219" s="225" t="s">
        <v>365</v>
      </c>
      <c r="H219" s="68">
        <v>0</v>
      </c>
      <c r="I219" s="68">
        <v>0</v>
      </c>
      <c r="J219" s="68">
        <v>0</v>
      </c>
      <c r="K219" s="68">
        <v>72930</v>
      </c>
      <c r="L219" s="68">
        <v>0</v>
      </c>
      <c r="M219" s="68">
        <v>0</v>
      </c>
      <c r="N219" s="68">
        <v>0</v>
      </c>
      <c r="O219" s="68">
        <v>0</v>
      </c>
      <c r="P219" s="68">
        <v>0</v>
      </c>
      <c r="Q219" s="68">
        <v>0</v>
      </c>
      <c r="R219" s="68">
        <v>0</v>
      </c>
      <c r="S219" s="68">
        <v>0</v>
      </c>
      <c r="T219" s="111" t="e">
        <v>#REF!</v>
      </c>
    </row>
    <row r="220" spans="1:20" ht="90" customHeight="1" x14ac:dyDescent="0.25">
      <c r="A220" s="4">
        <v>321</v>
      </c>
      <c r="B220" s="52">
        <v>41</v>
      </c>
      <c r="C220" s="52">
        <v>930</v>
      </c>
      <c r="D220" s="7">
        <v>70499</v>
      </c>
      <c r="E220" s="20" t="s">
        <v>176</v>
      </c>
      <c r="F220" s="86" t="s">
        <v>207</v>
      </c>
      <c r="G220" s="227"/>
      <c r="H220" s="68">
        <v>0</v>
      </c>
      <c r="I220" s="68">
        <v>0</v>
      </c>
      <c r="J220" s="68">
        <v>0</v>
      </c>
      <c r="K220" s="68">
        <v>145860</v>
      </c>
      <c r="L220" s="68">
        <v>0</v>
      </c>
      <c r="M220" s="68">
        <v>0</v>
      </c>
      <c r="N220" s="68">
        <v>0</v>
      </c>
      <c r="O220" s="68">
        <v>0</v>
      </c>
      <c r="P220" s="68">
        <v>0</v>
      </c>
      <c r="Q220" s="68">
        <v>0</v>
      </c>
      <c r="R220" s="68">
        <v>0</v>
      </c>
      <c r="S220" s="68">
        <v>0</v>
      </c>
      <c r="T220" s="111" t="e">
        <v>#REF!</v>
      </c>
    </row>
    <row r="221" spans="1:20" ht="79.5" customHeight="1" x14ac:dyDescent="0.25">
      <c r="A221" s="4">
        <v>311</v>
      </c>
      <c r="B221" s="52">
        <v>41</v>
      </c>
      <c r="C221" s="52">
        <v>910</v>
      </c>
      <c r="D221" s="7">
        <v>70499</v>
      </c>
      <c r="E221" s="20"/>
      <c r="F221" s="62" t="s">
        <v>97</v>
      </c>
      <c r="G221" s="225" t="s">
        <v>321</v>
      </c>
      <c r="H221" s="68">
        <v>73280</v>
      </c>
      <c r="I221" s="68">
        <v>0</v>
      </c>
      <c r="J221" s="68">
        <v>182382.46000000002</v>
      </c>
      <c r="K221" s="68">
        <v>0</v>
      </c>
      <c r="L221" s="68">
        <v>0</v>
      </c>
      <c r="M221" s="68">
        <v>0</v>
      </c>
      <c r="N221" s="68">
        <v>0</v>
      </c>
      <c r="O221" s="68">
        <v>0</v>
      </c>
      <c r="P221" s="68">
        <v>0</v>
      </c>
      <c r="Q221" s="68">
        <v>0</v>
      </c>
      <c r="R221" s="68">
        <v>0</v>
      </c>
      <c r="S221" s="68">
        <v>0</v>
      </c>
      <c r="T221" s="111">
        <v>0</v>
      </c>
    </row>
    <row r="222" spans="1:20" ht="81" customHeight="1" x14ac:dyDescent="0.25">
      <c r="A222" s="4">
        <v>311</v>
      </c>
      <c r="B222" s="52">
        <v>41</v>
      </c>
      <c r="C222" s="52">
        <v>920</v>
      </c>
      <c r="D222" s="7">
        <v>70499</v>
      </c>
      <c r="E222" s="20" t="s">
        <v>173</v>
      </c>
      <c r="F222" s="62" t="s">
        <v>98</v>
      </c>
      <c r="G222" s="226"/>
      <c r="H222" s="68">
        <v>0</v>
      </c>
      <c r="I222" s="68">
        <v>100760</v>
      </c>
      <c r="J222" s="68">
        <v>0</v>
      </c>
      <c r="K222" s="68">
        <v>509283.00800000003</v>
      </c>
      <c r="L222" s="68">
        <v>0</v>
      </c>
      <c r="M222" s="68">
        <v>0</v>
      </c>
      <c r="N222" s="68">
        <v>0</v>
      </c>
      <c r="O222" s="68">
        <v>0</v>
      </c>
      <c r="P222" s="68">
        <v>0</v>
      </c>
      <c r="Q222" s="68">
        <v>0</v>
      </c>
      <c r="R222" s="68">
        <v>0</v>
      </c>
      <c r="S222" s="68">
        <v>0</v>
      </c>
      <c r="T222" s="111">
        <v>610043.00800000003</v>
      </c>
    </row>
    <row r="223" spans="1:20" ht="89.25" customHeight="1" x14ac:dyDescent="0.25">
      <c r="A223" s="4">
        <v>311</v>
      </c>
      <c r="B223" s="52">
        <v>41</v>
      </c>
      <c r="C223" s="52">
        <v>930</v>
      </c>
      <c r="D223" s="7">
        <v>70499</v>
      </c>
      <c r="E223" s="20" t="s">
        <v>173</v>
      </c>
      <c r="F223" s="62" t="s">
        <v>99</v>
      </c>
      <c r="G223" s="227"/>
      <c r="H223" s="68">
        <v>0</v>
      </c>
      <c r="I223" s="68">
        <v>229000</v>
      </c>
      <c r="J223" s="68">
        <v>0</v>
      </c>
      <c r="K223" s="68">
        <v>947917.62</v>
      </c>
      <c r="L223" s="68">
        <v>0</v>
      </c>
      <c r="M223" s="68">
        <v>0</v>
      </c>
      <c r="N223" s="68">
        <v>0</v>
      </c>
      <c r="O223" s="68">
        <v>0</v>
      </c>
      <c r="P223" s="68">
        <v>0</v>
      </c>
      <c r="Q223" s="68">
        <v>0</v>
      </c>
      <c r="R223" s="68">
        <v>0</v>
      </c>
      <c r="S223" s="68">
        <v>0</v>
      </c>
      <c r="T223" s="111">
        <v>1176917.6200000001</v>
      </c>
    </row>
    <row r="224" spans="1:20" ht="101.25" customHeight="1" x14ac:dyDescent="0.25">
      <c r="A224" s="4">
        <v>311</v>
      </c>
      <c r="B224" s="52">
        <v>41</v>
      </c>
      <c r="C224" s="52">
        <v>920</v>
      </c>
      <c r="D224" s="7">
        <v>70499</v>
      </c>
      <c r="E224" s="20" t="s">
        <v>172</v>
      </c>
      <c r="F224" s="62" t="s">
        <v>224</v>
      </c>
      <c r="G224" s="225" t="s">
        <v>299</v>
      </c>
      <c r="H224" s="68">
        <v>0</v>
      </c>
      <c r="I224" s="68">
        <v>503799.99999999994</v>
      </c>
      <c r="J224" s="68">
        <v>0</v>
      </c>
      <c r="K224" s="68">
        <v>406640</v>
      </c>
      <c r="L224" s="68">
        <v>0</v>
      </c>
      <c r="M224" s="68">
        <v>399399.60800000001</v>
      </c>
      <c r="N224" s="68">
        <v>0</v>
      </c>
      <c r="O224" s="68">
        <v>273154</v>
      </c>
      <c r="P224" s="68">
        <v>0</v>
      </c>
      <c r="Q224" s="68">
        <v>0</v>
      </c>
      <c r="R224" s="68">
        <v>0</v>
      </c>
      <c r="S224" s="68">
        <v>0</v>
      </c>
      <c r="T224" s="111">
        <v>1582993.608</v>
      </c>
    </row>
    <row r="225" spans="1:20" ht="97.5" customHeight="1" x14ac:dyDescent="0.25">
      <c r="A225" s="4">
        <v>311</v>
      </c>
      <c r="B225" s="52">
        <v>41</v>
      </c>
      <c r="C225" s="52">
        <v>930</v>
      </c>
      <c r="D225" s="7">
        <v>70499</v>
      </c>
      <c r="E225" s="20" t="s">
        <v>172</v>
      </c>
      <c r="F225" s="62" t="s">
        <v>227</v>
      </c>
      <c r="G225" s="227"/>
      <c r="H225" s="68">
        <v>0</v>
      </c>
      <c r="I225" s="68">
        <v>0</v>
      </c>
      <c r="J225" s="68">
        <v>0</v>
      </c>
      <c r="K225" s="68">
        <v>114920.00000000001</v>
      </c>
      <c r="L225" s="68">
        <v>0</v>
      </c>
      <c r="M225" s="68">
        <v>241110</v>
      </c>
      <c r="N225" s="68">
        <v>0</v>
      </c>
      <c r="O225" s="68">
        <v>939750</v>
      </c>
      <c r="P225" s="68">
        <v>0</v>
      </c>
      <c r="Q225" s="68">
        <v>315000</v>
      </c>
      <c r="R225" s="68">
        <v>0</v>
      </c>
      <c r="S225" s="68">
        <v>633500</v>
      </c>
      <c r="T225" s="111">
        <v>2244280</v>
      </c>
    </row>
    <row r="226" spans="1:20" ht="102" customHeight="1" x14ac:dyDescent="0.25">
      <c r="A226" s="49">
        <v>311</v>
      </c>
      <c r="B226" s="52">
        <v>41</v>
      </c>
      <c r="C226" s="52">
        <v>930</v>
      </c>
      <c r="D226" s="53">
        <v>70499</v>
      </c>
      <c r="E226" s="48" t="s">
        <v>172</v>
      </c>
      <c r="F226" s="62" t="s">
        <v>189</v>
      </c>
      <c r="G226" s="73" t="s">
        <v>283</v>
      </c>
      <c r="H226" s="68">
        <v>0</v>
      </c>
      <c r="I226" s="68">
        <v>489876.8</v>
      </c>
      <c r="J226" s="68">
        <v>0</v>
      </c>
      <c r="K226" s="68">
        <v>202612.80000000002</v>
      </c>
      <c r="L226" s="68">
        <v>0</v>
      </c>
      <c r="M226" s="68">
        <v>0</v>
      </c>
      <c r="N226" s="68">
        <v>0</v>
      </c>
      <c r="O226" s="68">
        <v>0</v>
      </c>
      <c r="P226" s="68">
        <v>0</v>
      </c>
      <c r="Q226" s="68">
        <v>0</v>
      </c>
      <c r="R226" s="68">
        <v>0</v>
      </c>
      <c r="S226" s="68">
        <v>0</v>
      </c>
      <c r="T226" s="111">
        <v>692489.6</v>
      </c>
    </row>
    <row r="227" spans="1:20" ht="89.25" customHeight="1" x14ac:dyDescent="0.25">
      <c r="A227" s="4">
        <v>311</v>
      </c>
      <c r="B227" s="52">
        <v>41</v>
      </c>
      <c r="C227" s="52">
        <v>920</v>
      </c>
      <c r="D227" s="7">
        <v>70499</v>
      </c>
      <c r="E227" s="20" t="s">
        <v>172</v>
      </c>
      <c r="F227" s="62" t="s">
        <v>100</v>
      </c>
      <c r="G227" s="225" t="s">
        <v>281</v>
      </c>
      <c r="H227" s="68">
        <v>0</v>
      </c>
      <c r="I227" s="68">
        <v>18035.123999999996</v>
      </c>
      <c r="J227" s="68">
        <v>0</v>
      </c>
      <c r="K227" s="68">
        <v>0</v>
      </c>
      <c r="L227" s="68">
        <v>0</v>
      </c>
      <c r="M227" s="68">
        <v>0</v>
      </c>
      <c r="N227" s="68">
        <v>0</v>
      </c>
      <c r="O227" s="68">
        <v>0</v>
      </c>
      <c r="P227" s="68">
        <v>0</v>
      </c>
      <c r="Q227" s="68">
        <v>0</v>
      </c>
      <c r="R227" s="68">
        <v>0</v>
      </c>
      <c r="S227" s="68">
        <v>0</v>
      </c>
      <c r="T227" s="111">
        <v>18035.123999999996</v>
      </c>
    </row>
    <row r="228" spans="1:20" ht="100.5" customHeight="1" x14ac:dyDescent="0.25">
      <c r="A228" s="4">
        <v>311</v>
      </c>
      <c r="B228" s="52">
        <v>41</v>
      </c>
      <c r="C228" s="52">
        <v>930</v>
      </c>
      <c r="D228" s="7">
        <v>70499</v>
      </c>
      <c r="E228" s="20" t="s">
        <v>172</v>
      </c>
      <c r="F228" s="62" t="s">
        <v>101</v>
      </c>
      <c r="G228" s="227"/>
      <c r="H228" s="68">
        <v>0</v>
      </c>
      <c r="I228" s="68">
        <v>157884.508</v>
      </c>
      <c r="J228" s="68">
        <v>0</v>
      </c>
      <c r="K228" s="68">
        <v>0</v>
      </c>
      <c r="L228" s="68">
        <v>0</v>
      </c>
      <c r="M228" s="68">
        <v>0</v>
      </c>
      <c r="N228" s="68">
        <v>0</v>
      </c>
      <c r="O228" s="68">
        <v>0</v>
      </c>
      <c r="P228" s="68">
        <v>0</v>
      </c>
      <c r="Q228" s="68">
        <v>0</v>
      </c>
      <c r="R228" s="68">
        <v>0</v>
      </c>
      <c r="S228" s="68">
        <v>0</v>
      </c>
      <c r="T228" s="111">
        <v>157884.508</v>
      </c>
    </row>
    <row r="229" spans="1:20" ht="84" customHeight="1" x14ac:dyDescent="0.25">
      <c r="A229" s="4">
        <v>311</v>
      </c>
      <c r="B229" s="52">
        <v>41</v>
      </c>
      <c r="C229" s="52">
        <v>920</v>
      </c>
      <c r="D229" s="7">
        <v>70499</v>
      </c>
      <c r="E229" s="20" t="s">
        <v>172</v>
      </c>
      <c r="F229" s="62" t="s">
        <v>102</v>
      </c>
      <c r="G229" s="225" t="s">
        <v>282</v>
      </c>
      <c r="H229" s="68">
        <v>0</v>
      </c>
      <c r="I229" s="68">
        <v>73280</v>
      </c>
      <c r="J229" s="68">
        <v>0</v>
      </c>
      <c r="K229" s="68">
        <v>88400</v>
      </c>
      <c r="L229" s="68">
        <v>0</v>
      </c>
      <c r="M229" s="68">
        <v>0</v>
      </c>
      <c r="N229" s="68">
        <v>0</v>
      </c>
      <c r="O229" s="68">
        <v>0</v>
      </c>
      <c r="P229" s="68">
        <v>0</v>
      </c>
      <c r="Q229" s="68">
        <v>0</v>
      </c>
      <c r="R229" s="68">
        <v>0</v>
      </c>
      <c r="S229" s="68">
        <v>0</v>
      </c>
      <c r="T229" s="111">
        <v>161680</v>
      </c>
    </row>
    <row r="230" spans="1:20" ht="68.25" customHeight="1" x14ac:dyDescent="0.25">
      <c r="A230" s="4">
        <v>311</v>
      </c>
      <c r="B230" s="52">
        <v>41</v>
      </c>
      <c r="C230" s="52">
        <v>930</v>
      </c>
      <c r="D230" s="7">
        <v>70499</v>
      </c>
      <c r="E230" s="20" t="s">
        <v>172</v>
      </c>
      <c r="F230" s="62" t="s">
        <v>103</v>
      </c>
      <c r="G230" s="227"/>
      <c r="H230" s="68">
        <v>0</v>
      </c>
      <c r="I230" s="68">
        <v>109920</v>
      </c>
      <c r="J230" s="68">
        <v>0</v>
      </c>
      <c r="K230" s="68">
        <v>176800</v>
      </c>
      <c r="L230" s="68">
        <v>0</v>
      </c>
      <c r="M230" s="68">
        <v>0</v>
      </c>
      <c r="N230" s="68">
        <v>0</v>
      </c>
      <c r="O230" s="68">
        <v>0</v>
      </c>
      <c r="P230" s="68">
        <v>0</v>
      </c>
      <c r="Q230" s="68">
        <v>0</v>
      </c>
      <c r="R230" s="68">
        <v>0</v>
      </c>
      <c r="S230" s="68">
        <v>0</v>
      </c>
      <c r="T230" s="111">
        <v>286720</v>
      </c>
    </row>
    <row r="231" spans="1:20" ht="71.25" customHeight="1" x14ac:dyDescent="0.25">
      <c r="A231" s="4">
        <v>311</v>
      </c>
      <c r="B231" s="52">
        <v>41</v>
      </c>
      <c r="C231" s="52">
        <v>910</v>
      </c>
      <c r="D231" s="7">
        <v>70499</v>
      </c>
      <c r="E231" s="20"/>
      <c r="F231" s="62" t="s">
        <v>104</v>
      </c>
      <c r="G231" s="225" t="s">
        <v>285</v>
      </c>
      <c r="H231" s="68">
        <v>256479.99999999997</v>
      </c>
      <c r="I231" s="68">
        <v>0</v>
      </c>
      <c r="J231" s="68">
        <v>88400</v>
      </c>
      <c r="K231" s="68">
        <v>0</v>
      </c>
      <c r="L231" s="68">
        <v>0</v>
      </c>
      <c r="M231" s="68">
        <v>0</v>
      </c>
      <c r="N231" s="68">
        <v>0</v>
      </c>
      <c r="O231" s="68">
        <v>0</v>
      </c>
      <c r="P231" s="68">
        <v>0</v>
      </c>
      <c r="Q231" s="68">
        <v>0</v>
      </c>
      <c r="R231" s="68">
        <v>0</v>
      </c>
      <c r="S231" s="68">
        <v>0</v>
      </c>
      <c r="T231" s="111">
        <v>0</v>
      </c>
    </row>
    <row r="232" spans="1:20" ht="74.25" customHeight="1" x14ac:dyDescent="0.25">
      <c r="A232" s="4">
        <v>311</v>
      </c>
      <c r="B232" s="52">
        <v>41</v>
      </c>
      <c r="C232" s="52">
        <v>930</v>
      </c>
      <c r="D232" s="7">
        <v>70499</v>
      </c>
      <c r="E232" s="20" t="s">
        <v>174</v>
      </c>
      <c r="F232" s="62" t="s">
        <v>105</v>
      </c>
      <c r="G232" s="226"/>
      <c r="H232" s="68">
        <v>0</v>
      </c>
      <c r="I232" s="68">
        <v>320600</v>
      </c>
      <c r="J232" s="68">
        <v>0</v>
      </c>
      <c r="K232" s="68">
        <v>0</v>
      </c>
      <c r="L232" s="68">
        <v>0</v>
      </c>
      <c r="M232" s="68">
        <v>0</v>
      </c>
      <c r="N232" s="68">
        <v>0</v>
      </c>
      <c r="O232" s="68">
        <v>0</v>
      </c>
      <c r="P232" s="68">
        <v>0</v>
      </c>
      <c r="Q232" s="68">
        <v>0</v>
      </c>
      <c r="R232" s="68">
        <v>0</v>
      </c>
      <c r="S232" s="68">
        <v>0</v>
      </c>
      <c r="T232" s="111">
        <v>320600</v>
      </c>
    </row>
    <row r="233" spans="1:20" ht="72.75" customHeight="1" x14ac:dyDescent="0.25">
      <c r="A233" s="4">
        <v>311</v>
      </c>
      <c r="B233" s="52">
        <v>41</v>
      </c>
      <c r="C233" s="52">
        <v>930</v>
      </c>
      <c r="D233" s="7">
        <v>70499</v>
      </c>
      <c r="E233" s="20" t="s">
        <v>166</v>
      </c>
      <c r="F233" s="62" t="s">
        <v>106</v>
      </c>
      <c r="G233" s="227"/>
      <c r="H233" s="68">
        <v>0</v>
      </c>
      <c r="I233" s="68">
        <v>549600</v>
      </c>
      <c r="J233" s="68">
        <v>0</v>
      </c>
      <c r="K233" s="68">
        <v>176800</v>
      </c>
      <c r="L233" s="68">
        <v>0</v>
      </c>
      <c r="M233" s="68">
        <v>0</v>
      </c>
      <c r="N233" s="68">
        <v>0</v>
      </c>
      <c r="O233" s="68">
        <v>0</v>
      </c>
      <c r="P233" s="68">
        <v>0</v>
      </c>
      <c r="Q233" s="68">
        <v>0</v>
      </c>
      <c r="R233" s="68">
        <v>0</v>
      </c>
      <c r="S233" s="68">
        <v>0</v>
      </c>
      <c r="T233" s="111">
        <v>726400</v>
      </c>
    </row>
    <row r="234" spans="1:20" ht="73.5" customHeight="1" x14ac:dyDescent="0.25">
      <c r="A234" s="4">
        <v>311</v>
      </c>
      <c r="B234" s="52">
        <v>41</v>
      </c>
      <c r="C234" s="52">
        <v>910</v>
      </c>
      <c r="D234" s="7">
        <v>70499</v>
      </c>
      <c r="E234" s="20"/>
      <c r="F234" s="62" t="s">
        <v>107</v>
      </c>
      <c r="G234" s="225" t="s">
        <v>284</v>
      </c>
      <c r="H234" s="68">
        <v>183200</v>
      </c>
      <c r="I234" s="68">
        <v>0</v>
      </c>
      <c r="J234" s="68">
        <v>153303.28000000003</v>
      </c>
      <c r="K234" s="68">
        <v>0</v>
      </c>
      <c r="L234" s="68">
        <v>46722.652999999998</v>
      </c>
      <c r="M234" s="68">
        <v>0</v>
      </c>
      <c r="N234" s="68">
        <v>0</v>
      </c>
      <c r="O234" s="68">
        <v>0</v>
      </c>
      <c r="P234" s="68">
        <v>0</v>
      </c>
      <c r="Q234" s="68">
        <v>0</v>
      </c>
      <c r="R234" s="68">
        <v>0</v>
      </c>
      <c r="S234" s="68">
        <v>0</v>
      </c>
      <c r="T234" s="111">
        <v>0</v>
      </c>
    </row>
    <row r="235" spans="1:20" ht="90" customHeight="1" x14ac:dyDescent="0.25">
      <c r="A235" s="4">
        <v>311</v>
      </c>
      <c r="B235" s="52">
        <v>41</v>
      </c>
      <c r="C235" s="52">
        <v>920</v>
      </c>
      <c r="D235" s="7">
        <v>70499</v>
      </c>
      <c r="E235" s="20" t="s">
        <v>173</v>
      </c>
      <c r="F235" s="62" t="s">
        <v>108</v>
      </c>
      <c r="G235" s="226"/>
      <c r="H235" s="68">
        <v>0</v>
      </c>
      <c r="I235" s="68">
        <v>274800</v>
      </c>
      <c r="J235" s="68">
        <v>0</v>
      </c>
      <c r="K235" s="68">
        <v>164689.20000000001</v>
      </c>
      <c r="L235" s="68">
        <v>0</v>
      </c>
      <c r="M235" s="68">
        <v>44652.678999999996</v>
      </c>
      <c r="N235" s="68">
        <v>0</v>
      </c>
      <c r="O235" s="68">
        <v>0</v>
      </c>
      <c r="P235" s="68">
        <v>0</v>
      </c>
      <c r="Q235" s="68">
        <v>0</v>
      </c>
      <c r="R235" s="68">
        <v>0</v>
      </c>
      <c r="S235" s="68">
        <v>0</v>
      </c>
      <c r="T235" s="111">
        <v>484141.87900000002</v>
      </c>
    </row>
    <row r="236" spans="1:20" ht="78" customHeight="1" x14ac:dyDescent="0.25">
      <c r="A236" s="4">
        <v>311</v>
      </c>
      <c r="B236" s="52">
        <v>41</v>
      </c>
      <c r="C236" s="52">
        <v>930</v>
      </c>
      <c r="D236" s="7">
        <v>70499</v>
      </c>
      <c r="E236" s="20" t="s">
        <v>173</v>
      </c>
      <c r="F236" s="62" t="s">
        <v>109</v>
      </c>
      <c r="G236" s="227"/>
      <c r="H236" s="68">
        <v>0</v>
      </c>
      <c r="I236" s="68">
        <v>274800</v>
      </c>
      <c r="J236" s="68">
        <v>0</v>
      </c>
      <c r="K236" s="68">
        <v>164689.20000000001</v>
      </c>
      <c r="L236" s="68">
        <v>0</v>
      </c>
      <c r="M236" s="68">
        <v>44652.678999999996</v>
      </c>
      <c r="N236" s="68">
        <v>0</v>
      </c>
      <c r="O236" s="68">
        <v>0</v>
      </c>
      <c r="P236" s="68">
        <v>0</v>
      </c>
      <c r="Q236" s="68">
        <v>0</v>
      </c>
      <c r="R236" s="68">
        <v>0</v>
      </c>
      <c r="S236" s="68">
        <v>0</v>
      </c>
      <c r="T236" s="111">
        <v>484141.87900000002</v>
      </c>
    </row>
    <row r="237" spans="1:20" ht="75.75" customHeight="1" x14ac:dyDescent="0.25">
      <c r="A237" s="49">
        <v>311</v>
      </c>
      <c r="B237" s="52">
        <v>41</v>
      </c>
      <c r="C237" s="52">
        <v>910</v>
      </c>
      <c r="D237" s="53">
        <v>70499</v>
      </c>
      <c r="E237" s="48"/>
      <c r="F237" s="62" t="s">
        <v>192</v>
      </c>
      <c r="G237" s="225" t="s">
        <v>286</v>
      </c>
      <c r="H237" s="68">
        <v>11450</v>
      </c>
      <c r="I237" s="68">
        <v>0</v>
      </c>
      <c r="J237" s="68">
        <v>44200</v>
      </c>
      <c r="K237" s="68">
        <v>0</v>
      </c>
      <c r="L237" s="68">
        <v>263435</v>
      </c>
      <c r="M237" s="68">
        <v>0</v>
      </c>
      <c r="N237" s="68">
        <v>246572.5</v>
      </c>
      <c r="O237" s="68">
        <v>0</v>
      </c>
      <c r="P237" s="68">
        <v>10800</v>
      </c>
      <c r="Q237" s="68">
        <v>0</v>
      </c>
      <c r="R237" s="68">
        <v>0</v>
      </c>
      <c r="S237" s="68">
        <v>0</v>
      </c>
      <c r="T237" s="111">
        <v>0</v>
      </c>
    </row>
    <row r="238" spans="1:20" ht="67.5" customHeight="1" x14ac:dyDescent="0.25">
      <c r="A238" s="49">
        <v>311</v>
      </c>
      <c r="B238" s="52">
        <v>41</v>
      </c>
      <c r="C238" s="52">
        <v>920</v>
      </c>
      <c r="D238" s="53">
        <v>70499</v>
      </c>
      <c r="E238" s="48" t="s">
        <v>173</v>
      </c>
      <c r="F238" s="62" t="s">
        <v>190</v>
      </c>
      <c r="G238" s="226"/>
      <c r="H238" s="68">
        <v>0</v>
      </c>
      <c r="I238" s="68">
        <v>0</v>
      </c>
      <c r="J238" s="68">
        <v>0</v>
      </c>
      <c r="K238" s="68">
        <v>66300</v>
      </c>
      <c r="L238" s="68">
        <v>0</v>
      </c>
      <c r="M238" s="68">
        <v>241110</v>
      </c>
      <c r="N238" s="68">
        <v>0</v>
      </c>
      <c r="O238" s="68">
        <v>170050</v>
      </c>
      <c r="P238" s="68">
        <v>0</v>
      </c>
      <c r="Q238" s="68">
        <v>0</v>
      </c>
      <c r="R238" s="68">
        <v>0</v>
      </c>
      <c r="S238" s="68">
        <v>0</v>
      </c>
      <c r="T238" s="111">
        <v>477460</v>
      </c>
    </row>
    <row r="239" spans="1:20" ht="78.75" customHeight="1" x14ac:dyDescent="0.25">
      <c r="A239" s="49">
        <v>311</v>
      </c>
      <c r="B239" s="52">
        <v>41</v>
      </c>
      <c r="C239" s="52">
        <v>930</v>
      </c>
      <c r="D239" s="53">
        <v>70499</v>
      </c>
      <c r="E239" s="48" t="s">
        <v>173</v>
      </c>
      <c r="F239" s="62" t="s">
        <v>191</v>
      </c>
      <c r="G239" s="227"/>
      <c r="H239" s="68">
        <v>0</v>
      </c>
      <c r="I239" s="68">
        <v>256479.99999999997</v>
      </c>
      <c r="J239" s="68">
        <v>0</v>
      </c>
      <c r="K239" s="68">
        <v>132600</v>
      </c>
      <c r="L239" s="68">
        <v>0</v>
      </c>
      <c r="M239" s="68">
        <v>446500</v>
      </c>
      <c r="N239" s="68">
        <v>0</v>
      </c>
      <c r="O239" s="68">
        <v>608600</v>
      </c>
      <c r="P239" s="68">
        <v>0</v>
      </c>
      <c r="Q239" s="68">
        <v>270000</v>
      </c>
      <c r="R239" s="68">
        <v>0</v>
      </c>
      <c r="S239" s="68">
        <v>714950</v>
      </c>
      <c r="T239" s="111">
        <v>2429130</v>
      </c>
    </row>
    <row r="240" spans="1:20" ht="64.5" customHeight="1" x14ac:dyDescent="0.25">
      <c r="A240" s="4">
        <v>311</v>
      </c>
      <c r="B240" s="52">
        <v>41</v>
      </c>
      <c r="C240" s="52">
        <v>910</v>
      </c>
      <c r="D240" s="53">
        <v>70499</v>
      </c>
      <c r="E240" s="48"/>
      <c r="F240" s="62" t="s">
        <v>287</v>
      </c>
      <c r="G240" s="225" t="s">
        <v>344</v>
      </c>
      <c r="H240" s="68">
        <v>0</v>
      </c>
      <c r="I240" s="68">
        <v>0</v>
      </c>
      <c r="J240" s="68">
        <v>0</v>
      </c>
      <c r="K240" s="68">
        <v>0</v>
      </c>
      <c r="L240" s="68">
        <v>0</v>
      </c>
      <c r="M240" s="68">
        <v>0</v>
      </c>
      <c r="N240" s="68">
        <v>0</v>
      </c>
      <c r="O240" s="68">
        <v>0</v>
      </c>
      <c r="P240" s="68">
        <v>0</v>
      </c>
      <c r="Q240" s="68">
        <v>0</v>
      </c>
      <c r="R240" s="68">
        <v>0</v>
      </c>
      <c r="S240" s="68">
        <v>0</v>
      </c>
      <c r="T240" s="111">
        <v>0</v>
      </c>
    </row>
    <row r="241" spans="1:20" ht="78" customHeight="1" x14ac:dyDescent="0.25">
      <c r="A241" s="4">
        <v>311</v>
      </c>
      <c r="B241" s="52">
        <v>41</v>
      </c>
      <c r="C241" s="52">
        <v>920</v>
      </c>
      <c r="D241" s="7">
        <v>70499</v>
      </c>
      <c r="E241" s="20" t="s">
        <v>173</v>
      </c>
      <c r="F241" s="62" t="s">
        <v>288</v>
      </c>
      <c r="G241" s="227"/>
      <c r="H241" s="68">
        <v>0</v>
      </c>
      <c r="I241" s="68">
        <v>96180</v>
      </c>
      <c r="J241" s="68">
        <v>0</v>
      </c>
      <c r="K241" s="68">
        <v>0</v>
      </c>
      <c r="L241" s="68">
        <v>0</v>
      </c>
      <c r="M241" s="68">
        <v>0</v>
      </c>
      <c r="N241" s="68">
        <v>0</v>
      </c>
      <c r="O241" s="68">
        <v>0</v>
      </c>
      <c r="P241" s="68">
        <v>0</v>
      </c>
      <c r="Q241" s="68">
        <v>0</v>
      </c>
      <c r="R241" s="68">
        <v>0</v>
      </c>
      <c r="S241" s="68">
        <v>0</v>
      </c>
      <c r="T241" s="111">
        <v>96180</v>
      </c>
    </row>
    <row r="242" spans="1:20" ht="59.25" customHeight="1" x14ac:dyDescent="0.25">
      <c r="A242" s="4">
        <v>311</v>
      </c>
      <c r="B242" s="52">
        <v>41</v>
      </c>
      <c r="C242" s="52">
        <v>910</v>
      </c>
      <c r="D242" s="53">
        <v>70499</v>
      </c>
      <c r="E242" s="48"/>
      <c r="F242" s="62" t="s">
        <v>223</v>
      </c>
      <c r="G242" s="225" t="s">
        <v>322</v>
      </c>
      <c r="H242" s="68">
        <v>4580</v>
      </c>
      <c r="I242" s="68">
        <v>0</v>
      </c>
      <c r="J242" s="68">
        <v>4420</v>
      </c>
      <c r="K242" s="68">
        <v>0</v>
      </c>
      <c r="L242" s="68">
        <v>15994.523000000001</v>
      </c>
      <c r="M242" s="68">
        <v>0</v>
      </c>
      <c r="N242" s="68">
        <v>0</v>
      </c>
      <c r="O242" s="68">
        <v>0</v>
      </c>
      <c r="P242" s="68">
        <v>0</v>
      </c>
      <c r="Q242" s="68">
        <v>0</v>
      </c>
      <c r="R242" s="68">
        <v>0</v>
      </c>
      <c r="S242" s="68">
        <v>0</v>
      </c>
      <c r="T242" s="111">
        <v>0</v>
      </c>
    </row>
    <row r="243" spans="1:20" ht="70.5" customHeight="1" x14ac:dyDescent="0.25">
      <c r="A243" s="4">
        <v>311</v>
      </c>
      <c r="B243" s="52">
        <v>41</v>
      </c>
      <c r="C243" s="52">
        <v>920</v>
      </c>
      <c r="D243" s="53">
        <v>70499</v>
      </c>
      <c r="E243" s="20" t="s">
        <v>173</v>
      </c>
      <c r="F243" s="62" t="s">
        <v>116</v>
      </c>
      <c r="G243" s="227"/>
      <c r="H243" s="68">
        <v>0</v>
      </c>
      <c r="I243" s="68">
        <v>36640</v>
      </c>
      <c r="J243" s="68">
        <v>0</v>
      </c>
      <c r="K243" s="68">
        <v>35360</v>
      </c>
      <c r="L243" s="68">
        <v>0</v>
      </c>
      <c r="M243" s="68">
        <v>118106.39399999999</v>
      </c>
      <c r="N243" s="68">
        <v>0</v>
      </c>
      <c r="O243" s="68">
        <v>0</v>
      </c>
      <c r="P243" s="68">
        <v>0</v>
      </c>
      <c r="Q243" s="68">
        <v>0</v>
      </c>
      <c r="R243" s="68">
        <v>0</v>
      </c>
      <c r="S243" s="68">
        <v>0</v>
      </c>
      <c r="T243" s="111">
        <v>190106.39399999997</v>
      </c>
    </row>
    <row r="244" spans="1:20" ht="70.5" customHeight="1" x14ac:dyDescent="0.25">
      <c r="A244" s="4">
        <v>311</v>
      </c>
      <c r="B244" s="52">
        <v>41</v>
      </c>
      <c r="C244" s="52">
        <v>920</v>
      </c>
      <c r="D244" s="53">
        <v>70499</v>
      </c>
      <c r="E244" s="20" t="s">
        <v>345</v>
      </c>
      <c r="F244" s="62" t="s">
        <v>346</v>
      </c>
      <c r="G244" s="87"/>
      <c r="H244" s="68">
        <v>0</v>
      </c>
      <c r="I244" s="68">
        <v>0</v>
      </c>
      <c r="J244" s="68">
        <v>0</v>
      </c>
      <c r="K244" s="68">
        <v>0</v>
      </c>
      <c r="L244" s="68">
        <v>0</v>
      </c>
      <c r="M244" s="68">
        <v>178600</v>
      </c>
      <c r="N244" s="68">
        <v>0</v>
      </c>
      <c r="O244" s="68">
        <v>268500</v>
      </c>
      <c r="P244" s="68">
        <v>0</v>
      </c>
      <c r="Q244" s="68">
        <v>270000</v>
      </c>
      <c r="R244" s="68">
        <v>0</v>
      </c>
      <c r="S244" s="68">
        <v>90500</v>
      </c>
      <c r="T244" s="111">
        <v>807600</v>
      </c>
    </row>
    <row r="245" spans="1:20" ht="70.5" customHeight="1" x14ac:dyDescent="0.25">
      <c r="A245" s="4">
        <v>311</v>
      </c>
      <c r="B245" s="52">
        <v>41</v>
      </c>
      <c r="C245" s="52">
        <v>920</v>
      </c>
      <c r="D245" s="53">
        <v>70499</v>
      </c>
      <c r="E245" s="20" t="s">
        <v>179</v>
      </c>
      <c r="F245" s="62" t="s">
        <v>347</v>
      </c>
      <c r="G245" s="87"/>
      <c r="H245" s="68">
        <v>0</v>
      </c>
      <c r="I245" s="68">
        <v>0</v>
      </c>
      <c r="J245" s="68">
        <v>0</v>
      </c>
      <c r="K245" s="68">
        <v>88400</v>
      </c>
      <c r="L245" s="68">
        <v>0</v>
      </c>
      <c r="M245" s="68">
        <v>267900</v>
      </c>
      <c r="N245" s="68">
        <v>0</v>
      </c>
      <c r="O245" s="68">
        <v>0</v>
      </c>
      <c r="P245" s="68">
        <v>0</v>
      </c>
      <c r="Q245" s="68">
        <v>0</v>
      </c>
      <c r="R245" s="68">
        <v>0</v>
      </c>
      <c r="S245" s="68">
        <v>0</v>
      </c>
      <c r="T245" s="111">
        <v>356300</v>
      </c>
    </row>
    <row r="246" spans="1:20" ht="70.5" customHeight="1" x14ac:dyDescent="0.25">
      <c r="A246" s="4">
        <v>311</v>
      </c>
      <c r="B246" s="52">
        <v>41</v>
      </c>
      <c r="C246" s="52">
        <v>930</v>
      </c>
      <c r="D246" s="53">
        <v>70499</v>
      </c>
      <c r="E246" s="20" t="s">
        <v>172</v>
      </c>
      <c r="F246" s="62" t="s">
        <v>348</v>
      </c>
      <c r="G246" s="87"/>
      <c r="H246" s="68">
        <v>0</v>
      </c>
      <c r="I246" s="68">
        <v>0</v>
      </c>
      <c r="J246" s="68">
        <v>0</v>
      </c>
      <c r="K246" s="68">
        <v>48620</v>
      </c>
      <c r="L246" s="68">
        <v>0</v>
      </c>
      <c r="M246" s="68">
        <v>629565</v>
      </c>
      <c r="N246" s="68">
        <v>0</v>
      </c>
      <c r="O246" s="68">
        <v>2461250</v>
      </c>
      <c r="P246" s="68">
        <v>0</v>
      </c>
      <c r="Q246" s="68">
        <v>3226500</v>
      </c>
      <c r="R246" s="68">
        <v>0</v>
      </c>
      <c r="S246" s="68">
        <v>4529525</v>
      </c>
      <c r="T246" s="111">
        <v>10895460</v>
      </c>
    </row>
    <row r="247" spans="1:20" ht="60" customHeight="1" x14ac:dyDescent="0.25">
      <c r="A247" s="4">
        <v>311</v>
      </c>
      <c r="B247" s="52">
        <v>41</v>
      </c>
      <c r="C247" s="52">
        <v>930</v>
      </c>
      <c r="D247" s="53">
        <v>70499</v>
      </c>
      <c r="E247" s="20" t="s">
        <v>175</v>
      </c>
      <c r="F247" s="62" t="s">
        <v>349</v>
      </c>
      <c r="G247" s="38"/>
      <c r="H247" s="68">
        <v>0</v>
      </c>
      <c r="I247" s="68">
        <v>0</v>
      </c>
      <c r="J247" s="68">
        <v>0</v>
      </c>
      <c r="K247" s="68">
        <v>0</v>
      </c>
      <c r="L247" s="68">
        <v>0</v>
      </c>
      <c r="M247" s="68">
        <v>178600</v>
      </c>
      <c r="N247" s="68">
        <v>0</v>
      </c>
      <c r="O247" s="68">
        <v>537000</v>
      </c>
      <c r="P247" s="68">
        <v>0</v>
      </c>
      <c r="Q247" s="68">
        <v>720000</v>
      </c>
      <c r="R247" s="68">
        <v>0</v>
      </c>
      <c r="S247" s="68">
        <v>362000</v>
      </c>
      <c r="T247" s="111">
        <v>1797600</v>
      </c>
    </row>
    <row r="248" spans="1:20" ht="68.25" customHeight="1" x14ac:dyDescent="0.25">
      <c r="A248" s="4">
        <v>311</v>
      </c>
      <c r="B248" s="52">
        <v>41</v>
      </c>
      <c r="C248" s="52">
        <v>930</v>
      </c>
      <c r="D248" s="53">
        <v>70499</v>
      </c>
      <c r="E248" s="20" t="s">
        <v>179</v>
      </c>
      <c r="F248" s="62" t="s">
        <v>350</v>
      </c>
      <c r="G248" s="38"/>
      <c r="H248" s="68">
        <v>0</v>
      </c>
      <c r="I248" s="68">
        <v>0</v>
      </c>
      <c r="J248" s="68">
        <v>0</v>
      </c>
      <c r="K248" s="68">
        <v>0</v>
      </c>
      <c r="L248" s="68">
        <v>0</v>
      </c>
      <c r="M248" s="68">
        <v>544730</v>
      </c>
      <c r="N248" s="68">
        <v>0</v>
      </c>
      <c r="O248" s="68">
        <v>939750</v>
      </c>
      <c r="P248" s="68">
        <v>0</v>
      </c>
      <c r="Q248" s="68">
        <v>1305000</v>
      </c>
      <c r="R248" s="68">
        <v>0</v>
      </c>
      <c r="S248" s="68">
        <v>1710450</v>
      </c>
      <c r="T248" s="111">
        <v>4499930</v>
      </c>
    </row>
    <row r="249" spans="1:20" s="121" customFormat="1" ht="18.75" x14ac:dyDescent="0.25">
      <c r="A249" s="160">
        <v>311</v>
      </c>
      <c r="B249" s="161">
        <v>41</v>
      </c>
      <c r="C249" s="161">
        <v>910</v>
      </c>
      <c r="D249" s="162">
        <v>70499</v>
      </c>
      <c r="E249" s="163"/>
      <c r="F249" s="164" t="s">
        <v>436</v>
      </c>
      <c r="G249" s="118"/>
      <c r="H249" s="68">
        <v>0</v>
      </c>
      <c r="I249" s="68">
        <v>0</v>
      </c>
      <c r="J249" s="68">
        <v>0</v>
      </c>
      <c r="K249" s="68">
        <v>0</v>
      </c>
      <c r="L249" s="68">
        <v>0</v>
      </c>
      <c r="M249" s="68">
        <v>0</v>
      </c>
      <c r="N249" s="68">
        <v>0</v>
      </c>
      <c r="O249" s="68">
        <v>0</v>
      </c>
      <c r="P249" s="68">
        <v>0</v>
      </c>
      <c r="Q249" s="68">
        <v>0</v>
      </c>
      <c r="R249" s="68">
        <v>0</v>
      </c>
      <c r="S249" s="68">
        <v>0</v>
      </c>
      <c r="T249" s="120"/>
    </row>
    <row r="250" spans="1:20" s="121" customFormat="1" ht="37.5" x14ac:dyDescent="0.25">
      <c r="A250" s="160">
        <v>311</v>
      </c>
      <c r="B250" s="161">
        <v>41</v>
      </c>
      <c r="C250" s="161">
        <v>930</v>
      </c>
      <c r="D250" s="162">
        <v>70499</v>
      </c>
      <c r="E250" s="163" t="s">
        <v>174</v>
      </c>
      <c r="F250" s="164" t="s">
        <v>437</v>
      </c>
      <c r="G250" s="118"/>
      <c r="H250" s="68">
        <v>0</v>
      </c>
      <c r="I250" s="68">
        <v>0</v>
      </c>
      <c r="J250" s="68">
        <v>0</v>
      </c>
      <c r="K250" s="68">
        <v>0</v>
      </c>
      <c r="L250" s="68">
        <v>0</v>
      </c>
      <c r="M250" s="68">
        <v>0</v>
      </c>
      <c r="N250" s="68">
        <v>0</v>
      </c>
      <c r="O250" s="68">
        <v>0</v>
      </c>
      <c r="P250" s="68">
        <v>0</v>
      </c>
      <c r="Q250" s="68">
        <v>0</v>
      </c>
      <c r="R250" s="68">
        <v>0</v>
      </c>
      <c r="S250" s="68">
        <v>0</v>
      </c>
      <c r="T250" s="120"/>
    </row>
    <row r="251" spans="1:20" s="121" customFormat="1" ht="18.75" x14ac:dyDescent="0.25">
      <c r="A251" s="114"/>
      <c r="B251" s="115"/>
      <c r="C251" s="115"/>
      <c r="D251" s="135"/>
      <c r="E251" s="117"/>
      <c r="F251" s="118"/>
      <c r="G251" s="118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20"/>
    </row>
    <row r="252" spans="1:20" s="121" customFormat="1" ht="18.75" x14ac:dyDescent="0.25">
      <c r="A252" s="114"/>
      <c r="B252" s="115"/>
      <c r="C252" s="115"/>
      <c r="D252" s="135"/>
      <c r="E252" s="117"/>
      <c r="F252" s="118"/>
      <c r="G252" s="118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20"/>
    </row>
    <row r="253" spans="1:20" s="121" customFormat="1" ht="18.75" x14ac:dyDescent="0.25">
      <c r="A253" s="114"/>
      <c r="B253" s="115"/>
      <c r="C253" s="115"/>
      <c r="D253" s="135"/>
      <c r="E253" s="117"/>
      <c r="F253" s="118"/>
      <c r="G253" s="118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20"/>
    </row>
    <row r="254" spans="1:20" ht="43.5" customHeight="1" x14ac:dyDescent="0.25">
      <c r="A254" s="56"/>
      <c r="B254" s="50"/>
      <c r="C254" s="50"/>
      <c r="D254" s="50"/>
      <c r="E254" s="54"/>
      <c r="F254" s="36" t="s">
        <v>65</v>
      </c>
      <c r="G254" s="36"/>
      <c r="H254" s="99">
        <v>1148554.08</v>
      </c>
      <c r="I254" s="99">
        <v>8365531.2160000009</v>
      </c>
      <c r="J254" s="99">
        <v>1410764.9920000001</v>
      </c>
      <c r="K254" s="99">
        <v>7005240.3200000012</v>
      </c>
      <c r="L254" s="99">
        <v>1957135.4129999997</v>
      </c>
      <c r="M254" s="99">
        <v>7030645.2589999996</v>
      </c>
      <c r="N254" s="99">
        <v>2131389.6949999998</v>
      </c>
      <c r="O254" s="99">
        <v>6947161.8399999999</v>
      </c>
      <c r="P254" s="99">
        <v>1484784</v>
      </c>
      <c r="Q254" s="99">
        <v>9045568.8000000007</v>
      </c>
      <c r="R254" s="99">
        <v>617182.85000000009</v>
      </c>
      <c r="S254" s="99">
        <v>8032852.4000000004</v>
      </c>
      <c r="T254" s="111">
        <v>46426999.835000001</v>
      </c>
    </row>
    <row r="255" spans="1:20" ht="18.75" x14ac:dyDescent="0.25">
      <c r="A255" s="57"/>
      <c r="B255" s="51"/>
      <c r="C255" s="51"/>
      <c r="D255" s="51"/>
      <c r="E255" s="55"/>
      <c r="F255" s="37" t="s">
        <v>6</v>
      </c>
      <c r="G255" s="37"/>
      <c r="H255" s="100">
        <v>1148554.08</v>
      </c>
      <c r="I255" s="100">
        <v>8365531.2160000009</v>
      </c>
      <c r="J255" s="100">
        <v>1410764.9920000001</v>
      </c>
      <c r="K255" s="100">
        <v>7005240.3200000012</v>
      </c>
      <c r="L255" s="100">
        <v>1957135.4129999997</v>
      </c>
      <c r="M255" s="100">
        <v>7030645.2589999996</v>
      </c>
      <c r="N255" s="100">
        <v>2131389.6949999998</v>
      </c>
      <c r="O255" s="100">
        <v>6947161.8399999999</v>
      </c>
      <c r="P255" s="100">
        <v>1484784</v>
      </c>
      <c r="Q255" s="100">
        <v>9045568.8000000007</v>
      </c>
      <c r="R255" s="100">
        <v>617182.85000000009</v>
      </c>
      <c r="S255" s="100">
        <v>8032852.4000000004</v>
      </c>
      <c r="T255" s="111">
        <v>46426999.835000001</v>
      </c>
    </row>
    <row r="256" spans="1:20" ht="37.5" x14ac:dyDescent="0.25">
      <c r="A256" s="10">
        <v>311</v>
      </c>
      <c r="B256" s="8">
        <v>43</v>
      </c>
      <c r="C256" s="8">
        <v>910</v>
      </c>
      <c r="D256" s="9">
        <v>70499</v>
      </c>
      <c r="E256" s="21"/>
      <c r="F256" s="83" t="s">
        <v>233</v>
      </c>
      <c r="G256" s="39"/>
      <c r="H256" s="68">
        <v>177200.19999999998</v>
      </c>
      <c r="I256" s="68">
        <v>0</v>
      </c>
      <c r="J256" s="68">
        <v>185038.88</v>
      </c>
      <c r="K256" s="68">
        <v>0</v>
      </c>
      <c r="L256" s="68">
        <v>291922.59299999999</v>
      </c>
      <c r="M256" s="68">
        <v>0</v>
      </c>
      <c r="N256" s="68">
        <v>131798.595</v>
      </c>
      <c r="O256" s="68">
        <v>0</v>
      </c>
      <c r="P256" s="68">
        <v>0</v>
      </c>
      <c r="Q256" s="68">
        <v>0</v>
      </c>
      <c r="R256" s="68">
        <v>0</v>
      </c>
      <c r="S256" s="68">
        <v>0</v>
      </c>
      <c r="T256" s="111">
        <v>0</v>
      </c>
    </row>
    <row r="257" spans="1:20" ht="37.5" x14ac:dyDescent="0.25">
      <c r="A257" s="10">
        <v>311</v>
      </c>
      <c r="B257" s="8">
        <v>43</v>
      </c>
      <c r="C257" s="8">
        <v>930</v>
      </c>
      <c r="D257" s="9">
        <v>70499</v>
      </c>
      <c r="E257" s="21" t="s">
        <v>166</v>
      </c>
      <c r="F257" s="83" t="s">
        <v>234</v>
      </c>
      <c r="G257" s="39"/>
      <c r="H257" s="68">
        <v>0</v>
      </c>
      <c r="I257" s="68">
        <v>366254.35599999997</v>
      </c>
      <c r="J257" s="68">
        <v>0</v>
      </c>
      <c r="K257" s="68">
        <v>525698.88800000004</v>
      </c>
      <c r="L257" s="68">
        <v>0</v>
      </c>
      <c r="M257" s="68">
        <v>849682.35600000003</v>
      </c>
      <c r="N257" s="68">
        <v>0</v>
      </c>
      <c r="O257" s="68">
        <v>383213.04499999998</v>
      </c>
      <c r="P257" s="68">
        <v>0</v>
      </c>
      <c r="Q257" s="68">
        <v>0</v>
      </c>
      <c r="R257" s="68">
        <v>0</v>
      </c>
      <c r="S257" s="68">
        <v>0</v>
      </c>
      <c r="T257" s="111">
        <v>2124848.645</v>
      </c>
    </row>
    <row r="258" spans="1:20" ht="37.5" x14ac:dyDescent="0.25">
      <c r="A258" s="10">
        <v>311</v>
      </c>
      <c r="B258" s="8">
        <v>43</v>
      </c>
      <c r="C258" s="8">
        <v>930</v>
      </c>
      <c r="D258" s="9">
        <v>70499</v>
      </c>
      <c r="E258" s="21" t="s">
        <v>175</v>
      </c>
      <c r="F258" s="83" t="s">
        <v>235</v>
      </c>
      <c r="G258" s="39"/>
      <c r="H258" s="68">
        <v>0</v>
      </c>
      <c r="I258" s="68">
        <v>183188.09199999998</v>
      </c>
      <c r="J258" s="68">
        <v>0</v>
      </c>
      <c r="K258" s="68">
        <v>262937.84399999998</v>
      </c>
      <c r="L258" s="68">
        <v>0</v>
      </c>
      <c r="M258" s="68">
        <v>424983.16499999998</v>
      </c>
      <c r="N258" s="68">
        <v>0</v>
      </c>
      <c r="O258" s="68">
        <v>191670.51500000001</v>
      </c>
      <c r="P258" s="68">
        <v>0</v>
      </c>
      <c r="Q258" s="68">
        <v>0</v>
      </c>
      <c r="R258" s="68">
        <v>0</v>
      </c>
      <c r="S258" s="68">
        <v>0</v>
      </c>
      <c r="T258" s="111">
        <v>1062779.6159999999</v>
      </c>
    </row>
    <row r="259" spans="1:20" ht="37.5" x14ac:dyDescent="0.25">
      <c r="A259" s="10">
        <v>311</v>
      </c>
      <c r="B259" s="8">
        <v>43</v>
      </c>
      <c r="C259" s="8">
        <v>920</v>
      </c>
      <c r="D259" s="9">
        <v>70499</v>
      </c>
      <c r="E259" s="21" t="s">
        <v>174</v>
      </c>
      <c r="F259" s="83" t="s">
        <v>236</v>
      </c>
      <c r="G259" s="39"/>
      <c r="H259" s="68">
        <v>0</v>
      </c>
      <c r="I259" s="68">
        <v>9160</v>
      </c>
      <c r="J259" s="68">
        <v>0</v>
      </c>
      <c r="K259" s="68">
        <v>0</v>
      </c>
      <c r="L259" s="68">
        <v>0</v>
      </c>
      <c r="M259" s="68">
        <v>0</v>
      </c>
      <c r="N259" s="68">
        <v>0</v>
      </c>
      <c r="O259" s="68">
        <v>0</v>
      </c>
      <c r="P259" s="68">
        <v>0</v>
      </c>
      <c r="Q259" s="68">
        <v>0</v>
      </c>
      <c r="R259" s="68">
        <v>0</v>
      </c>
      <c r="S259" s="68">
        <v>0</v>
      </c>
      <c r="T259" s="111">
        <v>9160</v>
      </c>
    </row>
    <row r="260" spans="1:20" ht="37.5" x14ac:dyDescent="0.25">
      <c r="A260" s="10">
        <v>311</v>
      </c>
      <c r="B260" s="8">
        <v>43</v>
      </c>
      <c r="C260" s="8">
        <v>930</v>
      </c>
      <c r="D260" s="9">
        <v>70499</v>
      </c>
      <c r="E260" s="21" t="s">
        <v>174</v>
      </c>
      <c r="F260" s="83" t="s">
        <v>237</v>
      </c>
      <c r="G260" s="39"/>
      <c r="H260" s="68">
        <v>0</v>
      </c>
      <c r="I260" s="68">
        <v>579873.79999999993</v>
      </c>
      <c r="J260" s="68">
        <v>0</v>
      </c>
      <c r="K260" s="68">
        <v>888205.18800000008</v>
      </c>
      <c r="L260" s="68">
        <v>0</v>
      </c>
      <c r="M260" s="68">
        <v>714400</v>
      </c>
      <c r="N260" s="68">
        <v>0</v>
      </c>
      <c r="O260" s="68">
        <v>609194.28</v>
      </c>
      <c r="P260" s="68">
        <v>0</v>
      </c>
      <c r="Q260" s="68">
        <v>477829.79999999993</v>
      </c>
      <c r="R260" s="68">
        <v>0</v>
      </c>
      <c r="S260" s="68">
        <v>181000</v>
      </c>
      <c r="T260" s="111">
        <v>3450503.068</v>
      </c>
    </row>
    <row r="261" spans="1:20" ht="37.5" x14ac:dyDescent="0.25">
      <c r="A261" s="4">
        <v>311</v>
      </c>
      <c r="B261" s="52">
        <v>43</v>
      </c>
      <c r="C261" s="52">
        <v>910</v>
      </c>
      <c r="D261" s="7">
        <v>70499</v>
      </c>
      <c r="E261" s="20"/>
      <c r="F261" s="83" t="s">
        <v>66</v>
      </c>
      <c r="G261" s="39"/>
      <c r="H261" s="68">
        <v>0</v>
      </c>
      <c r="I261" s="68">
        <v>0</v>
      </c>
      <c r="J261" s="68">
        <v>0</v>
      </c>
      <c r="K261" s="68">
        <v>0</v>
      </c>
      <c r="L261" s="68">
        <v>0</v>
      </c>
      <c r="M261" s="68">
        <v>0</v>
      </c>
      <c r="N261" s="68">
        <v>0</v>
      </c>
      <c r="O261" s="68">
        <v>0</v>
      </c>
      <c r="P261" s="68">
        <v>0</v>
      </c>
      <c r="Q261" s="68">
        <v>0</v>
      </c>
      <c r="R261" s="68">
        <v>0</v>
      </c>
      <c r="S261" s="68">
        <v>0</v>
      </c>
      <c r="T261" s="111">
        <v>0</v>
      </c>
    </row>
    <row r="262" spans="1:20" ht="37.5" x14ac:dyDescent="0.25">
      <c r="A262" s="4">
        <v>311</v>
      </c>
      <c r="B262" s="52">
        <v>43</v>
      </c>
      <c r="C262" s="52">
        <v>930</v>
      </c>
      <c r="D262" s="7">
        <v>70499</v>
      </c>
      <c r="E262" s="20" t="s">
        <v>166</v>
      </c>
      <c r="F262" s="83" t="s">
        <v>67</v>
      </c>
      <c r="G262" s="39"/>
      <c r="H262" s="68">
        <v>0</v>
      </c>
      <c r="I262" s="68">
        <v>0</v>
      </c>
      <c r="J262" s="68">
        <v>0</v>
      </c>
      <c r="K262" s="68">
        <v>0</v>
      </c>
      <c r="L262" s="68">
        <v>0</v>
      </c>
      <c r="M262" s="68">
        <v>0</v>
      </c>
      <c r="N262" s="68">
        <v>0</v>
      </c>
      <c r="O262" s="68">
        <v>0</v>
      </c>
      <c r="P262" s="68">
        <v>0</v>
      </c>
      <c r="Q262" s="68">
        <v>0</v>
      </c>
      <c r="R262" s="68">
        <v>0</v>
      </c>
      <c r="S262" s="68">
        <v>0</v>
      </c>
      <c r="T262" s="111">
        <v>0</v>
      </c>
    </row>
    <row r="263" spans="1:20" ht="37.5" x14ac:dyDescent="0.25">
      <c r="A263" s="10">
        <v>311</v>
      </c>
      <c r="B263" s="8">
        <v>43</v>
      </c>
      <c r="C263" s="8">
        <v>910</v>
      </c>
      <c r="D263" s="9">
        <v>70499</v>
      </c>
      <c r="E263" s="21"/>
      <c r="F263" s="83" t="s">
        <v>238</v>
      </c>
      <c r="G263" s="39"/>
      <c r="H263" s="68">
        <v>855791.32000000007</v>
      </c>
      <c r="I263" s="68">
        <v>0</v>
      </c>
      <c r="J263" s="68">
        <v>315240.58800000005</v>
      </c>
      <c r="K263" s="68">
        <v>0</v>
      </c>
      <c r="L263" s="68">
        <v>136682.57999999999</v>
      </c>
      <c r="M263" s="68">
        <v>0</v>
      </c>
      <c r="N263" s="68">
        <v>0</v>
      </c>
      <c r="O263" s="68">
        <v>0</v>
      </c>
      <c r="P263" s="68">
        <v>0</v>
      </c>
      <c r="Q263" s="68">
        <v>0</v>
      </c>
      <c r="R263" s="68">
        <v>0</v>
      </c>
      <c r="S263" s="68">
        <v>0</v>
      </c>
      <c r="T263" s="111">
        <v>0</v>
      </c>
    </row>
    <row r="264" spans="1:20" ht="37.5" x14ac:dyDescent="0.25">
      <c r="A264" s="4">
        <v>311</v>
      </c>
      <c r="B264" s="52">
        <v>43</v>
      </c>
      <c r="C264" s="52">
        <v>930</v>
      </c>
      <c r="D264" s="7">
        <v>70499</v>
      </c>
      <c r="E264" s="20" t="s">
        <v>174</v>
      </c>
      <c r="F264" s="83" t="s">
        <v>239</v>
      </c>
      <c r="G264" s="39"/>
      <c r="H264" s="68">
        <v>0</v>
      </c>
      <c r="I264" s="68">
        <v>524171.83999999991</v>
      </c>
      <c r="J264" s="68">
        <v>0</v>
      </c>
      <c r="K264" s="68">
        <v>450601.32000000007</v>
      </c>
      <c r="L264" s="68">
        <v>0</v>
      </c>
      <c r="M264" s="68">
        <v>196457.32099999997</v>
      </c>
      <c r="N264" s="68">
        <v>0</v>
      </c>
      <c r="O264" s="68">
        <v>0</v>
      </c>
      <c r="P264" s="68">
        <v>0</v>
      </c>
      <c r="Q264" s="68">
        <v>0</v>
      </c>
      <c r="R264" s="68">
        <v>0</v>
      </c>
      <c r="S264" s="68">
        <v>0</v>
      </c>
      <c r="T264" s="111">
        <v>1171230.4809999999</v>
      </c>
    </row>
    <row r="265" spans="1:20" ht="37.5" x14ac:dyDescent="0.25">
      <c r="A265" s="4">
        <v>311</v>
      </c>
      <c r="B265" s="52">
        <v>43</v>
      </c>
      <c r="C265" s="52">
        <v>930</v>
      </c>
      <c r="D265" s="7">
        <v>70499</v>
      </c>
      <c r="E265" s="20" t="s">
        <v>166</v>
      </c>
      <c r="F265" s="83" t="s">
        <v>240</v>
      </c>
      <c r="G265" s="39"/>
      <c r="H265" s="68">
        <v>0</v>
      </c>
      <c r="I265" s="68">
        <v>980669.6</v>
      </c>
      <c r="J265" s="68">
        <v>0</v>
      </c>
      <c r="K265" s="68">
        <v>836619.36800000013</v>
      </c>
      <c r="L265" s="68">
        <v>0</v>
      </c>
      <c r="M265" s="68">
        <v>386276.08</v>
      </c>
      <c r="N265" s="68">
        <v>0</v>
      </c>
      <c r="O265" s="68">
        <v>0</v>
      </c>
      <c r="P265" s="68">
        <v>0</v>
      </c>
      <c r="Q265" s="68">
        <v>0</v>
      </c>
      <c r="R265" s="68">
        <v>0</v>
      </c>
      <c r="S265" s="68">
        <v>0</v>
      </c>
      <c r="T265" s="111">
        <v>2203565.048</v>
      </c>
    </row>
    <row r="266" spans="1:20" ht="37.5" x14ac:dyDescent="0.25">
      <c r="A266" s="4">
        <v>311</v>
      </c>
      <c r="B266" s="52">
        <v>43</v>
      </c>
      <c r="C266" s="52">
        <v>930</v>
      </c>
      <c r="D266" s="7">
        <v>70499</v>
      </c>
      <c r="E266" s="20" t="s">
        <v>165</v>
      </c>
      <c r="F266" s="83" t="s">
        <v>241</v>
      </c>
      <c r="G266" s="39"/>
      <c r="H266" s="68">
        <v>0</v>
      </c>
      <c r="I266" s="68">
        <v>746430.08</v>
      </c>
      <c r="J266" s="68">
        <v>0</v>
      </c>
      <c r="K266" s="68">
        <v>635925.73199999996</v>
      </c>
      <c r="L266" s="68">
        <v>0</v>
      </c>
      <c r="M266" s="68">
        <v>299388.96599999996</v>
      </c>
      <c r="N266" s="68">
        <v>0</v>
      </c>
      <c r="O266" s="68">
        <v>0</v>
      </c>
      <c r="P266" s="68">
        <v>0</v>
      </c>
      <c r="Q266" s="68">
        <v>0</v>
      </c>
      <c r="R266" s="68">
        <v>0</v>
      </c>
      <c r="S266" s="68">
        <v>0</v>
      </c>
      <c r="T266" s="111">
        <v>1681744.7779999999</v>
      </c>
    </row>
    <row r="267" spans="1:20" ht="37.5" x14ac:dyDescent="0.25">
      <c r="A267" s="4">
        <v>311</v>
      </c>
      <c r="B267" s="52">
        <v>43</v>
      </c>
      <c r="C267" s="52">
        <v>930</v>
      </c>
      <c r="D267" s="7">
        <v>70499</v>
      </c>
      <c r="E267" s="20" t="s">
        <v>175</v>
      </c>
      <c r="F267" s="83" t="s">
        <v>242</v>
      </c>
      <c r="G267" s="39"/>
      <c r="H267" s="68">
        <v>0</v>
      </c>
      <c r="I267" s="68">
        <v>286863.71999999997</v>
      </c>
      <c r="J267" s="68">
        <v>0</v>
      </c>
      <c r="K267" s="68">
        <v>245780.28800000003</v>
      </c>
      <c r="L267" s="68">
        <v>0</v>
      </c>
      <c r="M267" s="68">
        <v>106407.20099999999</v>
      </c>
      <c r="N267" s="68">
        <v>0</v>
      </c>
      <c r="O267" s="68">
        <v>0</v>
      </c>
      <c r="P267" s="68">
        <v>0</v>
      </c>
      <c r="Q267" s="68">
        <v>0</v>
      </c>
      <c r="R267" s="68">
        <v>0</v>
      </c>
      <c r="S267" s="68">
        <v>0</v>
      </c>
      <c r="T267" s="111">
        <v>639051.20900000003</v>
      </c>
    </row>
    <row r="268" spans="1:20" ht="37.5" x14ac:dyDescent="0.25">
      <c r="A268" s="4">
        <v>311</v>
      </c>
      <c r="B268" s="53">
        <v>43</v>
      </c>
      <c r="C268" s="53">
        <v>910</v>
      </c>
      <c r="D268" s="7">
        <v>70499</v>
      </c>
      <c r="E268" s="20"/>
      <c r="F268" s="39" t="s">
        <v>243</v>
      </c>
      <c r="G268" s="39"/>
      <c r="H268" s="68">
        <v>6412</v>
      </c>
      <c r="I268" s="68">
        <v>0</v>
      </c>
      <c r="J268" s="68">
        <v>0</v>
      </c>
      <c r="K268" s="68">
        <v>0</v>
      </c>
      <c r="L268" s="68">
        <v>0</v>
      </c>
      <c r="M268" s="68">
        <v>0</v>
      </c>
      <c r="N268" s="68">
        <v>0</v>
      </c>
      <c r="O268" s="68">
        <v>0</v>
      </c>
      <c r="P268" s="68">
        <v>0</v>
      </c>
      <c r="Q268" s="68">
        <v>0</v>
      </c>
      <c r="R268" s="68">
        <v>0</v>
      </c>
      <c r="S268" s="68">
        <v>0</v>
      </c>
      <c r="T268" s="111">
        <v>0</v>
      </c>
    </row>
    <row r="269" spans="1:20" ht="37.5" x14ac:dyDescent="0.25">
      <c r="A269" s="4">
        <v>311</v>
      </c>
      <c r="B269" s="53">
        <v>43</v>
      </c>
      <c r="C269" s="53">
        <v>930</v>
      </c>
      <c r="D269" s="7">
        <v>70499</v>
      </c>
      <c r="E269" s="20" t="s">
        <v>419</v>
      </c>
      <c r="F269" s="43" t="s">
        <v>428</v>
      </c>
      <c r="G269" s="43"/>
      <c r="H269" s="68">
        <v>0</v>
      </c>
      <c r="I269" s="68">
        <v>45800</v>
      </c>
      <c r="J269" s="68">
        <v>0</v>
      </c>
      <c r="K269" s="68">
        <v>0</v>
      </c>
      <c r="L269" s="68">
        <v>0</v>
      </c>
      <c r="M269" s="68">
        <v>0</v>
      </c>
      <c r="N269" s="68">
        <v>0</v>
      </c>
      <c r="O269" s="68">
        <v>0</v>
      </c>
      <c r="P269" s="68">
        <v>0</v>
      </c>
      <c r="Q269" s="68">
        <v>0</v>
      </c>
      <c r="R269" s="68">
        <v>0</v>
      </c>
      <c r="S269" s="68">
        <v>0</v>
      </c>
      <c r="T269" s="111">
        <v>45800</v>
      </c>
    </row>
    <row r="270" spans="1:20" ht="18.75" x14ac:dyDescent="0.25">
      <c r="A270" s="4">
        <v>311</v>
      </c>
      <c r="B270" s="53">
        <v>43</v>
      </c>
      <c r="C270" s="53">
        <v>930</v>
      </c>
      <c r="D270" s="53">
        <v>70499</v>
      </c>
      <c r="E270" s="48" t="s">
        <v>167</v>
      </c>
      <c r="F270" s="39" t="s">
        <v>68</v>
      </c>
      <c r="G270" s="39"/>
      <c r="H270" s="68">
        <v>0</v>
      </c>
      <c r="I270" s="68">
        <v>0</v>
      </c>
      <c r="J270" s="68">
        <v>0</v>
      </c>
      <c r="K270" s="68">
        <v>0</v>
      </c>
      <c r="L270" s="68">
        <v>0</v>
      </c>
      <c r="M270" s="68">
        <v>0</v>
      </c>
      <c r="N270" s="68">
        <v>0</v>
      </c>
      <c r="O270" s="68">
        <v>0</v>
      </c>
      <c r="P270" s="68">
        <v>0</v>
      </c>
      <c r="Q270" s="68">
        <v>0</v>
      </c>
      <c r="R270" s="68">
        <v>0</v>
      </c>
      <c r="S270" s="68">
        <v>0</v>
      </c>
      <c r="T270" s="111">
        <v>0</v>
      </c>
    </row>
    <row r="271" spans="1:20" ht="18.75" x14ac:dyDescent="0.25">
      <c r="A271" s="4">
        <v>311</v>
      </c>
      <c r="B271" s="53">
        <v>43</v>
      </c>
      <c r="C271" s="53">
        <v>910</v>
      </c>
      <c r="D271" s="53">
        <v>70499</v>
      </c>
      <c r="E271" s="48"/>
      <c r="F271" s="83" t="s">
        <v>244</v>
      </c>
      <c r="G271" s="39"/>
      <c r="H271" s="68">
        <v>0</v>
      </c>
      <c r="I271" s="68">
        <v>0</v>
      </c>
      <c r="J271" s="68">
        <v>0</v>
      </c>
      <c r="K271" s="68">
        <v>0</v>
      </c>
      <c r="L271" s="68">
        <v>0</v>
      </c>
      <c r="M271" s="68">
        <v>0</v>
      </c>
      <c r="N271" s="68">
        <v>0</v>
      </c>
      <c r="O271" s="68">
        <v>0</v>
      </c>
      <c r="P271" s="68">
        <v>0</v>
      </c>
      <c r="Q271" s="68">
        <v>0</v>
      </c>
      <c r="R271" s="68">
        <v>0</v>
      </c>
      <c r="S271" s="68">
        <v>0</v>
      </c>
      <c r="T271" s="111">
        <v>0</v>
      </c>
    </row>
    <row r="272" spans="1:20" ht="37.5" x14ac:dyDescent="0.25">
      <c r="A272" s="4">
        <v>311</v>
      </c>
      <c r="B272" s="53">
        <v>43</v>
      </c>
      <c r="C272" s="53">
        <v>920</v>
      </c>
      <c r="D272" s="53">
        <v>70499</v>
      </c>
      <c r="E272" s="48" t="s">
        <v>173</v>
      </c>
      <c r="F272" s="83" t="s">
        <v>245</v>
      </c>
      <c r="G272" s="39"/>
      <c r="H272" s="68">
        <v>0</v>
      </c>
      <c r="I272" s="68">
        <v>147842.4</v>
      </c>
      <c r="J272" s="68">
        <v>0</v>
      </c>
      <c r="K272" s="68">
        <v>35360</v>
      </c>
      <c r="L272" s="68">
        <v>0</v>
      </c>
      <c r="M272" s="68">
        <v>98230</v>
      </c>
      <c r="N272" s="68">
        <v>0</v>
      </c>
      <c r="O272" s="68">
        <v>13425</v>
      </c>
      <c r="P272" s="68">
        <v>0</v>
      </c>
      <c r="Q272" s="68">
        <v>0</v>
      </c>
      <c r="R272" s="68">
        <v>0</v>
      </c>
      <c r="S272" s="68">
        <v>0</v>
      </c>
      <c r="T272" s="111">
        <v>294857.40000000002</v>
      </c>
    </row>
    <row r="273" spans="1:20" ht="37.5" x14ac:dyDescent="0.25">
      <c r="A273" s="4">
        <v>311</v>
      </c>
      <c r="B273" s="53">
        <v>43</v>
      </c>
      <c r="C273" s="53">
        <v>930</v>
      </c>
      <c r="D273" s="53">
        <v>70499</v>
      </c>
      <c r="E273" s="48" t="s">
        <v>173</v>
      </c>
      <c r="F273" s="83" t="s">
        <v>246</v>
      </c>
      <c r="G273" s="39"/>
      <c r="H273" s="68">
        <v>0</v>
      </c>
      <c r="I273" s="68">
        <v>164880</v>
      </c>
      <c r="J273" s="68">
        <v>0</v>
      </c>
      <c r="K273" s="68">
        <v>8840</v>
      </c>
      <c r="L273" s="68">
        <v>0</v>
      </c>
      <c r="M273" s="68">
        <v>141076.13999999998</v>
      </c>
      <c r="N273" s="68">
        <v>0</v>
      </c>
      <c r="O273" s="68">
        <v>0</v>
      </c>
      <c r="P273" s="68">
        <v>0</v>
      </c>
      <c r="Q273" s="68">
        <v>0</v>
      </c>
      <c r="R273" s="68">
        <v>0</v>
      </c>
      <c r="S273" s="68">
        <v>0</v>
      </c>
      <c r="T273" s="111">
        <v>314796.14</v>
      </c>
    </row>
    <row r="274" spans="1:20" ht="37.5" x14ac:dyDescent="0.25">
      <c r="A274" s="4">
        <v>311</v>
      </c>
      <c r="B274" s="53">
        <v>43</v>
      </c>
      <c r="C274" s="53">
        <v>910</v>
      </c>
      <c r="D274" s="53">
        <v>70499</v>
      </c>
      <c r="E274" s="48"/>
      <c r="F274" s="83" t="s">
        <v>247</v>
      </c>
      <c r="G274" s="39"/>
      <c r="H274" s="68">
        <v>0</v>
      </c>
      <c r="I274" s="68">
        <v>0</v>
      </c>
      <c r="J274" s="68">
        <v>0</v>
      </c>
      <c r="K274" s="68">
        <v>0</v>
      </c>
      <c r="L274" s="68">
        <v>0</v>
      </c>
      <c r="M274" s="68">
        <v>0</v>
      </c>
      <c r="N274" s="68">
        <v>0</v>
      </c>
      <c r="O274" s="68">
        <v>0</v>
      </c>
      <c r="P274" s="68">
        <v>0</v>
      </c>
      <c r="Q274" s="68">
        <v>0</v>
      </c>
      <c r="R274" s="68">
        <v>0</v>
      </c>
      <c r="S274" s="68">
        <v>0</v>
      </c>
      <c r="T274" s="111">
        <v>0</v>
      </c>
    </row>
    <row r="275" spans="1:20" ht="37.5" x14ac:dyDescent="0.25">
      <c r="A275" s="4">
        <v>311</v>
      </c>
      <c r="B275" s="53">
        <v>43</v>
      </c>
      <c r="C275" s="53">
        <v>920</v>
      </c>
      <c r="D275" s="53">
        <v>70499</v>
      </c>
      <c r="E275" s="48" t="s">
        <v>173</v>
      </c>
      <c r="F275" s="83" t="s">
        <v>248</v>
      </c>
      <c r="G275" s="39"/>
      <c r="H275" s="68">
        <v>0</v>
      </c>
      <c r="I275" s="68">
        <v>59585.799999999996</v>
      </c>
      <c r="J275" s="68">
        <v>0</v>
      </c>
      <c r="K275" s="68">
        <v>39780</v>
      </c>
      <c r="L275" s="68">
        <v>0</v>
      </c>
      <c r="M275" s="68">
        <v>35720</v>
      </c>
      <c r="N275" s="68">
        <v>0</v>
      </c>
      <c r="O275" s="68">
        <v>31325</v>
      </c>
      <c r="P275" s="68">
        <v>0</v>
      </c>
      <c r="Q275" s="68">
        <v>0</v>
      </c>
      <c r="R275" s="68">
        <v>0</v>
      </c>
      <c r="S275" s="68">
        <v>0</v>
      </c>
      <c r="T275" s="111">
        <v>166410.79999999999</v>
      </c>
    </row>
    <row r="276" spans="1:20" ht="37.5" x14ac:dyDescent="0.25">
      <c r="A276" s="4">
        <v>311</v>
      </c>
      <c r="B276" s="53">
        <v>43</v>
      </c>
      <c r="C276" s="53">
        <v>930</v>
      </c>
      <c r="D276" s="53">
        <v>70499</v>
      </c>
      <c r="E276" s="48" t="s">
        <v>173</v>
      </c>
      <c r="F276" s="83" t="s">
        <v>249</v>
      </c>
      <c r="G276" s="39"/>
      <c r="H276" s="68">
        <v>0</v>
      </c>
      <c r="I276" s="68">
        <v>64119.999999999993</v>
      </c>
      <c r="J276" s="68">
        <v>0</v>
      </c>
      <c r="K276" s="68">
        <v>47444.280000000006</v>
      </c>
      <c r="L276" s="68">
        <v>0</v>
      </c>
      <c r="M276" s="68">
        <v>51177.83</v>
      </c>
      <c r="N276" s="68">
        <v>0</v>
      </c>
      <c r="O276" s="68">
        <v>55642.15</v>
      </c>
      <c r="P276" s="68">
        <v>0</v>
      </c>
      <c r="Q276" s="68">
        <v>0</v>
      </c>
      <c r="R276" s="68">
        <v>0</v>
      </c>
      <c r="S276" s="68">
        <v>0</v>
      </c>
      <c r="T276" s="111">
        <v>218384.25999999998</v>
      </c>
    </row>
    <row r="277" spans="1:20" ht="37.5" x14ac:dyDescent="0.25">
      <c r="A277" s="4">
        <v>311</v>
      </c>
      <c r="B277" s="53">
        <v>43</v>
      </c>
      <c r="C277" s="53">
        <v>910</v>
      </c>
      <c r="D277" s="7">
        <v>70499</v>
      </c>
      <c r="E277" s="20"/>
      <c r="F277" s="83" t="s">
        <v>250</v>
      </c>
      <c r="G277" s="39"/>
      <c r="H277" s="68">
        <v>109150.55999999998</v>
      </c>
      <c r="I277" s="68">
        <v>0</v>
      </c>
      <c r="J277" s="68">
        <v>304705.96000000002</v>
      </c>
      <c r="K277" s="68">
        <v>0</v>
      </c>
      <c r="L277" s="68">
        <v>749485.97</v>
      </c>
      <c r="M277" s="68">
        <v>0</v>
      </c>
      <c r="N277" s="68">
        <v>639379.04999999993</v>
      </c>
      <c r="O277" s="68">
        <v>0</v>
      </c>
      <c r="P277" s="68">
        <v>266184</v>
      </c>
      <c r="Q277" s="68">
        <v>0</v>
      </c>
      <c r="R277" s="68">
        <v>179950.2</v>
      </c>
      <c r="S277" s="68">
        <v>0</v>
      </c>
      <c r="T277" s="111">
        <v>0</v>
      </c>
    </row>
    <row r="278" spans="1:20" ht="37.5" x14ac:dyDescent="0.25">
      <c r="A278" s="4">
        <v>311</v>
      </c>
      <c r="B278" s="53">
        <v>43</v>
      </c>
      <c r="C278" s="53">
        <v>920</v>
      </c>
      <c r="D278" s="7">
        <v>70499</v>
      </c>
      <c r="E278" s="20" t="s">
        <v>173</v>
      </c>
      <c r="F278" s="83" t="s">
        <v>251</v>
      </c>
      <c r="G278" s="39"/>
      <c r="H278" s="68">
        <v>0</v>
      </c>
      <c r="I278" s="68">
        <v>28991.399999999998</v>
      </c>
      <c r="J278" s="68">
        <v>0</v>
      </c>
      <c r="K278" s="68">
        <v>160737.72</v>
      </c>
      <c r="L278" s="68">
        <v>0</v>
      </c>
      <c r="M278" s="68">
        <v>131253.13999999998</v>
      </c>
      <c r="N278" s="68">
        <v>0</v>
      </c>
      <c r="O278" s="68">
        <v>201786.69999999998</v>
      </c>
      <c r="P278" s="68">
        <v>0</v>
      </c>
      <c r="Q278" s="68">
        <v>417294.00000000006</v>
      </c>
      <c r="R278" s="68">
        <v>0</v>
      </c>
      <c r="S278" s="68">
        <v>583064.35</v>
      </c>
      <c r="T278" s="111">
        <v>1523127.31</v>
      </c>
    </row>
    <row r="279" spans="1:20" ht="37.5" x14ac:dyDescent="0.25">
      <c r="A279" s="4">
        <v>311</v>
      </c>
      <c r="B279" s="53">
        <v>43</v>
      </c>
      <c r="C279" s="53">
        <v>930</v>
      </c>
      <c r="D279" s="7">
        <v>70499</v>
      </c>
      <c r="E279" s="20" t="s">
        <v>173</v>
      </c>
      <c r="F279" s="83" t="s">
        <v>252</v>
      </c>
      <c r="G279" s="39"/>
      <c r="H279" s="68">
        <v>0</v>
      </c>
      <c r="I279" s="68">
        <v>191233.31999999998</v>
      </c>
      <c r="J279" s="68">
        <v>0</v>
      </c>
      <c r="K279" s="68">
        <v>1072716.32</v>
      </c>
      <c r="L279" s="68">
        <v>0</v>
      </c>
      <c r="M279" s="68">
        <v>1071600</v>
      </c>
      <c r="N279" s="68">
        <v>0</v>
      </c>
      <c r="O279" s="68">
        <v>1724620.25</v>
      </c>
      <c r="P279" s="68">
        <v>0</v>
      </c>
      <c r="Q279" s="68">
        <v>1593702</v>
      </c>
      <c r="R279" s="68">
        <v>0</v>
      </c>
      <c r="S279" s="68">
        <v>1790660.1500000004</v>
      </c>
      <c r="T279" s="111">
        <v>7444532.040000001</v>
      </c>
    </row>
    <row r="280" spans="1:20" ht="37.5" x14ac:dyDescent="0.25">
      <c r="A280" s="4">
        <v>311</v>
      </c>
      <c r="B280" s="53">
        <v>43</v>
      </c>
      <c r="C280" s="53">
        <v>910</v>
      </c>
      <c r="D280" s="7">
        <v>70499</v>
      </c>
      <c r="E280" s="20"/>
      <c r="F280" s="83" t="s">
        <v>253</v>
      </c>
      <c r="G280" s="39"/>
      <c r="H280" s="68">
        <v>0</v>
      </c>
      <c r="I280" s="68">
        <v>0</v>
      </c>
      <c r="J280" s="68">
        <v>97699.680000000008</v>
      </c>
      <c r="K280" s="68">
        <v>0</v>
      </c>
      <c r="L280" s="68">
        <v>345448.12</v>
      </c>
      <c r="M280" s="68">
        <v>0</v>
      </c>
      <c r="N280" s="68">
        <v>346221.8</v>
      </c>
      <c r="O280" s="68">
        <v>0</v>
      </c>
      <c r="P280" s="68">
        <v>198945</v>
      </c>
      <c r="Q280" s="68">
        <v>0</v>
      </c>
      <c r="R280" s="68">
        <v>0</v>
      </c>
      <c r="S280" s="68">
        <v>0</v>
      </c>
      <c r="T280" s="111">
        <v>0</v>
      </c>
    </row>
    <row r="281" spans="1:20" ht="37.5" x14ac:dyDescent="0.25">
      <c r="A281" s="4">
        <v>311</v>
      </c>
      <c r="B281" s="53">
        <v>43</v>
      </c>
      <c r="C281" s="53">
        <v>920</v>
      </c>
      <c r="D281" s="7">
        <v>70499</v>
      </c>
      <c r="E281" s="20" t="s">
        <v>176</v>
      </c>
      <c r="F281" s="83" t="s">
        <v>254</v>
      </c>
      <c r="G281" s="39"/>
      <c r="H281" s="68">
        <v>0</v>
      </c>
      <c r="I281" s="68">
        <v>9874.48</v>
      </c>
      <c r="J281" s="68">
        <v>0</v>
      </c>
      <c r="K281" s="68">
        <v>61906.52</v>
      </c>
      <c r="L281" s="68">
        <v>0</v>
      </c>
      <c r="M281" s="68">
        <v>125082.51</v>
      </c>
      <c r="N281" s="68">
        <v>0</v>
      </c>
      <c r="O281" s="68">
        <v>94019.75</v>
      </c>
      <c r="P281" s="68">
        <v>0</v>
      </c>
      <c r="Q281" s="68">
        <v>21816</v>
      </c>
      <c r="R281" s="68">
        <v>0</v>
      </c>
      <c r="S281" s="68">
        <v>0</v>
      </c>
      <c r="T281" s="111">
        <v>312699.26</v>
      </c>
    </row>
    <row r="282" spans="1:20" ht="37.5" x14ac:dyDescent="0.25">
      <c r="A282" s="4">
        <v>311</v>
      </c>
      <c r="B282" s="53">
        <v>43</v>
      </c>
      <c r="C282" s="53">
        <v>930</v>
      </c>
      <c r="D282" s="7">
        <v>70499</v>
      </c>
      <c r="E282" s="20" t="s">
        <v>176</v>
      </c>
      <c r="F282" s="83" t="s">
        <v>255</v>
      </c>
      <c r="G282" s="39"/>
      <c r="H282" s="68">
        <v>0</v>
      </c>
      <c r="I282" s="68">
        <v>167014.28</v>
      </c>
      <c r="J282" s="68">
        <v>0</v>
      </c>
      <c r="K282" s="68">
        <v>427573.12000000005</v>
      </c>
      <c r="L282" s="68">
        <v>0</v>
      </c>
      <c r="M282" s="68">
        <v>267900</v>
      </c>
      <c r="N282" s="68">
        <v>0</v>
      </c>
      <c r="O282" s="68">
        <v>1515127.5999999999</v>
      </c>
      <c r="P282" s="68">
        <v>0</v>
      </c>
      <c r="Q282" s="68">
        <v>1523592</v>
      </c>
      <c r="R282" s="68">
        <v>0</v>
      </c>
      <c r="S282" s="68">
        <v>438952.15</v>
      </c>
      <c r="T282" s="111">
        <v>4340159.1500000004</v>
      </c>
    </row>
    <row r="283" spans="1:20" ht="18.75" x14ac:dyDescent="0.25">
      <c r="A283" s="4">
        <v>311</v>
      </c>
      <c r="B283" s="53">
        <v>43</v>
      </c>
      <c r="C283" s="53">
        <v>910</v>
      </c>
      <c r="D283" s="7">
        <v>70499</v>
      </c>
      <c r="E283" s="20" t="s">
        <v>419</v>
      </c>
      <c r="F283" s="83" t="s">
        <v>429</v>
      </c>
      <c r="G283" s="39"/>
      <c r="H283" s="68">
        <v>0</v>
      </c>
      <c r="I283" s="68">
        <v>0</v>
      </c>
      <c r="J283" s="68">
        <v>2139.2800000000002</v>
      </c>
      <c r="K283" s="68">
        <v>0</v>
      </c>
      <c r="L283" s="68">
        <v>433596.14999999997</v>
      </c>
      <c r="M283" s="68">
        <v>0</v>
      </c>
      <c r="N283" s="68">
        <v>1013990.25</v>
      </c>
      <c r="O283" s="68">
        <v>0</v>
      </c>
      <c r="P283" s="68">
        <v>1019655</v>
      </c>
      <c r="Q283" s="68">
        <v>0</v>
      </c>
      <c r="R283" s="68">
        <v>437232.65</v>
      </c>
      <c r="S283" s="68">
        <v>0</v>
      </c>
      <c r="T283" s="111">
        <v>0</v>
      </c>
    </row>
    <row r="284" spans="1:20" ht="38.25" customHeight="1" x14ac:dyDescent="0.25">
      <c r="A284" s="4">
        <v>311</v>
      </c>
      <c r="B284" s="53">
        <v>43</v>
      </c>
      <c r="C284" s="53">
        <v>930</v>
      </c>
      <c r="D284" s="7">
        <v>70499</v>
      </c>
      <c r="E284" s="20" t="s">
        <v>419</v>
      </c>
      <c r="F284" s="83" t="s">
        <v>430</v>
      </c>
      <c r="G284" s="39"/>
      <c r="H284" s="68">
        <v>0</v>
      </c>
      <c r="I284" s="68">
        <v>0</v>
      </c>
      <c r="J284" s="68">
        <v>0</v>
      </c>
      <c r="K284" s="68">
        <v>8539.44</v>
      </c>
      <c r="L284" s="68">
        <v>0</v>
      </c>
      <c r="M284" s="68">
        <v>2131010.5499999998</v>
      </c>
      <c r="N284" s="68">
        <v>0</v>
      </c>
      <c r="O284" s="68">
        <v>2127137.5500000003</v>
      </c>
      <c r="P284" s="68">
        <v>0</v>
      </c>
      <c r="Q284" s="68">
        <v>5011335</v>
      </c>
      <c r="R284" s="68">
        <v>0</v>
      </c>
      <c r="S284" s="68">
        <v>5039175.75</v>
      </c>
      <c r="T284" s="111">
        <v>14317198.289999999</v>
      </c>
    </row>
    <row r="285" spans="1:20" ht="37.5" x14ac:dyDescent="0.25">
      <c r="A285" s="4">
        <v>311</v>
      </c>
      <c r="B285" s="53">
        <v>43</v>
      </c>
      <c r="C285" s="53">
        <v>920</v>
      </c>
      <c r="D285" s="7">
        <v>70499</v>
      </c>
      <c r="E285" s="20" t="s">
        <v>172</v>
      </c>
      <c r="F285" s="72" t="s">
        <v>256</v>
      </c>
      <c r="G285" s="39"/>
      <c r="H285" s="68">
        <v>0</v>
      </c>
      <c r="I285" s="68">
        <v>18320</v>
      </c>
      <c r="J285" s="68">
        <v>0</v>
      </c>
      <c r="K285" s="68">
        <v>216580</v>
      </c>
      <c r="L285" s="68">
        <v>0</v>
      </c>
      <c r="M285" s="68">
        <v>0</v>
      </c>
      <c r="N285" s="68">
        <v>0</v>
      </c>
      <c r="O285" s="68">
        <v>0</v>
      </c>
      <c r="P285" s="68">
        <v>0</v>
      </c>
      <c r="Q285" s="68">
        <v>0</v>
      </c>
      <c r="R285" s="68">
        <v>0</v>
      </c>
      <c r="S285" s="68">
        <v>0</v>
      </c>
      <c r="T285" s="111">
        <v>234900</v>
      </c>
    </row>
    <row r="286" spans="1:20" ht="40.5" customHeight="1" x14ac:dyDescent="0.25">
      <c r="A286" s="4">
        <v>311</v>
      </c>
      <c r="B286" s="53">
        <v>43</v>
      </c>
      <c r="C286" s="53">
        <v>930</v>
      </c>
      <c r="D286" s="7">
        <v>70499</v>
      </c>
      <c r="E286" s="20" t="s">
        <v>172</v>
      </c>
      <c r="F286" s="72" t="s">
        <v>257</v>
      </c>
      <c r="G286" s="39"/>
      <c r="H286" s="68">
        <v>0</v>
      </c>
      <c r="I286" s="68">
        <v>458000</v>
      </c>
      <c r="J286" s="68">
        <v>0</v>
      </c>
      <c r="K286" s="68">
        <v>44200</v>
      </c>
      <c r="L286" s="68">
        <v>0</v>
      </c>
      <c r="M286" s="68">
        <v>0</v>
      </c>
      <c r="N286" s="68">
        <v>0</v>
      </c>
      <c r="O286" s="68">
        <v>0</v>
      </c>
      <c r="P286" s="68">
        <v>0</v>
      </c>
      <c r="Q286" s="68">
        <v>0</v>
      </c>
      <c r="R286" s="68">
        <v>0</v>
      </c>
      <c r="S286" s="68">
        <v>0</v>
      </c>
      <c r="T286" s="111">
        <v>502200</v>
      </c>
    </row>
    <row r="287" spans="1:20" ht="45" customHeight="1" x14ac:dyDescent="0.25">
      <c r="A287" s="4">
        <v>311</v>
      </c>
      <c r="B287" s="53">
        <v>43</v>
      </c>
      <c r="C287" s="53">
        <v>910</v>
      </c>
      <c r="D287" s="53">
        <v>70499</v>
      </c>
      <c r="E287" s="48"/>
      <c r="F287" s="72" t="s">
        <v>258</v>
      </c>
      <c r="G287" s="39"/>
      <c r="H287" s="68">
        <v>0</v>
      </c>
      <c r="I287" s="68">
        <v>0</v>
      </c>
      <c r="J287" s="68">
        <v>6188</v>
      </c>
      <c r="K287" s="68">
        <v>0</v>
      </c>
      <c r="L287" s="68">
        <v>0</v>
      </c>
      <c r="M287" s="68">
        <v>0</v>
      </c>
      <c r="N287" s="68">
        <v>0</v>
      </c>
      <c r="O287" s="68">
        <v>0</v>
      </c>
      <c r="P287" s="68">
        <v>0</v>
      </c>
      <c r="Q287" s="68">
        <v>0</v>
      </c>
      <c r="R287" s="68">
        <v>0</v>
      </c>
      <c r="S287" s="68">
        <v>0</v>
      </c>
      <c r="T287" s="111">
        <v>0</v>
      </c>
    </row>
    <row r="288" spans="1:20" ht="48" customHeight="1" x14ac:dyDescent="0.25">
      <c r="A288" s="4">
        <v>311</v>
      </c>
      <c r="B288" s="53">
        <v>43</v>
      </c>
      <c r="C288" s="53">
        <v>930</v>
      </c>
      <c r="D288" s="53">
        <v>70499</v>
      </c>
      <c r="E288" s="48" t="s">
        <v>168</v>
      </c>
      <c r="F288" s="72" t="s">
        <v>259</v>
      </c>
      <c r="G288" s="39"/>
      <c r="H288" s="68">
        <v>0</v>
      </c>
      <c r="I288" s="68">
        <v>101117.24</v>
      </c>
      <c r="J288" s="68">
        <v>0</v>
      </c>
      <c r="K288" s="68">
        <v>291720</v>
      </c>
      <c r="L288" s="68">
        <v>0</v>
      </c>
      <c r="M288" s="68">
        <v>0</v>
      </c>
      <c r="N288" s="68">
        <v>0</v>
      </c>
      <c r="O288" s="68">
        <v>0</v>
      </c>
      <c r="P288" s="68">
        <v>0</v>
      </c>
      <c r="Q288" s="68">
        <v>0</v>
      </c>
      <c r="R288" s="68">
        <v>0</v>
      </c>
      <c r="S288" s="68">
        <v>0</v>
      </c>
      <c r="T288" s="111">
        <v>392837.24</v>
      </c>
    </row>
    <row r="289" spans="1:20" ht="47.25" customHeight="1" x14ac:dyDescent="0.25">
      <c r="A289" s="4">
        <v>311</v>
      </c>
      <c r="B289" s="53">
        <v>43</v>
      </c>
      <c r="C289" s="53">
        <v>910</v>
      </c>
      <c r="D289" s="53">
        <v>70499</v>
      </c>
      <c r="E289" s="48"/>
      <c r="F289" s="39" t="s">
        <v>260</v>
      </c>
      <c r="G289" s="39"/>
      <c r="H289" s="68">
        <v>0</v>
      </c>
      <c r="I289" s="68">
        <v>0</v>
      </c>
      <c r="J289" s="68">
        <v>0</v>
      </c>
      <c r="K289" s="68">
        <v>0</v>
      </c>
      <c r="L289" s="68">
        <v>0</v>
      </c>
      <c r="M289" s="68">
        <v>0</v>
      </c>
      <c r="N289" s="68">
        <v>0</v>
      </c>
      <c r="O289" s="68">
        <v>0</v>
      </c>
      <c r="P289" s="68">
        <v>0</v>
      </c>
      <c r="Q289" s="68">
        <v>0</v>
      </c>
      <c r="R289" s="68">
        <v>0</v>
      </c>
      <c r="S289" s="68">
        <v>0</v>
      </c>
      <c r="T289" s="111">
        <v>0</v>
      </c>
    </row>
    <row r="290" spans="1:20" ht="44.25" customHeight="1" x14ac:dyDescent="0.25">
      <c r="A290" s="10">
        <v>311</v>
      </c>
      <c r="B290" s="11">
        <v>43</v>
      </c>
      <c r="C290" s="11">
        <v>920</v>
      </c>
      <c r="D290" s="11">
        <v>70499</v>
      </c>
      <c r="E290" s="22" t="s">
        <v>168</v>
      </c>
      <c r="F290" s="43" t="s">
        <v>261</v>
      </c>
      <c r="G290" s="43"/>
      <c r="H290" s="68">
        <v>0</v>
      </c>
      <c r="I290" s="68">
        <v>659.52</v>
      </c>
      <c r="J290" s="68">
        <v>0</v>
      </c>
      <c r="K290" s="68">
        <v>0</v>
      </c>
      <c r="L290" s="68">
        <v>0</v>
      </c>
      <c r="M290" s="68">
        <v>0</v>
      </c>
      <c r="N290" s="68">
        <v>0</v>
      </c>
      <c r="O290" s="68">
        <v>0</v>
      </c>
      <c r="P290" s="68">
        <v>0</v>
      </c>
      <c r="Q290" s="68">
        <v>0</v>
      </c>
      <c r="R290" s="68">
        <v>0</v>
      </c>
      <c r="S290" s="68">
        <v>0</v>
      </c>
      <c r="T290" s="111">
        <v>659.52</v>
      </c>
    </row>
    <row r="291" spans="1:20" ht="47.25" customHeight="1" x14ac:dyDescent="0.25">
      <c r="A291" s="10">
        <v>311</v>
      </c>
      <c r="B291" s="11">
        <v>43</v>
      </c>
      <c r="C291" s="11">
        <v>920</v>
      </c>
      <c r="D291" s="11">
        <v>70499</v>
      </c>
      <c r="E291" s="22" t="s">
        <v>168</v>
      </c>
      <c r="F291" s="43" t="s">
        <v>69</v>
      </c>
      <c r="G291" s="43"/>
      <c r="H291" s="68">
        <v>0</v>
      </c>
      <c r="I291" s="68">
        <v>696.16</v>
      </c>
      <c r="J291" s="68">
        <v>0</v>
      </c>
      <c r="K291" s="68">
        <v>0</v>
      </c>
      <c r="L291" s="68">
        <v>0</v>
      </c>
      <c r="M291" s="68">
        <v>0</v>
      </c>
      <c r="N291" s="68">
        <v>0</v>
      </c>
      <c r="O291" s="68">
        <v>0</v>
      </c>
      <c r="P291" s="68">
        <v>0</v>
      </c>
      <c r="Q291" s="68">
        <v>0</v>
      </c>
      <c r="R291" s="68">
        <v>0</v>
      </c>
      <c r="S291" s="68">
        <v>0</v>
      </c>
      <c r="T291" s="111">
        <v>696.16</v>
      </c>
    </row>
    <row r="292" spans="1:20" ht="36" customHeight="1" x14ac:dyDescent="0.25">
      <c r="A292" s="10">
        <v>311</v>
      </c>
      <c r="B292" s="11">
        <v>43</v>
      </c>
      <c r="C292" s="11">
        <v>910</v>
      </c>
      <c r="D292" s="11">
        <v>70499</v>
      </c>
      <c r="E292" s="22"/>
      <c r="F292" s="43" t="s">
        <v>70</v>
      </c>
      <c r="G292" s="43"/>
      <c r="H292" s="68">
        <v>0</v>
      </c>
      <c r="I292" s="68">
        <v>0</v>
      </c>
      <c r="J292" s="68">
        <v>0</v>
      </c>
      <c r="K292" s="68">
        <v>0</v>
      </c>
      <c r="L292" s="68">
        <v>0</v>
      </c>
      <c r="M292" s="68">
        <v>0</v>
      </c>
      <c r="N292" s="68">
        <v>0</v>
      </c>
      <c r="O292" s="68">
        <v>0</v>
      </c>
      <c r="P292" s="68">
        <v>0</v>
      </c>
      <c r="Q292" s="68">
        <v>0</v>
      </c>
      <c r="R292" s="68">
        <v>0</v>
      </c>
      <c r="S292" s="68">
        <v>0</v>
      </c>
      <c r="T292" s="111">
        <v>0</v>
      </c>
    </row>
    <row r="293" spans="1:20" ht="42.75" customHeight="1" x14ac:dyDescent="0.25">
      <c r="A293" s="10">
        <v>311</v>
      </c>
      <c r="B293" s="11">
        <v>43</v>
      </c>
      <c r="C293" s="11">
        <v>920</v>
      </c>
      <c r="D293" s="11">
        <v>70499</v>
      </c>
      <c r="E293" s="22" t="s">
        <v>176</v>
      </c>
      <c r="F293" s="43" t="s">
        <v>71</v>
      </c>
      <c r="G293" s="43"/>
      <c r="H293" s="68">
        <v>0</v>
      </c>
      <c r="I293" s="68">
        <v>0</v>
      </c>
      <c r="J293" s="68">
        <v>0</v>
      </c>
      <c r="K293" s="68">
        <v>0</v>
      </c>
      <c r="L293" s="68">
        <v>0</v>
      </c>
      <c r="M293" s="68">
        <v>0</v>
      </c>
      <c r="N293" s="68">
        <v>0</v>
      </c>
      <c r="O293" s="68">
        <v>0</v>
      </c>
      <c r="P293" s="68">
        <v>0</v>
      </c>
      <c r="Q293" s="68">
        <v>0</v>
      </c>
      <c r="R293" s="68">
        <v>0</v>
      </c>
      <c r="S293" s="68">
        <v>0</v>
      </c>
      <c r="T293" s="111">
        <v>0</v>
      </c>
    </row>
    <row r="294" spans="1:20" ht="39" customHeight="1" x14ac:dyDescent="0.25">
      <c r="A294" s="10">
        <v>321</v>
      </c>
      <c r="B294" s="11">
        <v>43</v>
      </c>
      <c r="C294" s="11">
        <v>930</v>
      </c>
      <c r="D294" s="11">
        <v>70499</v>
      </c>
      <c r="E294" s="22" t="s">
        <v>176</v>
      </c>
      <c r="F294" s="43" t="s">
        <v>72</v>
      </c>
      <c r="G294" s="43"/>
      <c r="H294" s="68">
        <v>0</v>
      </c>
      <c r="I294" s="68">
        <v>358126.68799999997</v>
      </c>
      <c r="J294" s="68">
        <v>0</v>
      </c>
      <c r="K294" s="68">
        <v>0</v>
      </c>
      <c r="L294" s="68">
        <v>0</v>
      </c>
      <c r="M294" s="68">
        <v>0</v>
      </c>
      <c r="N294" s="68">
        <v>0</v>
      </c>
      <c r="O294" s="68">
        <v>0</v>
      </c>
      <c r="P294" s="68">
        <v>0</v>
      </c>
      <c r="Q294" s="68">
        <v>0</v>
      </c>
      <c r="R294" s="68">
        <v>0</v>
      </c>
      <c r="S294" s="68">
        <v>0</v>
      </c>
      <c r="T294" s="111">
        <v>358126.68799999997</v>
      </c>
    </row>
    <row r="295" spans="1:20" ht="46.5" customHeight="1" x14ac:dyDescent="0.25">
      <c r="A295" s="10">
        <v>311</v>
      </c>
      <c r="B295" s="11">
        <v>43</v>
      </c>
      <c r="C295" s="11">
        <v>910</v>
      </c>
      <c r="D295" s="11">
        <v>70499</v>
      </c>
      <c r="E295" s="22"/>
      <c r="F295" s="70" t="s">
        <v>73</v>
      </c>
      <c r="G295" s="43"/>
      <c r="H295" s="68">
        <v>0</v>
      </c>
      <c r="I295" s="68">
        <v>0</v>
      </c>
      <c r="J295" s="68">
        <v>499752.60400000005</v>
      </c>
      <c r="K295" s="68">
        <v>0</v>
      </c>
      <c r="L295" s="68">
        <v>0</v>
      </c>
      <c r="M295" s="68">
        <v>0</v>
      </c>
      <c r="N295" s="68">
        <v>0</v>
      </c>
      <c r="O295" s="68">
        <v>0</v>
      </c>
      <c r="P295" s="68">
        <v>0</v>
      </c>
      <c r="Q295" s="68">
        <v>0</v>
      </c>
      <c r="R295" s="68">
        <v>0</v>
      </c>
      <c r="S295" s="68">
        <v>0</v>
      </c>
      <c r="T295" s="111">
        <v>0</v>
      </c>
    </row>
    <row r="296" spans="1:20" ht="57" customHeight="1" x14ac:dyDescent="0.25">
      <c r="A296" s="10">
        <v>311</v>
      </c>
      <c r="B296" s="11">
        <v>43</v>
      </c>
      <c r="C296" s="11">
        <v>920</v>
      </c>
      <c r="D296" s="11">
        <v>70499</v>
      </c>
      <c r="E296" s="22" t="s">
        <v>173</v>
      </c>
      <c r="F296" s="70" t="s">
        <v>74</v>
      </c>
      <c r="G296" s="43"/>
      <c r="H296" s="68">
        <v>0</v>
      </c>
      <c r="I296" s="68">
        <v>1586759.32</v>
      </c>
      <c r="J296" s="68">
        <v>0</v>
      </c>
      <c r="K296" s="68">
        <v>556095.228</v>
      </c>
      <c r="L296" s="68">
        <v>0</v>
      </c>
      <c r="M296" s="68">
        <v>0</v>
      </c>
      <c r="N296" s="68">
        <v>0</v>
      </c>
      <c r="O296" s="68">
        <v>0</v>
      </c>
      <c r="P296" s="68">
        <v>0</v>
      </c>
      <c r="Q296" s="68">
        <v>0</v>
      </c>
      <c r="R296" s="68">
        <v>0</v>
      </c>
      <c r="S296" s="68">
        <v>0</v>
      </c>
      <c r="T296" s="111">
        <v>2142854.548</v>
      </c>
    </row>
    <row r="297" spans="1:20" ht="54.75" customHeight="1" x14ac:dyDescent="0.25">
      <c r="A297" s="10">
        <v>321</v>
      </c>
      <c r="B297" s="11">
        <v>43</v>
      </c>
      <c r="C297" s="11">
        <v>930</v>
      </c>
      <c r="D297" s="11">
        <v>70499</v>
      </c>
      <c r="E297" s="22" t="s">
        <v>173</v>
      </c>
      <c r="F297" s="70" t="s">
        <v>75</v>
      </c>
      <c r="G297" s="43"/>
      <c r="H297" s="68">
        <v>0</v>
      </c>
      <c r="I297" s="68">
        <v>1285899.1199999999</v>
      </c>
      <c r="J297" s="68">
        <v>0</v>
      </c>
      <c r="K297" s="68">
        <v>187979.06400000001</v>
      </c>
      <c r="L297" s="68">
        <v>0</v>
      </c>
      <c r="M297" s="68">
        <v>0</v>
      </c>
      <c r="N297" s="68">
        <v>0</v>
      </c>
      <c r="O297" s="68">
        <v>0</v>
      </c>
      <c r="P297" s="68">
        <v>0</v>
      </c>
      <c r="Q297" s="68">
        <v>0</v>
      </c>
      <c r="R297" s="68">
        <v>0</v>
      </c>
      <c r="S297" s="68">
        <v>0</v>
      </c>
      <c r="T297" s="111">
        <v>1473878.1839999999</v>
      </c>
    </row>
    <row r="298" spans="1:20" ht="37.5" x14ac:dyDescent="0.25">
      <c r="A298" s="10">
        <v>311</v>
      </c>
      <c r="B298" s="11">
        <v>43</v>
      </c>
      <c r="C298" s="11">
        <v>920</v>
      </c>
      <c r="D298" s="11">
        <v>70499</v>
      </c>
      <c r="E298" s="22" t="s">
        <v>176</v>
      </c>
      <c r="F298" s="43" t="s">
        <v>76</v>
      </c>
      <c r="G298" s="43"/>
      <c r="H298" s="68">
        <v>0</v>
      </c>
      <c r="I298" s="68">
        <v>0</v>
      </c>
      <c r="J298" s="68">
        <v>0</v>
      </c>
      <c r="K298" s="68">
        <v>0</v>
      </c>
      <c r="L298" s="68">
        <v>0</v>
      </c>
      <c r="M298" s="68">
        <v>0</v>
      </c>
      <c r="N298" s="68">
        <v>0</v>
      </c>
      <c r="O298" s="68">
        <v>0</v>
      </c>
      <c r="P298" s="68">
        <v>0</v>
      </c>
      <c r="Q298" s="68">
        <v>0</v>
      </c>
      <c r="R298" s="68">
        <v>0</v>
      </c>
      <c r="S298" s="68">
        <v>0</v>
      </c>
      <c r="T298" s="111">
        <v>0</v>
      </c>
    </row>
    <row r="299" spans="1:20" ht="37.5" x14ac:dyDescent="0.25">
      <c r="A299" s="10">
        <v>321</v>
      </c>
      <c r="B299" s="11">
        <v>43</v>
      </c>
      <c r="C299" s="11">
        <v>930</v>
      </c>
      <c r="D299" s="11">
        <v>70499</v>
      </c>
      <c r="E299" s="22" t="s">
        <v>176</v>
      </c>
      <c r="F299" s="43" t="s">
        <v>77</v>
      </c>
      <c r="G299" s="43"/>
      <c r="H299" s="68">
        <v>0</v>
      </c>
      <c r="I299" s="68">
        <v>0</v>
      </c>
      <c r="J299" s="68">
        <v>0</v>
      </c>
      <c r="K299" s="68">
        <v>0</v>
      </c>
      <c r="L299" s="68">
        <v>0</v>
      </c>
      <c r="M299" s="68">
        <v>0</v>
      </c>
      <c r="N299" s="68">
        <v>0</v>
      </c>
      <c r="O299" s="68">
        <v>0</v>
      </c>
      <c r="P299" s="68">
        <v>0</v>
      </c>
      <c r="Q299" s="68">
        <v>0</v>
      </c>
      <c r="R299" s="68">
        <v>0</v>
      </c>
      <c r="S299" s="68">
        <v>0</v>
      </c>
      <c r="T299" s="111">
        <v>0</v>
      </c>
    </row>
    <row r="300" spans="1:20" ht="18.75" x14ac:dyDescent="0.25">
      <c r="A300" s="10"/>
      <c r="B300" s="11"/>
      <c r="C300" s="11"/>
      <c r="D300" s="11"/>
      <c r="E300" s="22"/>
      <c r="F300" s="43"/>
      <c r="G300" s="43"/>
      <c r="H300" s="68"/>
      <c r="I300" s="101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111"/>
    </row>
    <row r="301" spans="1:20" ht="18.75" x14ac:dyDescent="0.25">
      <c r="A301" s="10"/>
      <c r="B301" s="11"/>
      <c r="C301" s="11"/>
      <c r="D301" s="11"/>
      <c r="E301" s="22"/>
      <c r="F301" s="43"/>
      <c r="G301" s="43"/>
      <c r="H301" s="68"/>
      <c r="I301" s="101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111"/>
    </row>
    <row r="302" spans="1:20" ht="18.75" x14ac:dyDescent="0.25">
      <c r="A302" s="10"/>
      <c r="B302" s="11"/>
      <c r="C302" s="11"/>
      <c r="D302" s="11"/>
      <c r="E302" s="22"/>
      <c r="F302" s="43"/>
      <c r="G302" s="43"/>
      <c r="H302" s="68"/>
      <c r="I302" s="101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111"/>
    </row>
    <row r="303" spans="1:20" ht="18.75" x14ac:dyDescent="0.25">
      <c r="A303" s="10"/>
      <c r="B303" s="11"/>
      <c r="C303" s="11"/>
      <c r="D303" s="11"/>
      <c r="E303" s="22"/>
      <c r="F303" s="43"/>
      <c r="G303" s="43"/>
      <c r="H303" s="68"/>
      <c r="I303" s="101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111"/>
    </row>
    <row r="304" spans="1:20" ht="18.75" x14ac:dyDescent="0.25">
      <c r="A304" s="10"/>
      <c r="B304" s="11"/>
      <c r="C304" s="11"/>
      <c r="D304" s="11"/>
      <c r="E304" s="22"/>
      <c r="F304" s="43"/>
      <c r="G304" s="43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111">
        <v>0</v>
      </c>
    </row>
    <row r="305" spans="1:20" ht="37.5" x14ac:dyDescent="0.25">
      <c r="A305" s="56"/>
      <c r="B305" s="50"/>
      <c r="C305" s="50"/>
      <c r="D305" s="50"/>
      <c r="E305" s="54"/>
      <c r="F305" s="40" t="s">
        <v>434</v>
      </c>
      <c r="G305" s="40"/>
      <c r="H305" s="99">
        <v>59540</v>
      </c>
      <c r="I305" s="99">
        <v>765482.69679999992</v>
      </c>
      <c r="J305" s="99">
        <v>167960</v>
      </c>
      <c r="K305" s="99">
        <v>1858079.2464000001</v>
      </c>
      <c r="L305" s="99">
        <v>285760</v>
      </c>
      <c r="M305" s="99">
        <v>1397214.5899999999</v>
      </c>
      <c r="N305" s="99">
        <v>205850</v>
      </c>
      <c r="O305" s="99">
        <v>1558991.55</v>
      </c>
      <c r="P305" s="99">
        <v>76500</v>
      </c>
      <c r="Q305" s="99">
        <v>819000</v>
      </c>
      <c r="R305" s="99">
        <v>905</v>
      </c>
      <c r="S305" s="99">
        <v>276930</v>
      </c>
      <c r="T305" s="111">
        <v>6675698.0832000002</v>
      </c>
    </row>
    <row r="306" spans="1:20" ht="18.75" x14ac:dyDescent="0.25">
      <c r="A306" s="57"/>
      <c r="B306" s="51"/>
      <c r="C306" s="51"/>
      <c r="D306" s="51"/>
      <c r="E306" s="55"/>
      <c r="F306" s="37" t="s">
        <v>6</v>
      </c>
      <c r="G306" s="37"/>
      <c r="H306" s="100">
        <v>59540</v>
      </c>
      <c r="I306" s="100">
        <v>765482.69679999992</v>
      </c>
      <c r="J306" s="100">
        <v>167960</v>
      </c>
      <c r="K306" s="100">
        <v>1858079.2464000001</v>
      </c>
      <c r="L306" s="100">
        <v>285760</v>
      </c>
      <c r="M306" s="100">
        <v>1397214.5899999999</v>
      </c>
      <c r="N306" s="100">
        <v>205850</v>
      </c>
      <c r="O306" s="100">
        <v>1558991.55</v>
      </c>
      <c r="P306" s="100">
        <v>76500</v>
      </c>
      <c r="Q306" s="100">
        <v>819000</v>
      </c>
      <c r="R306" s="100">
        <v>905</v>
      </c>
      <c r="S306" s="100">
        <v>276930</v>
      </c>
      <c r="T306" s="111">
        <v>6675698.0832000002</v>
      </c>
    </row>
    <row r="307" spans="1:20" ht="75.75" customHeight="1" x14ac:dyDescent="0.25">
      <c r="A307" s="4">
        <v>311</v>
      </c>
      <c r="B307" s="52">
        <v>60</v>
      </c>
      <c r="C307" s="52">
        <v>920</v>
      </c>
      <c r="D307" s="7">
        <v>70499</v>
      </c>
      <c r="E307" s="20" t="s">
        <v>178</v>
      </c>
      <c r="F307" s="86" t="s">
        <v>110</v>
      </c>
      <c r="G307" s="38"/>
      <c r="H307" s="68">
        <v>0</v>
      </c>
      <c r="I307" s="68">
        <v>134048.356</v>
      </c>
      <c r="J307" s="68">
        <v>0</v>
      </c>
      <c r="K307" s="68">
        <v>37711.440000000002</v>
      </c>
      <c r="L307" s="68">
        <v>0</v>
      </c>
      <c r="M307" s="68">
        <v>88898.15</v>
      </c>
      <c r="N307" s="68">
        <v>0</v>
      </c>
      <c r="O307" s="68">
        <v>127277.95</v>
      </c>
      <c r="P307" s="68">
        <v>0</v>
      </c>
      <c r="Q307" s="68">
        <v>0</v>
      </c>
      <c r="R307" s="68">
        <v>0</v>
      </c>
      <c r="S307" s="68">
        <v>0</v>
      </c>
      <c r="T307" s="111">
        <v>387935.89600000001</v>
      </c>
    </row>
    <row r="308" spans="1:20" ht="77.25" customHeight="1" x14ac:dyDescent="0.25">
      <c r="A308" s="4">
        <v>321</v>
      </c>
      <c r="B308" s="52">
        <v>60</v>
      </c>
      <c r="C308" s="52">
        <v>930</v>
      </c>
      <c r="D308" s="7">
        <v>70499</v>
      </c>
      <c r="E308" s="20" t="s">
        <v>176</v>
      </c>
      <c r="F308" s="86" t="s">
        <v>111</v>
      </c>
      <c r="G308" s="38"/>
      <c r="H308" s="68">
        <v>0</v>
      </c>
      <c r="I308" s="68">
        <v>134077.66800000001</v>
      </c>
      <c r="J308" s="68">
        <v>0</v>
      </c>
      <c r="K308" s="68">
        <v>34131.240000000005</v>
      </c>
      <c r="L308" s="68">
        <v>0</v>
      </c>
      <c r="M308" s="68">
        <v>80441.439999999988</v>
      </c>
      <c r="N308" s="68">
        <v>0</v>
      </c>
      <c r="O308" s="68">
        <v>115168.59999999999</v>
      </c>
      <c r="P308" s="68">
        <v>0</v>
      </c>
      <c r="Q308" s="68">
        <v>0</v>
      </c>
      <c r="R308" s="68">
        <v>0</v>
      </c>
      <c r="S308" s="68">
        <v>0</v>
      </c>
      <c r="T308" s="111">
        <v>363818.94799999997</v>
      </c>
    </row>
    <row r="309" spans="1:20" ht="82.5" customHeight="1" x14ac:dyDescent="0.25">
      <c r="A309" s="4">
        <v>311</v>
      </c>
      <c r="B309" s="52">
        <v>60</v>
      </c>
      <c r="C309" s="52">
        <v>920</v>
      </c>
      <c r="D309" s="7">
        <v>70499</v>
      </c>
      <c r="E309" s="20" t="s">
        <v>178</v>
      </c>
      <c r="F309" s="86" t="s">
        <v>112</v>
      </c>
      <c r="G309" s="225" t="s">
        <v>364</v>
      </c>
      <c r="H309" s="68">
        <v>0</v>
      </c>
      <c r="I309" s="68">
        <v>84322.838000000003</v>
      </c>
      <c r="J309" s="68">
        <v>0</v>
      </c>
      <c r="K309" s="68">
        <v>176649.72</v>
      </c>
      <c r="L309" s="68">
        <v>0</v>
      </c>
      <c r="M309" s="68">
        <v>0</v>
      </c>
      <c r="N309" s="68">
        <v>0</v>
      </c>
      <c r="O309" s="68">
        <v>0</v>
      </c>
      <c r="P309" s="68">
        <v>0</v>
      </c>
      <c r="Q309" s="68">
        <v>0</v>
      </c>
      <c r="R309" s="68">
        <v>0</v>
      </c>
      <c r="S309" s="68">
        <v>0</v>
      </c>
      <c r="T309" s="111">
        <v>260972.55800000002</v>
      </c>
    </row>
    <row r="310" spans="1:20" ht="72" customHeight="1" x14ac:dyDescent="0.25">
      <c r="A310" s="49">
        <v>321</v>
      </c>
      <c r="B310" s="52">
        <v>60</v>
      </c>
      <c r="C310" s="52">
        <v>930</v>
      </c>
      <c r="D310" s="53">
        <v>70499</v>
      </c>
      <c r="E310" s="48" t="s">
        <v>176</v>
      </c>
      <c r="F310" s="86" t="s">
        <v>113</v>
      </c>
      <c r="G310" s="226"/>
      <c r="H310" s="68">
        <v>0</v>
      </c>
      <c r="I310" s="68">
        <v>160391.87479999999</v>
      </c>
      <c r="J310" s="68">
        <v>0</v>
      </c>
      <c r="K310" s="68">
        <v>448010.84640000004</v>
      </c>
      <c r="L310" s="68">
        <v>0</v>
      </c>
      <c r="M310" s="68">
        <v>0</v>
      </c>
      <c r="N310" s="68">
        <v>0</v>
      </c>
      <c r="O310" s="68">
        <v>0</v>
      </c>
      <c r="P310" s="68">
        <v>0</v>
      </c>
      <c r="Q310" s="68">
        <v>0</v>
      </c>
      <c r="R310" s="68">
        <v>0</v>
      </c>
      <c r="S310" s="68">
        <v>0</v>
      </c>
      <c r="T310" s="111">
        <v>608402.72120000003</v>
      </c>
    </row>
    <row r="311" spans="1:20" ht="78.75" customHeight="1" x14ac:dyDescent="0.25">
      <c r="A311" s="49">
        <v>321</v>
      </c>
      <c r="B311" s="52">
        <v>60</v>
      </c>
      <c r="C311" s="52">
        <v>930</v>
      </c>
      <c r="D311" s="53">
        <v>70499</v>
      </c>
      <c r="E311" s="48" t="s">
        <v>171</v>
      </c>
      <c r="F311" s="86" t="s">
        <v>199</v>
      </c>
      <c r="G311" s="227"/>
      <c r="H311" s="68">
        <v>0</v>
      </c>
      <c r="I311" s="68">
        <v>0</v>
      </c>
      <c r="J311" s="68">
        <v>0</v>
      </c>
      <c r="K311" s="68">
        <v>0</v>
      </c>
      <c r="L311" s="68">
        <v>0</v>
      </c>
      <c r="M311" s="68">
        <v>0</v>
      </c>
      <c r="N311" s="68">
        <v>0</v>
      </c>
      <c r="O311" s="68">
        <v>0</v>
      </c>
      <c r="P311" s="68">
        <v>0</v>
      </c>
      <c r="Q311" s="68">
        <v>0</v>
      </c>
      <c r="R311" s="68">
        <v>0</v>
      </c>
      <c r="S311" s="68">
        <v>0</v>
      </c>
      <c r="T311" s="111">
        <v>0</v>
      </c>
    </row>
    <row r="312" spans="1:20" ht="76.5" customHeight="1" x14ac:dyDescent="0.25">
      <c r="A312" s="4">
        <v>311</v>
      </c>
      <c r="B312" s="52">
        <v>60</v>
      </c>
      <c r="C312" s="52">
        <v>910</v>
      </c>
      <c r="D312" s="53">
        <v>70499</v>
      </c>
      <c r="E312" s="48"/>
      <c r="F312" s="62" t="s">
        <v>117</v>
      </c>
      <c r="G312" s="225" t="s">
        <v>324</v>
      </c>
      <c r="H312" s="68">
        <v>4580</v>
      </c>
      <c r="I312" s="68">
        <v>0</v>
      </c>
      <c r="J312" s="68">
        <v>0</v>
      </c>
      <c r="K312" s="68">
        <v>0</v>
      </c>
      <c r="L312" s="68">
        <v>0</v>
      </c>
      <c r="M312" s="68">
        <v>0</v>
      </c>
      <c r="N312" s="68">
        <v>0</v>
      </c>
      <c r="O312" s="68">
        <v>0</v>
      </c>
      <c r="P312" s="68">
        <v>0</v>
      </c>
      <c r="Q312" s="68">
        <v>0</v>
      </c>
      <c r="R312" s="68">
        <v>0</v>
      </c>
      <c r="S312" s="68">
        <v>0</v>
      </c>
      <c r="T312" s="111">
        <v>0</v>
      </c>
    </row>
    <row r="313" spans="1:20" ht="90.75" customHeight="1" x14ac:dyDescent="0.25">
      <c r="A313" s="4">
        <v>311</v>
      </c>
      <c r="B313" s="52">
        <v>60</v>
      </c>
      <c r="C313" s="52">
        <v>920</v>
      </c>
      <c r="D313" s="53">
        <v>70499</v>
      </c>
      <c r="E313" s="20" t="s">
        <v>173</v>
      </c>
      <c r="F313" s="84" t="s">
        <v>118</v>
      </c>
      <c r="G313" s="227"/>
      <c r="H313" s="68">
        <v>0</v>
      </c>
      <c r="I313" s="68">
        <v>9160</v>
      </c>
      <c r="J313" s="68">
        <v>0</v>
      </c>
      <c r="K313" s="68">
        <v>0</v>
      </c>
      <c r="L313" s="68">
        <v>0</v>
      </c>
      <c r="M313" s="68">
        <v>0</v>
      </c>
      <c r="N313" s="68">
        <v>0</v>
      </c>
      <c r="O313" s="68">
        <v>0</v>
      </c>
      <c r="P313" s="68">
        <v>0</v>
      </c>
      <c r="Q313" s="68">
        <v>0</v>
      </c>
      <c r="R313" s="68">
        <v>0</v>
      </c>
      <c r="S313" s="68">
        <v>0</v>
      </c>
      <c r="T313" s="111">
        <v>9160</v>
      </c>
    </row>
    <row r="314" spans="1:20" ht="74.25" customHeight="1" x14ac:dyDescent="0.25">
      <c r="A314" s="4">
        <v>311</v>
      </c>
      <c r="B314" s="52">
        <v>60</v>
      </c>
      <c r="C314" s="52">
        <v>910</v>
      </c>
      <c r="D314" s="53">
        <v>70499</v>
      </c>
      <c r="E314" s="48"/>
      <c r="F314" s="62" t="s">
        <v>292</v>
      </c>
      <c r="G314" s="225" t="s">
        <v>291</v>
      </c>
      <c r="H314" s="68">
        <v>54960</v>
      </c>
      <c r="I314" s="68">
        <v>0</v>
      </c>
      <c r="J314" s="68">
        <v>167960</v>
      </c>
      <c r="K314" s="68">
        <v>0</v>
      </c>
      <c r="L314" s="68">
        <v>285760</v>
      </c>
      <c r="M314" s="68">
        <v>0</v>
      </c>
      <c r="N314" s="68">
        <v>205850</v>
      </c>
      <c r="O314" s="68">
        <v>0</v>
      </c>
      <c r="P314" s="68">
        <v>76500</v>
      </c>
      <c r="Q314" s="68">
        <v>0</v>
      </c>
      <c r="R314" s="68">
        <v>905</v>
      </c>
      <c r="S314" s="68">
        <v>0</v>
      </c>
      <c r="T314" s="111">
        <v>0</v>
      </c>
    </row>
    <row r="315" spans="1:20" ht="80.25" customHeight="1" x14ac:dyDescent="0.25">
      <c r="A315" s="4">
        <v>311</v>
      </c>
      <c r="B315" s="52">
        <v>60</v>
      </c>
      <c r="C315" s="52">
        <v>920</v>
      </c>
      <c r="D315" s="53">
        <v>70499</v>
      </c>
      <c r="E315" s="20" t="s">
        <v>173</v>
      </c>
      <c r="F315" s="62" t="s">
        <v>293</v>
      </c>
      <c r="G315" s="226"/>
      <c r="H315" s="68">
        <v>0</v>
      </c>
      <c r="I315" s="68">
        <v>196940</v>
      </c>
      <c r="J315" s="68">
        <v>0</v>
      </c>
      <c r="K315" s="68">
        <v>648856</v>
      </c>
      <c r="L315" s="68">
        <v>0</v>
      </c>
      <c r="M315" s="68">
        <v>692075</v>
      </c>
      <c r="N315" s="68">
        <v>0</v>
      </c>
      <c r="O315" s="68">
        <v>680200</v>
      </c>
      <c r="P315" s="68">
        <v>0</v>
      </c>
      <c r="Q315" s="68">
        <v>279000</v>
      </c>
      <c r="R315" s="68">
        <v>0</v>
      </c>
      <c r="S315" s="68">
        <v>276930</v>
      </c>
      <c r="T315" s="111">
        <v>2774001</v>
      </c>
    </row>
    <row r="316" spans="1:20" ht="85.5" customHeight="1" x14ac:dyDescent="0.25">
      <c r="A316" s="4">
        <v>311</v>
      </c>
      <c r="B316" s="52">
        <v>60</v>
      </c>
      <c r="C316" s="52">
        <v>930</v>
      </c>
      <c r="D316" s="53">
        <v>70499</v>
      </c>
      <c r="E316" s="20" t="s">
        <v>173</v>
      </c>
      <c r="F316" s="62" t="s">
        <v>294</v>
      </c>
      <c r="G316" s="227"/>
      <c r="H316" s="68">
        <v>0</v>
      </c>
      <c r="I316" s="68">
        <v>8244</v>
      </c>
      <c r="J316" s="68">
        <v>0</v>
      </c>
      <c r="K316" s="68">
        <v>512720.00000000006</v>
      </c>
      <c r="L316" s="68">
        <v>0</v>
      </c>
      <c r="M316" s="68">
        <v>535800</v>
      </c>
      <c r="N316" s="68">
        <v>0</v>
      </c>
      <c r="O316" s="68">
        <v>636345</v>
      </c>
      <c r="P316" s="68">
        <v>0</v>
      </c>
      <c r="Q316" s="68">
        <v>540000</v>
      </c>
      <c r="R316" s="68">
        <v>0</v>
      </c>
      <c r="S316" s="68">
        <v>0</v>
      </c>
      <c r="T316" s="111">
        <v>2233109</v>
      </c>
    </row>
    <row r="317" spans="1:20" ht="73.5" customHeight="1" x14ac:dyDescent="0.25">
      <c r="A317" s="4">
        <v>311</v>
      </c>
      <c r="B317" s="52">
        <v>60</v>
      </c>
      <c r="C317" s="52">
        <v>910</v>
      </c>
      <c r="D317" s="53">
        <v>70499</v>
      </c>
      <c r="E317" s="48"/>
      <c r="F317" s="38" t="s">
        <v>114</v>
      </c>
      <c r="G317" s="92"/>
      <c r="H317" s="68">
        <v>0</v>
      </c>
      <c r="I317" s="68">
        <v>0</v>
      </c>
      <c r="J317" s="68">
        <v>0</v>
      </c>
      <c r="K317" s="68">
        <v>0</v>
      </c>
      <c r="L317" s="68">
        <v>0</v>
      </c>
      <c r="M317" s="68">
        <v>0</v>
      </c>
      <c r="N317" s="68">
        <v>0</v>
      </c>
      <c r="O317" s="68">
        <v>0</v>
      </c>
      <c r="P317" s="68">
        <v>0</v>
      </c>
      <c r="Q317" s="68">
        <v>0</v>
      </c>
      <c r="R317" s="68">
        <v>0</v>
      </c>
      <c r="S317" s="68">
        <v>0</v>
      </c>
      <c r="T317" s="111">
        <v>0</v>
      </c>
    </row>
    <row r="318" spans="1:20" ht="57.75" customHeight="1" x14ac:dyDescent="0.25">
      <c r="A318" s="4">
        <v>311</v>
      </c>
      <c r="B318" s="52">
        <v>60</v>
      </c>
      <c r="C318" s="52">
        <v>930</v>
      </c>
      <c r="D318" s="53">
        <v>70499</v>
      </c>
      <c r="E318" s="48" t="s">
        <v>166</v>
      </c>
      <c r="F318" s="75" t="s">
        <v>115</v>
      </c>
      <c r="G318" s="126" t="s">
        <v>334</v>
      </c>
      <c r="H318" s="68">
        <v>0</v>
      </c>
      <c r="I318" s="68">
        <v>38297.96</v>
      </c>
      <c r="J318" s="68">
        <v>0</v>
      </c>
      <c r="K318" s="68">
        <v>0</v>
      </c>
      <c r="L318" s="68">
        <v>0</v>
      </c>
      <c r="M318" s="68">
        <v>0</v>
      </c>
      <c r="N318" s="68">
        <v>0</v>
      </c>
      <c r="O318" s="68">
        <v>0</v>
      </c>
      <c r="P318" s="68">
        <v>0</v>
      </c>
      <c r="Q318" s="68">
        <v>0</v>
      </c>
      <c r="R318" s="68">
        <v>0</v>
      </c>
      <c r="S318" s="68">
        <v>0</v>
      </c>
      <c r="T318" s="111">
        <v>38297.96</v>
      </c>
    </row>
    <row r="319" spans="1:20" ht="64.5" customHeight="1" x14ac:dyDescent="0.25">
      <c r="A319" s="4">
        <v>311</v>
      </c>
      <c r="B319" s="52">
        <v>60</v>
      </c>
      <c r="C319" s="52">
        <v>910</v>
      </c>
      <c r="D319" s="53">
        <v>70499</v>
      </c>
      <c r="E319" s="48"/>
      <c r="F319" s="38" t="s">
        <v>228</v>
      </c>
      <c r="G319" s="92"/>
      <c r="H319" s="68">
        <v>0</v>
      </c>
      <c r="I319" s="68">
        <v>0</v>
      </c>
      <c r="J319" s="68">
        <v>0</v>
      </c>
      <c r="K319" s="68">
        <v>0</v>
      </c>
      <c r="L319" s="68">
        <v>0</v>
      </c>
      <c r="M319" s="68">
        <v>0</v>
      </c>
      <c r="N319" s="68">
        <v>0</v>
      </c>
      <c r="O319" s="68">
        <v>0</v>
      </c>
      <c r="P319" s="68">
        <v>0</v>
      </c>
      <c r="Q319" s="68">
        <v>0</v>
      </c>
      <c r="R319" s="68">
        <v>0</v>
      </c>
      <c r="S319" s="68">
        <v>0</v>
      </c>
      <c r="T319" s="111">
        <v>0</v>
      </c>
    </row>
    <row r="320" spans="1:20" ht="75.75" customHeight="1" x14ac:dyDescent="0.25">
      <c r="A320" s="4">
        <v>311</v>
      </c>
      <c r="B320" s="52">
        <v>60</v>
      </c>
      <c r="C320" s="52">
        <v>930</v>
      </c>
      <c r="D320" s="53">
        <v>70499</v>
      </c>
      <c r="E320" s="48" t="s">
        <v>166</v>
      </c>
      <c r="F320" s="38" t="s">
        <v>229</v>
      </c>
      <c r="G320" s="92"/>
      <c r="H320" s="68">
        <v>0</v>
      </c>
      <c r="I320" s="68">
        <v>0</v>
      </c>
      <c r="J320" s="68">
        <v>0</v>
      </c>
      <c r="K320" s="68">
        <v>0</v>
      </c>
      <c r="L320" s="68">
        <v>0</v>
      </c>
      <c r="M320" s="68">
        <v>0</v>
      </c>
      <c r="N320" s="68">
        <v>0</v>
      </c>
      <c r="O320" s="68">
        <v>0</v>
      </c>
      <c r="P320" s="68">
        <v>0</v>
      </c>
      <c r="Q320" s="68">
        <v>0</v>
      </c>
      <c r="R320" s="68">
        <v>0</v>
      </c>
      <c r="S320" s="68">
        <v>0</v>
      </c>
      <c r="T320" s="111">
        <v>0</v>
      </c>
    </row>
    <row r="321" spans="1:20" ht="56.25" customHeight="1" x14ac:dyDescent="0.25">
      <c r="A321" s="88">
        <v>311</v>
      </c>
      <c r="B321" s="89">
        <v>60</v>
      </c>
      <c r="C321" s="89">
        <v>920</v>
      </c>
      <c r="D321" s="90">
        <v>70499</v>
      </c>
      <c r="E321" s="91" t="s">
        <v>164</v>
      </c>
      <c r="F321" s="108" t="s">
        <v>18</v>
      </c>
      <c r="G321" s="108"/>
      <c r="H321" s="68">
        <v>0</v>
      </c>
      <c r="I321" s="68">
        <v>0</v>
      </c>
      <c r="J321" s="68">
        <v>0</v>
      </c>
      <c r="K321" s="68">
        <v>0</v>
      </c>
      <c r="L321" s="68">
        <v>0</v>
      </c>
      <c r="M321" s="68">
        <v>0</v>
      </c>
      <c r="N321" s="68">
        <v>0</v>
      </c>
      <c r="O321" s="68">
        <v>0</v>
      </c>
      <c r="P321" s="68">
        <v>0</v>
      </c>
      <c r="Q321" s="68">
        <v>0</v>
      </c>
      <c r="R321" s="68">
        <v>0</v>
      </c>
      <c r="S321" s="68">
        <v>0</v>
      </c>
      <c r="T321" s="111">
        <v>0</v>
      </c>
    </row>
    <row r="322" spans="1:20" ht="57" customHeight="1" x14ac:dyDescent="0.25">
      <c r="A322" s="88">
        <v>311</v>
      </c>
      <c r="B322" s="89">
        <v>60</v>
      </c>
      <c r="C322" s="89">
        <v>920</v>
      </c>
      <c r="D322" s="90">
        <v>70499</v>
      </c>
      <c r="E322" s="91" t="s">
        <v>164</v>
      </c>
      <c r="F322" s="108" t="s">
        <v>19</v>
      </c>
      <c r="G322" s="108"/>
      <c r="H322" s="68">
        <v>0</v>
      </c>
      <c r="I322" s="68">
        <v>0</v>
      </c>
      <c r="J322" s="68">
        <v>0</v>
      </c>
      <c r="K322" s="68">
        <v>0</v>
      </c>
      <c r="L322" s="68">
        <v>0</v>
      </c>
      <c r="M322" s="68">
        <v>0</v>
      </c>
      <c r="N322" s="68">
        <v>0</v>
      </c>
      <c r="O322" s="68">
        <v>0</v>
      </c>
      <c r="P322" s="68">
        <v>0</v>
      </c>
      <c r="Q322" s="68">
        <v>0</v>
      </c>
      <c r="R322" s="68">
        <v>0</v>
      </c>
      <c r="S322" s="68">
        <v>0</v>
      </c>
      <c r="T322" s="111">
        <v>0</v>
      </c>
    </row>
    <row r="323" spans="1:20" ht="57" customHeight="1" x14ac:dyDescent="0.25">
      <c r="A323" s="88">
        <v>311</v>
      </c>
      <c r="B323" s="89">
        <v>60</v>
      </c>
      <c r="C323" s="89">
        <v>910</v>
      </c>
      <c r="D323" s="90">
        <v>70499</v>
      </c>
      <c r="E323" s="91"/>
      <c r="F323" s="108" t="s">
        <v>374</v>
      </c>
      <c r="G323" s="108"/>
      <c r="H323" s="68">
        <v>0</v>
      </c>
      <c r="I323" s="68">
        <v>0</v>
      </c>
      <c r="J323" s="68">
        <v>0</v>
      </c>
      <c r="K323" s="68">
        <v>0</v>
      </c>
      <c r="L323" s="68">
        <v>0</v>
      </c>
      <c r="M323" s="68">
        <v>0</v>
      </c>
      <c r="N323" s="68">
        <v>0</v>
      </c>
      <c r="O323" s="68">
        <v>0</v>
      </c>
      <c r="P323" s="68">
        <v>0</v>
      </c>
      <c r="Q323" s="68">
        <v>0</v>
      </c>
      <c r="R323" s="68">
        <v>0</v>
      </c>
      <c r="S323" s="68">
        <v>0</v>
      </c>
      <c r="T323" s="111"/>
    </row>
    <row r="324" spans="1:20" ht="63.75" customHeight="1" x14ac:dyDescent="0.25">
      <c r="A324" s="88">
        <v>321</v>
      </c>
      <c r="B324" s="89">
        <v>60</v>
      </c>
      <c r="C324" s="89">
        <v>930</v>
      </c>
      <c r="D324" s="90">
        <v>70499</v>
      </c>
      <c r="E324" s="91" t="s">
        <v>166</v>
      </c>
      <c r="F324" s="92" t="s">
        <v>381</v>
      </c>
      <c r="G324" s="126" t="s">
        <v>351</v>
      </c>
      <c r="H324" s="68">
        <v>0</v>
      </c>
      <c r="I324" s="68">
        <v>0</v>
      </c>
      <c r="J324" s="68">
        <v>0</v>
      </c>
      <c r="K324" s="68">
        <v>0</v>
      </c>
      <c r="L324" s="68">
        <v>0</v>
      </c>
      <c r="M324" s="68">
        <v>0</v>
      </c>
      <c r="N324" s="68">
        <v>0</v>
      </c>
      <c r="O324" s="68">
        <v>0</v>
      </c>
      <c r="P324" s="68">
        <v>0</v>
      </c>
      <c r="Q324" s="68">
        <v>0</v>
      </c>
      <c r="R324" s="68">
        <v>0</v>
      </c>
      <c r="S324" s="68">
        <v>0</v>
      </c>
      <c r="T324" s="111">
        <v>0</v>
      </c>
    </row>
    <row r="325" spans="1:20" ht="63.75" customHeight="1" x14ac:dyDescent="0.25">
      <c r="A325" s="88">
        <v>311</v>
      </c>
      <c r="B325" s="89">
        <v>60</v>
      </c>
      <c r="C325" s="89">
        <v>910</v>
      </c>
      <c r="D325" s="90">
        <v>70499</v>
      </c>
      <c r="E325" s="91"/>
      <c r="F325" s="92" t="s">
        <v>382</v>
      </c>
      <c r="G325" s="128"/>
      <c r="H325" s="68">
        <v>0</v>
      </c>
      <c r="I325" s="68">
        <v>0</v>
      </c>
      <c r="J325" s="68">
        <v>0</v>
      </c>
      <c r="K325" s="68">
        <v>0</v>
      </c>
      <c r="L325" s="68">
        <v>0</v>
      </c>
      <c r="M325" s="68">
        <v>0</v>
      </c>
      <c r="N325" s="68">
        <v>0</v>
      </c>
      <c r="O325" s="68">
        <v>0</v>
      </c>
      <c r="P325" s="68">
        <v>0</v>
      </c>
      <c r="Q325" s="68">
        <v>0</v>
      </c>
      <c r="R325" s="68">
        <v>0</v>
      </c>
      <c r="S325" s="68">
        <v>0</v>
      </c>
      <c r="T325" s="111"/>
    </row>
    <row r="326" spans="1:20" ht="72" customHeight="1" x14ac:dyDescent="0.25">
      <c r="A326" s="88">
        <v>311</v>
      </c>
      <c r="B326" s="89">
        <v>60</v>
      </c>
      <c r="C326" s="89">
        <v>930</v>
      </c>
      <c r="D326" s="90">
        <v>70499</v>
      </c>
      <c r="E326" s="91" t="s">
        <v>174</v>
      </c>
      <c r="F326" s="92" t="s">
        <v>383</v>
      </c>
      <c r="G326" s="228" t="s">
        <v>352</v>
      </c>
      <c r="H326" s="68">
        <v>0</v>
      </c>
      <c r="I326" s="68">
        <v>0</v>
      </c>
      <c r="J326" s="68">
        <v>0</v>
      </c>
      <c r="K326" s="68">
        <v>0</v>
      </c>
      <c r="L326" s="68">
        <v>0</v>
      </c>
      <c r="M326" s="68">
        <v>0</v>
      </c>
      <c r="N326" s="68">
        <v>0</v>
      </c>
      <c r="O326" s="68">
        <v>0</v>
      </c>
      <c r="P326" s="68">
        <v>0</v>
      </c>
      <c r="Q326" s="68">
        <v>0</v>
      </c>
      <c r="R326" s="68">
        <v>0</v>
      </c>
      <c r="S326" s="68">
        <v>0</v>
      </c>
      <c r="T326" s="111">
        <v>0</v>
      </c>
    </row>
    <row r="327" spans="1:20" ht="72.75" customHeight="1" x14ac:dyDescent="0.25">
      <c r="A327" s="88">
        <v>321</v>
      </c>
      <c r="B327" s="89">
        <v>60</v>
      </c>
      <c r="C327" s="89">
        <v>930</v>
      </c>
      <c r="D327" s="90">
        <v>70499</v>
      </c>
      <c r="E327" s="91" t="s">
        <v>174</v>
      </c>
      <c r="F327" s="92" t="s">
        <v>383</v>
      </c>
      <c r="G327" s="229"/>
      <c r="H327" s="68">
        <v>0</v>
      </c>
      <c r="I327" s="68">
        <v>0</v>
      </c>
      <c r="J327" s="68">
        <v>0</v>
      </c>
      <c r="K327" s="68">
        <v>0</v>
      </c>
      <c r="L327" s="68">
        <v>0</v>
      </c>
      <c r="M327" s="68">
        <v>0</v>
      </c>
      <c r="N327" s="68">
        <v>0</v>
      </c>
      <c r="O327" s="68">
        <v>0</v>
      </c>
      <c r="P327" s="68">
        <v>0</v>
      </c>
      <c r="Q327" s="68">
        <v>0</v>
      </c>
      <c r="R327" s="68">
        <v>0</v>
      </c>
      <c r="S327" s="68">
        <v>0</v>
      </c>
      <c r="T327" s="111">
        <v>0</v>
      </c>
    </row>
    <row r="328" spans="1:20" ht="37.5" x14ac:dyDescent="0.25">
      <c r="A328" s="114">
        <v>311</v>
      </c>
      <c r="B328" s="115">
        <v>60</v>
      </c>
      <c r="C328" s="115">
        <v>910</v>
      </c>
      <c r="D328" s="116">
        <v>70499</v>
      </c>
      <c r="E328" s="117"/>
      <c r="F328" s="118" t="s">
        <v>386</v>
      </c>
      <c r="G328" s="118"/>
      <c r="H328" s="68">
        <v>0</v>
      </c>
      <c r="I328" s="68">
        <v>0</v>
      </c>
      <c r="J328" s="68">
        <v>0</v>
      </c>
      <c r="K328" s="68">
        <v>0</v>
      </c>
      <c r="L328" s="68">
        <v>0</v>
      </c>
      <c r="M328" s="68">
        <v>0</v>
      </c>
      <c r="N328" s="68">
        <v>0</v>
      </c>
      <c r="O328" s="68">
        <v>0</v>
      </c>
      <c r="P328" s="68">
        <v>0</v>
      </c>
      <c r="Q328" s="68">
        <v>0</v>
      </c>
      <c r="R328" s="68">
        <v>0</v>
      </c>
      <c r="S328" s="68">
        <v>0</v>
      </c>
      <c r="T328" s="111"/>
    </row>
    <row r="329" spans="1:20" ht="37.5" x14ac:dyDescent="0.25">
      <c r="A329" s="114">
        <v>321</v>
      </c>
      <c r="B329" s="115">
        <v>60</v>
      </c>
      <c r="C329" s="115">
        <v>920</v>
      </c>
      <c r="D329" s="116">
        <v>70499</v>
      </c>
      <c r="E329" s="117" t="s">
        <v>173</v>
      </c>
      <c r="F329" s="118" t="s">
        <v>385</v>
      </c>
      <c r="G329" s="118"/>
      <c r="H329" s="68">
        <v>0</v>
      </c>
      <c r="I329" s="68">
        <v>0</v>
      </c>
      <c r="J329" s="68">
        <v>0</v>
      </c>
      <c r="K329" s="68">
        <v>0</v>
      </c>
      <c r="L329" s="68">
        <v>0</v>
      </c>
      <c r="M329" s="68">
        <v>0</v>
      </c>
      <c r="N329" s="68">
        <v>0</v>
      </c>
      <c r="O329" s="68">
        <v>0</v>
      </c>
      <c r="P329" s="68">
        <v>0</v>
      </c>
      <c r="Q329" s="68">
        <v>0</v>
      </c>
      <c r="R329" s="68">
        <v>0</v>
      </c>
      <c r="S329" s="68">
        <v>0</v>
      </c>
      <c r="T329" s="111"/>
    </row>
    <row r="330" spans="1:20" ht="37.5" x14ac:dyDescent="0.25">
      <c r="A330" s="114">
        <v>321</v>
      </c>
      <c r="B330" s="115">
        <v>60</v>
      </c>
      <c r="C330" s="115">
        <v>930</v>
      </c>
      <c r="D330" s="116">
        <v>70499</v>
      </c>
      <c r="E330" s="117" t="s">
        <v>173</v>
      </c>
      <c r="F330" s="118" t="s">
        <v>384</v>
      </c>
      <c r="G330" s="118"/>
      <c r="H330" s="68">
        <v>0</v>
      </c>
      <c r="I330" s="68">
        <v>0</v>
      </c>
      <c r="J330" s="68">
        <v>0</v>
      </c>
      <c r="K330" s="68">
        <v>0</v>
      </c>
      <c r="L330" s="68">
        <v>0</v>
      </c>
      <c r="M330" s="68">
        <v>0</v>
      </c>
      <c r="N330" s="68">
        <v>0</v>
      </c>
      <c r="O330" s="68">
        <v>0</v>
      </c>
      <c r="P330" s="68">
        <v>0</v>
      </c>
      <c r="Q330" s="68">
        <v>0</v>
      </c>
      <c r="R330" s="68">
        <v>0</v>
      </c>
      <c r="S330" s="68">
        <v>0</v>
      </c>
      <c r="T330" s="111">
        <v>0</v>
      </c>
    </row>
    <row r="331" spans="1:20" ht="29.25" customHeight="1" x14ac:dyDescent="0.25">
      <c r="A331" s="114">
        <v>321</v>
      </c>
      <c r="B331" s="115">
        <v>60</v>
      </c>
      <c r="C331" s="115">
        <v>930</v>
      </c>
      <c r="D331" s="116">
        <v>70499</v>
      </c>
      <c r="E331" s="117" t="s">
        <v>169</v>
      </c>
      <c r="F331" s="118" t="s">
        <v>404</v>
      </c>
      <c r="G331" s="118"/>
      <c r="H331" s="68">
        <v>0</v>
      </c>
      <c r="I331" s="68">
        <v>0</v>
      </c>
      <c r="J331" s="68">
        <v>0</v>
      </c>
      <c r="K331" s="68">
        <v>0</v>
      </c>
      <c r="L331" s="68">
        <v>0</v>
      </c>
      <c r="M331" s="68">
        <v>0</v>
      </c>
      <c r="N331" s="68">
        <v>0</v>
      </c>
      <c r="O331" s="68">
        <v>0</v>
      </c>
      <c r="P331" s="68">
        <v>0</v>
      </c>
      <c r="Q331" s="68">
        <v>0</v>
      </c>
      <c r="R331" s="68">
        <v>0</v>
      </c>
      <c r="S331" s="68">
        <v>0</v>
      </c>
      <c r="T331" s="111"/>
    </row>
    <row r="332" spans="1:20" ht="59.25" customHeight="1" x14ac:dyDescent="0.25">
      <c r="A332" s="154">
        <v>321</v>
      </c>
      <c r="B332" s="155">
        <v>60</v>
      </c>
      <c r="C332" s="155">
        <v>910</v>
      </c>
      <c r="D332" s="156">
        <v>70499</v>
      </c>
      <c r="E332" s="157"/>
      <c r="F332" s="151" t="s">
        <v>415</v>
      </c>
      <c r="G332" s="38"/>
      <c r="H332" s="68">
        <v>0</v>
      </c>
      <c r="I332" s="68">
        <v>0</v>
      </c>
      <c r="J332" s="68">
        <v>0</v>
      </c>
      <c r="K332" s="68">
        <v>0</v>
      </c>
      <c r="L332" s="68">
        <v>0</v>
      </c>
      <c r="M332" s="68">
        <v>0</v>
      </c>
      <c r="N332" s="68">
        <v>0</v>
      </c>
      <c r="O332" s="68">
        <v>0</v>
      </c>
      <c r="P332" s="68">
        <v>0</v>
      </c>
      <c r="Q332" s="68">
        <v>0</v>
      </c>
      <c r="R332" s="68">
        <v>0</v>
      </c>
      <c r="S332" s="68">
        <v>0</v>
      </c>
      <c r="T332" s="111"/>
    </row>
    <row r="333" spans="1:20" ht="56.25" x14ac:dyDescent="0.25">
      <c r="A333" s="154">
        <v>321</v>
      </c>
      <c r="B333" s="155">
        <v>60</v>
      </c>
      <c r="C333" s="155">
        <v>920</v>
      </c>
      <c r="D333" s="156">
        <v>70499</v>
      </c>
      <c r="E333" s="157" t="s">
        <v>173</v>
      </c>
      <c r="F333" s="151" t="s">
        <v>426</v>
      </c>
      <c r="G333" s="38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11"/>
    </row>
    <row r="334" spans="1:20" ht="56.25" x14ac:dyDescent="0.25">
      <c r="A334" s="154">
        <v>321</v>
      </c>
      <c r="B334" s="155">
        <v>60</v>
      </c>
      <c r="C334" s="155">
        <v>930</v>
      </c>
      <c r="D334" s="156">
        <v>70499</v>
      </c>
      <c r="E334" s="157" t="s">
        <v>173</v>
      </c>
      <c r="F334" s="151" t="s">
        <v>427</v>
      </c>
      <c r="G334" s="38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11"/>
    </row>
    <row r="335" spans="1:20" ht="18.75" x14ac:dyDescent="0.25">
      <c r="A335" s="4"/>
      <c r="B335" s="52"/>
      <c r="C335" s="52"/>
      <c r="D335" s="7"/>
      <c r="E335" s="117"/>
      <c r="F335" s="118"/>
      <c r="G335" s="38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11"/>
    </row>
    <row r="336" spans="1:20" ht="18.75" x14ac:dyDescent="0.25">
      <c r="A336" s="4"/>
      <c r="B336" s="52"/>
      <c r="C336" s="52"/>
      <c r="D336" s="7"/>
      <c r="E336" s="117"/>
      <c r="F336" s="118"/>
      <c r="G336" s="38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11"/>
    </row>
    <row r="337" spans="1:20" ht="18.75" x14ac:dyDescent="0.25">
      <c r="A337" s="4"/>
      <c r="B337" s="52"/>
      <c r="C337" s="52"/>
      <c r="D337" s="7"/>
      <c r="E337" s="117"/>
      <c r="F337" s="118"/>
      <c r="G337" s="38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11"/>
    </row>
    <row r="338" spans="1:20" ht="18.75" x14ac:dyDescent="0.25">
      <c r="A338" s="56"/>
      <c r="B338" s="50"/>
      <c r="C338" s="50"/>
      <c r="D338" s="50"/>
      <c r="E338" s="54"/>
      <c r="F338" s="36" t="s">
        <v>119</v>
      </c>
      <c r="G338" s="36"/>
      <c r="H338" s="99">
        <v>108563.40399999998</v>
      </c>
      <c r="I338" s="99">
        <v>3050563.96</v>
      </c>
      <c r="J338" s="99">
        <v>134368</v>
      </c>
      <c r="K338" s="99">
        <v>3680878.76</v>
      </c>
      <c r="L338" s="99">
        <v>89300</v>
      </c>
      <c r="M338" s="99">
        <v>3737633.64</v>
      </c>
      <c r="N338" s="99">
        <v>39917</v>
      </c>
      <c r="O338" s="99">
        <v>2219304.65</v>
      </c>
      <c r="P338" s="99">
        <v>0</v>
      </c>
      <c r="Q338" s="99">
        <v>1409886</v>
      </c>
      <c r="R338" s="99">
        <v>0</v>
      </c>
      <c r="S338" s="99">
        <v>452500</v>
      </c>
      <c r="T338" s="111">
        <v>14550767.01</v>
      </c>
    </row>
    <row r="339" spans="1:20" ht="18.75" x14ac:dyDescent="0.25">
      <c r="A339" s="57"/>
      <c r="B339" s="51"/>
      <c r="C339" s="51"/>
      <c r="D339" s="51"/>
      <c r="E339" s="55"/>
      <c r="F339" s="37" t="s">
        <v>6</v>
      </c>
      <c r="G339" s="37"/>
      <c r="H339" s="100">
        <v>108563.40399999998</v>
      </c>
      <c r="I339" s="100">
        <v>3050563.96</v>
      </c>
      <c r="J339" s="100">
        <v>134368</v>
      </c>
      <c r="K339" s="100">
        <v>3680878.76</v>
      </c>
      <c r="L339" s="100">
        <v>89300</v>
      </c>
      <c r="M339" s="100">
        <v>3737633.64</v>
      </c>
      <c r="N339" s="100">
        <v>39917</v>
      </c>
      <c r="O339" s="100">
        <v>2219304.65</v>
      </c>
      <c r="P339" s="100">
        <v>0</v>
      </c>
      <c r="Q339" s="100">
        <v>1409886</v>
      </c>
      <c r="R339" s="100">
        <v>0</v>
      </c>
      <c r="S339" s="100">
        <v>452500</v>
      </c>
      <c r="T339" s="111">
        <v>14550767.01</v>
      </c>
    </row>
    <row r="340" spans="1:20" ht="37.5" x14ac:dyDescent="0.25">
      <c r="A340" s="4">
        <v>311</v>
      </c>
      <c r="B340" s="53">
        <v>45</v>
      </c>
      <c r="C340" s="53">
        <v>920</v>
      </c>
      <c r="D340" s="53">
        <v>70259</v>
      </c>
      <c r="E340" s="20" t="s">
        <v>172</v>
      </c>
      <c r="F340" s="72" t="s">
        <v>45</v>
      </c>
      <c r="G340" s="39"/>
      <c r="H340" s="68">
        <v>0</v>
      </c>
      <c r="I340" s="68">
        <v>29312</v>
      </c>
      <c r="J340" s="68">
        <v>0</v>
      </c>
      <c r="K340" s="68">
        <v>0</v>
      </c>
      <c r="L340" s="68">
        <v>0</v>
      </c>
      <c r="M340" s="68">
        <v>0</v>
      </c>
      <c r="N340" s="68">
        <v>0</v>
      </c>
      <c r="O340" s="68">
        <v>0</v>
      </c>
      <c r="P340" s="68">
        <v>0</v>
      </c>
      <c r="Q340" s="68">
        <v>0</v>
      </c>
      <c r="R340" s="68">
        <v>0</v>
      </c>
      <c r="S340" s="68">
        <v>0</v>
      </c>
      <c r="T340" s="111">
        <v>29312</v>
      </c>
    </row>
    <row r="341" spans="1:20" ht="37.5" x14ac:dyDescent="0.25">
      <c r="A341" s="4">
        <v>311</v>
      </c>
      <c r="B341" s="53">
        <v>45</v>
      </c>
      <c r="C341" s="53">
        <v>930</v>
      </c>
      <c r="D341" s="53">
        <v>70259</v>
      </c>
      <c r="E341" s="20" t="s">
        <v>172</v>
      </c>
      <c r="F341" s="72" t="s">
        <v>46</v>
      </c>
      <c r="G341" s="39"/>
      <c r="H341" s="68">
        <v>0</v>
      </c>
      <c r="I341" s="68">
        <v>77740.92</v>
      </c>
      <c r="J341" s="68">
        <v>0</v>
      </c>
      <c r="K341" s="68">
        <v>0</v>
      </c>
      <c r="L341" s="68">
        <v>0</v>
      </c>
      <c r="M341" s="68">
        <v>0</v>
      </c>
      <c r="N341" s="68">
        <v>0</v>
      </c>
      <c r="O341" s="68">
        <v>0</v>
      </c>
      <c r="P341" s="68">
        <v>0</v>
      </c>
      <c r="Q341" s="68">
        <v>0</v>
      </c>
      <c r="R341" s="68">
        <v>0</v>
      </c>
      <c r="S341" s="68">
        <v>0</v>
      </c>
      <c r="T341" s="111">
        <v>77740.92</v>
      </c>
    </row>
    <row r="342" spans="1:20" ht="37.5" x14ac:dyDescent="0.25">
      <c r="A342" s="4">
        <v>311</v>
      </c>
      <c r="B342" s="53">
        <v>45</v>
      </c>
      <c r="C342" s="53">
        <v>920</v>
      </c>
      <c r="D342" s="53">
        <v>70259</v>
      </c>
      <c r="E342" s="20" t="s">
        <v>172</v>
      </c>
      <c r="F342" s="72" t="s">
        <v>263</v>
      </c>
      <c r="G342" s="39"/>
      <c r="H342" s="68">
        <v>0</v>
      </c>
      <c r="I342" s="68">
        <v>377392</v>
      </c>
      <c r="J342" s="68">
        <v>0</v>
      </c>
      <c r="K342" s="68">
        <v>1105000</v>
      </c>
      <c r="L342" s="68">
        <v>0</v>
      </c>
      <c r="M342" s="68">
        <v>523199.76999999996</v>
      </c>
      <c r="N342" s="68">
        <v>0</v>
      </c>
      <c r="O342" s="68">
        <v>0</v>
      </c>
      <c r="P342" s="68">
        <v>0</v>
      </c>
      <c r="Q342" s="68">
        <v>0</v>
      </c>
      <c r="R342" s="68">
        <v>0</v>
      </c>
      <c r="S342" s="68">
        <v>0</v>
      </c>
      <c r="T342" s="111">
        <v>2005591.77</v>
      </c>
    </row>
    <row r="343" spans="1:20" ht="37.5" x14ac:dyDescent="0.25">
      <c r="A343" s="4">
        <v>311</v>
      </c>
      <c r="B343" s="53">
        <v>45</v>
      </c>
      <c r="C343" s="53">
        <v>930</v>
      </c>
      <c r="D343" s="53">
        <v>70259</v>
      </c>
      <c r="E343" s="20" t="s">
        <v>172</v>
      </c>
      <c r="F343" s="72" t="s">
        <v>262</v>
      </c>
      <c r="G343" s="39"/>
      <c r="H343" s="68">
        <v>0</v>
      </c>
      <c r="I343" s="68">
        <v>377392</v>
      </c>
      <c r="J343" s="68">
        <v>0</v>
      </c>
      <c r="K343" s="68">
        <v>1105000</v>
      </c>
      <c r="L343" s="68">
        <v>0</v>
      </c>
      <c r="M343" s="68">
        <v>523199.76999999996</v>
      </c>
      <c r="N343" s="68">
        <v>0</v>
      </c>
      <c r="O343" s="68">
        <v>0</v>
      </c>
      <c r="P343" s="68">
        <v>0</v>
      </c>
      <c r="Q343" s="68">
        <v>0</v>
      </c>
      <c r="R343" s="68">
        <v>0</v>
      </c>
      <c r="S343" s="68">
        <v>0</v>
      </c>
      <c r="T343" s="111">
        <v>2005591.77</v>
      </c>
    </row>
    <row r="344" spans="1:20" ht="56.25" x14ac:dyDescent="0.25">
      <c r="A344" s="4">
        <v>311</v>
      </c>
      <c r="B344" s="53">
        <v>45</v>
      </c>
      <c r="C344" s="53">
        <v>930</v>
      </c>
      <c r="D344" s="53">
        <v>70259</v>
      </c>
      <c r="E344" s="48" t="s">
        <v>172</v>
      </c>
      <c r="F344" s="72" t="s">
        <v>230</v>
      </c>
      <c r="G344" s="39"/>
      <c r="H344" s="68">
        <v>0</v>
      </c>
      <c r="I344" s="68">
        <v>916000</v>
      </c>
      <c r="J344" s="68">
        <v>0</v>
      </c>
      <c r="K344" s="68">
        <v>0</v>
      </c>
      <c r="L344" s="68">
        <v>0</v>
      </c>
      <c r="M344" s="68">
        <v>893000</v>
      </c>
      <c r="N344" s="68">
        <v>0</v>
      </c>
      <c r="O344" s="68">
        <v>447500</v>
      </c>
      <c r="P344" s="68">
        <v>0</v>
      </c>
      <c r="Q344" s="68">
        <v>270000</v>
      </c>
      <c r="R344" s="68">
        <v>0</v>
      </c>
      <c r="S344" s="68">
        <v>181000</v>
      </c>
      <c r="T344" s="111">
        <v>2707500</v>
      </c>
    </row>
    <row r="345" spans="1:20" ht="57.75" customHeight="1" x14ac:dyDescent="0.3">
      <c r="A345" s="4">
        <v>311</v>
      </c>
      <c r="B345" s="53">
        <v>45</v>
      </c>
      <c r="C345" s="53">
        <v>920</v>
      </c>
      <c r="D345" s="53">
        <v>70259</v>
      </c>
      <c r="E345" s="53" t="s">
        <v>172</v>
      </c>
      <c r="F345" s="71" t="s">
        <v>232</v>
      </c>
      <c r="G345" s="44"/>
      <c r="H345" s="68">
        <v>0</v>
      </c>
      <c r="I345" s="68">
        <v>265640</v>
      </c>
      <c r="J345" s="68">
        <v>0</v>
      </c>
      <c r="K345" s="68">
        <v>100555</v>
      </c>
      <c r="L345" s="68">
        <v>0</v>
      </c>
      <c r="M345" s="68">
        <v>133682.1</v>
      </c>
      <c r="N345" s="68">
        <v>0</v>
      </c>
      <c r="O345" s="68">
        <v>166156.75</v>
      </c>
      <c r="P345" s="68">
        <v>0</v>
      </c>
      <c r="Q345" s="68">
        <v>0</v>
      </c>
      <c r="R345" s="68">
        <v>0</v>
      </c>
      <c r="S345" s="68">
        <v>0</v>
      </c>
      <c r="T345" s="111">
        <v>666033.85</v>
      </c>
    </row>
    <row r="346" spans="1:20" ht="63.75" customHeight="1" x14ac:dyDescent="0.3">
      <c r="A346" s="4">
        <v>311</v>
      </c>
      <c r="B346" s="53">
        <v>45</v>
      </c>
      <c r="C346" s="53">
        <v>930</v>
      </c>
      <c r="D346" s="53">
        <v>70259</v>
      </c>
      <c r="E346" s="53" t="s">
        <v>172</v>
      </c>
      <c r="F346" s="71" t="s">
        <v>231</v>
      </c>
      <c r="G346" s="44"/>
      <c r="H346" s="68">
        <v>0</v>
      </c>
      <c r="I346" s="68">
        <v>283960</v>
      </c>
      <c r="J346" s="68">
        <v>0</v>
      </c>
      <c r="K346" s="68">
        <v>822243.76</v>
      </c>
      <c r="L346" s="68">
        <v>0</v>
      </c>
      <c r="M346" s="68">
        <v>893000</v>
      </c>
      <c r="N346" s="68">
        <v>0</v>
      </c>
      <c r="O346" s="68">
        <v>598146.4</v>
      </c>
      <c r="P346" s="68">
        <v>0</v>
      </c>
      <c r="Q346" s="68">
        <v>1139886</v>
      </c>
      <c r="R346" s="68">
        <v>0</v>
      </c>
      <c r="S346" s="68">
        <v>271500</v>
      </c>
      <c r="T346" s="111">
        <v>4008736.16</v>
      </c>
    </row>
    <row r="347" spans="1:20" ht="51.75" customHeight="1" x14ac:dyDescent="0.25">
      <c r="A347" s="4">
        <v>311</v>
      </c>
      <c r="B347" s="53">
        <v>45</v>
      </c>
      <c r="C347" s="53">
        <v>910</v>
      </c>
      <c r="D347" s="53">
        <v>70259</v>
      </c>
      <c r="E347" s="48"/>
      <c r="F347" s="72" t="s">
        <v>120</v>
      </c>
      <c r="G347" s="39"/>
      <c r="H347" s="68">
        <v>64119.999999999993</v>
      </c>
      <c r="I347" s="68">
        <v>0</v>
      </c>
      <c r="J347" s="68">
        <v>132600</v>
      </c>
      <c r="K347" s="68">
        <v>0</v>
      </c>
      <c r="L347" s="68">
        <v>89300</v>
      </c>
      <c r="M347" s="68">
        <v>0</v>
      </c>
      <c r="N347" s="68">
        <v>39917</v>
      </c>
      <c r="O347" s="68">
        <v>0</v>
      </c>
      <c r="P347" s="68">
        <v>0</v>
      </c>
      <c r="Q347" s="68">
        <v>0</v>
      </c>
      <c r="R347" s="68">
        <v>0</v>
      </c>
      <c r="S347" s="68">
        <v>0</v>
      </c>
      <c r="T347" s="111">
        <v>0</v>
      </c>
    </row>
    <row r="348" spans="1:20" ht="53.25" customHeight="1" x14ac:dyDescent="0.25">
      <c r="A348" s="4">
        <v>311</v>
      </c>
      <c r="B348" s="53">
        <v>45</v>
      </c>
      <c r="C348" s="53">
        <v>920</v>
      </c>
      <c r="D348" s="53">
        <v>70259</v>
      </c>
      <c r="E348" s="48" t="s">
        <v>173</v>
      </c>
      <c r="F348" s="72" t="s">
        <v>121</v>
      </c>
      <c r="G348" s="39"/>
      <c r="H348" s="68">
        <v>0</v>
      </c>
      <c r="I348" s="68">
        <v>274800</v>
      </c>
      <c r="J348" s="68">
        <v>0</v>
      </c>
      <c r="K348" s="68">
        <v>300560</v>
      </c>
      <c r="L348" s="68">
        <v>0</v>
      </c>
      <c r="M348" s="68">
        <v>535800</v>
      </c>
      <c r="N348" s="68">
        <v>0</v>
      </c>
      <c r="O348" s="68">
        <v>689060.5</v>
      </c>
      <c r="P348" s="68">
        <v>0</v>
      </c>
      <c r="Q348" s="68">
        <v>0</v>
      </c>
      <c r="R348" s="68">
        <v>0</v>
      </c>
      <c r="S348" s="68">
        <v>0</v>
      </c>
      <c r="T348" s="111">
        <v>1800220.5</v>
      </c>
    </row>
    <row r="349" spans="1:20" ht="72.75" customHeight="1" x14ac:dyDescent="0.25">
      <c r="A349" s="4">
        <v>311</v>
      </c>
      <c r="B349" s="53">
        <v>45</v>
      </c>
      <c r="C349" s="53">
        <v>930</v>
      </c>
      <c r="D349" s="53">
        <v>70259</v>
      </c>
      <c r="E349" s="48" t="s">
        <v>173</v>
      </c>
      <c r="F349" s="72" t="s">
        <v>122</v>
      </c>
      <c r="G349" s="39"/>
      <c r="H349" s="68">
        <v>0</v>
      </c>
      <c r="I349" s="68">
        <v>183200</v>
      </c>
      <c r="J349" s="68">
        <v>0</v>
      </c>
      <c r="K349" s="68">
        <v>238680.00000000003</v>
      </c>
      <c r="L349" s="68">
        <v>0</v>
      </c>
      <c r="M349" s="68">
        <v>235752</v>
      </c>
      <c r="N349" s="68">
        <v>0</v>
      </c>
      <c r="O349" s="68">
        <v>318441</v>
      </c>
      <c r="P349" s="68">
        <v>0</v>
      </c>
      <c r="Q349" s="68">
        <v>0</v>
      </c>
      <c r="R349" s="68">
        <v>0</v>
      </c>
      <c r="S349" s="68">
        <v>0</v>
      </c>
      <c r="T349" s="111">
        <v>976073</v>
      </c>
    </row>
    <row r="350" spans="1:20" ht="75" customHeight="1" x14ac:dyDescent="0.25">
      <c r="A350" s="4">
        <v>311</v>
      </c>
      <c r="B350" s="53">
        <v>45</v>
      </c>
      <c r="C350" s="53">
        <v>910</v>
      </c>
      <c r="D350" s="53">
        <v>70259</v>
      </c>
      <c r="E350" s="48"/>
      <c r="F350" s="82" t="s">
        <v>62</v>
      </c>
      <c r="G350" s="230" t="s">
        <v>319</v>
      </c>
      <c r="H350" s="68">
        <v>44443.403999999995</v>
      </c>
      <c r="I350" s="68">
        <v>0</v>
      </c>
      <c r="J350" s="68">
        <v>1768</v>
      </c>
      <c r="K350" s="68">
        <v>0</v>
      </c>
      <c r="L350" s="68">
        <v>0</v>
      </c>
      <c r="M350" s="68">
        <v>0</v>
      </c>
      <c r="N350" s="68">
        <v>0</v>
      </c>
      <c r="O350" s="68">
        <v>0</v>
      </c>
      <c r="P350" s="68">
        <v>0</v>
      </c>
      <c r="Q350" s="68">
        <v>0</v>
      </c>
      <c r="R350" s="68">
        <v>0</v>
      </c>
      <c r="S350" s="68">
        <v>0</v>
      </c>
      <c r="T350" s="111">
        <v>0</v>
      </c>
    </row>
    <row r="351" spans="1:20" ht="72" customHeight="1" x14ac:dyDescent="0.25">
      <c r="A351" s="4">
        <v>311</v>
      </c>
      <c r="B351" s="53">
        <v>45</v>
      </c>
      <c r="C351" s="53">
        <v>920</v>
      </c>
      <c r="D351" s="53">
        <v>70259</v>
      </c>
      <c r="E351" s="48" t="s">
        <v>173</v>
      </c>
      <c r="F351" s="82" t="s">
        <v>63</v>
      </c>
      <c r="G351" s="231"/>
      <c r="H351" s="68">
        <v>0</v>
      </c>
      <c r="I351" s="68">
        <v>0</v>
      </c>
      <c r="J351" s="68">
        <v>0</v>
      </c>
      <c r="K351" s="68">
        <v>0</v>
      </c>
      <c r="L351" s="68">
        <v>0</v>
      </c>
      <c r="M351" s="68">
        <v>0</v>
      </c>
      <c r="N351" s="68">
        <v>0</v>
      </c>
      <c r="O351" s="68">
        <v>0</v>
      </c>
      <c r="P351" s="68">
        <v>0</v>
      </c>
      <c r="Q351" s="68">
        <v>0</v>
      </c>
      <c r="R351" s="68">
        <v>0</v>
      </c>
      <c r="S351" s="68">
        <v>0</v>
      </c>
      <c r="T351" s="111">
        <v>0</v>
      </c>
    </row>
    <row r="352" spans="1:20" ht="74.25" customHeight="1" x14ac:dyDescent="0.25">
      <c r="A352" s="4">
        <v>311</v>
      </c>
      <c r="B352" s="53">
        <v>45</v>
      </c>
      <c r="C352" s="53">
        <v>930</v>
      </c>
      <c r="D352" s="53">
        <v>70259</v>
      </c>
      <c r="E352" s="48" t="s">
        <v>173</v>
      </c>
      <c r="F352" s="82" t="s">
        <v>64</v>
      </c>
      <c r="G352" s="232"/>
      <c r="H352" s="68">
        <v>0</v>
      </c>
      <c r="I352" s="68">
        <v>265127.03999999998</v>
      </c>
      <c r="J352" s="68">
        <v>0</v>
      </c>
      <c r="K352" s="68">
        <v>8840</v>
      </c>
      <c r="L352" s="68">
        <v>0</v>
      </c>
      <c r="M352" s="68">
        <v>0</v>
      </c>
      <c r="N352" s="68">
        <v>0</v>
      </c>
      <c r="O352" s="68">
        <v>0</v>
      </c>
      <c r="P352" s="68">
        <v>0</v>
      </c>
      <c r="Q352" s="68">
        <v>0</v>
      </c>
      <c r="R352" s="68">
        <v>0</v>
      </c>
      <c r="S352" s="68">
        <v>0</v>
      </c>
      <c r="T352" s="111">
        <v>273967.03999999998</v>
      </c>
    </row>
    <row r="353" spans="1:20" s="121" customFormat="1" ht="18.75" x14ac:dyDescent="0.25">
      <c r="A353" s="114"/>
      <c r="B353" s="135"/>
      <c r="C353" s="135"/>
      <c r="D353" s="135"/>
      <c r="E353" s="123"/>
      <c r="F353" s="137"/>
      <c r="G353" s="138"/>
      <c r="H353" s="119"/>
      <c r="I353" s="134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20"/>
    </row>
    <row r="354" spans="1:20" s="121" customFormat="1" ht="18.75" x14ac:dyDescent="0.25">
      <c r="A354" s="114"/>
      <c r="B354" s="135"/>
      <c r="C354" s="135"/>
      <c r="D354" s="135"/>
      <c r="E354" s="123"/>
      <c r="F354" s="137"/>
      <c r="G354" s="138"/>
      <c r="H354" s="119"/>
      <c r="I354" s="134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20"/>
    </row>
    <row r="355" spans="1:20" s="121" customFormat="1" ht="18.75" x14ac:dyDescent="0.25">
      <c r="A355" s="114"/>
      <c r="B355" s="135"/>
      <c r="C355" s="135"/>
      <c r="D355" s="135"/>
      <c r="E355" s="123"/>
      <c r="F355" s="137"/>
      <c r="G355" s="138"/>
      <c r="H355" s="119"/>
      <c r="I355" s="134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20"/>
    </row>
    <row r="356" spans="1:20" s="121" customFormat="1" ht="18.75" x14ac:dyDescent="0.25">
      <c r="A356" s="114"/>
      <c r="B356" s="135"/>
      <c r="C356" s="135"/>
      <c r="D356" s="135"/>
      <c r="E356" s="123"/>
      <c r="F356" s="137"/>
      <c r="G356" s="138"/>
      <c r="H356" s="119"/>
      <c r="I356" s="134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20"/>
    </row>
    <row r="357" spans="1:20" s="121" customFormat="1" ht="18.75" x14ac:dyDescent="0.25">
      <c r="A357" s="114"/>
      <c r="B357" s="135"/>
      <c r="C357" s="135"/>
      <c r="D357" s="135"/>
      <c r="E357" s="123"/>
      <c r="F357" s="137"/>
      <c r="G357" s="137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20">
        <v>0</v>
      </c>
    </row>
    <row r="358" spans="1:20" ht="18.75" x14ac:dyDescent="0.25">
      <c r="A358" s="56"/>
      <c r="B358" s="50"/>
      <c r="C358" s="50"/>
      <c r="D358" s="50"/>
      <c r="E358" s="54"/>
      <c r="F358" s="36" t="s">
        <v>123</v>
      </c>
      <c r="G358" s="36"/>
      <c r="H358" s="99">
        <v>18320</v>
      </c>
      <c r="I358" s="99">
        <v>5943147.2319999998</v>
      </c>
      <c r="J358" s="99">
        <v>0</v>
      </c>
      <c r="K358" s="99">
        <v>7983368.6399999987</v>
      </c>
      <c r="L358" s="99">
        <v>0</v>
      </c>
      <c r="M358" s="99">
        <v>10721323.172999999</v>
      </c>
      <c r="N358" s="99">
        <v>0</v>
      </c>
      <c r="O358" s="99">
        <v>4762805.1500000004</v>
      </c>
      <c r="P358" s="99">
        <v>0</v>
      </c>
      <c r="Q358" s="99">
        <v>4177719</v>
      </c>
      <c r="R358" s="99">
        <v>0</v>
      </c>
      <c r="S358" s="99">
        <v>3755750</v>
      </c>
      <c r="T358" s="111">
        <v>37344113.194999993</v>
      </c>
    </row>
    <row r="359" spans="1:20" ht="18.75" x14ac:dyDescent="0.25">
      <c r="A359" s="57"/>
      <c r="B359" s="51"/>
      <c r="C359" s="51"/>
      <c r="D359" s="51"/>
      <c r="E359" s="55"/>
      <c r="F359" s="37" t="s">
        <v>6</v>
      </c>
      <c r="G359" s="37"/>
      <c r="H359" s="100">
        <v>18320</v>
      </c>
      <c r="I359" s="100">
        <v>5943147.2319999998</v>
      </c>
      <c r="J359" s="100">
        <v>0</v>
      </c>
      <c r="K359" s="100">
        <v>7983368.6399999987</v>
      </c>
      <c r="L359" s="100">
        <v>0</v>
      </c>
      <c r="M359" s="100">
        <v>10721323.172999999</v>
      </c>
      <c r="N359" s="100">
        <v>0</v>
      </c>
      <c r="O359" s="100">
        <v>4762805.1500000004</v>
      </c>
      <c r="P359" s="100">
        <v>0</v>
      </c>
      <c r="Q359" s="100">
        <v>4177719</v>
      </c>
      <c r="R359" s="100">
        <v>0</v>
      </c>
      <c r="S359" s="100">
        <v>3755750</v>
      </c>
      <c r="T359" s="111">
        <v>37344113.194999993</v>
      </c>
    </row>
    <row r="360" spans="1:20" ht="18.75" x14ac:dyDescent="0.25">
      <c r="A360" s="77">
        <v>321</v>
      </c>
      <c r="B360" s="78">
        <v>55</v>
      </c>
      <c r="C360" s="78">
        <v>930</v>
      </c>
      <c r="D360" s="79">
        <v>70499</v>
      </c>
      <c r="E360" s="80" t="s">
        <v>172</v>
      </c>
      <c r="F360" s="81" t="s">
        <v>313</v>
      </c>
      <c r="G360" s="38"/>
      <c r="H360" s="68">
        <v>0</v>
      </c>
      <c r="I360" s="68">
        <v>0</v>
      </c>
      <c r="J360" s="68">
        <v>0</v>
      </c>
      <c r="K360" s="68">
        <v>0</v>
      </c>
      <c r="L360" s="68">
        <v>0</v>
      </c>
      <c r="M360" s="68">
        <v>0</v>
      </c>
      <c r="N360" s="68">
        <v>0</v>
      </c>
      <c r="O360" s="68">
        <v>0</v>
      </c>
      <c r="P360" s="68">
        <v>0</v>
      </c>
      <c r="Q360" s="68">
        <v>0</v>
      </c>
      <c r="R360" s="68">
        <v>0</v>
      </c>
      <c r="S360" s="68">
        <v>0</v>
      </c>
      <c r="T360" s="111">
        <v>0</v>
      </c>
    </row>
    <row r="361" spans="1:20" ht="18.75" x14ac:dyDescent="0.25">
      <c r="A361" s="77">
        <v>321</v>
      </c>
      <c r="B361" s="78">
        <v>55</v>
      </c>
      <c r="C361" s="78">
        <v>930</v>
      </c>
      <c r="D361" s="79">
        <v>70499</v>
      </c>
      <c r="E361" s="80" t="s">
        <v>171</v>
      </c>
      <c r="F361" s="81" t="s">
        <v>314</v>
      </c>
      <c r="G361" s="38"/>
      <c r="H361" s="68">
        <v>0</v>
      </c>
      <c r="I361" s="68">
        <v>0</v>
      </c>
      <c r="J361" s="68">
        <v>0</v>
      </c>
      <c r="K361" s="68">
        <v>0</v>
      </c>
      <c r="L361" s="68">
        <v>0</v>
      </c>
      <c r="M361" s="68">
        <v>0</v>
      </c>
      <c r="N361" s="68">
        <v>0</v>
      </c>
      <c r="O361" s="68">
        <v>0</v>
      </c>
      <c r="P361" s="68">
        <v>0</v>
      </c>
      <c r="Q361" s="68">
        <v>0</v>
      </c>
      <c r="R361" s="68">
        <v>0</v>
      </c>
      <c r="S361" s="68">
        <v>0</v>
      </c>
      <c r="T361" s="111">
        <v>0</v>
      </c>
    </row>
    <row r="362" spans="1:20" ht="18.75" x14ac:dyDescent="0.25">
      <c r="A362" s="77">
        <v>321</v>
      </c>
      <c r="B362" s="78">
        <v>55</v>
      </c>
      <c r="C362" s="78">
        <v>930</v>
      </c>
      <c r="D362" s="79">
        <v>70499</v>
      </c>
      <c r="E362" s="80" t="s">
        <v>174</v>
      </c>
      <c r="F362" s="81" t="s">
        <v>315</v>
      </c>
      <c r="G362" s="38"/>
      <c r="H362" s="68">
        <v>0</v>
      </c>
      <c r="I362" s="68">
        <v>0</v>
      </c>
      <c r="J362" s="68">
        <v>0</v>
      </c>
      <c r="K362" s="68">
        <v>0</v>
      </c>
      <c r="L362" s="68">
        <v>0</v>
      </c>
      <c r="M362" s="68">
        <v>0</v>
      </c>
      <c r="N362" s="68">
        <v>0</v>
      </c>
      <c r="O362" s="68">
        <v>0</v>
      </c>
      <c r="P362" s="68">
        <v>0</v>
      </c>
      <c r="Q362" s="68">
        <v>0</v>
      </c>
      <c r="R362" s="68">
        <v>0</v>
      </c>
      <c r="S362" s="68">
        <v>0</v>
      </c>
      <c r="T362" s="111">
        <v>0</v>
      </c>
    </row>
    <row r="363" spans="1:20" ht="37.5" x14ac:dyDescent="0.25">
      <c r="A363" s="63">
        <v>321</v>
      </c>
      <c r="B363" s="64">
        <v>55</v>
      </c>
      <c r="C363" s="64">
        <v>930</v>
      </c>
      <c r="D363" s="65">
        <v>70499</v>
      </c>
      <c r="E363" s="20" t="s">
        <v>419</v>
      </c>
      <c r="F363" s="67" t="s">
        <v>431</v>
      </c>
      <c r="G363" s="38" t="s">
        <v>273</v>
      </c>
      <c r="H363" s="68">
        <v>0</v>
      </c>
      <c r="I363" s="68">
        <v>916000</v>
      </c>
      <c r="J363" s="68">
        <v>0</v>
      </c>
      <c r="K363" s="68">
        <v>2722720</v>
      </c>
      <c r="L363" s="68">
        <v>0</v>
      </c>
      <c r="M363" s="68">
        <v>2232500</v>
      </c>
      <c r="N363" s="68">
        <v>0</v>
      </c>
      <c r="O363" s="68">
        <v>2078019.95</v>
      </c>
      <c r="P363" s="68">
        <v>0</v>
      </c>
      <c r="Q363" s="68">
        <v>810000</v>
      </c>
      <c r="R363" s="68">
        <v>0</v>
      </c>
      <c r="S363" s="68">
        <v>995500</v>
      </c>
      <c r="T363" s="111">
        <v>9754739.9499999993</v>
      </c>
    </row>
    <row r="364" spans="1:20" ht="49.5" customHeight="1" x14ac:dyDescent="0.25">
      <c r="A364" s="63">
        <v>321</v>
      </c>
      <c r="B364" s="64">
        <v>55</v>
      </c>
      <c r="C364" s="64">
        <v>930</v>
      </c>
      <c r="D364" s="65">
        <v>70499</v>
      </c>
      <c r="E364" s="20" t="s">
        <v>419</v>
      </c>
      <c r="F364" s="67" t="s">
        <v>432</v>
      </c>
      <c r="G364" s="38" t="s">
        <v>274</v>
      </c>
      <c r="H364" s="68">
        <v>0</v>
      </c>
      <c r="I364" s="68">
        <v>297700</v>
      </c>
      <c r="J364" s="68">
        <v>0</v>
      </c>
      <c r="K364" s="68">
        <v>85306</v>
      </c>
      <c r="L364" s="68">
        <v>0</v>
      </c>
      <c r="M364" s="68">
        <v>2292956.1</v>
      </c>
      <c r="N364" s="68">
        <v>0</v>
      </c>
      <c r="O364" s="68">
        <v>179000</v>
      </c>
      <c r="P364" s="68">
        <v>0</v>
      </c>
      <c r="Q364" s="68">
        <v>360000</v>
      </c>
      <c r="R364" s="68">
        <v>0</v>
      </c>
      <c r="S364" s="68">
        <v>362000</v>
      </c>
      <c r="T364" s="111">
        <v>3576962.1</v>
      </c>
    </row>
    <row r="365" spans="1:20" ht="41.25" customHeight="1" x14ac:dyDescent="0.25">
      <c r="A365" s="63">
        <v>311</v>
      </c>
      <c r="B365" s="64">
        <v>55</v>
      </c>
      <c r="C365" s="64">
        <v>910</v>
      </c>
      <c r="D365" s="65">
        <v>70499</v>
      </c>
      <c r="E365" s="66"/>
      <c r="F365" s="67" t="s">
        <v>124</v>
      </c>
      <c r="G365" s="38"/>
      <c r="H365" s="68">
        <v>18320</v>
      </c>
      <c r="I365" s="68">
        <v>0</v>
      </c>
      <c r="J365" s="68">
        <v>0</v>
      </c>
      <c r="K365" s="68">
        <v>0</v>
      </c>
      <c r="L365" s="68">
        <v>0</v>
      </c>
      <c r="M365" s="68">
        <v>0</v>
      </c>
      <c r="N365" s="68">
        <v>0</v>
      </c>
      <c r="O365" s="68">
        <v>0</v>
      </c>
      <c r="P365" s="68">
        <v>0</v>
      </c>
      <c r="Q365" s="68">
        <v>0</v>
      </c>
      <c r="R365" s="68">
        <v>0</v>
      </c>
      <c r="S365" s="68">
        <v>0</v>
      </c>
      <c r="T365" s="111">
        <v>0</v>
      </c>
    </row>
    <row r="366" spans="1:20" ht="18.75" x14ac:dyDescent="0.25">
      <c r="A366" s="63">
        <v>311</v>
      </c>
      <c r="B366" s="64">
        <v>55</v>
      </c>
      <c r="C366" s="64">
        <v>920</v>
      </c>
      <c r="D366" s="65">
        <v>70499</v>
      </c>
      <c r="E366" s="66" t="s">
        <v>173</v>
      </c>
      <c r="F366" s="67" t="s">
        <v>125</v>
      </c>
      <c r="G366" s="38"/>
      <c r="H366" s="68">
        <v>0</v>
      </c>
      <c r="I366" s="68">
        <v>0</v>
      </c>
      <c r="J366" s="68">
        <v>0</v>
      </c>
      <c r="K366" s="68">
        <v>65477.880000000005</v>
      </c>
      <c r="L366" s="68">
        <v>0</v>
      </c>
      <c r="M366" s="68">
        <v>0</v>
      </c>
      <c r="N366" s="68">
        <v>0</v>
      </c>
      <c r="O366" s="68">
        <v>0</v>
      </c>
      <c r="P366" s="68">
        <v>0</v>
      </c>
      <c r="Q366" s="68">
        <v>0</v>
      </c>
      <c r="R366" s="68">
        <v>0</v>
      </c>
      <c r="S366" s="68">
        <v>0</v>
      </c>
      <c r="T366" s="111">
        <v>65477.880000000005</v>
      </c>
    </row>
    <row r="367" spans="1:20" ht="18.75" x14ac:dyDescent="0.25">
      <c r="A367" s="63">
        <v>311</v>
      </c>
      <c r="B367" s="64">
        <v>55</v>
      </c>
      <c r="C367" s="64">
        <v>920</v>
      </c>
      <c r="D367" s="65">
        <v>70499</v>
      </c>
      <c r="E367" s="66" t="s">
        <v>173</v>
      </c>
      <c r="F367" s="67" t="s">
        <v>126</v>
      </c>
      <c r="G367" s="38"/>
      <c r="H367" s="68">
        <v>0</v>
      </c>
      <c r="I367" s="68">
        <v>185032</v>
      </c>
      <c r="J367" s="68">
        <v>0</v>
      </c>
      <c r="K367" s="68">
        <v>123760.00000000001</v>
      </c>
      <c r="L367" s="68">
        <v>0</v>
      </c>
      <c r="M367" s="68">
        <v>76619.399999999994</v>
      </c>
      <c r="N367" s="68">
        <v>0</v>
      </c>
      <c r="O367" s="68">
        <v>0</v>
      </c>
      <c r="P367" s="68">
        <v>0</v>
      </c>
      <c r="Q367" s="68">
        <v>0</v>
      </c>
      <c r="R367" s="68">
        <v>0</v>
      </c>
      <c r="S367" s="68">
        <v>0</v>
      </c>
      <c r="T367" s="111">
        <v>385411.4</v>
      </c>
    </row>
    <row r="368" spans="1:20" ht="37.5" x14ac:dyDescent="0.25">
      <c r="A368" s="63">
        <v>321</v>
      </c>
      <c r="B368" s="64">
        <v>55</v>
      </c>
      <c r="C368" s="64">
        <v>930</v>
      </c>
      <c r="D368" s="65">
        <v>70499</v>
      </c>
      <c r="E368" s="66" t="s">
        <v>173</v>
      </c>
      <c r="F368" s="67" t="s">
        <v>127</v>
      </c>
      <c r="G368" s="38" t="s">
        <v>275</v>
      </c>
      <c r="H368" s="68">
        <v>0</v>
      </c>
      <c r="I368" s="68">
        <v>167087.55999999997</v>
      </c>
      <c r="J368" s="68">
        <v>0</v>
      </c>
      <c r="K368" s="68">
        <v>71188.52</v>
      </c>
      <c r="L368" s="68">
        <v>0</v>
      </c>
      <c r="M368" s="68">
        <v>179412.62999999998</v>
      </c>
      <c r="N368" s="68">
        <v>0</v>
      </c>
      <c r="O368" s="68">
        <v>0</v>
      </c>
      <c r="P368" s="68">
        <v>0</v>
      </c>
      <c r="Q368" s="68">
        <v>0</v>
      </c>
      <c r="R368" s="68">
        <v>0</v>
      </c>
      <c r="S368" s="68">
        <v>0</v>
      </c>
      <c r="T368" s="111">
        <v>417688.70999999996</v>
      </c>
    </row>
    <row r="369" spans="1:20" ht="37.5" x14ac:dyDescent="0.25">
      <c r="A369" s="63">
        <v>311</v>
      </c>
      <c r="B369" s="64">
        <v>55</v>
      </c>
      <c r="C369" s="64">
        <v>930</v>
      </c>
      <c r="D369" s="65">
        <v>70499</v>
      </c>
      <c r="E369" s="66" t="s">
        <v>173</v>
      </c>
      <c r="F369" s="67" t="s">
        <v>127</v>
      </c>
      <c r="G369" s="38" t="s">
        <v>275</v>
      </c>
      <c r="H369" s="68">
        <v>0</v>
      </c>
      <c r="I369" s="68">
        <v>40386.439999999995</v>
      </c>
      <c r="J369" s="68">
        <v>0</v>
      </c>
      <c r="K369" s="68">
        <v>17211.48</v>
      </c>
      <c r="L369" s="68">
        <v>0</v>
      </c>
      <c r="M369" s="68">
        <v>43364.08</v>
      </c>
      <c r="N369" s="68">
        <v>0</v>
      </c>
      <c r="O369" s="68">
        <v>0</v>
      </c>
      <c r="P369" s="68">
        <v>0</v>
      </c>
      <c r="Q369" s="68">
        <v>0</v>
      </c>
      <c r="R369" s="68">
        <v>0</v>
      </c>
      <c r="S369" s="68">
        <v>0</v>
      </c>
      <c r="T369" s="111">
        <v>100962</v>
      </c>
    </row>
    <row r="370" spans="1:20" ht="18.75" x14ac:dyDescent="0.25">
      <c r="A370" s="63">
        <v>311</v>
      </c>
      <c r="B370" s="64">
        <v>55</v>
      </c>
      <c r="C370" s="64">
        <v>920</v>
      </c>
      <c r="D370" s="65">
        <v>70499</v>
      </c>
      <c r="E370" s="66" t="s">
        <v>173</v>
      </c>
      <c r="F370" s="67" t="s">
        <v>128</v>
      </c>
      <c r="G370" s="38"/>
      <c r="H370" s="68">
        <v>0</v>
      </c>
      <c r="I370" s="68">
        <v>158010</v>
      </c>
      <c r="J370" s="68">
        <v>0</v>
      </c>
      <c r="K370" s="68">
        <v>0</v>
      </c>
      <c r="L370" s="68">
        <v>0</v>
      </c>
      <c r="M370" s="68">
        <v>0</v>
      </c>
      <c r="N370" s="68">
        <v>0</v>
      </c>
      <c r="O370" s="68">
        <v>0</v>
      </c>
      <c r="P370" s="68">
        <v>0</v>
      </c>
      <c r="Q370" s="68">
        <v>0</v>
      </c>
      <c r="R370" s="68">
        <v>0</v>
      </c>
      <c r="S370" s="68">
        <v>0</v>
      </c>
      <c r="T370" s="111">
        <v>158010</v>
      </c>
    </row>
    <row r="371" spans="1:20" ht="18.75" x14ac:dyDescent="0.25">
      <c r="A371" s="63">
        <v>311</v>
      </c>
      <c r="B371" s="64">
        <v>55</v>
      </c>
      <c r="C371" s="64">
        <v>920</v>
      </c>
      <c r="D371" s="65">
        <v>70499</v>
      </c>
      <c r="E371" s="66" t="s">
        <v>173</v>
      </c>
      <c r="F371" s="67" t="s">
        <v>129</v>
      </c>
      <c r="G371" s="38"/>
      <c r="H371" s="68">
        <v>0</v>
      </c>
      <c r="I371" s="68">
        <v>546394</v>
      </c>
      <c r="J371" s="68">
        <v>0</v>
      </c>
      <c r="K371" s="68">
        <v>168844</v>
      </c>
      <c r="L371" s="68">
        <v>0</v>
      </c>
      <c r="M371" s="68">
        <v>326034.3</v>
      </c>
      <c r="N371" s="68">
        <v>0</v>
      </c>
      <c r="O371" s="68">
        <v>0</v>
      </c>
      <c r="P371" s="68">
        <v>0</v>
      </c>
      <c r="Q371" s="68">
        <v>0</v>
      </c>
      <c r="R371" s="68">
        <v>0</v>
      </c>
      <c r="S371" s="68">
        <v>0</v>
      </c>
      <c r="T371" s="111">
        <v>1041272.3</v>
      </c>
    </row>
    <row r="372" spans="1:20" ht="37.5" x14ac:dyDescent="0.25">
      <c r="A372" s="63">
        <v>321</v>
      </c>
      <c r="B372" s="64">
        <v>55</v>
      </c>
      <c r="C372" s="64">
        <v>930</v>
      </c>
      <c r="D372" s="65">
        <v>70499</v>
      </c>
      <c r="E372" s="66" t="s">
        <v>173</v>
      </c>
      <c r="F372" s="67" t="s">
        <v>130</v>
      </c>
      <c r="G372" s="38" t="s">
        <v>276</v>
      </c>
      <c r="H372" s="68">
        <v>0</v>
      </c>
      <c r="I372" s="68">
        <v>252357.99999999997</v>
      </c>
      <c r="J372" s="68">
        <v>0</v>
      </c>
      <c r="K372" s="68">
        <v>122876.00000000001</v>
      </c>
      <c r="L372" s="68">
        <v>0</v>
      </c>
      <c r="M372" s="68">
        <v>780267.68</v>
      </c>
      <c r="N372" s="68">
        <v>0</v>
      </c>
      <c r="O372" s="68">
        <v>0</v>
      </c>
      <c r="P372" s="68">
        <v>0</v>
      </c>
      <c r="Q372" s="68">
        <v>0</v>
      </c>
      <c r="R372" s="68">
        <v>0</v>
      </c>
      <c r="S372" s="68">
        <v>0</v>
      </c>
      <c r="T372" s="111">
        <v>1155501.6800000002</v>
      </c>
    </row>
    <row r="373" spans="1:20" ht="18.75" customHeight="1" x14ac:dyDescent="0.25">
      <c r="A373" s="4">
        <v>311</v>
      </c>
      <c r="B373" s="52">
        <v>55</v>
      </c>
      <c r="C373" s="52">
        <v>910</v>
      </c>
      <c r="D373" s="7">
        <v>70499</v>
      </c>
      <c r="E373" s="20"/>
      <c r="F373" s="38" t="s">
        <v>131</v>
      </c>
      <c r="G373" s="38"/>
      <c r="H373" s="68">
        <v>0</v>
      </c>
      <c r="I373" s="68">
        <v>0</v>
      </c>
      <c r="J373" s="68">
        <v>0</v>
      </c>
      <c r="K373" s="68">
        <v>0</v>
      </c>
      <c r="L373" s="68">
        <v>0</v>
      </c>
      <c r="M373" s="68">
        <v>0</v>
      </c>
      <c r="N373" s="68">
        <v>0</v>
      </c>
      <c r="O373" s="68">
        <v>0</v>
      </c>
      <c r="P373" s="68">
        <v>0</v>
      </c>
      <c r="Q373" s="68">
        <v>0</v>
      </c>
      <c r="R373" s="68">
        <v>0</v>
      </c>
      <c r="S373" s="68">
        <v>0</v>
      </c>
      <c r="T373" s="111">
        <v>0</v>
      </c>
    </row>
    <row r="374" spans="1:20" ht="52.5" customHeight="1" x14ac:dyDescent="0.25">
      <c r="A374" s="77">
        <v>311</v>
      </c>
      <c r="B374" s="78">
        <v>55</v>
      </c>
      <c r="C374" s="78">
        <v>920</v>
      </c>
      <c r="D374" s="79">
        <v>70499</v>
      </c>
      <c r="E374" s="80" t="s">
        <v>172</v>
      </c>
      <c r="F374" s="81" t="s">
        <v>310</v>
      </c>
      <c r="G374" s="38"/>
      <c r="H374" s="68">
        <v>0</v>
      </c>
      <c r="I374" s="68">
        <v>0</v>
      </c>
      <c r="J374" s="68">
        <v>0</v>
      </c>
      <c r="K374" s="68">
        <v>0</v>
      </c>
      <c r="L374" s="68">
        <v>0</v>
      </c>
      <c r="M374" s="68">
        <v>0</v>
      </c>
      <c r="N374" s="68">
        <v>0</v>
      </c>
      <c r="O374" s="68">
        <v>0</v>
      </c>
      <c r="P374" s="68">
        <v>0</v>
      </c>
      <c r="Q374" s="68">
        <v>0</v>
      </c>
      <c r="R374" s="68">
        <v>0</v>
      </c>
      <c r="S374" s="68">
        <v>0</v>
      </c>
      <c r="T374" s="111">
        <v>0</v>
      </c>
    </row>
    <row r="375" spans="1:20" ht="37.5" x14ac:dyDescent="0.25">
      <c r="A375" s="77">
        <v>321</v>
      </c>
      <c r="B375" s="78">
        <v>55</v>
      </c>
      <c r="C375" s="78">
        <v>920</v>
      </c>
      <c r="D375" s="79">
        <v>70499</v>
      </c>
      <c r="E375" s="80" t="s">
        <v>172</v>
      </c>
      <c r="F375" s="81" t="s">
        <v>311</v>
      </c>
      <c r="G375" s="38"/>
      <c r="H375" s="68">
        <v>0</v>
      </c>
      <c r="I375" s="68">
        <v>0</v>
      </c>
      <c r="J375" s="68">
        <v>0</v>
      </c>
      <c r="K375" s="68">
        <v>0</v>
      </c>
      <c r="L375" s="68">
        <v>0</v>
      </c>
      <c r="M375" s="68">
        <v>0</v>
      </c>
      <c r="N375" s="68">
        <v>0</v>
      </c>
      <c r="O375" s="68">
        <v>0</v>
      </c>
      <c r="P375" s="68">
        <v>0</v>
      </c>
      <c r="Q375" s="68">
        <v>0</v>
      </c>
      <c r="R375" s="68">
        <v>0</v>
      </c>
      <c r="S375" s="68">
        <v>0</v>
      </c>
      <c r="T375" s="111">
        <v>0</v>
      </c>
    </row>
    <row r="376" spans="1:20" ht="37.5" x14ac:dyDescent="0.25">
      <c r="A376" s="77">
        <v>321</v>
      </c>
      <c r="B376" s="78">
        <v>55</v>
      </c>
      <c r="C376" s="78">
        <v>930</v>
      </c>
      <c r="D376" s="79">
        <v>70499</v>
      </c>
      <c r="E376" s="80" t="s">
        <v>172</v>
      </c>
      <c r="F376" s="81" t="s">
        <v>312</v>
      </c>
      <c r="G376" s="38"/>
      <c r="H376" s="68">
        <v>0</v>
      </c>
      <c r="I376" s="68">
        <v>0</v>
      </c>
      <c r="J376" s="68">
        <v>0</v>
      </c>
      <c r="K376" s="68">
        <v>0</v>
      </c>
      <c r="L376" s="68">
        <v>0</v>
      </c>
      <c r="M376" s="68">
        <v>0</v>
      </c>
      <c r="N376" s="68">
        <v>0</v>
      </c>
      <c r="O376" s="68">
        <v>0</v>
      </c>
      <c r="P376" s="68">
        <v>0</v>
      </c>
      <c r="Q376" s="68">
        <v>0</v>
      </c>
      <c r="R376" s="68">
        <v>0</v>
      </c>
      <c r="S376" s="68">
        <v>0</v>
      </c>
      <c r="T376" s="111">
        <v>0</v>
      </c>
    </row>
    <row r="377" spans="1:20" ht="18.75" x14ac:dyDescent="0.25">
      <c r="A377" s="77">
        <v>311</v>
      </c>
      <c r="B377" s="78">
        <v>55</v>
      </c>
      <c r="C377" s="78">
        <v>920</v>
      </c>
      <c r="D377" s="79">
        <v>70499</v>
      </c>
      <c r="E377" s="80" t="s">
        <v>176</v>
      </c>
      <c r="F377" s="81" t="s">
        <v>304</v>
      </c>
      <c r="G377" s="38"/>
      <c r="H377" s="68">
        <v>0</v>
      </c>
      <c r="I377" s="68">
        <v>0</v>
      </c>
      <c r="J377" s="68">
        <v>0</v>
      </c>
      <c r="K377" s="68">
        <v>0</v>
      </c>
      <c r="L377" s="68">
        <v>0</v>
      </c>
      <c r="M377" s="68">
        <v>0</v>
      </c>
      <c r="N377" s="68">
        <v>0</v>
      </c>
      <c r="O377" s="68">
        <v>0</v>
      </c>
      <c r="P377" s="68">
        <v>0</v>
      </c>
      <c r="Q377" s="68">
        <v>0</v>
      </c>
      <c r="R377" s="68">
        <v>0</v>
      </c>
      <c r="S377" s="68">
        <v>0</v>
      </c>
      <c r="T377" s="111">
        <v>0</v>
      </c>
    </row>
    <row r="378" spans="1:20" ht="18.75" x14ac:dyDescent="0.25">
      <c r="A378" s="77">
        <v>321</v>
      </c>
      <c r="B378" s="78">
        <v>55</v>
      </c>
      <c r="C378" s="78">
        <v>930</v>
      </c>
      <c r="D378" s="79">
        <v>70499</v>
      </c>
      <c r="E378" s="80" t="s">
        <v>176</v>
      </c>
      <c r="F378" s="81" t="s">
        <v>305</v>
      </c>
      <c r="G378" s="38"/>
      <c r="H378" s="68">
        <v>0</v>
      </c>
      <c r="I378" s="68">
        <v>0</v>
      </c>
      <c r="J378" s="68">
        <v>0</v>
      </c>
      <c r="K378" s="68">
        <v>0</v>
      </c>
      <c r="L378" s="68">
        <v>0</v>
      </c>
      <c r="M378" s="68">
        <v>0</v>
      </c>
      <c r="N378" s="68">
        <v>0</v>
      </c>
      <c r="O378" s="68">
        <v>0</v>
      </c>
      <c r="P378" s="68">
        <v>0</v>
      </c>
      <c r="Q378" s="68">
        <v>0</v>
      </c>
      <c r="R378" s="68">
        <v>0</v>
      </c>
      <c r="S378" s="68">
        <v>0</v>
      </c>
      <c r="T378" s="111">
        <v>0</v>
      </c>
    </row>
    <row r="379" spans="1:20" ht="18.75" x14ac:dyDescent="0.25">
      <c r="A379" s="77">
        <v>311</v>
      </c>
      <c r="B379" s="78">
        <v>55</v>
      </c>
      <c r="C379" s="78">
        <v>920</v>
      </c>
      <c r="D379" s="79">
        <v>70499</v>
      </c>
      <c r="E379" s="80" t="s">
        <v>176</v>
      </c>
      <c r="F379" s="81" t="s">
        <v>306</v>
      </c>
      <c r="G379" s="38"/>
      <c r="H379" s="68">
        <v>0</v>
      </c>
      <c r="I379" s="68">
        <v>0</v>
      </c>
      <c r="J379" s="68">
        <v>0</v>
      </c>
      <c r="K379" s="68">
        <v>0</v>
      </c>
      <c r="L379" s="68">
        <v>0</v>
      </c>
      <c r="M379" s="68">
        <v>0</v>
      </c>
      <c r="N379" s="68">
        <v>0</v>
      </c>
      <c r="O379" s="68">
        <v>0</v>
      </c>
      <c r="P379" s="68">
        <v>0</v>
      </c>
      <c r="Q379" s="68">
        <v>0</v>
      </c>
      <c r="R379" s="68">
        <v>0</v>
      </c>
      <c r="S379" s="68">
        <v>0</v>
      </c>
      <c r="T379" s="111">
        <v>0</v>
      </c>
    </row>
    <row r="380" spans="1:20" ht="18.75" x14ac:dyDescent="0.25">
      <c r="A380" s="77">
        <v>321</v>
      </c>
      <c r="B380" s="78">
        <v>55</v>
      </c>
      <c r="C380" s="78">
        <v>930</v>
      </c>
      <c r="D380" s="79">
        <v>70499</v>
      </c>
      <c r="E380" s="80" t="s">
        <v>176</v>
      </c>
      <c r="F380" s="81" t="s">
        <v>307</v>
      </c>
      <c r="G380" s="38"/>
      <c r="H380" s="68">
        <v>0</v>
      </c>
      <c r="I380" s="68">
        <v>0</v>
      </c>
      <c r="J380" s="68">
        <v>0</v>
      </c>
      <c r="K380" s="68">
        <v>0</v>
      </c>
      <c r="L380" s="68">
        <v>0</v>
      </c>
      <c r="M380" s="68">
        <v>0</v>
      </c>
      <c r="N380" s="68">
        <v>0</v>
      </c>
      <c r="O380" s="68">
        <v>0</v>
      </c>
      <c r="P380" s="68">
        <v>0</v>
      </c>
      <c r="Q380" s="68">
        <v>0</v>
      </c>
      <c r="R380" s="68">
        <v>0</v>
      </c>
      <c r="S380" s="68">
        <v>0</v>
      </c>
      <c r="T380" s="111">
        <v>0</v>
      </c>
    </row>
    <row r="381" spans="1:20" ht="18.75" x14ac:dyDescent="0.25">
      <c r="A381" s="63">
        <v>311</v>
      </c>
      <c r="B381" s="64">
        <v>55</v>
      </c>
      <c r="C381" s="64">
        <v>920</v>
      </c>
      <c r="D381" s="65">
        <v>70499</v>
      </c>
      <c r="E381" s="66" t="s">
        <v>173</v>
      </c>
      <c r="F381" s="67" t="s">
        <v>132</v>
      </c>
      <c r="G381" s="38"/>
      <c r="H381" s="68">
        <v>0</v>
      </c>
      <c r="I381" s="68">
        <v>278151.64399999997</v>
      </c>
      <c r="J381" s="68">
        <v>0</v>
      </c>
      <c r="K381" s="68">
        <v>623220</v>
      </c>
      <c r="L381" s="68">
        <v>0</v>
      </c>
      <c r="M381" s="68">
        <v>787154.49599999993</v>
      </c>
      <c r="N381" s="68">
        <v>0</v>
      </c>
      <c r="O381" s="68">
        <v>89500</v>
      </c>
      <c r="P381" s="68">
        <v>0</v>
      </c>
      <c r="Q381" s="68">
        <v>315000</v>
      </c>
      <c r="R381" s="68">
        <v>0</v>
      </c>
      <c r="S381" s="68">
        <v>316750</v>
      </c>
      <c r="T381" s="111">
        <v>2409776.1399999997</v>
      </c>
    </row>
    <row r="382" spans="1:20" ht="37.5" x14ac:dyDescent="0.25">
      <c r="A382" s="63">
        <v>321</v>
      </c>
      <c r="B382" s="64">
        <v>55</v>
      </c>
      <c r="C382" s="64">
        <v>930</v>
      </c>
      <c r="D382" s="65">
        <v>70499</v>
      </c>
      <c r="E382" s="66" t="s">
        <v>173</v>
      </c>
      <c r="F382" s="67" t="s">
        <v>133</v>
      </c>
      <c r="G382" s="38" t="s">
        <v>277</v>
      </c>
      <c r="H382" s="68">
        <v>0</v>
      </c>
      <c r="I382" s="68">
        <v>585922.14799999993</v>
      </c>
      <c r="J382" s="68">
        <v>0</v>
      </c>
      <c r="K382" s="68">
        <v>718108.56</v>
      </c>
      <c r="L382" s="68">
        <v>0</v>
      </c>
      <c r="M382" s="68">
        <v>1715068.1169999999</v>
      </c>
      <c r="N382" s="68">
        <v>0</v>
      </c>
      <c r="O382" s="68">
        <v>179000</v>
      </c>
      <c r="P382" s="68">
        <v>0</v>
      </c>
      <c r="Q382" s="68">
        <v>360000</v>
      </c>
      <c r="R382" s="68">
        <v>0</v>
      </c>
      <c r="S382" s="68">
        <v>362000</v>
      </c>
      <c r="T382" s="111">
        <v>3920098.8250000002</v>
      </c>
    </row>
    <row r="383" spans="1:20" ht="37.5" x14ac:dyDescent="0.25">
      <c r="A383" s="4">
        <v>311</v>
      </c>
      <c r="B383" s="52">
        <v>55</v>
      </c>
      <c r="C383" s="52">
        <v>920</v>
      </c>
      <c r="D383" s="7">
        <v>70499</v>
      </c>
      <c r="E383" s="20" t="s">
        <v>172</v>
      </c>
      <c r="F383" s="38" t="s">
        <v>134</v>
      </c>
      <c r="G383" s="38"/>
      <c r="H383" s="68">
        <v>0</v>
      </c>
      <c r="I383" s="68">
        <v>62268.763999999996</v>
      </c>
      <c r="J383" s="68">
        <v>0</v>
      </c>
      <c r="K383" s="68">
        <v>48699.56</v>
      </c>
      <c r="L383" s="68">
        <v>0</v>
      </c>
      <c r="M383" s="68">
        <v>47409.369999999995</v>
      </c>
      <c r="N383" s="68">
        <v>0</v>
      </c>
      <c r="O383" s="68">
        <v>46817.450000000004</v>
      </c>
      <c r="P383" s="68">
        <v>0</v>
      </c>
      <c r="Q383" s="68">
        <v>0</v>
      </c>
      <c r="R383" s="68">
        <v>0</v>
      </c>
      <c r="S383" s="68">
        <v>0</v>
      </c>
      <c r="T383" s="111">
        <v>205195.144</v>
      </c>
    </row>
    <row r="384" spans="1:20" ht="37.5" x14ac:dyDescent="0.25">
      <c r="A384" s="4">
        <v>311</v>
      </c>
      <c r="B384" s="52">
        <v>55</v>
      </c>
      <c r="C384" s="52">
        <v>920</v>
      </c>
      <c r="D384" s="7">
        <v>70499</v>
      </c>
      <c r="E384" s="20" t="s">
        <v>170</v>
      </c>
      <c r="F384" s="38" t="s">
        <v>135</v>
      </c>
      <c r="G384" s="38"/>
      <c r="H384" s="68">
        <v>0</v>
      </c>
      <c r="I384" s="68">
        <v>202252.79999999999</v>
      </c>
      <c r="J384" s="68">
        <v>0</v>
      </c>
      <c r="K384" s="68">
        <v>707200</v>
      </c>
      <c r="L384" s="68">
        <v>0</v>
      </c>
      <c r="M384" s="68">
        <v>0</v>
      </c>
      <c r="N384" s="68">
        <v>0</v>
      </c>
      <c r="O384" s="68">
        <v>0</v>
      </c>
      <c r="P384" s="68">
        <v>0</v>
      </c>
      <c r="Q384" s="68">
        <v>0</v>
      </c>
      <c r="R384" s="68">
        <v>0</v>
      </c>
      <c r="S384" s="68">
        <v>0</v>
      </c>
      <c r="T384" s="111">
        <v>909452.80000000005</v>
      </c>
    </row>
    <row r="385" spans="1:20" ht="37.5" x14ac:dyDescent="0.25">
      <c r="A385" s="4">
        <v>311</v>
      </c>
      <c r="B385" s="52">
        <v>55</v>
      </c>
      <c r="C385" s="52">
        <v>920</v>
      </c>
      <c r="D385" s="7">
        <v>70499</v>
      </c>
      <c r="E385" s="20" t="s">
        <v>172</v>
      </c>
      <c r="F385" s="38" t="s">
        <v>136</v>
      </c>
      <c r="G385" s="38"/>
      <c r="H385" s="68">
        <v>0</v>
      </c>
      <c r="I385" s="68">
        <v>1405327.2</v>
      </c>
      <c r="J385" s="68">
        <v>0</v>
      </c>
      <c r="K385" s="68">
        <v>314986.88</v>
      </c>
      <c r="L385" s="68">
        <v>0</v>
      </c>
      <c r="M385" s="68">
        <v>0</v>
      </c>
      <c r="N385" s="68">
        <v>0</v>
      </c>
      <c r="O385" s="68">
        <v>0</v>
      </c>
      <c r="P385" s="68">
        <v>0</v>
      </c>
      <c r="Q385" s="68">
        <v>0</v>
      </c>
      <c r="R385" s="68">
        <v>0</v>
      </c>
      <c r="S385" s="68">
        <v>0</v>
      </c>
      <c r="T385" s="111">
        <v>1720314.08</v>
      </c>
    </row>
    <row r="386" spans="1:20" ht="37.5" x14ac:dyDescent="0.25">
      <c r="A386" s="4">
        <v>321</v>
      </c>
      <c r="B386" s="52">
        <v>55</v>
      </c>
      <c r="C386" s="52">
        <v>930</v>
      </c>
      <c r="D386" s="7">
        <v>70499</v>
      </c>
      <c r="E386" s="20" t="s">
        <v>172</v>
      </c>
      <c r="F386" s="38" t="s">
        <v>137</v>
      </c>
      <c r="G386" s="38"/>
      <c r="H386" s="68">
        <v>0</v>
      </c>
      <c r="I386" s="68">
        <v>0</v>
      </c>
      <c r="J386" s="68">
        <v>0</v>
      </c>
      <c r="K386" s="68">
        <v>283445.76000000001</v>
      </c>
      <c r="L386" s="68">
        <v>0</v>
      </c>
      <c r="M386" s="68">
        <v>446500</v>
      </c>
      <c r="N386" s="68">
        <v>0</v>
      </c>
      <c r="O386" s="68">
        <v>745042.75</v>
      </c>
      <c r="P386" s="68">
        <v>0</v>
      </c>
      <c r="Q386" s="68">
        <v>312219</v>
      </c>
      <c r="R386" s="68">
        <v>0</v>
      </c>
      <c r="S386" s="68">
        <v>452500</v>
      </c>
      <c r="T386" s="111">
        <v>2239707.5099999998</v>
      </c>
    </row>
    <row r="387" spans="1:20" ht="18.75" x14ac:dyDescent="0.25">
      <c r="A387" s="4">
        <v>311</v>
      </c>
      <c r="B387" s="52">
        <v>55</v>
      </c>
      <c r="C387" s="52">
        <v>920</v>
      </c>
      <c r="D387" s="7">
        <v>70499</v>
      </c>
      <c r="E387" s="20" t="s">
        <v>176</v>
      </c>
      <c r="F387" s="38" t="s">
        <v>138</v>
      </c>
      <c r="G387" s="38"/>
      <c r="H387" s="68">
        <v>0</v>
      </c>
      <c r="I387" s="68">
        <v>183200</v>
      </c>
      <c r="J387" s="68">
        <v>0</v>
      </c>
      <c r="K387" s="68">
        <v>0</v>
      </c>
      <c r="L387" s="68">
        <v>0</v>
      </c>
      <c r="M387" s="68">
        <v>0</v>
      </c>
      <c r="N387" s="68">
        <v>0</v>
      </c>
      <c r="O387" s="68">
        <v>0</v>
      </c>
      <c r="P387" s="68">
        <v>0</v>
      </c>
      <c r="Q387" s="68">
        <v>0</v>
      </c>
      <c r="R387" s="68">
        <v>0</v>
      </c>
      <c r="S387" s="68">
        <v>0</v>
      </c>
      <c r="T387" s="111">
        <v>183200</v>
      </c>
    </row>
    <row r="388" spans="1:20" ht="18.75" x14ac:dyDescent="0.25">
      <c r="A388" s="4">
        <v>321</v>
      </c>
      <c r="B388" s="52">
        <v>55</v>
      </c>
      <c r="C388" s="52">
        <v>930</v>
      </c>
      <c r="D388" s="7">
        <v>70499</v>
      </c>
      <c r="E388" s="20" t="s">
        <v>176</v>
      </c>
      <c r="F388" s="38" t="s">
        <v>139</v>
      </c>
      <c r="G388" s="38"/>
      <c r="H388" s="68">
        <v>0</v>
      </c>
      <c r="I388" s="68">
        <v>342456.67599999998</v>
      </c>
      <c r="J388" s="68">
        <v>0</v>
      </c>
      <c r="K388" s="68">
        <v>0</v>
      </c>
      <c r="L388" s="68">
        <v>0</v>
      </c>
      <c r="M388" s="68">
        <v>0</v>
      </c>
      <c r="N388" s="68">
        <v>0</v>
      </c>
      <c r="O388" s="68">
        <v>0</v>
      </c>
      <c r="P388" s="68">
        <v>0</v>
      </c>
      <c r="Q388" s="68">
        <v>0</v>
      </c>
      <c r="R388" s="68">
        <v>0</v>
      </c>
      <c r="S388" s="68">
        <v>0</v>
      </c>
      <c r="T388" s="111">
        <v>342456.67599999998</v>
      </c>
    </row>
    <row r="389" spans="1:20" ht="37.5" x14ac:dyDescent="0.25">
      <c r="A389" s="77">
        <v>321</v>
      </c>
      <c r="B389" s="78">
        <v>55</v>
      </c>
      <c r="C389" s="78">
        <v>930</v>
      </c>
      <c r="D389" s="79">
        <v>70499</v>
      </c>
      <c r="E389" s="80" t="s">
        <v>172</v>
      </c>
      <c r="F389" s="81" t="s">
        <v>317</v>
      </c>
      <c r="G389" s="38"/>
      <c r="H389" s="68">
        <v>0</v>
      </c>
      <c r="I389" s="68">
        <v>0</v>
      </c>
      <c r="J389" s="68">
        <v>0</v>
      </c>
      <c r="K389" s="68">
        <v>0</v>
      </c>
      <c r="L389" s="68">
        <v>0</v>
      </c>
      <c r="M389" s="68">
        <v>0</v>
      </c>
      <c r="N389" s="68">
        <v>0</v>
      </c>
      <c r="O389" s="68">
        <v>0</v>
      </c>
      <c r="P389" s="68">
        <v>0</v>
      </c>
      <c r="Q389" s="68">
        <v>0</v>
      </c>
      <c r="R389" s="68">
        <v>0</v>
      </c>
      <c r="S389" s="68">
        <v>0</v>
      </c>
      <c r="T389" s="111">
        <v>0</v>
      </c>
    </row>
    <row r="390" spans="1:20" ht="57" customHeight="1" x14ac:dyDescent="0.25">
      <c r="A390" s="77">
        <v>321</v>
      </c>
      <c r="B390" s="78">
        <v>55</v>
      </c>
      <c r="C390" s="78">
        <v>930</v>
      </c>
      <c r="D390" s="79">
        <v>70499</v>
      </c>
      <c r="E390" s="80" t="s">
        <v>174</v>
      </c>
      <c r="F390" s="81" t="s">
        <v>316</v>
      </c>
      <c r="G390" s="38"/>
      <c r="H390" s="68">
        <v>0</v>
      </c>
      <c r="I390" s="68">
        <v>0</v>
      </c>
      <c r="J390" s="68">
        <v>0</v>
      </c>
      <c r="K390" s="68">
        <v>0</v>
      </c>
      <c r="L390" s="68">
        <v>0</v>
      </c>
      <c r="M390" s="68">
        <v>0</v>
      </c>
      <c r="N390" s="68">
        <v>0</v>
      </c>
      <c r="O390" s="68">
        <v>0</v>
      </c>
      <c r="P390" s="68">
        <v>0</v>
      </c>
      <c r="Q390" s="68">
        <v>0</v>
      </c>
      <c r="R390" s="68">
        <v>0</v>
      </c>
      <c r="S390" s="68">
        <v>0</v>
      </c>
      <c r="T390" s="111">
        <v>0</v>
      </c>
    </row>
    <row r="391" spans="1:20" ht="57" customHeight="1" x14ac:dyDescent="0.25">
      <c r="A391" s="4">
        <v>321</v>
      </c>
      <c r="B391" s="52">
        <v>55</v>
      </c>
      <c r="C391" s="52">
        <v>930</v>
      </c>
      <c r="D391" s="7">
        <v>70499</v>
      </c>
      <c r="E391" s="20" t="s">
        <v>171</v>
      </c>
      <c r="F391" s="38" t="s">
        <v>318</v>
      </c>
      <c r="G391" s="38"/>
      <c r="H391" s="68">
        <v>0</v>
      </c>
      <c r="I391" s="68">
        <v>0</v>
      </c>
      <c r="J391" s="68">
        <v>0</v>
      </c>
      <c r="K391" s="68">
        <v>0</v>
      </c>
      <c r="L391" s="68">
        <v>0</v>
      </c>
      <c r="M391" s="68">
        <v>0</v>
      </c>
      <c r="N391" s="68">
        <v>0</v>
      </c>
      <c r="O391" s="68">
        <v>0</v>
      </c>
      <c r="P391" s="68">
        <v>0</v>
      </c>
      <c r="Q391" s="68">
        <v>0</v>
      </c>
      <c r="R391" s="68">
        <v>0</v>
      </c>
      <c r="S391" s="68">
        <v>0</v>
      </c>
      <c r="T391" s="111">
        <v>0</v>
      </c>
    </row>
    <row r="392" spans="1:20" ht="37.5" x14ac:dyDescent="0.25">
      <c r="A392" s="77">
        <v>321</v>
      </c>
      <c r="B392" s="78">
        <v>55</v>
      </c>
      <c r="C392" s="78">
        <v>930</v>
      </c>
      <c r="D392" s="79">
        <v>70499</v>
      </c>
      <c r="E392" s="80" t="s">
        <v>172</v>
      </c>
      <c r="F392" s="81" t="s">
        <v>309</v>
      </c>
      <c r="G392" s="38"/>
      <c r="H392" s="68">
        <v>0</v>
      </c>
      <c r="I392" s="68">
        <v>0</v>
      </c>
      <c r="J392" s="68">
        <v>0</v>
      </c>
      <c r="K392" s="68">
        <v>0</v>
      </c>
      <c r="L392" s="68">
        <v>0</v>
      </c>
      <c r="M392" s="68">
        <v>0</v>
      </c>
      <c r="N392" s="68">
        <v>0</v>
      </c>
      <c r="O392" s="68">
        <v>0</v>
      </c>
      <c r="P392" s="68">
        <v>0</v>
      </c>
      <c r="Q392" s="68">
        <v>0</v>
      </c>
      <c r="R392" s="68">
        <v>0</v>
      </c>
      <c r="S392" s="68">
        <v>0</v>
      </c>
      <c r="T392" s="111">
        <v>0</v>
      </c>
    </row>
    <row r="393" spans="1:20" ht="37.5" x14ac:dyDescent="0.25">
      <c r="A393" s="77">
        <v>311</v>
      </c>
      <c r="B393" s="78">
        <v>55</v>
      </c>
      <c r="C393" s="78">
        <v>930</v>
      </c>
      <c r="D393" s="79">
        <v>70499</v>
      </c>
      <c r="E393" s="80" t="s">
        <v>172</v>
      </c>
      <c r="F393" s="81" t="s">
        <v>308</v>
      </c>
      <c r="G393" s="38"/>
      <c r="H393" s="68">
        <v>0</v>
      </c>
      <c r="I393" s="68">
        <v>0</v>
      </c>
      <c r="J393" s="68">
        <v>0</v>
      </c>
      <c r="K393" s="68">
        <v>0</v>
      </c>
      <c r="L393" s="68">
        <v>0</v>
      </c>
      <c r="M393" s="68">
        <v>0</v>
      </c>
      <c r="N393" s="68">
        <v>0</v>
      </c>
      <c r="O393" s="68">
        <v>0</v>
      </c>
      <c r="P393" s="68">
        <v>0</v>
      </c>
      <c r="Q393" s="68">
        <v>0</v>
      </c>
      <c r="R393" s="68">
        <v>0</v>
      </c>
      <c r="S393" s="68">
        <v>0</v>
      </c>
      <c r="T393" s="111">
        <v>0</v>
      </c>
    </row>
    <row r="394" spans="1:20" ht="18.75" x14ac:dyDescent="0.25">
      <c r="A394" s="63">
        <v>311</v>
      </c>
      <c r="B394" s="64">
        <v>55</v>
      </c>
      <c r="C394" s="64">
        <v>920</v>
      </c>
      <c r="D394" s="65">
        <v>70499</v>
      </c>
      <c r="E394" s="66" t="s">
        <v>172</v>
      </c>
      <c r="F394" s="67" t="s">
        <v>140</v>
      </c>
      <c r="G394" s="38"/>
      <c r="H394" s="68">
        <v>0</v>
      </c>
      <c r="I394" s="68">
        <v>183200</v>
      </c>
      <c r="J394" s="68">
        <v>0</v>
      </c>
      <c r="K394" s="68">
        <v>0</v>
      </c>
      <c r="L394" s="68">
        <v>0</v>
      </c>
      <c r="M394" s="68">
        <v>0</v>
      </c>
      <c r="N394" s="68">
        <v>0</v>
      </c>
      <c r="O394" s="68">
        <v>0</v>
      </c>
      <c r="P394" s="68">
        <v>0</v>
      </c>
      <c r="Q394" s="68">
        <v>0</v>
      </c>
      <c r="R394" s="68">
        <v>0</v>
      </c>
      <c r="S394" s="68">
        <v>0</v>
      </c>
      <c r="T394" s="111">
        <v>183200</v>
      </c>
    </row>
    <row r="395" spans="1:20" ht="18.75" x14ac:dyDescent="0.25">
      <c r="A395" s="63">
        <v>321</v>
      </c>
      <c r="B395" s="64">
        <v>55</v>
      </c>
      <c r="C395" s="64">
        <v>930</v>
      </c>
      <c r="D395" s="65">
        <v>70499</v>
      </c>
      <c r="E395" s="66" t="s">
        <v>172</v>
      </c>
      <c r="F395" s="67" t="s">
        <v>141</v>
      </c>
      <c r="G395" s="38"/>
      <c r="H395" s="68">
        <v>0</v>
      </c>
      <c r="I395" s="68">
        <v>137400</v>
      </c>
      <c r="J395" s="68">
        <v>0</v>
      </c>
      <c r="K395" s="68">
        <v>88400</v>
      </c>
      <c r="L395" s="68">
        <v>0</v>
      </c>
      <c r="M395" s="68">
        <v>44650</v>
      </c>
      <c r="N395" s="68">
        <v>0</v>
      </c>
      <c r="O395" s="68">
        <v>0</v>
      </c>
      <c r="P395" s="68">
        <v>0</v>
      </c>
      <c r="Q395" s="68">
        <v>0</v>
      </c>
      <c r="R395" s="68">
        <v>0</v>
      </c>
      <c r="S395" s="68">
        <v>0</v>
      </c>
      <c r="T395" s="111">
        <v>270450</v>
      </c>
    </row>
    <row r="396" spans="1:20" ht="37.5" x14ac:dyDescent="0.25">
      <c r="A396" s="4">
        <v>311</v>
      </c>
      <c r="B396" s="52">
        <v>55</v>
      </c>
      <c r="C396" s="52">
        <v>920</v>
      </c>
      <c r="D396" s="7">
        <v>70499</v>
      </c>
      <c r="E396" s="20" t="s">
        <v>172</v>
      </c>
      <c r="F396" s="38" t="s">
        <v>184</v>
      </c>
      <c r="G396" s="38"/>
      <c r="H396" s="68">
        <v>0</v>
      </c>
      <c r="I396" s="68">
        <v>0</v>
      </c>
      <c r="J396" s="68">
        <v>0</v>
      </c>
      <c r="K396" s="68">
        <v>17680</v>
      </c>
      <c r="L396" s="68">
        <v>0</v>
      </c>
      <c r="M396" s="68">
        <v>17860</v>
      </c>
      <c r="N396" s="68">
        <v>0</v>
      </c>
      <c r="O396" s="68">
        <v>8950</v>
      </c>
      <c r="P396" s="68">
        <v>0</v>
      </c>
      <c r="Q396" s="68">
        <v>0</v>
      </c>
      <c r="R396" s="68">
        <v>0</v>
      </c>
      <c r="S396" s="68">
        <v>0</v>
      </c>
      <c r="T396" s="111">
        <v>44490</v>
      </c>
    </row>
    <row r="397" spans="1:20" ht="37.5" x14ac:dyDescent="0.25">
      <c r="A397" s="4">
        <v>311</v>
      </c>
      <c r="B397" s="52">
        <v>55</v>
      </c>
      <c r="C397" s="52">
        <v>920</v>
      </c>
      <c r="D397" s="7">
        <v>70499</v>
      </c>
      <c r="E397" s="20" t="s">
        <v>172</v>
      </c>
      <c r="F397" s="38" t="s">
        <v>185</v>
      </c>
      <c r="G397" s="38"/>
      <c r="H397" s="68">
        <v>0</v>
      </c>
      <c r="I397" s="68">
        <v>0</v>
      </c>
      <c r="J397" s="68">
        <v>0</v>
      </c>
      <c r="K397" s="68">
        <v>70720</v>
      </c>
      <c r="L397" s="68">
        <v>0</v>
      </c>
      <c r="M397" s="68">
        <v>71440</v>
      </c>
      <c r="N397" s="68">
        <v>0</v>
      </c>
      <c r="O397" s="68">
        <v>35800</v>
      </c>
      <c r="P397" s="68">
        <v>0</v>
      </c>
      <c r="Q397" s="68">
        <v>0</v>
      </c>
      <c r="R397" s="68">
        <v>0</v>
      </c>
      <c r="S397" s="68">
        <v>0</v>
      </c>
      <c r="T397" s="111">
        <v>177960</v>
      </c>
    </row>
    <row r="398" spans="1:20" ht="37.5" x14ac:dyDescent="0.25">
      <c r="A398" s="4">
        <v>321</v>
      </c>
      <c r="B398" s="52">
        <v>55</v>
      </c>
      <c r="C398" s="52">
        <v>930</v>
      </c>
      <c r="D398" s="7">
        <v>70499</v>
      </c>
      <c r="E398" s="20" t="s">
        <v>172</v>
      </c>
      <c r="F398" s="38" t="s">
        <v>186</v>
      </c>
      <c r="G398" s="38"/>
      <c r="H398" s="68">
        <v>0</v>
      </c>
      <c r="I398" s="68">
        <v>0</v>
      </c>
      <c r="J398" s="68">
        <v>0</v>
      </c>
      <c r="K398" s="68">
        <v>0</v>
      </c>
      <c r="L398" s="68">
        <v>0</v>
      </c>
      <c r="M398" s="68">
        <v>0</v>
      </c>
      <c r="N398" s="68">
        <v>0</v>
      </c>
      <c r="O398" s="68">
        <v>0</v>
      </c>
      <c r="P398" s="68">
        <v>0</v>
      </c>
      <c r="Q398" s="68">
        <v>0</v>
      </c>
      <c r="R398" s="68">
        <v>0</v>
      </c>
      <c r="S398" s="68">
        <v>0</v>
      </c>
      <c r="T398" s="111">
        <v>0</v>
      </c>
    </row>
    <row r="399" spans="1:20" ht="37.5" x14ac:dyDescent="0.25">
      <c r="A399" s="4">
        <v>311</v>
      </c>
      <c r="B399" s="52">
        <v>55</v>
      </c>
      <c r="C399" s="52">
        <v>930</v>
      </c>
      <c r="D399" s="7">
        <v>70499</v>
      </c>
      <c r="E399" s="20" t="s">
        <v>172</v>
      </c>
      <c r="F399" s="38" t="s">
        <v>142</v>
      </c>
      <c r="G399" s="38"/>
      <c r="H399" s="68">
        <v>0</v>
      </c>
      <c r="I399" s="68">
        <v>0</v>
      </c>
      <c r="J399" s="68">
        <v>0</v>
      </c>
      <c r="K399" s="68">
        <v>22100</v>
      </c>
      <c r="L399" s="68">
        <v>0</v>
      </c>
      <c r="M399" s="68">
        <v>22325</v>
      </c>
      <c r="N399" s="68">
        <v>0</v>
      </c>
      <c r="O399" s="68">
        <v>0</v>
      </c>
      <c r="P399" s="68">
        <v>0</v>
      </c>
      <c r="Q399" s="68">
        <v>0</v>
      </c>
      <c r="R399" s="68">
        <v>0</v>
      </c>
      <c r="S399" s="68">
        <v>0</v>
      </c>
      <c r="T399" s="111">
        <v>44425</v>
      </c>
    </row>
    <row r="400" spans="1:20" ht="37.5" x14ac:dyDescent="0.25">
      <c r="A400" s="4">
        <v>321</v>
      </c>
      <c r="B400" s="52">
        <v>55</v>
      </c>
      <c r="C400" s="52">
        <v>930</v>
      </c>
      <c r="D400" s="7">
        <v>70499</v>
      </c>
      <c r="E400" s="20" t="s">
        <v>172</v>
      </c>
      <c r="F400" s="38" t="s">
        <v>143</v>
      </c>
      <c r="G400" s="38"/>
      <c r="H400" s="68">
        <v>0</v>
      </c>
      <c r="I400" s="68">
        <v>0</v>
      </c>
      <c r="J400" s="68">
        <v>0</v>
      </c>
      <c r="K400" s="68">
        <v>464100.00000000006</v>
      </c>
      <c r="L400" s="68">
        <v>0</v>
      </c>
      <c r="M400" s="68">
        <v>608133</v>
      </c>
      <c r="N400" s="68">
        <v>0</v>
      </c>
      <c r="O400" s="68">
        <v>671250</v>
      </c>
      <c r="P400" s="68">
        <v>0</v>
      </c>
      <c r="Q400" s="68">
        <v>1070100</v>
      </c>
      <c r="R400" s="68">
        <v>0</v>
      </c>
      <c r="S400" s="68">
        <v>1086000</v>
      </c>
      <c r="T400" s="111">
        <v>3899583</v>
      </c>
    </row>
    <row r="401" spans="1:20" ht="37.5" x14ac:dyDescent="0.25">
      <c r="A401" s="4">
        <v>321</v>
      </c>
      <c r="B401" s="52">
        <v>55</v>
      </c>
      <c r="C401" s="52">
        <v>930</v>
      </c>
      <c r="D401" s="7">
        <v>70499</v>
      </c>
      <c r="E401" s="20" t="s">
        <v>172</v>
      </c>
      <c r="F401" s="38" t="s">
        <v>144</v>
      </c>
      <c r="G401" s="38"/>
      <c r="H401" s="68">
        <v>0</v>
      </c>
      <c r="I401" s="68">
        <v>0</v>
      </c>
      <c r="J401" s="68">
        <v>0</v>
      </c>
      <c r="K401" s="68">
        <v>451724</v>
      </c>
      <c r="L401" s="68">
        <v>0</v>
      </c>
      <c r="M401" s="68">
        <v>618849</v>
      </c>
      <c r="N401" s="68">
        <v>0</v>
      </c>
      <c r="O401" s="68">
        <v>729425</v>
      </c>
      <c r="P401" s="68">
        <v>0</v>
      </c>
      <c r="Q401" s="68">
        <v>950400</v>
      </c>
      <c r="R401" s="68">
        <v>0</v>
      </c>
      <c r="S401" s="68">
        <v>181000</v>
      </c>
      <c r="T401" s="111">
        <v>2931398</v>
      </c>
    </row>
    <row r="402" spans="1:20" ht="18.75" x14ac:dyDescent="0.25">
      <c r="A402" s="4">
        <v>311</v>
      </c>
      <c r="B402" s="52">
        <v>55</v>
      </c>
      <c r="C402" s="52">
        <v>930</v>
      </c>
      <c r="D402" s="7">
        <v>70499</v>
      </c>
      <c r="E402" s="20" t="s">
        <v>172</v>
      </c>
      <c r="F402" s="38" t="s">
        <v>193</v>
      </c>
      <c r="G402" s="38"/>
      <c r="H402" s="68">
        <v>0</v>
      </c>
      <c r="I402" s="68">
        <v>0</v>
      </c>
      <c r="J402" s="68">
        <v>0</v>
      </c>
      <c r="K402" s="68">
        <v>0</v>
      </c>
      <c r="L402" s="68">
        <v>0</v>
      </c>
      <c r="M402" s="68">
        <v>0</v>
      </c>
      <c r="N402" s="68">
        <v>0</v>
      </c>
      <c r="O402" s="68">
        <v>0</v>
      </c>
      <c r="P402" s="68">
        <v>0</v>
      </c>
      <c r="Q402" s="68">
        <v>0</v>
      </c>
      <c r="R402" s="68">
        <v>0</v>
      </c>
      <c r="S402" s="68">
        <v>0</v>
      </c>
      <c r="T402" s="111"/>
    </row>
    <row r="403" spans="1:20" ht="18.75" x14ac:dyDescent="0.25">
      <c r="A403" s="4">
        <v>321</v>
      </c>
      <c r="B403" s="52">
        <v>55</v>
      </c>
      <c r="C403" s="52">
        <v>930</v>
      </c>
      <c r="D403" s="7">
        <v>70499</v>
      </c>
      <c r="E403" s="20" t="s">
        <v>172</v>
      </c>
      <c r="F403" s="46" t="s">
        <v>193</v>
      </c>
      <c r="G403" s="46"/>
      <c r="H403" s="68">
        <v>0</v>
      </c>
      <c r="I403" s="68">
        <v>0</v>
      </c>
      <c r="J403" s="68">
        <v>0</v>
      </c>
      <c r="K403" s="68">
        <v>0</v>
      </c>
      <c r="L403" s="68">
        <v>0</v>
      </c>
      <c r="M403" s="68">
        <v>0</v>
      </c>
      <c r="N403" s="68">
        <v>0</v>
      </c>
      <c r="O403" s="68">
        <v>0</v>
      </c>
      <c r="P403" s="68">
        <v>0</v>
      </c>
      <c r="Q403" s="68">
        <v>0</v>
      </c>
      <c r="R403" s="68">
        <v>0</v>
      </c>
      <c r="S403" s="68">
        <v>0</v>
      </c>
      <c r="T403" s="111">
        <v>0</v>
      </c>
    </row>
    <row r="404" spans="1:20" ht="37.5" x14ac:dyDescent="0.25">
      <c r="A404" s="4">
        <v>321</v>
      </c>
      <c r="B404" s="52">
        <v>55</v>
      </c>
      <c r="C404" s="52">
        <v>930</v>
      </c>
      <c r="D404" s="7">
        <v>70499</v>
      </c>
      <c r="E404" s="20" t="s">
        <v>174</v>
      </c>
      <c r="F404" s="46" t="s">
        <v>267</v>
      </c>
      <c r="G404" s="46"/>
      <c r="H404" s="68">
        <v>0</v>
      </c>
      <c r="I404" s="68">
        <v>0</v>
      </c>
      <c r="J404" s="68">
        <v>0</v>
      </c>
      <c r="K404" s="68">
        <v>0</v>
      </c>
      <c r="L404" s="68">
        <v>0</v>
      </c>
      <c r="M404" s="68">
        <v>0</v>
      </c>
      <c r="N404" s="68">
        <v>0</v>
      </c>
      <c r="O404" s="68">
        <v>0</v>
      </c>
      <c r="P404" s="68">
        <v>0</v>
      </c>
      <c r="Q404" s="68">
        <v>0</v>
      </c>
      <c r="R404" s="68">
        <v>0</v>
      </c>
      <c r="S404" s="68">
        <v>0</v>
      </c>
      <c r="T404" s="111">
        <v>0</v>
      </c>
    </row>
    <row r="405" spans="1:20" ht="18.75" x14ac:dyDescent="0.25">
      <c r="A405" s="4">
        <v>311</v>
      </c>
      <c r="B405" s="52">
        <v>55</v>
      </c>
      <c r="C405" s="52">
        <v>920</v>
      </c>
      <c r="D405" s="7">
        <v>70499</v>
      </c>
      <c r="E405" s="20" t="s">
        <v>176</v>
      </c>
      <c r="F405" s="46" t="s">
        <v>268</v>
      </c>
      <c r="G405" s="46"/>
      <c r="H405" s="68">
        <v>0</v>
      </c>
      <c r="I405" s="68">
        <v>0</v>
      </c>
      <c r="J405" s="68">
        <v>0</v>
      </c>
      <c r="K405" s="68">
        <v>0</v>
      </c>
      <c r="L405" s="68">
        <v>0</v>
      </c>
      <c r="M405" s="68">
        <v>0</v>
      </c>
      <c r="N405" s="68">
        <v>0</v>
      </c>
      <c r="O405" s="68">
        <v>0</v>
      </c>
      <c r="P405" s="68">
        <v>0</v>
      </c>
      <c r="Q405" s="68">
        <v>0</v>
      </c>
      <c r="R405" s="68">
        <v>0</v>
      </c>
      <c r="S405" s="68">
        <v>0</v>
      </c>
      <c r="T405" s="111">
        <v>0</v>
      </c>
    </row>
    <row r="406" spans="1:20" ht="18.75" x14ac:dyDescent="0.25">
      <c r="A406" s="4">
        <v>321</v>
      </c>
      <c r="B406" s="52">
        <v>55</v>
      </c>
      <c r="C406" s="52">
        <v>930</v>
      </c>
      <c r="D406" s="7">
        <v>70499</v>
      </c>
      <c r="E406" s="20" t="s">
        <v>176</v>
      </c>
      <c r="F406" s="46" t="s">
        <v>269</v>
      </c>
      <c r="G406" s="46"/>
      <c r="H406" s="68">
        <v>0</v>
      </c>
      <c r="I406" s="68">
        <v>0</v>
      </c>
      <c r="J406" s="68">
        <v>0</v>
      </c>
      <c r="K406" s="68">
        <v>0</v>
      </c>
      <c r="L406" s="68">
        <v>0</v>
      </c>
      <c r="M406" s="68">
        <v>0</v>
      </c>
      <c r="N406" s="68">
        <v>0</v>
      </c>
      <c r="O406" s="68">
        <v>0</v>
      </c>
      <c r="P406" s="68">
        <v>0</v>
      </c>
      <c r="Q406" s="68">
        <v>0</v>
      </c>
      <c r="R406" s="68">
        <v>0</v>
      </c>
      <c r="S406" s="68">
        <v>0</v>
      </c>
      <c r="T406" s="111">
        <v>0</v>
      </c>
    </row>
    <row r="407" spans="1:20" ht="47.25" customHeight="1" x14ac:dyDescent="0.25">
      <c r="A407" s="4">
        <v>311</v>
      </c>
      <c r="B407" s="52">
        <v>55</v>
      </c>
      <c r="C407" s="52">
        <v>920</v>
      </c>
      <c r="D407" s="7">
        <v>70499</v>
      </c>
      <c r="E407" s="20" t="s">
        <v>176</v>
      </c>
      <c r="F407" s="46" t="s">
        <v>270</v>
      </c>
      <c r="G407" s="46"/>
      <c r="H407" s="68">
        <v>0</v>
      </c>
      <c r="I407" s="68">
        <v>0</v>
      </c>
      <c r="J407" s="68">
        <v>0</v>
      </c>
      <c r="K407" s="68">
        <v>0</v>
      </c>
      <c r="L407" s="68">
        <v>0</v>
      </c>
      <c r="M407" s="68">
        <v>0</v>
      </c>
      <c r="N407" s="68">
        <v>0</v>
      </c>
      <c r="O407" s="68">
        <v>0</v>
      </c>
      <c r="P407" s="68">
        <v>0</v>
      </c>
      <c r="Q407" s="68">
        <v>0</v>
      </c>
      <c r="R407" s="68">
        <v>0</v>
      </c>
      <c r="S407" s="68">
        <v>0</v>
      </c>
      <c r="T407" s="111">
        <v>0</v>
      </c>
    </row>
    <row r="408" spans="1:20" ht="37.5" x14ac:dyDescent="0.25">
      <c r="A408" s="4">
        <v>321</v>
      </c>
      <c r="B408" s="52">
        <v>55</v>
      </c>
      <c r="C408" s="52">
        <v>930</v>
      </c>
      <c r="D408" s="7">
        <v>70499</v>
      </c>
      <c r="E408" s="20" t="s">
        <v>176</v>
      </c>
      <c r="F408" s="46" t="s">
        <v>271</v>
      </c>
      <c r="G408" s="46"/>
      <c r="H408" s="68">
        <v>0</v>
      </c>
      <c r="I408" s="68">
        <v>0</v>
      </c>
      <c r="J408" s="68">
        <v>0</v>
      </c>
      <c r="K408" s="68">
        <v>0</v>
      </c>
      <c r="L408" s="68">
        <v>0</v>
      </c>
      <c r="M408" s="68">
        <v>0</v>
      </c>
      <c r="N408" s="68">
        <v>0</v>
      </c>
      <c r="O408" s="68">
        <v>0</v>
      </c>
      <c r="P408" s="68">
        <v>0</v>
      </c>
      <c r="Q408" s="68">
        <v>0</v>
      </c>
      <c r="R408" s="68">
        <v>0</v>
      </c>
      <c r="S408" s="68">
        <v>0</v>
      </c>
      <c r="T408" s="111">
        <v>0</v>
      </c>
    </row>
    <row r="409" spans="1:20" ht="37.5" x14ac:dyDescent="0.25">
      <c r="A409" s="4">
        <v>321</v>
      </c>
      <c r="B409" s="52">
        <v>55</v>
      </c>
      <c r="C409" s="52">
        <v>930</v>
      </c>
      <c r="D409" s="7">
        <v>70499</v>
      </c>
      <c r="E409" s="20" t="s">
        <v>419</v>
      </c>
      <c r="F409" s="38" t="s">
        <v>433</v>
      </c>
      <c r="G409" s="46"/>
      <c r="H409" s="68">
        <v>0</v>
      </c>
      <c r="I409" s="68">
        <v>0</v>
      </c>
      <c r="J409" s="68">
        <v>0</v>
      </c>
      <c r="K409" s="68">
        <v>0</v>
      </c>
      <c r="L409" s="68">
        <v>0</v>
      </c>
      <c r="M409" s="68">
        <v>0</v>
      </c>
      <c r="N409" s="68">
        <v>0</v>
      </c>
      <c r="O409" s="68">
        <v>0</v>
      </c>
      <c r="P409" s="68">
        <v>0</v>
      </c>
      <c r="Q409" s="68">
        <v>0</v>
      </c>
      <c r="R409" s="68">
        <v>0</v>
      </c>
      <c r="S409" s="68">
        <v>0</v>
      </c>
      <c r="T409" s="111">
        <v>0</v>
      </c>
    </row>
    <row r="410" spans="1:20" ht="37.5" x14ac:dyDescent="0.25">
      <c r="A410" s="4">
        <v>311</v>
      </c>
      <c r="B410" s="52">
        <v>55</v>
      </c>
      <c r="C410" s="52">
        <v>910</v>
      </c>
      <c r="D410" s="7">
        <v>70499</v>
      </c>
      <c r="E410" s="20"/>
      <c r="F410" s="38" t="s">
        <v>405</v>
      </c>
      <c r="G410" s="46"/>
      <c r="H410" s="68">
        <v>0</v>
      </c>
      <c r="I410" s="68">
        <v>0</v>
      </c>
      <c r="J410" s="68">
        <v>0</v>
      </c>
      <c r="K410" s="68">
        <v>0</v>
      </c>
      <c r="L410" s="68">
        <v>0</v>
      </c>
      <c r="M410" s="68">
        <v>0</v>
      </c>
      <c r="N410" s="68">
        <v>0</v>
      </c>
      <c r="O410" s="68">
        <v>0</v>
      </c>
      <c r="P410" s="68">
        <v>0</v>
      </c>
      <c r="Q410" s="68">
        <v>0</v>
      </c>
      <c r="R410" s="68">
        <v>0</v>
      </c>
      <c r="S410" s="68">
        <v>0</v>
      </c>
      <c r="T410" s="111"/>
    </row>
    <row r="411" spans="1:20" ht="56.25" x14ac:dyDescent="0.25">
      <c r="A411" s="4">
        <v>311</v>
      </c>
      <c r="B411" s="52">
        <v>55</v>
      </c>
      <c r="C411" s="52">
        <v>920</v>
      </c>
      <c r="D411" s="7">
        <v>70499</v>
      </c>
      <c r="E411" s="20" t="s">
        <v>173</v>
      </c>
      <c r="F411" s="38" t="s">
        <v>406</v>
      </c>
      <c r="G411" s="46"/>
      <c r="H411" s="68">
        <v>0</v>
      </c>
      <c r="I411" s="68">
        <v>0</v>
      </c>
      <c r="J411" s="68">
        <v>0</v>
      </c>
      <c r="K411" s="68">
        <v>0</v>
      </c>
      <c r="L411" s="68">
        <v>0</v>
      </c>
      <c r="M411" s="68">
        <v>0</v>
      </c>
      <c r="N411" s="68">
        <v>0</v>
      </c>
      <c r="O411" s="68">
        <v>0</v>
      </c>
      <c r="P411" s="68">
        <v>0</v>
      </c>
      <c r="Q411" s="68">
        <v>0</v>
      </c>
      <c r="R411" s="68">
        <v>0</v>
      </c>
      <c r="S411" s="68">
        <v>0</v>
      </c>
      <c r="T411" s="111"/>
    </row>
    <row r="412" spans="1:20" ht="56.25" x14ac:dyDescent="0.25">
      <c r="A412" s="4">
        <v>321</v>
      </c>
      <c r="B412" s="52">
        <v>55</v>
      </c>
      <c r="C412" s="52">
        <v>930</v>
      </c>
      <c r="D412" s="7">
        <v>70499</v>
      </c>
      <c r="E412" s="20" t="s">
        <v>173</v>
      </c>
      <c r="F412" s="38" t="s">
        <v>407</v>
      </c>
      <c r="G412" s="46"/>
      <c r="H412" s="68">
        <v>0</v>
      </c>
      <c r="I412" s="68">
        <v>0</v>
      </c>
      <c r="J412" s="68">
        <v>0</v>
      </c>
      <c r="K412" s="68">
        <v>0</v>
      </c>
      <c r="L412" s="68">
        <v>0</v>
      </c>
      <c r="M412" s="68">
        <v>0</v>
      </c>
      <c r="N412" s="68">
        <v>0</v>
      </c>
      <c r="O412" s="68">
        <v>0</v>
      </c>
      <c r="P412" s="68">
        <v>0</v>
      </c>
      <c r="Q412" s="68">
        <v>0</v>
      </c>
      <c r="R412" s="68">
        <v>0</v>
      </c>
      <c r="S412" s="68">
        <v>0</v>
      </c>
      <c r="T412" s="111">
        <v>0</v>
      </c>
    </row>
    <row r="413" spans="1:20" ht="37.5" x14ac:dyDescent="0.25">
      <c r="A413" s="4">
        <v>311</v>
      </c>
      <c r="B413" s="52">
        <v>55</v>
      </c>
      <c r="C413" s="52">
        <v>920</v>
      </c>
      <c r="D413" s="7">
        <v>70499</v>
      </c>
      <c r="E413" s="20" t="s">
        <v>172</v>
      </c>
      <c r="F413" s="38" t="s">
        <v>416</v>
      </c>
      <c r="G413" s="46"/>
      <c r="H413" s="68">
        <v>0</v>
      </c>
      <c r="I413" s="68">
        <v>0</v>
      </c>
      <c r="J413" s="68">
        <v>0</v>
      </c>
      <c r="K413" s="68">
        <v>141440</v>
      </c>
      <c r="L413" s="68">
        <v>0</v>
      </c>
      <c r="M413" s="68">
        <v>89300</v>
      </c>
      <c r="N413" s="68">
        <v>0</v>
      </c>
      <c r="O413" s="68">
        <v>0</v>
      </c>
      <c r="P413" s="68">
        <v>0</v>
      </c>
      <c r="Q413" s="68">
        <v>0</v>
      </c>
      <c r="R413" s="68">
        <v>0</v>
      </c>
      <c r="S413" s="68">
        <v>0</v>
      </c>
      <c r="T413" s="111"/>
    </row>
    <row r="414" spans="1:20" ht="37.5" x14ac:dyDescent="0.25">
      <c r="A414" s="4">
        <v>321</v>
      </c>
      <c r="B414" s="52">
        <v>55</v>
      </c>
      <c r="C414" s="52">
        <v>930</v>
      </c>
      <c r="D414" s="7">
        <v>70499</v>
      </c>
      <c r="E414" s="20" t="s">
        <v>172</v>
      </c>
      <c r="F414" s="38" t="s">
        <v>417</v>
      </c>
      <c r="G414" s="46"/>
      <c r="H414" s="68">
        <v>0</v>
      </c>
      <c r="I414" s="68">
        <v>0</v>
      </c>
      <c r="J414" s="68">
        <v>0</v>
      </c>
      <c r="K414" s="68">
        <v>654160</v>
      </c>
      <c r="L414" s="68">
        <v>0</v>
      </c>
      <c r="M414" s="68">
        <v>321480</v>
      </c>
      <c r="N414" s="68">
        <v>0</v>
      </c>
      <c r="O414" s="68">
        <v>0</v>
      </c>
      <c r="P414" s="68">
        <v>0</v>
      </c>
      <c r="Q414" s="68">
        <v>0</v>
      </c>
      <c r="R414" s="68">
        <v>0</v>
      </c>
      <c r="S414" s="68">
        <v>0</v>
      </c>
      <c r="T414" s="111"/>
    </row>
    <row r="415" spans="1:20" ht="18.75" x14ac:dyDescent="0.25">
      <c r="A415" s="4"/>
      <c r="B415" s="52"/>
      <c r="C415" s="52"/>
      <c r="D415" s="7"/>
      <c r="E415" s="20"/>
      <c r="F415" s="38"/>
      <c r="G415" s="46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111"/>
    </row>
    <row r="416" spans="1:20" ht="18.75" x14ac:dyDescent="0.25">
      <c r="A416" s="4"/>
      <c r="B416" s="52"/>
      <c r="C416" s="52"/>
      <c r="D416" s="7"/>
      <c r="E416" s="20"/>
      <c r="F416" s="38"/>
      <c r="G416" s="46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111"/>
    </row>
    <row r="417" spans="1:20" ht="18.75" x14ac:dyDescent="0.25">
      <c r="A417" s="4"/>
      <c r="B417" s="52"/>
      <c r="C417" s="52"/>
      <c r="D417" s="7"/>
      <c r="E417" s="20"/>
      <c r="F417" s="46"/>
      <c r="G417" s="46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111">
        <v>0</v>
      </c>
    </row>
    <row r="418" spans="1:20" ht="18.75" x14ac:dyDescent="0.25">
      <c r="A418" s="4"/>
      <c r="B418" s="52"/>
      <c r="C418" s="52"/>
      <c r="D418" s="7"/>
      <c r="E418" s="20"/>
      <c r="F418" s="38"/>
      <c r="G418" s="3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111">
        <v>0</v>
      </c>
    </row>
    <row r="419" spans="1:20" ht="18.75" x14ac:dyDescent="0.25">
      <c r="A419" s="4"/>
      <c r="B419" s="52"/>
      <c r="C419" s="52"/>
      <c r="D419" s="7"/>
      <c r="E419" s="20"/>
      <c r="F419" s="38"/>
      <c r="G419" s="3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111">
        <v>0</v>
      </c>
    </row>
    <row r="420" spans="1:20" ht="18.75" x14ac:dyDescent="0.25">
      <c r="A420" s="56"/>
      <c r="B420" s="50"/>
      <c r="C420" s="50"/>
      <c r="D420" s="50"/>
      <c r="E420" s="54"/>
      <c r="F420" s="36" t="s">
        <v>435</v>
      </c>
      <c r="G420" s="36"/>
      <c r="H420" s="99">
        <v>0</v>
      </c>
      <c r="I420" s="99">
        <v>1967781.4279999998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111">
        <v>1967781.4279999998</v>
      </c>
    </row>
    <row r="421" spans="1:20" ht="18.75" x14ac:dyDescent="0.25">
      <c r="A421" s="57"/>
      <c r="B421" s="51"/>
      <c r="C421" s="51"/>
      <c r="D421" s="51"/>
      <c r="E421" s="55"/>
      <c r="F421" s="37" t="s">
        <v>6</v>
      </c>
      <c r="G421" s="37"/>
      <c r="H421" s="100">
        <v>0</v>
      </c>
      <c r="I421" s="100">
        <v>1967781.4279999998</v>
      </c>
      <c r="J421" s="100">
        <v>0</v>
      </c>
      <c r="K421" s="100">
        <v>0</v>
      </c>
      <c r="L421" s="100">
        <v>0</v>
      </c>
      <c r="M421" s="100">
        <v>0</v>
      </c>
      <c r="N421" s="100">
        <v>0</v>
      </c>
      <c r="O421" s="100">
        <v>0</v>
      </c>
      <c r="P421" s="100">
        <v>0</v>
      </c>
      <c r="Q421" s="100">
        <v>0</v>
      </c>
      <c r="R421" s="100">
        <v>0</v>
      </c>
      <c r="S421" s="100">
        <v>0</v>
      </c>
      <c r="T421" s="111">
        <v>1967781.4279999998</v>
      </c>
    </row>
    <row r="422" spans="1:20" ht="18.75" x14ac:dyDescent="0.25">
      <c r="A422" s="77">
        <v>311</v>
      </c>
      <c r="B422" s="78">
        <v>69</v>
      </c>
      <c r="C422" s="78">
        <v>920</v>
      </c>
      <c r="D422" s="79">
        <v>70499</v>
      </c>
      <c r="E422" s="80" t="s">
        <v>172</v>
      </c>
      <c r="F422" s="81" t="s">
        <v>301</v>
      </c>
      <c r="G422" s="46"/>
      <c r="H422" s="68">
        <v>0</v>
      </c>
      <c r="I422" s="68">
        <v>520501.42799999996</v>
      </c>
      <c r="J422" s="68">
        <v>0</v>
      </c>
      <c r="K422" s="68">
        <v>0</v>
      </c>
      <c r="L422" s="68">
        <v>0</v>
      </c>
      <c r="M422" s="68">
        <v>0</v>
      </c>
      <c r="N422" s="68">
        <v>0</v>
      </c>
      <c r="O422" s="68">
        <v>0</v>
      </c>
      <c r="P422" s="68">
        <v>0</v>
      </c>
      <c r="Q422" s="68">
        <v>0</v>
      </c>
      <c r="R422" s="68">
        <v>0</v>
      </c>
      <c r="S422" s="68">
        <v>0</v>
      </c>
      <c r="T422" s="111">
        <v>520501.42799999996</v>
      </c>
    </row>
    <row r="423" spans="1:20" ht="18.75" x14ac:dyDescent="0.25">
      <c r="A423" s="77">
        <v>311</v>
      </c>
      <c r="B423" s="78">
        <v>69</v>
      </c>
      <c r="C423" s="78">
        <v>930</v>
      </c>
      <c r="D423" s="79">
        <v>70499</v>
      </c>
      <c r="E423" s="80" t="s">
        <v>172</v>
      </c>
      <c r="F423" s="81" t="s">
        <v>302</v>
      </c>
      <c r="G423" s="46"/>
      <c r="H423" s="68">
        <v>0</v>
      </c>
      <c r="I423" s="68">
        <v>806080</v>
      </c>
      <c r="J423" s="68">
        <v>0</v>
      </c>
      <c r="K423" s="68">
        <v>0</v>
      </c>
      <c r="L423" s="68">
        <v>0</v>
      </c>
      <c r="M423" s="68">
        <v>0</v>
      </c>
      <c r="N423" s="68">
        <v>0</v>
      </c>
      <c r="O423" s="68">
        <v>0</v>
      </c>
      <c r="P423" s="68">
        <v>0</v>
      </c>
      <c r="Q423" s="68">
        <v>0</v>
      </c>
      <c r="R423" s="68">
        <v>0</v>
      </c>
      <c r="S423" s="68">
        <v>0</v>
      </c>
      <c r="T423" s="111">
        <v>806080</v>
      </c>
    </row>
    <row r="424" spans="1:20" ht="37.5" x14ac:dyDescent="0.25">
      <c r="A424" s="77">
        <v>311</v>
      </c>
      <c r="B424" s="78">
        <v>69</v>
      </c>
      <c r="C424" s="78">
        <v>930</v>
      </c>
      <c r="D424" s="79">
        <v>70499</v>
      </c>
      <c r="E424" s="80" t="s">
        <v>172</v>
      </c>
      <c r="F424" s="81" t="s">
        <v>303</v>
      </c>
      <c r="G424" s="38"/>
      <c r="H424" s="68">
        <v>0</v>
      </c>
      <c r="I424" s="68">
        <v>641200</v>
      </c>
      <c r="J424" s="68">
        <v>0</v>
      </c>
      <c r="K424" s="68">
        <v>0</v>
      </c>
      <c r="L424" s="68">
        <v>0</v>
      </c>
      <c r="M424" s="68">
        <v>0</v>
      </c>
      <c r="N424" s="68">
        <v>0</v>
      </c>
      <c r="O424" s="68">
        <v>0</v>
      </c>
      <c r="P424" s="68">
        <v>0</v>
      </c>
      <c r="Q424" s="68">
        <v>0</v>
      </c>
      <c r="R424" s="68">
        <v>0</v>
      </c>
      <c r="S424" s="68">
        <v>0</v>
      </c>
      <c r="T424" s="111">
        <v>641200</v>
      </c>
    </row>
    <row r="425" spans="1:20" ht="18.75" x14ac:dyDescent="0.25">
      <c r="A425" s="4">
        <v>311</v>
      </c>
      <c r="B425" s="52">
        <v>69</v>
      </c>
      <c r="C425" s="52">
        <v>930</v>
      </c>
      <c r="D425" s="7">
        <v>70499</v>
      </c>
      <c r="E425" s="20" t="s">
        <v>172</v>
      </c>
      <c r="F425" s="38" t="s">
        <v>278</v>
      </c>
      <c r="G425" s="38"/>
      <c r="H425" s="68">
        <v>0</v>
      </c>
      <c r="I425" s="68">
        <v>0</v>
      </c>
      <c r="J425" s="68">
        <v>0</v>
      </c>
      <c r="K425" s="68">
        <v>0</v>
      </c>
      <c r="L425" s="68">
        <v>0</v>
      </c>
      <c r="M425" s="68">
        <v>0</v>
      </c>
      <c r="N425" s="68">
        <v>0</v>
      </c>
      <c r="O425" s="68">
        <v>0</v>
      </c>
      <c r="P425" s="68">
        <v>0</v>
      </c>
      <c r="Q425" s="68">
        <v>0</v>
      </c>
      <c r="R425" s="68">
        <v>0</v>
      </c>
      <c r="S425" s="68">
        <v>0</v>
      </c>
      <c r="T425" s="111">
        <v>0</v>
      </c>
    </row>
    <row r="426" spans="1:20" ht="18.75" x14ac:dyDescent="0.25">
      <c r="A426" s="4"/>
      <c r="B426" s="52"/>
      <c r="C426" s="52"/>
      <c r="D426" s="7"/>
      <c r="E426" s="20"/>
      <c r="F426" s="38"/>
      <c r="G426" s="3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111"/>
    </row>
    <row r="427" spans="1:20" ht="18.75" x14ac:dyDescent="0.25">
      <c r="A427" s="4"/>
      <c r="B427" s="52"/>
      <c r="C427" s="52"/>
      <c r="D427" s="7"/>
      <c r="E427" s="20"/>
      <c r="F427" s="38"/>
      <c r="G427" s="3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111"/>
    </row>
    <row r="428" spans="1:20" ht="18.75" x14ac:dyDescent="0.25">
      <c r="A428" s="4"/>
      <c r="B428" s="52"/>
      <c r="C428" s="52"/>
      <c r="D428" s="7"/>
      <c r="E428" s="20"/>
      <c r="F428" s="38"/>
      <c r="G428" s="3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111"/>
    </row>
    <row r="429" spans="1:20" ht="18.75" x14ac:dyDescent="0.25">
      <c r="A429" s="4"/>
      <c r="B429" s="52"/>
      <c r="C429" s="52"/>
      <c r="D429" s="7"/>
      <c r="E429" s="20"/>
      <c r="F429" s="38"/>
      <c r="G429" s="3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111"/>
    </row>
    <row r="430" spans="1:20" ht="18.75" x14ac:dyDescent="0.25">
      <c r="A430" s="4"/>
      <c r="B430" s="52"/>
      <c r="C430" s="52"/>
      <c r="D430" s="7"/>
      <c r="E430" s="20"/>
      <c r="F430" s="38"/>
      <c r="G430" s="3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111">
        <v>0</v>
      </c>
    </row>
    <row r="431" spans="1:20" ht="37.5" x14ac:dyDescent="0.25">
      <c r="A431" s="56"/>
      <c r="B431" s="50"/>
      <c r="C431" s="50"/>
      <c r="D431" s="50"/>
      <c r="E431" s="54"/>
      <c r="F431" s="40" t="s">
        <v>145</v>
      </c>
      <c r="G431" s="40"/>
      <c r="H431" s="99">
        <v>0</v>
      </c>
      <c r="I431" s="99">
        <v>0</v>
      </c>
      <c r="J431" s="99">
        <v>0</v>
      </c>
      <c r="K431" s="99">
        <v>353600</v>
      </c>
      <c r="L431" s="99">
        <v>0</v>
      </c>
      <c r="M431" s="99">
        <v>357200</v>
      </c>
      <c r="N431" s="99">
        <v>0</v>
      </c>
      <c r="O431" s="99">
        <v>268500</v>
      </c>
      <c r="P431" s="99">
        <v>0</v>
      </c>
      <c r="Q431" s="99">
        <v>180000</v>
      </c>
      <c r="R431" s="99">
        <v>0</v>
      </c>
      <c r="S431" s="99">
        <v>375575</v>
      </c>
      <c r="T431" s="111">
        <v>1534875</v>
      </c>
    </row>
    <row r="432" spans="1:20" ht="18.75" x14ac:dyDescent="0.25">
      <c r="A432" s="57"/>
      <c r="B432" s="51"/>
      <c r="C432" s="51"/>
      <c r="D432" s="51"/>
      <c r="E432" s="55"/>
      <c r="F432" s="37" t="s">
        <v>6</v>
      </c>
      <c r="G432" s="37"/>
      <c r="H432" s="100">
        <v>0</v>
      </c>
      <c r="I432" s="100">
        <v>0</v>
      </c>
      <c r="J432" s="100">
        <v>0</v>
      </c>
      <c r="K432" s="100">
        <v>353600</v>
      </c>
      <c r="L432" s="100">
        <v>0</v>
      </c>
      <c r="M432" s="100">
        <v>357200</v>
      </c>
      <c r="N432" s="100">
        <v>0</v>
      </c>
      <c r="O432" s="100">
        <v>268500</v>
      </c>
      <c r="P432" s="100">
        <v>0</v>
      </c>
      <c r="Q432" s="100">
        <v>180000</v>
      </c>
      <c r="R432" s="100">
        <v>0</v>
      </c>
      <c r="S432" s="100">
        <v>375575</v>
      </c>
      <c r="T432" s="111">
        <v>1534875</v>
      </c>
    </row>
    <row r="433" spans="1:20" ht="18.75" x14ac:dyDescent="0.25">
      <c r="A433" s="88">
        <v>311</v>
      </c>
      <c r="B433" s="89">
        <v>65</v>
      </c>
      <c r="C433" s="89">
        <v>930</v>
      </c>
      <c r="D433" s="90">
        <v>70499</v>
      </c>
      <c r="E433" s="91" t="s">
        <v>172</v>
      </c>
      <c r="F433" s="109" t="s">
        <v>146</v>
      </c>
      <c r="G433" s="127" t="s">
        <v>353</v>
      </c>
      <c r="H433" s="68">
        <v>0</v>
      </c>
      <c r="I433" s="68">
        <v>0</v>
      </c>
      <c r="J433" s="68">
        <v>0</v>
      </c>
      <c r="K433" s="68">
        <v>353600</v>
      </c>
      <c r="L433" s="68">
        <v>0</v>
      </c>
      <c r="M433" s="68">
        <v>357200</v>
      </c>
      <c r="N433" s="68">
        <v>0</v>
      </c>
      <c r="O433" s="68">
        <v>268500</v>
      </c>
      <c r="P433" s="68">
        <v>0</v>
      </c>
      <c r="Q433" s="68">
        <v>180000</v>
      </c>
      <c r="R433" s="68">
        <v>0</v>
      </c>
      <c r="S433" s="68">
        <v>375575</v>
      </c>
      <c r="T433" s="111">
        <v>1534875</v>
      </c>
    </row>
    <row r="434" spans="1:20" s="121" customFormat="1" ht="18.75" x14ac:dyDescent="0.25">
      <c r="A434" s="114"/>
      <c r="B434" s="115"/>
      <c r="C434" s="115"/>
      <c r="D434" s="116"/>
      <c r="E434" s="117"/>
      <c r="F434" s="139"/>
      <c r="G434" s="140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20"/>
    </row>
    <row r="435" spans="1:20" s="121" customFormat="1" ht="18.75" x14ac:dyDescent="0.25">
      <c r="A435" s="114"/>
      <c r="B435" s="115"/>
      <c r="C435" s="115"/>
      <c r="D435" s="116"/>
      <c r="E435" s="117"/>
      <c r="F435" s="139"/>
      <c r="G435" s="140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20"/>
    </row>
    <row r="436" spans="1:20" s="121" customFormat="1" ht="18.75" x14ac:dyDescent="0.25">
      <c r="A436" s="114"/>
      <c r="B436" s="115"/>
      <c r="C436" s="115"/>
      <c r="D436" s="116"/>
      <c r="E436" s="117"/>
      <c r="F436" s="139"/>
      <c r="G436" s="140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20"/>
    </row>
    <row r="437" spans="1:20" s="121" customFormat="1" ht="18.75" x14ac:dyDescent="0.25">
      <c r="A437" s="114"/>
      <c r="B437" s="115"/>
      <c r="C437" s="115"/>
      <c r="D437" s="116"/>
      <c r="E437" s="117"/>
      <c r="F437" s="139"/>
      <c r="G437" s="140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20"/>
    </row>
    <row r="438" spans="1:20" s="121" customFormat="1" ht="18.75" x14ac:dyDescent="0.25">
      <c r="A438" s="114"/>
      <c r="B438" s="115"/>
      <c r="C438" s="115"/>
      <c r="D438" s="116"/>
      <c r="E438" s="117"/>
      <c r="F438" s="139"/>
      <c r="G438" s="13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20">
        <v>0</v>
      </c>
    </row>
    <row r="439" spans="1:20" ht="18.75" x14ac:dyDescent="0.25">
      <c r="A439" s="56"/>
      <c r="B439" s="50"/>
      <c r="C439" s="50"/>
      <c r="D439" s="50"/>
      <c r="E439" s="54"/>
      <c r="F439" s="36" t="s">
        <v>147</v>
      </c>
      <c r="G439" s="36"/>
      <c r="H439" s="99">
        <v>0</v>
      </c>
      <c r="I439" s="99">
        <v>751120</v>
      </c>
      <c r="J439" s="99">
        <v>0</v>
      </c>
      <c r="K439" s="99">
        <v>160216.16000000003</v>
      </c>
      <c r="L439" s="99">
        <v>0</v>
      </c>
      <c r="M439" s="99">
        <v>103980.92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111">
        <v>1015317.0800000001</v>
      </c>
    </row>
    <row r="440" spans="1:20" ht="18.75" x14ac:dyDescent="0.25">
      <c r="A440" s="57"/>
      <c r="B440" s="51"/>
      <c r="C440" s="51"/>
      <c r="D440" s="51"/>
      <c r="E440" s="55"/>
      <c r="F440" s="37" t="s">
        <v>6</v>
      </c>
      <c r="G440" s="37"/>
      <c r="H440" s="100">
        <v>0</v>
      </c>
      <c r="I440" s="100">
        <v>751120</v>
      </c>
      <c r="J440" s="100">
        <v>0</v>
      </c>
      <c r="K440" s="100">
        <v>160216.16000000003</v>
      </c>
      <c r="L440" s="100">
        <v>0</v>
      </c>
      <c r="M440" s="100">
        <v>103980.92</v>
      </c>
      <c r="N440" s="100">
        <v>0</v>
      </c>
      <c r="O440" s="100">
        <v>0</v>
      </c>
      <c r="P440" s="100">
        <v>0</v>
      </c>
      <c r="Q440" s="100">
        <v>0</v>
      </c>
      <c r="R440" s="100">
        <v>0</v>
      </c>
      <c r="S440" s="100">
        <v>0</v>
      </c>
      <c r="T440" s="111">
        <v>1015317.0800000001</v>
      </c>
    </row>
    <row r="441" spans="1:20" ht="37.5" x14ac:dyDescent="0.25">
      <c r="A441" s="88">
        <v>311</v>
      </c>
      <c r="B441" s="89">
        <v>74</v>
      </c>
      <c r="C441" s="89">
        <v>920</v>
      </c>
      <c r="D441" s="90">
        <v>70499</v>
      </c>
      <c r="E441" s="91" t="s">
        <v>172</v>
      </c>
      <c r="F441" s="125" t="s">
        <v>23</v>
      </c>
      <c r="G441" s="125"/>
      <c r="H441" s="68">
        <v>0</v>
      </c>
      <c r="I441" s="68">
        <v>115635.84</v>
      </c>
      <c r="J441" s="68">
        <v>0</v>
      </c>
      <c r="K441" s="68">
        <v>0</v>
      </c>
      <c r="L441" s="68">
        <v>0</v>
      </c>
      <c r="M441" s="68">
        <v>103980.92</v>
      </c>
      <c r="N441" s="68">
        <v>0</v>
      </c>
      <c r="O441" s="68">
        <v>0</v>
      </c>
      <c r="P441" s="68">
        <v>0</v>
      </c>
      <c r="Q441" s="68">
        <v>0</v>
      </c>
      <c r="R441" s="68">
        <v>0</v>
      </c>
      <c r="S441" s="68">
        <v>0</v>
      </c>
      <c r="T441" s="111">
        <v>219616.76</v>
      </c>
    </row>
    <row r="442" spans="1:20" ht="37.5" x14ac:dyDescent="0.25">
      <c r="A442" s="88">
        <v>311</v>
      </c>
      <c r="B442" s="89">
        <v>74</v>
      </c>
      <c r="C442" s="89">
        <v>930</v>
      </c>
      <c r="D442" s="90">
        <v>70499</v>
      </c>
      <c r="E442" s="91" t="s">
        <v>172</v>
      </c>
      <c r="F442" s="92" t="s">
        <v>24</v>
      </c>
      <c r="G442" s="126" t="s">
        <v>380</v>
      </c>
      <c r="H442" s="68">
        <v>0</v>
      </c>
      <c r="I442" s="68">
        <v>635484.16000000003</v>
      </c>
      <c r="J442" s="68">
        <v>0</v>
      </c>
      <c r="K442" s="68">
        <v>160216.16000000003</v>
      </c>
      <c r="L442" s="68">
        <v>0</v>
      </c>
      <c r="M442" s="68">
        <v>0</v>
      </c>
      <c r="N442" s="68">
        <v>0</v>
      </c>
      <c r="O442" s="68">
        <v>0</v>
      </c>
      <c r="P442" s="68">
        <v>0</v>
      </c>
      <c r="Q442" s="68">
        <v>0</v>
      </c>
      <c r="R442" s="68">
        <v>0</v>
      </c>
      <c r="S442" s="68">
        <v>0</v>
      </c>
      <c r="T442" s="111">
        <v>795700.32000000007</v>
      </c>
    </row>
    <row r="443" spans="1:20" s="121" customFormat="1" ht="18.75" x14ac:dyDescent="0.25">
      <c r="A443" s="114"/>
      <c r="B443" s="115"/>
      <c r="C443" s="115"/>
      <c r="D443" s="116"/>
      <c r="E443" s="117"/>
      <c r="F443" s="118"/>
      <c r="G443" s="141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20"/>
    </row>
    <row r="444" spans="1:20" s="121" customFormat="1" ht="18.75" x14ac:dyDescent="0.25">
      <c r="A444" s="114"/>
      <c r="B444" s="115"/>
      <c r="C444" s="115"/>
      <c r="D444" s="116"/>
      <c r="E444" s="117"/>
      <c r="F444" s="118"/>
      <c r="G444" s="141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20"/>
    </row>
    <row r="445" spans="1:20" s="121" customFormat="1" ht="18.75" x14ac:dyDescent="0.25">
      <c r="A445" s="114"/>
      <c r="B445" s="115"/>
      <c r="C445" s="115"/>
      <c r="D445" s="116"/>
      <c r="E445" s="117"/>
      <c r="F445" s="118"/>
      <c r="G445" s="141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20"/>
    </row>
    <row r="446" spans="1:20" s="121" customFormat="1" ht="18.75" x14ac:dyDescent="0.25">
      <c r="A446" s="114"/>
      <c r="B446" s="115"/>
      <c r="C446" s="115"/>
      <c r="D446" s="116"/>
      <c r="E446" s="117"/>
      <c r="F446" s="118"/>
      <c r="G446" s="141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20"/>
    </row>
    <row r="447" spans="1:20" s="121" customFormat="1" ht="18.75" x14ac:dyDescent="0.25">
      <c r="A447" s="114"/>
      <c r="B447" s="115"/>
      <c r="C447" s="115"/>
      <c r="D447" s="116"/>
      <c r="E447" s="117"/>
      <c r="F447" s="118"/>
      <c r="G447" s="118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20">
        <v>0</v>
      </c>
    </row>
    <row r="448" spans="1:20" ht="37.5" x14ac:dyDescent="0.25">
      <c r="A448" s="56"/>
      <c r="B448" s="50"/>
      <c r="C448" s="50"/>
      <c r="D448" s="50"/>
      <c r="E448" s="54"/>
      <c r="F448" s="69" t="s">
        <v>148</v>
      </c>
      <c r="G448" s="36"/>
      <c r="H448" s="99">
        <v>1896.12</v>
      </c>
      <c r="I448" s="99">
        <v>18915.399999999998</v>
      </c>
      <c r="J448" s="99">
        <v>1768</v>
      </c>
      <c r="K448" s="99">
        <v>17288.199708</v>
      </c>
      <c r="L448" s="99">
        <v>267.89999999999998</v>
      </c>
      <c r="M448" s="99">
        <v>2105.9618999999998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111">
        <v>38309.561607999996</v>
      </c>
    </row>
    <row r="449" spans="1:20" ht="18.75" x14ac:dyDescent="0.25">
      <c r="A449" s="57"/>
      <c r="B449" s="51"/>
      <c r="C449" s="51"/>
      <c r="D449" s="51"/>
      <c r="E449" s="55"/>
      <c r="F449" s="37" t="s">
        <v>6</v>
      </c>
      <c r="G449" s="37"/>
      <c r="H449" s="100">
        <v>1896.12</v>
      </c>
      <c r="I449" s="100">
        <v>18915.399999999998</v>
      </c>
      <c r="J449" s="100">
        <v>1768</v>
      </c>
      <c r="K449" s="100">
        <v>17288.199708</v>
      </c>
      <c r="L449" s="100">
        <v>267.89999999999998</v>
      </c>
      <c r="M449" s="100">
        <v>2105.9618999999998</v>
      </c>
      <c r="N449" s="100">
        <v>0</v>
      </c>
      <c r="O449" s="100">
        <v>0</v>
      </c>
      <c r="P449" s="100">
        <v>0</v>
      </c>
      <c r="Q449" s="100">
        <v>0</v>
      </c>
      <c r="R449" s="100">
        <v>0</v>
      </c>
      <c r="S449" s="100">
        <v>0</v>
      </c>
      <c r="T449" s="111">
        <v>38309.561607999996</v>
      </c>
    </row>
    <row r="450" spans="1:20" ht="18.75" x14ac:dyDescent="0.25">
      <c r="A450" s="63">
        <v>311</v>
      </c>
      <c r="B450" s="64">
        <v>67</v>
      </c>
      <c r="C450" s="64">
        <v>910</v>
      </c>
      <c r="D450" s="65">
        <v>70259</v>
      </c>
      <c r="E450" s="66"/>
      <c r="F450" s="67" t="s">
        <v>149</v>
      </c>
      <c r="G450" s="38"/>
      <c r="H450" s="68">
        <v>1896.12</v>
      </c>
      <c r="I450" s="68">
        <v>0</v>
      </c>
      <c r="J450" s="68">
        <v>1768</v>
      </c>
      <c r="K450" s="68">
        <v>0</v>
      </c>
      <c r="L450" s="68">
        <v>267.89999999999998</v>
      </c>
      <c r="M450" s="68">
        <v>0</v>
      </c>
      <c r="N450" s="68">
        <v>0</v>
      </c>
      <c r="O450" s="68">
        <v>0</v>
      </c>
      <c r="P450" s="68">
        <v>0</v>
      </c>
      <c r="Q450" s="68">
        <v>0</v>
      </c>
      <c r="R450" s="68">
        <v>0</v>
      </c>
      <c r="S450" s="68">
        <v>0</v>
      </c>
      <c r="T450" s="111">
        <v>0</v>
      </c>
    </row>
    <row r="451" spans="1:20" ht="18.75" x14ac:dyDescent="0.25">
      <c r="A451" s="63">
        <v>311</v>
      </c>
      <c r="B451" s="64">
        <v>67</v>
      </c>
      <c r="C451" s="64">
        <v>920</v>
      </c>
      <c r="D451" s="65">
        <v>70259</v>
      </c>
      <c r="E451" s="66" t="s">
        <v>173</v>
      </c>
      <c r="F451" s="67" t="s">
        <v>150</v>
      </c>
      <c r="G451" s="38"/>
      <c r="H451" s="68">
        <v>0</v>
      </c>
      <c r="I451" s="68">
        <v>18915.399999999998</v>
      </c>
      <c r="J451" s="68">
        <v>0</v>
      </c>
      <c r="K451" s="68">
        <v>17288.199708</v>
      </c>
      <c r="L451" s="68">
        <v>0</v>
      </c>
      <c r="M451" s="68">
        <v>2105.9618999999998</v>
      </c>
      <c r="N451" s="68">
        <v>0</v>
      </c>
      <c r="O451" s="68">
        <v>0</v>
      </c>
      <c r="P451" s="68">
        <v>0</v>
      </c>
      <c r="Q451" s="68">
        <v>0</v>
      </c>
      <c r="R451" s="68">
        <v>0</v>
      </c>
      <c r="S451" s="68">
        <v>0</v>
      </c>
      <c r="T451" s="111">
        <v>38309.561607999996</v>
      </c>
    </row>
    <row r="452" spans="1:20" ht="37.5" x14ac:dyDescent="0.25">
      <c r="A452" s="63">
        <v>311</v>
      </c>
      <c r="B452" s="64">
        <v>67</v>
      </c>
      <c r="C452" s="64">
        <v>910</v>
      </c>
      <c r="D452" s="65">
        <v>70259</v>
      </c>
      <c r="E452" s="66"/>
      <c r="F452" s="67" t="s">
        <v>408</v>
      </c>
      <c r="G452" s="38"/>
      <c r="H452" s="68">
        <v>0</v>
      </c>
      <c r="I452" s="68">
        <v>0</v>
      </c>
      <c r="J452" s="68">
        <v>0</v>
      </c>
      <c r="K452" s="68">
        <v>0</v>
      </c>
      <c r="L452" s="68">
        <v>0</v>
      </c>
      <c r="M452" s="68">
        <v>0</v>
      </c>
      <c r="N452" s="68">
        <v>0</v>
      </c>
      <c r="O452" s="68">
        <v>0</v>
      </c>
      <c r="P452" s="68">
        <v>0</v>
      </c>
      <c r="Q452" s="68">
        <v>0</v>
      </c>
      <c r="R452" s="68">
        <v>0</v>
      </c>
      <c r="S452" s="68">
        <v>0</v>
      </c>
      <c r="T452" s="111"/>
    </row>
    <row r="453" spans="1:20" ht="37.5" x14ac:dyDescent="0.25">
      <c r="A453" s="63">
        <v>311</v>
      </c>
      <c r="B453" s="64">
        <v>67</v>
      </c>
      <c r="C453" s="64">
        <v>920</v>
      </c>
      <c r="D453" s="65">
        <v>70259</v>
      </c>
      <c r="E453" s="66" t="s">
        <v>173</v>
      </c>
      <c r="F453" s="67" t="s">
        <v>409</v>
      </c>
      <c r="G453" s="38"/>
      <c r="H453" s="68">
        <v>0</v>
      </c>
      <c r="I453" s="68">
        <v>0</v>
      </c>
      <c r="J453" s="68">
        <v>0</v>
      </c>
      <c r="K453" s="68">
        <v>0</v>
      </c>
      <c r="L453" s="68">
        <v>0</v>
      </c>
      <c r="M453" s="68">
        <v>0</v>
      </c>
      <c r="N453" s="68">
        <v>0</v>
      </c>
      <c r="O453" s="68">
        <v>0</v>
      </c>
      <c r="P453" s="68">
        <v>0</v>
      </c>
      <c r="Q453" s="68">
        <v>0</v>
      </c>
      <c r="R453" s="68">
        <v>0</v>
      </c>
      <c r="S453" s="68">
        <v>0</v>
      </c>
      <c r="T453" s="111"/>
    </row>
    <row r="454" spans="1:20" ht="37.5" x14ac:dyDescent="0.25">
      <c r="A454" s="63">
        <v>311</v>
      </c>
      <c r="B454" s="64">
        <v>67</v>
      </c>
      <c r="C454" s="64">
        <v>930</v>
      </c>
      <c r="D454" s="65">
        <v>70259</v>
      </c>
      <c r="E454" s="66" t="s">
        <v>173</v>
      </c>
      <c r="F454" s="67" t="s">
        <v>410</v>
      </c>
      <c r="G454" s="38"/>
      <c r="H454" s="68">
        <v>0</v>
      </c>
      <c r="I454" s="68">
        <v>0</v>
      </c>
      <c r="J454" s="68">
        <v>0</v>
      </c>
      <c r="K454" s="68">
        <v>0</v>
      </c>
      <c r="L454" s="68">
        <v>0</v>
      </c>
      <c r="M454" s="68">
        <v>0</v>
      </c>
      <c r="N454" s="68">
        <v>0</v>
      </c>
      <c r="O454" s="68">
        <v>0</v>
      </c>
      <c r="P454" s="68">
        <v>0</v>
      </c>
      <c r="Q454" s="68">
        <v>0</v>
      </c>
      <c r="R454" s="68">
        <v>0</v>
      </c>
      <c r="S454" s="68">
        <v>0</v>
      </c>
      <c r="T454" s="111"/>
    </row>
    <row r="455" spans="1:20" s="121" customFormat="1" ht="18.75" x14ac:dyDescent="0.25">
      <c r="A455" s="114"/>
      <c r="B455" s="115"/>
      <c r="C455" s="115"/>
      <c r="D455" s="116"/>
      <c r="E455" s="117"/>
      <c r="F455" s="118"/>
      <c r="G455" s="118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20"/>
    </row>
    <row r="456" spans="1:20" s="121" customFormat="1" ht="18.75" x14ac:dyDescent="0.25">
      <c r="A456" s="114"/>
      <c r="B456" s="115"/>
      <c r="C456" s="115"/>
      <c r="D456" s="116"/>
      <c r="E456" s="117"/>
      <c r="F456" s="118"/>
      <c r="G456" s="118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20"/>
    </row>
    <row r="457" spans="1:20" s="121" customFormat="1" ht="18.75" x14ac:dyDescent="0.25">
      <c r="A457" s="114"/>
      <c r="B457" s="115"/>
      <c r="C457" s="115"/>
      <c r="D457" s="116"/>
      <c r="E457" s="117"/>
      <c r="F457" s="118"/>
      <c r="G457" s="118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20"/>
    </row>
    <row r="458" spans="1:20" s="121" customFormat="1" ht="18.75" x14ac:dyDescent="0.25">
      <c r="A458" s="114"/>
      <c r="B458" s="115"/>
      <c r="C458" s="115"/>
      <c r="D458" s="116"/>
      <c r="E458" s="117"/>
      <c r="F458" s="118"/>
      <c r="G458" s="118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20"/>
    </row>
    <row r="459" spans="1:20" s="121" customFormat="1" ht="18.75" x14ac:dyDescent="0.25">
      <c r="A459" s="114"/>
      <c r="B459" s="115"/>
      <c r="C459" s="115"/>
      <c r="D459" s="116"/>
      <c r="E459" s="117"/>
      <c r="F459" s="118"/>
      <c r="G459" s="118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42"/>
    </row>
    <row r="460" spans="1:20" ht="18.75" x14ac:dyDescent="0.25">
      <c r="A460" s="23"/>
      <c r="B460" s="24"/>
      <c r="C460" s="24"/>
      <c r="D460" s="24"/>
      <c r="E460" s="25"/>
      <c r="F460" s="45" t="s">
        <v>151</v>
      </c>
      <c r="G460" s="45"/>
      <c r="H460" s="103">
        <v>2361634.8640000001</v>
      </c>
      <c r="I460" s="103">
        <v>41885643.544799618</v>
      </c>
      <c r="J460" s="103">
        <v>2451197.6320000002</v>
      </c>
      <c r="K460" s="103">
        <v>42165983.292732</v>
      </c>
      <c r="L460" s="103">
        <v>3003873.3999999994</v>
      </c>
      <c r="M460" s="103">
        <v>40501579.741977006</v>
      </c>
      <c r="N460" s="103">
        <v>2887754.1949999998</v>
      </c>
      <c r="O460" s="103">
        <v>37397212.166999996</v>
      </c>
      <c r="P460" s="103">
        <v>1689084</v>
      </c>
      <c r="Q460" s="103">
        <v>32948412.48</v>
      </c>
      <c r="R460" s="103">
        <v>618087.85000000009</v>
      </c>
      <c r="S460" s="103">
        <v>27921854.861500002</v>
      </c>
    </row>
    <row r="461" spans="1:20" ht="16.5" x14ac:dyDescent="0.25">
      <c r="A461" s="6"/>
      <c r="B461" s="12"/>
      <c r="C461" s="12"/>
      <c r="D461" s="12"/>
      <c r="E461" s="12"/>
      <c r="F461" s="13"/>
      <c r="G461" s="13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</row>
    <row r="462" spans="1:20" ht="18.75" x14ac:dyDescent="0.25">
      <c r="A462" s="6"/>
      <c r="B462" s="12"/>
      <c r="C462" s="12" t="s">
        <v>182</v>
      </c>
      <c r="D462" s="12"/>
      <c r="E462" s="12"/>
      <c r="F462" s="14" t="s">
        <v>152</v>
      </c>
      <c r="G462" s="14"/>
      <c r="H462" s="68">
        <v>0</v>
      </c>
      <c r="I462" s="68">
        <v>28218126.265199997</v>
      </c>
      <c r="J462" s="68">
        <v>0</v>
      </c>
      <c r="K462" s="68">
        <v>29235690.821844004</v>
      </c>
      <c r="L462" s="68">
        <v>0</v>
      </c>
      <c r="M462" s="68">
        <v>31325206.208874989</v>
      </c>
      <c r="N462" s="68">
        <v>0</v>
      </c>
      <c r="O462" s="68">
        <v>33062126.622000001</v>
      </c>
      <c r="P462" s="68">
        <v>0</v>
      </c>
      <c r="Q462" s="68">
        <v>31387830.48</v>
      </c>
      <c r="R462" s="68">
        <v>0</v>
      </c>
      <c r="S462" s="68">
        <v>25298843.5865</v>
      </c>
    </row>
    <row r="463" spans="1:20" ht="18.75" x14ac:dyDescent="0.25">
      <c r="A463" s="6"/>
      <c r="B463" s="12"/>
      <c r="C463" s="12" t="s">
        <v>183</v>
      </c>
      <c r="D463" s="12"/>
      <c r="E463" s="12"/>
      <c r="F463" s="14" t="s">
        <v>153</v>
      </c>
      <c r="G463" s="14"/>
      <c r="H463" s="68">
        <v>0</v>
      </c>
      <c r="I463" s="68">
        <v>13667517.279599614</v>
      </c>
      <c r="J463" s="68">
        <v>0</v>
      </c>
      <c r="K463" s="68">
        <v>12930292.470888004</v>
      </c>
      <c r="L463" s="68">
        <v>0</v>
      </c>
      <c r="M463" s="68">
        <v>9176373.5331019964</v>
      </c>
      <c r="N463" s="68">
        <v>0</v>
      </c>
      <c r="O463" s="68">
        <v>4335085.5449999999</v>
      </c>
      <c r="P463" s="68">
        <v>0</v>
      </c>
      <c r="Q463" s="68">
        <v>2421432.0000000005</v>
      </c>
      <c r="R463" s="68">
        <v>0</v>
      </c>
      <c r="S463" s="68">
        <v>2623011.2749999999</v>
      </c>
    </row>
    <row r="464" spans="1:20" ht="17.25" x14ac:dyDescent="0.25">
      <c r="A464" s="6"/>
      <c r="B464" s="12"/>
      <c r="C464" s="12"/>
      <c r="D464" s="12"/>
      <c r="E464" s="12"/>
      <c r="F464" s="13"/>
      <c r="G464" s="13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</row>
    <row r="465" spans="1:20" ht="18.75" x14ac:dyDescent="0.25">
      <c r="A465" s="26">
        <v>321</v>
      </c>
      <c r="B465" s="26"/>
      <c r="C465" s="26">
        <v>930</v>
      </c>
      <c r="D465" s="27"/>
      <c r="E465" s="33"/>
      <c r="F465" s="14" t="s">
        <v>154</v>
      </c>
      <c r="G465" s="14"/>
      <c r="H465" s="68">
        <v>0</v>
      </c>
      <c r="I465" s="68">
        <v>9250658.0771999992</v>
      </c>
      <c r="J465" s="68">
        <v>0</v>
      </c>
      <c r="K465" s="68">
        <v>11613414.253844</v>
      </c>
      <c r="L465" s="68">
        <v>0</v>
      </c>
      <c r="M465" s="68">
        <v>13826692.340975</v>
      </c>
      <c r="N465" s="68">
        <v>0</v>
      </c>
      <c r="O465" s="68">
        <v>13568012.049999999</v>
      </c>
      <c r="P465" s="68">
        <v>0</v>
      </c>
      <c r="Q465" s="68">
        <v>10126323.000000002</v>
      </c>
      <c r="R465" s="68">
        <v>0</v>
      </c>
      <c r="S465" s="68">
        <v>7102765.8000000007</v>
      </c>
    </row>
    <row r="466" spans="1:20" ht="18.75" x14ac:dyDescent="0.25">
      <c r="A466" s="28">
        <v>321</v>
      </c>
      <c r="B466" s="28"/>
      <c r="C466" s="28">
        <v>920</v>
      </c>
      <c r="D466" s="29"/>
      <c r="E466" s="6"/>
      <c r="F466" s="14" t="s">
        <v>155</v>
      </c>
      <c r="G466" s="14"/>
      <c r="H466" s="68">
        <v>0</v>
      </c>
      <c r="I466" s="68">
        <v>0</v>
      </c>
      <c r="J466" s="68">
        <v>0</v>
      </c>
      <c r="K466" s="68">
        <v>795600</v>
      </c>
      <c r="L466" s="68">
        <v>0</v>
      </c>
      <c r="M466" s="68">
        <v>625100</v>
      </c>
      <c r="N466" s="68">
        <v>0</v>
      </c>
      <c r="O466" s="68">
        <v>0</v>
      </c>
      <c r="P466" s="68">
        <v>0</v>
      </c>
      <c r="Q466" s="68">
        <v>0</v>
      </c>
      <c r="R466" s="68">
        <v>0</v>
      </c>
      <c r="S466" s="68">
        <v>0</v>
      </c>
    </row>
    <row r="467" spans="1:20" ht="18.75" x14ac:dyDescent="0.25">
      <c r="A467" s="30"/>
      <c r="B467" s="31"/>
      <c r="C467" s="31"/>
      <c r="D467" s="32"/>
      <c r="E467" s="35"/>
      <c r="F467" s="14" t="s">
        <v>156</v>
      </c>
      <c r="G467" s="14"/>
      <c r="H467" s="68">
        <v>0</v>
      </c>
      <c r="I467" s="68">
        <v>9250658.0771999992</v>
      </c>
      <c r="J467" s="68">
        <v>0</v>
      </c>
      <c r="K467" s="68">
        <v>12409014.253844</v>
      </c>
      <c r="L467" s="68">
        <v>0</v>
      </c>
      <c r="M467" s="68">
        <v>14451792.340975</v>
      </c>
      <c r="N467" s="68">
        <v>0</v>
      </c>
      <c r="O467" s="68">
        <v>13568012.049999999</v>
      </c>
      <c r="P467" s="68">
        <v>0</v>
      </c>
      <c r="Q467" s="68">
        <v>10126323.000000002</v>
      </c>
      <c r="R467" s="68">
        <v>0</v>
      </c>
      <c r="S467" s="68">
        <v>7102765.8000000007</v>
      </c>
    </row>
    <row r="468" spans="1:20" ht="18.75" x14ac:dyDescent="0.25">
      <c r="A468" s="26">
        <v>311</v>
      </c>
      <c r="B468" s="26"/>
      <c r="C468" s="26">
        <v>930</v>
      </c>
      <c r="D468" s="27"/>
      <c r="E468" s="33"/>
      <c r="F468" s="14" t="s">
        <v>157</v>
      </c>
      <c r="G468" s="14"/>
      <c r="H468" s="68">
        <v>0</v>
      </c>
      <c r="I468" s="68">
        <v>18967468.188000001</v>
      </c>
      <c r="J468" s="68">
        <v>0</v>
      </c>
      <c r="K468" s="68">
        <v>17622276.568000004</v>
      </c>
      <c r="L468" s="68">
        <v>0</v>
      </c>
      <c r="M468" s="68">
        <v>17498513.867900003</v>
      </c>
      <c r="N468" s="68">
        <v>0</v>
      </c>
      <c r="O468" s="68">
        <v>19494114.572000001</v>
      </c>
      <c r="P468" s="68">
        <v>0</v>
      </c>
      <c r="Q468" s="68">
        <v>21261507.479999997</v>
      </c>
      <c r="R468" s="68">
        <v>0</v>
      </c>
      <c r="S468" s="68">
        <v>18196077.786499996</v>
      </c>
    </row>
    <row r="469" spans="1:20" ht="18.75" x14ac:dyDescent="0.25">
      <c r="A469" s="28">
        <v>311</v>
      </c>
      <c r="B469" s="28"/>
      <c r="C469" s="28">
        <v>920</v>
      </c>
      <c r="D469" s="29"/>
      <c r="E469" s="6"/>
      <c r="F469" s="14" t="s">
        <v>158</v>
      </c>
      <c r="G469" s="14"/>
      <c r="H469" s="68">
        <v>0</v>
      </c>
      <c r="I469" s="68">
        <v>13667517.279599614</v>
      </c>
      <c r="J469" s="68">
        <v>0</v>
      </c>
      <c r="K469" s="68">
        <v>12134692.470888</v>
      </c>
      <c r="L469" s="68">
        <v>0</v>
      </c>
      <c r="M469" s="68">
        <v>8551273.5331019964</v>
      </c>
      <c r="N469" s="68">
        <v>0</v>
      </c>
      <c r="O469" s="68">
        <v>4335085.5449999999</v>
      </c>
      <c r="P469" s="68">
        <v>0</v>
      </c>
      <c r="Q469" s="68">
        <v>2421432.0000000005</v>
      </c>
      <c r="R469" s="68">
        <v>0</v>
      </c>
      <c r="S469" s="68">
        <v>2623011.2749999999</v>
      </c>
    </row>
    <row r="470" spans="1:20" ht="18.75" x14ac:dyDescent="0.25">
      <c r="A470" s="30"/>
      <c r="B470" s="31"/>
      <c r="C470" s="31"/>
      <c r="D470" s="32"/>
      <c r="E470" s="34"/>
      <c r="F470" s="15" t="s">
        <v>159</v>
      </c>
      <c r="G470" s="15"/>
      <c r="H470" s="68">
        <v>0</v>
      </c>
      <c r="I470" s="68">
        <v>32634985.467599619</v>
      </c>
      <c r="J470" s="68">
        <v>0</v>
      </c>
      <c r="K470" s="68">
        <v>29756969.038888007</v>
      </c>
      <c r="L470" s="68">
        <v>0</v>
      </c>
      <c r="M470" s="68">
        <v>26049787.401001997</v>
      </c>
      <c r="N470" s="68">
        <v>0</v>
      </c>
      <c r="O470" s="68">
        <v>23829200.117000002</v>
      </c>
      <c r="P470" s="68">
        <v>0</v>
      </c>
      <c r="Q470" s="68">
        <v>23682939.48</v>
      </c>
      <c r="R470" s="68">
        <v>0</v>
      </c>
      <c r="S470" s="68">
        <v>20819089.061499998</v>
      </c>
      <c r="T470"/>
    </row>
    <row r="471" spans="1:20" ht="18.75" x14ac:dyDescent="0.3">
      <c r="A471" s="16"/>
      <c r="B471" s="16"/>
      <c r="C471" s="16"/>
      <c r="D471" s="16"/>
      <c r="E471" s="16"/>
      <c r="F471" s="17"/>
      <c r="G471" s="17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/>
    </row>
    <row r="474" spans="1:20" ht="15" x14ac:dyDescent="0.25">
      <c r="T474"/>
    </row>
  </sheetData>
  <autoFilter ref="A7:S458"/>
  <mergeCells count="45">
    <mergeCell ref="G314:G316"/>
    <mergeCell ref="G326:G327"/>
    <mergeCell ref="G350:G352"/>
    <mergeCell ref="G234:G236"/>
    <mergeCell ref="G237:G239"/>
    <mergeCell ref="G240:G241"/>
    <mergeCell ref="G242:G243"/>
    <mergeCell ref="G309:G311"/>
    <mergeCell ref="G312:G313"/>
    <mergeCell ref="G231:G233"/>
    <mergeCell ref="G197:G198"/>
    <mergeCell ref="G203:G204"/>
    <mergeCell ref="G207:G208"/>
    <mergeCell ref="G209:G210"/>
    <mergeCell ref="G211:G212"/>
    <mergeCell ref="G217:G218"/>
    <mergeCell ref="G219:G220"/>
    <mergeCell ref="G221:G223"/>
    <mergeCell ref="G224:G225"/>
    <mergeCell ref="G227:G228"/>
    <mergeCell ref="G229:G230"/>
    <mergeCell ref="G195:G196"/>
    <mergeCell ref="G165:G167"/>
    <mergeCell ref="G168:G170"/>
    <mergeCell ref="G171:G172"/>
    <mergeCell ref="G173:G174"/>
    <mergeCell ref="G175:G176"/>
    <mergeCell ref="G177:G178"/>
    <mergeCell ref="G179:G181"/>
    <mergeCell ref="G184:G186"/>
    <mergeCell ref="G187:G189"/>
    <mergeCell ref="G190:G192"/>
    <mergeCell ref="G193:G194"/>
    <mergeCell ref="G163:G164"/>
    <mergeCell ref="G16:G17"/>
    <mergeCell ref="G21:G22"/>
    <mergeCell ref="G26:G27"/>
    <mergeCell ref="G28:G29"/>
    <mergeCell ref="G30:G31"/>
    <mergeCell ref="G41:G42"/>
    <mergeCell ref="G44:G45"/>
    <mergeCell ref="G46:G47"/>
    <mergeCell ref="G58:G59"/>
    <mergeCell ref="G140:G141"/>
    <mergeCell ref="G151:G15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9"/>
  <sheetViews>
    <sheetView showZeros="0" tabSelected="1" view="pageBreakPreview" zoomScaleNormal="100" zoomScaleSheetLayoutView="100" workbookViewId="0">
      <pane ySplit="6" topLeftCell="A298" activePane="bottomLeft" state="frozen"/>
      <selection pane="bottomLeft" activeCell="F312" sqref="F312"/>
    </sheetView>
  </sheetViews>
  <sheetFormatPr defaultRowHeight="15" x14ac:dyDescent="0.25"/>
  <cols>
    <col min="1" max="1" width="5.140625" customWidth="1"/>
    <col min="2" max="2" width="3.85546875" customWidth="1"/>
    <col min="3" max="3" width="5.140625" customWidth="1"/>
    <col min="4" max="4" width="7.7109375" customWidth="1"/>
    <col min="5" max="5" width="85.140625" customWidth="1"/>
    <col min="6" max="11" width="15.5703125" style="105" customWidth="1"/>
    <col min="12" max="12" width="17.42578125" customWidth="1"/>
    <col min="13" max="14" width="17.28515625" bestFit="1" customWidth="1"/>
    <col min="15" max="15" width="18" bestFit="1" customWidth="1"/>
    <col min="16" max="16" width="16.42578125" bestFit="1" customWidth="1"/>
    <col min="17" max="17" width="18" bestFit="1" customWidth="1"/>
  </cols>
  <sheetData>
    <row r="1" spans="1:13" ht="67.5" customHeight="1" x14ac:dyDescent="0.3">
      <c r="A1" s="1"/>
      <c r="B1" s="1"/>
      <c r="C1" s="1"/>
      <c r="D1" s="1"/>
      <c r="E1" s="2"/>
      <c r="F1" s="93"/>
      <c r="G1" s="212"/>
      <c r="H1" s="235" t="s">
        <v>499</v>
      </c>
      <c r="I1" s="235"/>
      <c r="J1" s="235"/>
      <c r="K1" s="235"/>
    </row>
    <row r="2" spans="1:13" ht="18.75" x14ac:dyDescent="0.3">
      <c r="A2" s="1"/>
      <c r="B2" s="1"/>
      <c r="C2" s="1"/>
      <c r="D2" s="1"/>
      <c r="E2" s="2"/>
      <c r="F2" s="93"/>
      <c r="G2" s="94"/>
      <c r="H2" s="94"/>
      <c r="I2" s="94"/>
      <c r="J2" s="94"/>
      <c r="K2" s="94"/>
    </row>
    <row r="3" spans="1:13" ht="19.5" customHeight="1" x14ac:dyDescent="0.3">
      <c r="A3" s="239" t="s">
        <v>498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06"/>
      <c r="M3" s="206"/>
    </row>
    <row r="4" spans="1:13" ht="18.75" x14ac:dyDescent="0.25">
      <c r="A4" s="178"/>
      <c r="B4" s="179"/>
      <c r="C4" s="179"/>
      <c r="D4" s="179"/>
      <c r="E4" s="180"/>
      <c r="F4" s="181">
        <v>88.4</v>
      </c>
      <c r="G4" s="182"/>
      <c r="H4" s="181">
        <v>89.3</v>
      </c>
      <c r="I4" s="182"/>
      <c r="J4" s="181">
        <v>89.5</v>
      </c>
      <c r="K4" s="184" t="s">
        <v>444</v>
      </c>
    </row>
    <row r="5" spans="1:13" ht="36.75" customHeight="1" x14ac:dyDescent="0.25">
      <c r="A5" s="236" t="s">
        <v>0</v>
      </c>
      <c r="B5" s="237"/>
      <c r="C5" s="237"/>
      <c r="D5" s="238"/>
      <c r="E5" s="183" t="s">
        <v>1</v>
      </c>
      <c r="F5" s="241" t="s">
        <v>442</v>
      </c>
      <c r="G5" s="242"/>
      <c r="H5" s="241" t="s">
        <v>441</v>
      </c>
      <c r="I5" s="242"/>
      <c r="J5" s="243" t="s">
        <v>443</v>
      </c>
      <c r="K5" s="243"/>
    </row>
    <row r="6" spans="1:13" ht="16.5" x14ac:dyDescent="0.25">
      <c r="A6" s="4" t="s">
        <v>2</v>
      </c>
      <c r="B6" s="49" t="s">
        <v>3</v>
      </c>
      <c r="C6" s="49"/>
      <c r="D6" s="49" t="s">
        <v>4</v>
      </c>
      <c r="E6" s="5"/>
      <c r="F6" s="97" t="s">
        <v>188</v>
      </c>
      <c r="G6" s="98" t="s">
        <v>187</v>
      </c>
      <c r="H6" s="97" t="s">
        <v>188</v>
      </c>
      <c r="I6" s="98" t="s">
        <v>187</v>
      </c>
      <c r="J6" s="209" t="s">
        <v>188</v>
      </c>
      <c r="K6" s="210" t="s">
        <v>187</v>
      </c>
    </row>
    <row r="7" spans="1:13" ht="16.5" x14ac:dyDescent="0.25">
      <c r="A7" s="56"/>
      <c r="B7" s="50"/>
      <c r="C7" s="50"/>
      <c r="D7" s="50"/>
      <c r="E7" s="192" t="s">
        <v>478</v>
      </c>
      <c r="F7" s="213">
        <v>243.1</v>
      </c>
      <c r="G7" s="213">
        <v>2252456.7000000002</v>
      </c>
      <c r="H7" s="213">
        <v>3238.9</v>
      </c>
      <c r="I7" s="213">
        <v>2318887.9</v>
      </c>
      <c r="J7" s="214">
        <v>0</v>
      </c>
      <c r="K7" s="214">
        <v>1249038.7</v>
      </c>
    </row>
    <row r="8" spans="1:13" ht="16.5" x14ac:dyDescent="0.25">
      <c r="A8" s="57"/>
      <c r="B8" s="51"/>
      <c r="C8" s="51"/>
      <c r="D8" s="51"/>
      <c r="E8" s="193" t="s">
        <v>6</v>
      </c>
      <c r="F8" s="214">
        <v>243.1</v>
      </c>
      <c r="G8" s="214">
        <v>2252456.7000000002</v>
      </c>
      <c r="H8" s="214">
        <v>3238.9</v>
      </c>
      <c r="I8" s="214">
        <v>2318887.9</v>
      </c>
      <c r="J8" s="214">
        <v>0</v>
      </c>
      <c r="K8" s="214">
        <v>1249038.7</v>
      </c>
    </row>
    <row r="9" spans="1:13" ht="16.5" x14ac:dyDescent="0.25">
      <c r="A9" s="4">
        <v>311</v>
      </c>
      <c r="B9" s="52">
        <v>25</v>
      </c>
      <c r="C9" s="52">
        <v>910</v>
      </c>
      <c r="D9" s="7">
        <v>70499</v>
      </c>
      <c r="E9" s="194" t="s">
        <v>197</v>
      </c>
      <c r="F9" s="215">
        <v>243.1</v>
      </c>
      <c r="G9" s="215">
        <v>0</v>
      </c>
      <c r="H9" s="215">
        <v>245.6</v>
      </c>
      <c r="I9" s="215">
        <v>0</v>
      </c>
      <c r="J9" s="215">
        <v>0</v>
      </c>
      <c r="K9" s="215">
        <v>0</v>
      </c>
    </row>
    <row r="10" spans="1:13" ht="16.5" x14ac:dyDescent="0.25">
      <c r="A10" s="4">
        <v>311</v>
      </c>
      <c r="B10" s="52">
        <v>25</v>
      </c>
      <c r="C10" s="52">
        <v>920</v>
      </c>
      <c r="D10" s="7">
        <v>70499</v>
      </c>
      <c r="E10" s="194" t="s">
        <v>196</v>
      </c>
      <c r="F10" s="215">
        <v>0</v>
      </c>
      <c r="G10" s="215">
        <v>551000.69999999995</v>
      </c>
      <c r="H10" s="215">
        <v>0</v>
      </c>
      <c r="I10" s="215">
        <v>425650.2</v>
      </c>
      <c r="J10" s="215">
        <v>0</v>
      </c>
      <c r="K10" s="215">
        <v>0</v>
      </c>
    </row>
    <row r="11" spans="1:13" ht="16.5" x14ac:dyDescent="0.25">
      <c r="A11" s="4">
        <v>311</v>
      </c>
      <c r="B11" s="52">
        <v>25</v>
      </c>
      <c r="C11" s="52">
        <v>910</v>
      </c>
      <c r="D11" s="7">
        <v>70499</v>
      </c>
      <c r="E11" s="194" t="s">
        <v>195</v>
      </c>
      <c r="F11" s="215">
        <v>0</v>
      </c>
      <c r="G11" s="215">
        <v>0</v>
      </c>
      <c r="H11" s="215">
        <v>2993.3</v>
      </c>
      <c r="I11" s="215">
        <v>0</v>
      </c>
      <c r="J11" s="215">
        <v>0</v>
      </c>
      <c r="K11" s="215">
        <v>0</v>
      </c>
    </row>
    <row r="12" spans="1:13" ht="16.5" x14ac:dyDescent="0.25">
      <c r="A12" s="4">
        <v>311</v>
      </c>
      <c r="B12" s="52">
        <v>25</v>
      </c>
      <c r="C12" s="52">
        <v>920</v>
      </c>
      <c r="D12" s="7">
        <v>70499</v>
      </c>
      <c r="E12" s="194" t="s">
        <v>198</v>
      </c>
      <c r="F12" s="215">
        <v>0</v>
      </c>
      <c r="G12" s="215">
        <v>63875.199999999997</v>
      </c>
      <c r="H12" s="215">
        <v>0</v>
      </c>
      <c r="I12" s="215">
        <v>227281</v>
      </c>
      <c r="J12" s="215">
        <v>0</v>
      </c>
      <c r="K12" s="215">
        <v>0</v>
      </c>
    </row>
    <row r="13" spans="1:13" ht="16.5" x14ac:dyDescent="0.25">
      <c r="A13" s="4">
        <v>321</v>
      </c>
      <c r="B13" s="52">
        <v>25</v>
      </c>
      <c r="C13" s="52">
        <v>930</v>
      </c>
      <c r="D13" s="53">
        <v>70499</v>
      </c>
      <c r="E13" s="194" t="s">
        <v>7</v>
      </c>
      <c r="F13" s="215">
        <v>0</v>
      </c>
      <c r="G13" s="215">
        <v>486200</v>
      </c>
      <c r="H13" s="215">
        <v>0</v>
      </c>
      <c r="I13" s="215">
        <v>598310</v>
      </c>
      <c r="J13" s="215">
        <v>0</v>
      </c>
      <c r="K13" s="215">
        <v>179000</v>
      </c>
    </row>
    <row r="14" spans="1:13" ht="39" customHeight="1" x14ac:dyDescent="0.25">
      <c r="A14" s="4">
        <v>311</v>
      </c>
      <c r="B14" s="52">
        <v>25</v>
      </c>
      <c r="C14" s="52">
        <v>920</v>
      </c>
      <c r="D14" s="53">
        <v>70499</v>
      </c>
      <c r="E14" s="194" t="s">
        <v>8</v>
      </c>
      <c r="F14" s="215">
        <v>0</v>
      </c>
      <c r="G14" s="215">
        <v>0</v>
      </c>
      <c r="H14" s="215">
        <v>0</v>
      </c>
      <c r="I14" s="215">
        <v>0</v>
      </c>
      <c r="J14" s="215">
        <v>0</v>
      </c>
      <c r="K14" s="215">
        <v>0</v>
      </c>
    </row>
    <row r="15" spans="1:13" ht="36" customHeight="1" x14ac:dyDescent="0.25">
      <c r="A15" s="4">
        <v>321</v>
      </c>
      <c r="B15" s="52">
        <v>25</v>
      </c>
      <c r="C15" s="52">
        <v>920</v>
      </c>
      <c r="D15" s="53">
        <v>70499</v>
      </c>
      <c r="E15" s="194" t="s">
        <v>8</v>
      </c>
      <c r="F15" s="215">
        <v>0</v>
      </c>
      <c r="G15" s="215">
        <v>0</v>
      </c>
      <c r="H15" s="215">
        <v>0</v>
      </c>
      <c r="I15" s="215">
        <v>0</v>
      </c>
      <c r="J15" s="215">
        <v>0</v>
      </c>
      <c r="K15" s="215">
        <v>0</v>
      </c>
    </row>
    <row r="16" spans="1:13" ht="36" customHeight="1" x14ac:dyDescent="0.25">
      <c r="A16" s="4">
        <v>311</v>
      </c>
      <c r="B16" s="52">
        <v>25</v>
      </c>
      <c r="C16" s="52">
        <v>930</v>
      </c>
      <c r="D16" s="53">
        <v>70499</v>
      </c>
      <c r="E16" s="194" t="s">
        <v>9</v>
      </c>
      <c r="F16" s="215">
        <v>0</v>
      </c>
      <c r="G16" s="215">
        <v>0</v>
      </c>
      <c r="H16" s="215">
        <v>0</v>
      </c>
      <c r="I16" s="215">
        <v>0</v>
      </c>
      <c r="J16" s="215">
        <v>0</v>
      </c>
      <c r="K16" s="215">
        <v>0</v>
      </c>
    </row>
    <row r="17" spans="1:11" ht="35.25" customHeight="1" x14ac:dyDescent="0.25">
      <c r="A17" s="4">
        <v>321</v>
      </c>
      <c r="B17" s="52">
        <v>25</v>
      </c>
      <c r="C17" s="52">
        <v>930</v>
      </c>
      <c r="D17" s="53">
        <v>70499</v>
      </c>
      <c r="E17" s="194" t="s">
        <v>9</v>
      </c>
      <c r="F17" s="215">
        <v>0</v>
      </c>
      <c r="G17" s="215">
        <v>103251.2</v>
      </c>
      <c r="H17" s="215">
        <v>0</v>
      </c>
      <c r="I17" s="215">
        <v>0</v>
      </c>
      <c r="J17" s="215">
        <v>0</v>
      </c>
      <c r="K17" s="215">
        <v>0</v>
      </c>
    </row>
    <row r="18" spans="1:11" ht="16.5" x14ac:dyDescent="0.25">
      <c r="A18" s="4">
        <v>311</v>
      </c>
      <c r="B18" s="52">
        <v>25</v>
      </c>
      <c r="C18" s="52">
        <v>920</v>
      </c>
      <c r="D18" s="53">
        <v>70499</v>
      </c>
      <c r="E18" s="194" t="s">
        <v>10</v>
      </c>
      <c r="F18" s="215">
        <v>0</v>
      </c>
      <c r="G18" s="215">
        <v>0</v>
      </c>
      <c r="H18" s="215">
        <v>0</v>
      </c>
      <c r="I18" s="215">
        <v>0</v>
      </c>
      <c r="J18" s="215">
        <v>0</v>
      </c>
      <c r="K18" s="215">
        <v>0</v>
      </c>
    </row>
    <row r="19" spans="1:11" ht="16.5" x14ac:dyDescent="0.25">
      <c r="A19" s="4">
        <v>321</v>
      </c>
      <c r="B19" s="52">
        <v>25</v>
      </c>
      <c r="C19" s="52">
        <v>920</v>
      </c>
      <c r="D19" s="53">
        <v>70499</v>
      </c>
      <c r="E19" s="194" t="s">
        <v>10</v>
      </c>
      <c r="F19" s="215">
        <v>0</v>
      </c>
      <c r="G19" s="215">
        <v>0</v>
      </c>
      <c r="H19" s="215">
        <v>0</v>
      </c>
      <c r="I19" s="215">
        <v>0</v>
      </c>
      <c r="J19" s="215">
        <v>0</v>
      </c>
      <c r="K19" s="215">
        <v>0</v>
      </c>
    </row>
    <row r="20" spans="1:11" ht="16.5" x14ac:dyDescent="0.25">
      <c r="A20" s="4">
        <v>321</v>
      </c>
      <c r="B20" s="52">
        <v>25</v>
      </c>
      <c r="C20" s="52">
        <v>930</v>
      </c>
      <c r="D20" s="53">
        <v>70499</v>
      </c>
      <c r="E20" s="194" t="s">
        <v>11</v>
      </c>
      <c r="F20" s="215">
        <v>0</v>
      </c>
      <c r="G20" s="215">
        <v>0</v>
      </c>
      <c r="H20" s="215">
        <v>0</v>
      </c>
      <c r="I20" s="215">
        <v>0</v>
      </c>
      <c r="J20" s="215">
        <v>0</v>
      </c>
      <c r="K20" s="215">
        <v>0</v>
      </c>
    </row>
    <row r="21" spans="1:11" ht="16.5" x14ac:dyDescent="0.25">
      <c r="A21" s="4">
        <v>311</v>
      </c>
      <c r="B21" s="52">
        <v>25</v>
      </c>
      <c r="C21" s="52">
        <v>930</v>
      </c>
      <c r="D21" s="53">
        <v>70499</v>
      </c>
      <c r="E21" s="194" t="s">
        <v>12</v>
      </c>
      <c r="F21" s="215">
        <v>0</v>
      </c>
      <c r="G21" s="215">
        <v>0</v>
      </c>
      <c r="H21" s="215">
        <v>0</v>
      </c>
      <c r="I21" s="215">
        <v>0</v>
      </c>
      <c r="J21" s="215">
        <v>0</v>
      </c>
      <c r="K21" s="215">
        <v>0</v>
      </c>
    </row>
    <row r="22" spans="1:11" ht="16.5" x14ac:dyDescent="0.25">
      <c r="A22" s="4">
        <v>321</v>
      </c>
      <c r="B22" s="52">
        <v>25</v>
      </c>
      <c r="C22" s="52">
        <v>930</v>
      </c>
      <c r="D22" s="53">
        <v>70499</v>
      </c>
      <c r="E22" s="194" t="s">
        <v>12</v>
      </c>
      <c r="F22" s="215">
        <v>0</v>
      </c>
      <c r="G22" s="215">
        <v>0</v>
      </c>
      <c r="H22" s="215">
        <v>0</v>
      </c>
      <c r="I22" s="215">
        <v>0</v>
      </c>
      <c r="J22" s="215">
        <v>0</v>
      </c>
      <c r="K22" s="215">
        <v>0</v>
      </c>
    </row>
    <row r="23" spans="1:11" ht="16.5" x14ac:dyDescent="0.25">
      <c r="A23" s="4">
        <v>311</v>
      </c>
      <c r="B23" s="52">
        <v>25</v>
      </c>
      <c r="C23" s="52">
        <v>920</v>
      </c>
      <c r="D23" s="53">
        <v>70499</v>
      </c>
      <c r="E23" s="194" t="s">
        <v>13</v>
      </c>
      <c r="F23" s="215">
        <v>0</v>
      </c>
      <c r="G23" s="215">
        <v>0</v>
      </c>
      <c r="H23" s="215">
        <v>0</v>
      </c>
      <c r="I23" s="215">
        <v>0</v>
      </c>
      <c r="J23" s="215">
        <v>0</v>
      </c>
      <c r="K23" s="215">
        <v>0</v>
      </c>
    </row>
    <row r="24" spans="1:11" ht="16.5" x14ac:dyDescent="0.25">
      <c r="A24" s="4">
        <v>321</v>
      </c>
      <c r="B24" s="52">
        <v>25</v>
      </c>
      <c r="C24" s="52">
        <v>920</v>
      </c>
      <c r="D24" s="53">
        <v>70499</v>
      </c>
      <c r="E24" s="194" t="s">
        <v>13</v>
      </c>
      <c r="F24" s="215">
        <v>0</v>
      </c>
      <c r="G24" s="215">
        <v>0</v>
      </c>
      <c r="H24" s="215">
        <v>0</v>
      </c>
      <c r="I24" s="215">
        <v>0</v>
      </c>
      <c r="J24" s="215">
        <v>0</v>
      </c>
      <c r="K24" s="215">
        <v>0</v>
      </c>
    </row>
    <row r="25" spans="1:11" ht="16.5" x14ac:dyDescent="0.25">
      <c r="A25" s="4">
        <v>321</v>
      </c>
      <c r="B25" s="52">
        <v>25</v>
      </c>
      <c r="C25" s="52">
        <v>930</v>
      </c>
      <c r="D25" s="53">
        <v>70499</v>
      </c>
      <c r="E25" s="194" t="s">
        <v>14</v>
      </c>
      <c r="F25" s="215">
        <v>0</v>
      </c>
      <c r="G25" s="215">
        <v>0</v>
      </c>
      <c r="H25" s="215">
        <v>0</v>
      </c>
      <c r="I25" s="215">
        <v>0</v>
      </c>
      <c r="J25" s="215">
        <v>0</v>
      </c>
      <c r="K25" s="215">
        <v>0</v>
      </c>
    </row>
    <row r="26" spans="1:11" ht="16.5" x14ac:dyDescent="0.25">
      <c r="A26" s="4">
        <v>311</v>
      </c>
      <c r="B26" s="52">
        <v>25</v>
      </c>
      <c r="C26" s="52">
        <v>930</v>
      </c>
      <c r="D26" s="53">
        <v>70499</v>
      </c>
      <c r="E26" s="194" t="s">
        <v>180</v>
      </c>
      <c r="F26" s="215">
        <v>0</v>
      </c>
      <c r="G26" s="215">
        <v>4420</v>
      </c>
      <c r="H26" s="215">
        <v>0</v>
      </c>
      <c r="I26" s="215">
        <v>13395</v>
      </c>
      <c r="J26" s="215">
        <v>0</v>
      </c>
      <c r="K26" s="215">
        <v>13425</v>
      </c>
    </row>
    <row r="27" spans="1:11" ht="16.5" x14ac:dyDescent="0.25">
      <c r="A27" s="4">
        <v>321</v>
      </c>
      <c r="B27" s="52">
        <v>25</v>
      </c>
      <c r="C27" s="52">
        <v>930</v>
      </c>
      <c r="D27" s="53">
        <v>70499</v>
      </c>
      <c r="E27" s="194" t="s">
        <v>181</v>
      </c>
      <c r="F27" s="215">
        <v>0</v>
      </c>
      <c r="G27" s="215">
        <v>542776</v>
      </c>
      <c r="H27" s="215">
        <v>0</v>
      </c>
      <c r="I27" s="215">
        <v>548302</v>
      </c>
      <c r="J27" s="215">
        <v>0</v>
      </c>
      <c r="K27" s="215">
        <v>549530</v>
      </c>
    </row>
    <row r="28" spans="1:11" ht="16.5" x14ac:dyDescent="0.25">
      <c r="A28" s="4">
        <v>311</v>
      </c>
      <c r="B28" s="52">
        <v>25</v>
      </c>
      <c r="C28" s="52">
        <v>930</v>
      </c>
      <c r="D28" s="7">
        <v>70499</v>
      </c>
      <c r="E28" s="194" t="s">
        <v>359</v>
      </c>
      <c r="F28" s="215">
        <v>0</v>
      </c>
      <c r="G28" s="215">
        <v>12965.6</v>
      </c>
      <c r="H28" s="215">
        <v>0</v>
      </c>
      <c r="I28" s="215">
        <v>13013.7</v>
      </c>
      <c r="J28" s="215">
        <v>0</v>
      </c>
      <c r="K28" s="215">
        <v>13043.7</v>
      </c>
    </row>
    <row r="29" spans="1:11" ht="16.5" x14ac:dyDescent="0.25">
      <c r="A29" s="4">
        <v>321</v>
      </c>
      <c r="B29" s="52">
        <v>25</v>
      </c>
      <c r="C29" s="52">
        <v>930</v>
      </c>
      <c r="D29" s="7">
        <v>70499</v>
      </c>
      <c r="E29" s="194" t="s">
        <v>359</v>
      </c>
      <c r="F29" s="215">
        <v>0</v>
      </c>
      <c r="G29" s="215">
        <v>487968</v>
      </c>
      <c r="H29" s="215">
        <v>0</v>
      </c>
      <c r="I29" s="215">
        <v>492936</v>
      </c>
      <c r="J29" s="215">
        <v>0</v>
      </c>
      <c r="K29" s="215">
        <v>494040</v>
      </c>
    </row>
    <row r="30" spans="1:11" ht="35.25" customHeight="1" x14ac:dyDescent="0.25">
      <c r="A30" s="4">
        <v>311</v>
      </c>
      <c r="B30" s="52">
        <v>25</v>
      </c>
      <c r="C30" s="52">
        <v>930</v>
      </c>
      <c r="D30" s="7">
        <v>70499</v>
      </c>
      <c r="E30" s="194" t="s">
        <v>395</v>
      </c>
      <c r="F30" s="215">
        <v>0</v>
      </c>
      <c r="G30" s="215">
        <v>0</v>
      </c>
      <c r="H30" s="215">
        <v>0</v>
      </c>
      <c r="I30" s="215">
        <v>0</v>
      </c>
      <c r="J30" s="215">
        <v>0</v>
      </c>
      <c r="K30" s="215">
        <v>0</v>
      </c>
    </row>
    <row r="31" spans="1:11" ht="37.5" customHeight="1" x14ac:dyDescent="0.25">
      <c r="A31" s="4">
        <v>321</v>
      </c>
      <c r="B31" s="52">
        <v>25</v>
      </c>
      <c r="C31" s="52">
        <v>930</v>
      </c>
      <c r="D31" s="7">
        <v>70499</v>
      </c>
      <c r="E31" s="194" t="s">
        <v>395</v>
      </c>
      <c r="F31" s="215">
        <v>0</v>
      </c>
      <c r="G31" s="215">
        <v>0</v>
      </c>
      <c r="H31" s="215">
        <v>0</v>
      </c>
      <c r="I31" s="215">
        <v>0</v>
      </c>
      <c r="J31" s="215">
        <v>0</v>
      </c>
      <c r="K31" s="215">
        <v>0</v>
      </c>
    </row>
    <row r="32" spans="1:11" s="208" customFormat="1" ht="33" x14ac:dyDescent="0.25">
      <c r="A32" s="4">
        <v>311</v>
      </c>
      <c r="B32" s="52">
        <v>25</v>
      </c>
      <c r="C32" s="52">
        <v>930</v>
      </c>
      <c r="D32" s="7">
        <v>70499</v>
      </c>
      <c r="E32" s="194" t="s">
        <v>457</v>
      </c>
      <c r="F32" s="216"/>
      <c r="G32" s="216"/>
      <c r="H32" s="216"/>
      <c r="I32" s="216"/>
      <c r="J32" s="215"/>
      <c r="K32" s="215"/>
    </row>
    <row r="33" spans="1:11" s="208" customFormat="1" ht="33" x14ac:dyDescent="0.25">
      <c r="A33" s="4">
        <v>321</v>
      </c>
      <c r="B33" s="52">
        <v>25</v>
      </c>
      <c r="C33" s="52">
        <v>930</v>
      </c>
      <c r="D33" s="7">
        <v>70499</v>
      </c>
      <c r="E33" s="194" t="s">
        <v>457</v>
      </c>
      <c r="F33" s="216"/>
      <c r="G33" s="216"/>
      <c r="H33" s="216"/>
      <c r="I33" s="216"/>
      <c r="J33" s="215"/>
      <c r="K33" s="215"/>
    </row>
    <row r="34" spans="1:11" s="208" customFormat="1" ht="15" customHeight="1" x14ac:dyDescent="0.25">
      <c r="A34" s="4"/>
      <c r="B34" s="52"/>
      <c r="C34" s="52"/>
      <c r="D34" s="7"/>
      <c r="E34" s="194"/>
      <c r="F34" s="216"/>
      <c r="G34" s="216"/>
      <c r="H34" s="216"/>
      <c r="I34" s="216"/>
      <c r="J34" s="215"/>
      <c r="K34" s="215"/>
    </row>
    <row r="35" spans="1:11" ht="16.5" x14ac:dyDescent="0.25">
      <c r="A35" s="56"/>
      <c r="B35" s="50"/>
      <c r="C35" s="50"/>
      <c r="D35" s="50"/>
      <c r="E35" s="192" t="s">
        <v>479</v>
      </c>
      <c r="F35" s="213">
        <v>0</v>
      </c>
      <c r="G35" s="213">
        <v>4345551.3</v>
      </c>
      <c r="H35" s="213">
        <v>0</v>
      </c>
      <c r="I35" s="213">
        <v>3799801.5999999996</v>
      </c>
      <c r="J35" s="214">
        <v>0</v>
      </c>
      <c r="K35" s="214">
        <v>7481928.8999999994</v>
      </c>
    </row>
    <row r="36" spans="1:11" ht="16.5" x14ac:dyDescent="0.25">
      <c r="A36" s="57"/>
      <c r="B36" s="51"/>
      <c r="C36" s="51"/>
      <c r="D36" s="51"/>
      <c r="E36" s="193" t="s">
        <v>6</v>
      </c>
      <c r="F36" s="214">
        <v>0</v>
      </c>
      <c r="G36" s="214">
        <v>4345551.3</v>
      </c>
      <c r="H36" s="214">
        <v>0</v>
      </c>
      <c r="I36" s="214">
        <v>3799801.5999999996</v>
      </c>
      <c r="J36" s="214">
        <v>0</v>
      </c>
      <c r="K36" s="214">
        <v>7481928.8999999994</v>
      </c>
    </row>
    <row r="37" spans="1:11" ht="18" customHeight="1" x14ac:dyDescent="0.25">
      <c r="A37" s="4">
        <v>311</v>
      </c>
      <c r="B37" s="52">
        <v>28</v>
      </c>
      <c r="C37" s="52">
        <v>920</v>
      </c>
      <c r="D37" s="18">
        <v>70499</v>
      </c>
      <c r="E37" s="195" t="s">
        <v>20</v>
      </c>
      <c r="F37" s="215">
        <v>0</v>
      </c>
      <c r="G37" s="215">
        <v>0</v>
      </c>
      <c r="H37" s="215">
        <v>0</v>
      </c>
      <c r="I37" s="215">
        <v>23276</v>
      </c>
      <c r="J37" s="215">
        <v>0</v>
      </c>
      <c r="K37" s="215">
        <v>0</v>
      </c>
    </row>
    <row r="38" spans="1:11" ht="19.5" customHeight="1" x14ac:dyDescent="0.25">
      <c r="A38" s="4">
        <v>311</v>
      </c>
      <c r="B38" s="52">
        <v>28</v>
      </c>
      <c r="C38" s="52">
        <v>930</v>
      </c>
      <c r="D38" s="7">
        <v>70499</v>
      </c>
      <c r="E38" s="195" t="s">
        <v>21</v>
      </c>
      <c r="F38" s="215">
        <v>0</v>
      </c>
      <c r="G38" s="215">
        <v>1591200</v>
      </c>
      <c r="H38" s="215">
        <v>0</v>
      </c>
      <c r="I38" s="215">
        <v>357200</v>
      </c>
      <c r="J38" s="215">
        <v>0</v>
      </c>
      <c r="K38" s="215">
        <v>0</v>
      </c>
    </row>
    <row r="39" spans="1:11" ht="33" x14ac:dyDescent="0.25">
      <c r="A39" s="4">
        <v>311</v>
      </c>
      <c r="B39" s="52">
        <v>28</v>
      </c>
      <c r="C39" s="52">
        <v>930</v>
      </c>
      <c r="D39" s="7">
        <v>70499</v>
      </c>
      <c r="E39" s="195" t="s">
        <v>343</v>
      </c>
      <c r="F39" s="215">
        <v>0</v>
      </c>
      <c r="G39" s="215">
        <v>88400</v>
      </c>
      <c r="H39" s="215">
        <v>0</v>
      </c>
      <c r="I39" s="215">
        <v>267900</v>
      </c>
      <c r="J39" s="215">
        <v>0</v>
      </c>
      <c r="K39" s="215">
        <v>358000</v>
      </c>
    </row>
    <row r="40" spans="1:11" ht="18.75" customHeight="1" x14ac:dyDescent="0.25">
      <c r="A40" s="4">
        <v>311</v>
      </c>
      <c r="B40" s="52">
        <v>28</v>
      </c>
      <c r="C40" s="52">
        <v>920</v>
      </c>
      <c r="D40" s="7">
        <v>70499</v>
      </c>
      <c r="E40" s="194" t="s">
        <v>295</v>
      </c>
      <c r="F40" s="215">
        <v>0</v>
      </c>
      <c r="G40" s="215">
        <v>751400</v>
      </c>
      <c r="H40" s="215">
        <v>0</v>
      </c>
      <c r="I40" s="215">
        <v>491150</v>
      </c>
      <c r="J40" s="215">
        <v>0</v>
      </c>
      <c r="K40" s="215">
        <v>25346.400000000001</v>
      </c>
    </row>
    <row r="41" spans="1:11" ht="33" x14ac:dyDescent="0.25">
      <c r="A41" s="4">
        <v>311</v>
      </c>
      <c r="B41" s="52">
        <v>28</v>
      </c>
      <c r="C41" s="52">
        <v>930</v>
      </c>
      <c r="D41" s="7">
        <v>70499</v>
      </c>
      <c r="E41" s="194" t="s">
        <v>556</v>
      </c>
      <c r="F41" s="215">
        <v>0</v>
      </c>
      <c r="G41" s="215">
        <v>353600</v>
      </c>
      <c r="H41" s="215">
        <v>0</v>
      </c>
      <c r="I41" s="215">
        <v>357200</v>
      </c>
      <c r="J41" s="215">
        <v>0</v>
      </c>
      <c r="K41" s="215">
        <v>156038.79999999999</v>
      </c>
    </row>
    <row r="42" spans="1:11" ht="18.75" customHeight="1" x14ac:dyDescent="0.25">
      <c r="A42" s="4">
        <v>311</v>
      </c>
      <c r="B42" s="52">
        <v>28</v>
      </c>
      <c r="C42" s="52">
        <v>920</v>
      </c>
      <c r="D42" s="7">
        <v>70499</v>
      </c>
      <c r="E42" s="194" t="s">
        <v>297</v>
      </c>
      <c r="F42" s="215">
        <v>0</v>
      </c>
      <c r="G42" s="215">
        <v>17680</v>
      </c>
      <c r="H42" s="215">
        <v>0</v>
      </c>
      <c r="I42" s="215">
        <v>142880</v>
      </c>
      <c r="J42" s="215">
        <v>0</v>
      </c>
      <c r="K42" s="215">
        <v>0</v>
      </c>
    </row>
    <row r="43" spans="1:11" ht="16.5" x14ac:dyDescent="0.25">
      <c r="A43" s="4">
        <v>311</v>
      </c>
      <c r="B43" s="52">
        <v>28</v>
      </c>
      <c r="C43" s="52">
        <v>930</v>
      </c>
      <c r="D43" s="7">
        <v>70499</v>
      </c>
      <c r="E43" s="194" t="s">
        <v>298</v>
      </c>
      <c r="F43" s="215">
        <v>0</v>
      </c>
      <c r="G43" s="215">
        <v>159120</v>
      </c>
      <c r="H43" s="215">
        <v>0</v>
      </c>
      <c r="I43" s="215">
        <v>446500</v>
      </c>
      <c r="J43" s="215">
        <v>0</v>
      </c>
      <c r="K43" s="215">
        <v>1074000</v>
      </c>
    </row>
    <row r="44" spans="1:11" ht="16.5" x14ac:dyDescent="0.25">
      <c r="A44" s="4">
        <v>311</v>
      </c>
      <c r="B44" s="52">
        <v>28</v>
      </c>
      <c r="C44" s="52">
        <v>910</v>
      </c>
      <c r="D44" s="7">
        <v>70499</v>
      </c>
      <c r="E44" s="194" t="s">
        <v>390</v>
      </c>
      <c r="F44" s="215">
        <v>0</v>
      </c>
      <c r="G44" s="215">
        <v>0</v>
      </c>
      <c r="H44" s="215">
        <v>0</v>
      </c>
      <c r="I44" s="215">
        <v>0</v>
      </c>
      <c r="J44" s="215">
        <v>0</v>
      </c>
      <c r="K44" s="215">
        <v>0</v>
      </c>
    </row>
    <row r="45" spans="1:11" ht="16.5" x14ac:dyDescent="0.25">
      <c r="A45" s="4">
        <v>311</v>
      </c>
      <c r="B45" s="52">
        <v>28</v>
      </c>
      <c r="C45" s="52">
        <v>920</v>
      </c>
      <c r="D45" s="7">
        <v>70499</v>
      </c>
      <c r="E45" s="194" t="s">
        <v>389</v>
      </c>
      <c r="F45" s="215">
        <v>0</v>
      </c>
      <c r="G45" s="215">
        <v>0</v>
      </c>
      <c r="H45" s="215">
        <v>0</v>
      </c>
      <c r="I45" s="215">
        <v>0</v>
      </c>
      <c r="J45" s="215">
        <v>0</v>
      </c>
      <c r="K45" s="215">
        <v>0</v>
      </c>
    </row>
    <row r="46" spans="1:11" s="208" customFormat="1" ht="16.5" x14ac:dyDescent="0.25">
      <c r="A46" s="114">
        <v>311</v>
      </c>
      <c r="B46" s="115">
        <v>28</v>
      </c>
      <c r="C46" s="115">
        <v>910</v>
      </c>
      <c r="D46" s="7">
        <v>70499</v>
      </c>
      <c r="E46" s="194" t="s">
        <v>458</v>
      </c>
      <c r="F46" s="215"/>
      <c r="G46" s="215"/>
      <c r="H46" s="215"/>
      <c r="I46" s="215"/>
      <c r="J46" s="215"/>
      <c r="K46" s="215"/>
    </row>
    <row r="47" spans="1:11" s="208" customFormat="1" ht="16.5" x14ac:dyDescent="0.25">
      <c r="A47" s="114">
        <v>311</v>
      </c>
      <c r="B47" s="115">
        <v>28</v>
      </c>
      <c r="C47" s="115">
        <v>920</v>
      </c>
      <c r="D47" s="7">
        <v>70499</v>
      </c>
      <c r="E47" s="194" t="s">
        <v>459</v>
      </c>
      <c r="F47" s="215"/>
      <c r="G47" s="215"/>
      <c r="H47" s="215"/>
      <c r="I47" s="215"/>
      <c r="J47" s="215"/>
      <c r="K47" s="215"/>
    </row>
    <row r="48" spans="1:11" s="208" customFormat="1" ht="16.5" customHeight="1" x14ac:dyDescent="0.25">
      <c r="A48" s="114">
        <v>311</v>
      </c>
      <c r="B48" s="115">
        <v>28</v>
      </c>
      <c r="C48" s="115">
        <v>930</v>
      </c>
      <c r="D48" s="7">
        <v>70499</v>
      </c>
      <c r="E48" s="194" t="s">
        <v>460</v>
      </c>
      <c r="F48" s="215"/>
      <c r="G48" s="215"/>
      <c r="H48" s="215"/>
      <c r="I48" s="215"/>
      <c r="J48" s="215"/>
      <c r="K48" s="215"/>
    </row>
    <row r="49" spans="1:11" ht="16.5" x14ac:dyDescent="0.25">
      <c r="A49" s="4">
        <v>311</v>
      </c>
      <c r="B49" s="52">
        <v>28</v>
      </c>
      <c r="C49" s="52">
        <v>920</v>
      </c>
      <c r="D49" s="7">
        <v>70499</v>
      </c>
      <c r="E49" s="196" t="s">
        <v>18</v>
      </c>
      <c r="F49" s="215">
        <v>0</v>
      </c>
      <c r="G49" s="215">
        <v>2073.9</v>
      </c>
      <c r="H49" s="215">
        <v>0</v>
      </c>
      <c r="I49" s="215">
        <v>0</v>
      </c>
      <c r="J49" s="215">
        <v>0</v>
      </c>
      <c r="K49" s="215">
        <v>0</v>
      </c>
    </row>
    <row r="50" spans="1:11" ht="16.5" x14ac:dyDescent="0.25">
      <c r="A50" s="4">
        <v>311</v>
      </c>
      <c r="B50" s="52">
        <v>28</v>
      </c>
      <c r="C50" s="52">
        <v>920</v>
      </c>
      <c r="D50" s="7">
        <v>70499</v>
      </c>
      <c r="E50" s="196" t="s">
        <v>19</v>
      </c>
      <c r="F50" s="215">
        <v>0</v>
      </c>
      <c r="G50" s="215">
        <v>11877.4</v>
      </c>
      <c r="H50" s="215">
        <v>0</v>
      </c>
      <c r="I50" s="215">
        <v>14093.3</v>
      </c>
      <c r="J50" s="215">
        <v>0</v>
      </c>
      <c r="K50" s="215">
        <v>14124.9</v>
      </c>
    </row>
    <row r="51" spans="1:11" ht="16.5" x14ac:dyDescent="0.25">
      <c r="A51" s="4">
        <v>311</v>
      </c>
      <c r="B51" s="52">
        <v>28</v>
      </c>
      <c r="C51" s="52">
        <v>910</v>
      </c>
      <c r="D51" s="7">
        <v>70499</v>
      </c>
      <c r="E51" s="196" t="s">
        <v>374</v>
      </c>
      <c r="F51" s="215">
        <v>0</v>
      </c>
      <c r="G51" s="215">
        <v>0</v>
      </c>
      <c r="H51" s="215">
        <v>0</v>
      </c>
      <c r="I51" s="215">
        <v>0</v>
      </c>
      <c r="J51" s="215">
        <v>0</v>
      </c>
      <c r="K51" s="215">
        <v>0</v>
      </c>
    </row>
    <row r="52" spans="1:11" ht="16.5" x14ac:dyDescent="0.25">
      <c r="A52" s="4">
        <v>321</v>
      </c>
      <c r="B52" s="52">
        <v>28</v>
      </c>
      <c r="C52" s="52">
        <v>930</v>
      </c>
      <c r="D52" s="7">
        <v>70499</v>
      </c>
      <c r="E52" s="194" t="s">
        <v>375</v>
      </c>
      <c r="F52" s="215">
        <v>0</v>
      </c>
      <c r="G52" s="215">
        <v>1326000</v>
      </c>
      <c r="H52" s="215">
        <v>0</v>
      </c>
      <c r="I52" s="215">
        <v>1339500</v>
      </c>
      <c r="J52" s="215">
        <v>0</v>
      </c>
      <c r="K52" s="215">
        <v>2808510</v>
      </c>
    </row>
    <row r="53" spans="1:11" ht="16.5" x14ac:dyDescent="0.25">
      <c r="A53" s="4">
        <v>311</v>
      </c>
      <c r="B53" s="52">
        <v>28</v>
      </c>
      <c r="C53" s="52">
        <v>910</v>
      </c>
      <c r="D53" s="7">
        <v>70499</v>
      </c>
      <c r="E53" s="194" t="s">
        <v>376</v>
      </c>
      <c r="F53" s="215">
        <v>0</v>
      </c>
      <c r="G53" s="215">
        <v>0</v>
      </c>
      <c r="H53" s="215">
        <v>0</v>
      </c>
      <c r="I53" s="215">
        <v>0</v>
      </c>
      <c r="J53" s="215">
        <v>0</v>
      </c>
      <c r="K53" s="215">
        <v>0</v>
      </c>
    </row>
    <row r="54" spans="1:11" ht="16.5" x14ac:dyDescent="0.25">
      <c r="A54" s="4">
        <v>311</v>
      </c>
      <c r="B54" s="52">
        <v>28</v>
      </c>
      <c r="C54" s="52">
        <v>930</v>
      </c>
      <c r="D54" s="7">
        <v>70499</v>
      </c>
      <c r="E54" s="194" t="s">
        <v>377</v>
      </c>
      <c r="F54" s="215">
        <v>0</v>
      </c>
      <c r="G54" s="215">
        <v>0</v>
      </c>
      <c r="H54" s="215">
        <v>0</v>
      </c>
      <c r="I54" s="215">
        <v>0</v>
      </c>
      <c r="J54" s="215">
        <v>0</v>
      </c>
      <c r="K54" s="215">
        <v>0</v>
      </c>
    </row>
    <row r="55" spans="1:11" ht="16.5" x14ac:dyDescent="0.25">
      <c r="A55" s="4">
        <v>321</v>
      </c>
      <c r="B55" s="52">
        <v>28</v>
      </c>
      <c r="C55" s="52">
        <v>930</v>
      </c>
      <c r="D55" s="7">
        <v>70499</v>
      </c>
      <c r="E55" s="194" t="s">
        <v>377</v>
      </c>
      <c r="F55" s="215">
        <v>0</v>
      </c>
      <c r="G55" s="215">
        <v>44200</v>
      </c>
      <c r="H55" s="215">
        <v>0</v>
      </c>
      <c r="I55" s="215">
        <v>360102.3</v>
      </c>
      <c r="J55" s="215">
        <v>0</v>
      </c>
      <c r="K55" s="215">
        <v>3045908.8</v>
      </c>
    </row>
    <row r="56" spans="1:11" s="121" customFormat="1" ht="16.5" x14ac:dyDescent="0.25">
      <c r="A56" s="4">
        <v>321</v>
      </c>
      <c r="B56" s="52">
        <v>28</v>
      </c>
      <c r="C56" s="52">
        <v>930</v>
      </c>
      <c r="D56" s="7">
        <v>70499</v>
      </c>
      <c r="E56" s="194" t="s">
        <v>404</v>
      </c>
      <c r="F56" s="215">
        <v>0</v>
      </c>
      <c r="G56" s="215">
        <v>0</v>
      </c>
      <c r="H56" s="215">
        <v>0</v>
      </c>
      <c r="I56" s="215">
        <v>0</v>
      </c>
      <c r="J56" s="215">
        <v>0</v>
      </c>
      <c r="K56" s="215">
        <v>0</v>
      </c>
    </row>
    <row r="57" spans="1:11" s="121" customFormat="1" ht="15" customHeight="1" x14ac:dyDescent="0.25">
      <c r="A57" s="4"/>
      <c r="B57" s="52"/>
      <c r="C57" s="52"/>
      <c r="D57" s="7"/>
      <c r="E57" s="194"/>
      <c r="F57" s="216"/>
      <c r="G57" s="216"/>
      <c r="H57" s="216"/>
      <c r="I57" s="216"/>
      <c r="J57" s="215"/>
      <c r="K57" s="215"/>
    </row>
    <row r="58" spans="1:11" ht="33" x14ac:dyDescent="0.25">
      <c r="A58" s="56"/>
      <c r="B58" s="50"/>
      <c r="C58" s="50"/>
      <c r="D58" s="50"/>
      <c r="E58" s="201" t="s">
        <v>480</v>
      </c>
      <c r="F58" s="213">
        <v>0</v>
      </c>
      <c r="G58" s="213">
        <v>165348.70000000001</v>
      </c>
      <c r="H58" s="213">
        <v>0</v>
      </c>
      <c r="I58" s="213">
        <v>0</v>
      </c>
      <c r="J58" s="214">
        <v>0</v>
      </c>
      <c r="K58" s="214">
        <v>0</v>
      </c>
    </row>
    <row r="59" spans="1:11" ht="16.5" x14ac:dyDescent="0.25">
      <c r="A59" s="57"/>
      <c r="B59" s="51"/>
      <c r="C59" s="51"/>
      <c r="D59" s="51"/>
      <c r="E59" s="193" t="s">
        <v>6</v>
      </c>
      <c r="F59" s="214">
        <v>0</v>
      </c>
      <c r="G59" s="214">
        <v>165348.70000000001</v>
      </c>
      <c r="H59" s="214">
        <v>0</v>
      </c>
      <c r="I59" s="214">
        <v>0</v>
      </c>
      <c r="J59" s="214">
        <v>0</v>
      </c>
      <c r="K59" s="214">
        <v>0</v>
      </c>
    </row>
    <row r="60" spans="1:11" ht="33" x14ac:dyDescent="0.25">
      <c r="A60" s="4">
        <v>311</v>
      </c>
      <c r="B60" s="52">
        <v>25</v>
      </c>
      <c r="C60" s="52">
        <v>920</v>
      </c>
      <c r="D60" s="7">
        <v>70499</v>
      </c>
      <c r="E60" s="197" t="s">
        <v>23</v>
      </c>
      <c r="F60" s="215">
        <v>0</v>
      </c>
      <c r="G60" s="215">
        <v>165348.70000000001</v>
      </c>
      <c r="H60" s="215">
        <v>0</v>
      </c>
      <c r="I60" s="215">
        <v>0</v>
      </c>
      <c r="J60" s="215">
        <v>0</v>
      </c>
      <c r="K60" s="215">
        <v>0</v>
      </c>
    </row>
    <row r="61" spans="1:11" ht="33" x14ac:dyDescent="0.25">
      <c r="A61" s="4">
        <v>311</v>
      </c>
      <c r="B61" s="52">
        <v>25</v>
      </c>
      <c r="C61" s="52">
        <v>930</v>
      </c>
      <c r="D61" s="7">
        <v>70499</v>
      </c>
      <c r="E61" s="194" t="s">
        <v>24</v>
      </c>
      <c r="F61" s="215">
        <v>0</v>
      </c>
      <c r="G61" s="215">
        <v>0</v>
      </c>
      <c r="H61" s="215">
        <v>0</v>
      </c>
      <c r="I61" s="215">
        <v>0</v>
      </c>
      <c r="J61" s="215">
        <v>0</v>
      </c>
      <c r="K61" s="215">
        <v>0</v>
      </c>
    </row>
    <row r="62" spans="1:11" s="208" customFormat="1" ht="15" customHeight="1" x14ac:dyDescent="0.25">
      <c r="A62" s="4"/>
      <c r="B62" s="52"/>
      <c r="C62" s="52"/>
      <c r="D62" s="7"/>
      <c r="E62" s="194"/>
      <c r="F62" s="216"/>
      <c r="G62" s="216"/>
      <c r="H62" s="216"/>
      <c r="I62" s="216"/>
      <c r="J62" s="215"/>
      <c r="K62" s="215"/>
    </row>
    <row r="63" spans="1:11" ht="16.5" x14ac:dyDescent="0.25">
      <c r="A63" s="56"/>
      <c r="B63" s="50"/>
      <c r="C63" s="50"/>
      <c r="D63" s="50"/>
      <c r="E63" s="192" t="s">
        <v>485</v>
      </c>
      <c r="F63" s="213">
        <v>88400</v>
      </c>
      <c r="G63" s="213">
        <v>923780</v>
      </c>
      <c r="H63" s="213">
        <v>89300</v>
      </c>
      <c r="I63" s="213">
        <v>1080530</v>
      </c>
      <c r="J63" s="214">
        <v>71600</v>
      </c>
      <c r="K63" s="214">
        <v>1543875</v>
      </c>
    </row>
    <row r="64" spans="1:11" ht="16.5" x14ac:dyDescent="0.25">
      <c r="A64" s="57"/>
      <c r="B64" s="51"/>
      <c r="C64" s="51"/>
      <c r="D64" s="51"/>
      <c r="E64" s="193" t="s">
        <v>6</v>
      </c>
      <c r="F64" s="214">
        <v>88400</v>
      </c>
      <c r="G64" s="214">
        <v>923780</v>
      </c>
      <c r="H64" s="214">
        <v>89300</v>
      </c>
      <c r="I64" s="214">
        <v>1080530</v>
      </c>
      <c r="J64" s="214">
        <v>71600</v>
      </c>
      <c r="K64" s="214">
        <v>1543875</v>
      </c>
    </row>
    <row r="65" spans="1:11" ht="16.5" x14ac:dyDescent="0.25">
      <c r="A65" s="4">
        <v>311</v>
      </c>
      <c r="B65" s="52">
        <v>34</v>
      </c>
      <c r="C65" s="52">
        <v>920</v>
      </c>
      <c r="D65" s="7">
        <v>70989</v>
      </c>
      <c r="E65" s="194" t="s">
        <v>26</v>
      </c>
      <c r="F65" s="215">
        <v>0</v>
      </c>
      <c r="G65" s="215">
        <v>0</v>
      </c>
      <c r="H65" s="215">
        <v>0</v>
      </c>
      <c r="I65" s="215">
        <v>0</v>
      </c>
      <c r="J65" s="215">
        <v>0</v>
      </c>
      <c r="K65" s="215">
        <v>0</v>
      </c>
    </row>
    <row r="66" spans="1:11" ht="16.5" x14ac:dyDescent="0.25">
      <c r="A66" s="4">
        <v>311</v>
      </c>
      <c r="B66" s="52">
        <v>34</v>
      </c>
      <c r="C66" s="52">
        <v>930</v>
      </c>
      <c r="D66" s="7">
        <v>70989</v>
      </c>
      <c r="E66" s="194" t="s">
        <v>27</v>
      </c>
      <c r="F66" s="215">
        <v>0</v>
      </c>
      <c r="G66" s="215">
        <v>0</v>
      </c>
      <c r="H66" s="215">
        <v>0</v>
      </c>
      <c r="I66" s="215">
        <v>0</v>
      </c>
      <c r="J66" s="215">
        <v>0</v>
      </c>
      <c r="K66" s="215">
        <v>0</v>
      </c>
    </row>
    <row r="67" spans="1:11" ht="16.5" x14ac:dyDescent="0.25">
      <c r="A67" s="4">
        <v>311</v>
      </c>
      <c r="B67" s="52">
        <v>34</v>
      </c>
      <c r="C67" s="52">
        <v>920</v>
      </c>
      <c r="D67" s="7">
        <v>70989</v>
      </c>
      <c r="E67" s="194" t="s">
        <v>28</v>
      </c>
      <c r="F67" s="215">
        <v>0</v>
      </c>
      <c r="G67" s="215">
        <v>0</v>
      </c>
      <c r="H67" s="215">
        <v>0</v>
      </c>
      <c r="I67" s="215">
        <v>0</v>
      </c>
      <c r="J67" s="215">
        <v>0</v>
      </c>
      <c r="K67" s="215">
        <v>0</v>
      </c>
    </row>
    <row r="68" spans="1:11" ht="33" x14ac:dyDescent="0.25">
      <c r="A68" s="4">
        <v>311</v>
      </c>
      <c r="B68" s="52">
        <v>34</v>
      </c>
      <c r="C68" s="52">
        <v>910</v>
      </c>
      <c r="D68" s="7">
        <v>70989</v>
      </c>
      <c r="E68" s="194" t="s">
        <v>29</v>
      </c>
      <c r="F68" s="215">
        <v>88400</v>
      </c>
      <c r="G68" s="215">
        <v>0</v>
      </c>
      <c r="H68" s="215">
        <v>89300</v>
      </c>
      <c r="I68" s="215">
        <v>0</v>
      </c>
      <c r="J68" s="215">
        <v>71600</v>
      </c>
      <c r="K68" s="215">
        <v>0</v>
      </c>
    </row>
    <row r="69" spans="1:11" ht="33" x14ac:dyDescent="0.25">
      <c r="A69" s="4">
        <v>311</v>
      </c>
      <c r="B69" s="52">
        <v>34</v>
      </c>
      <c r="C69" s="52">
        <v>920</v>
      </c>
      <c r="D69" s="7">
        <v>70989</v>
      </c>
      <c r="E69" s="194" t="s">
        <v>30</v>
      </c>
      <c r="F69" s="215">
        <v>0</v>
      </c>
      <c r="G69" s="215">
        <v>88400</v>
      </c>
      <c r="H69" s="215">
        <v>0</v>
      </c>
      <c r="I69" s="215">
        <v>160740</v>
      </c>
      <c r="J69" s="215">
        <v>0</v>
      </c>
      <c r="K69" s="215">
        <v>152150</v>
      </c>
    </row>
    <row r="70" spans="1:11" ht="33" x14ac:dyDescent="0.25">
      <c r="A70" s="4">
        <v>311</v>
      </c>
      <c r="B70" s="52">
        <v>34</v>
      </c>
      <c r="C70" s="52">
        <v>930</v>
      </c>
      <c r="D70" s="7">
        <v>70989</v>
      </c>
      <c r="E70" s="194" t="s">
        <v>31</v>
      </c>
      <c r="F70" s="215">
        <v>0</v>
      </c>
      <c r="G70" s="215">
        <v>424320</v>
      </c>
      <c r="H70" s="215">
        <v>0</v>
      </c>
      <c r="I70" s="215">
        <v>437570</v>
      </c>
      <c r="J70" s="215">
        <v>0</v>
      </c>
      <c r="K70" s="215">
        <v>698100</v>
      </c>
    </row>
    <row r="71" spans="1:11" ht="16.5" x14ac:dyDescent="0.25">
      <c r="A71" s="4">
        <v>311</v>
      </c>
      <c r="B71" s="52">
        <v>34</v>
      </c>
      <c r="C71" s="52">
        <v>930</v>
      </c>
      <c r="D71" s="7">
        <v>70989</v>
      </c>
      <c r="E71" s="194" t="s">
        <v>264</v>
      </c>
      <c r="F71" s="215">
        <v>0</v>
      </c>
      <c r="G71" s="215">
        <v>411060</v>
      </c>
      <c r="H71" s="215">
        <v>0</v>
      </c>
      <c r="I71" s="215">
        <v>482220</v>
      </c>
      <c r="J71" s="215">
        <v>0</v>
      </c>
      <c r="K71" s="215">
        <v>693625</v>
      </c>
    </row>
    <row r="72" spans="1:11" s="208" customFormat="1" ht="33" x14ac:dyDescent="0.25">
      <c r="A72" s="4">
        <v>311</v>
      </c>
      <c r="B72" s="52">
        <v>34</v>
      </c>
      <c r="C72" s="52">
        <v>910</v>
      </c>
      <c r="D72" s="7">
        <v>70989</v>
      </c>
      <c r="E72" s="194" t="s">
        <v>456</v>
      </c>
      <c r="F72" s="215">
        <v>0</v>
      </c>
      <c r="G72" s="215">
        <v>0</v>
      </c>
      <c r="H72" s="215">
        <v>0</v>
      </c>
      <c r="I72" s="215">
        <v>0</v>
      </c>
      <c r="J72" s="215">
        <v>0</v>
      </c>
      <c r="K72" s="215">
        <v>0</v>
      </c>
    </row>
    <row r="73" spans="1:11" ht="33" x14ac:dyDescent="0.25">
      <c r="A73" s="4">
        <v>311</v>
      </c>
      <c r="B73" s="52">
        <v>34</v>
      </c>
      <c r="C73" s="52">
        <v>920</v>
      </c>
      <c r="D73" s="7">
        <v>70989</v>
      </c>
      <c r="E73" s="194" t="s">
        <v>451</v>
      </c>
      <c r="F73" s="215">
        <v>0</v>
      </c>
      <c r="G73" s="215">
        <v>0</v>
      </c>
      <c r="H73" s="215">
        <v>0</v>
      </c>
      <c r="I73" s="215">
        <v>0</v>
      </c>
      <c r="J73" s="215">
        <v>0</v>
      </c>
      <c r="K73" s="215">
        <v>0</v>
      </c>
    </row>
    <row r="74" spans="1:11" ht="33" x14ac:dyDescent="0.25">
      <c r="A74" s="4">
        <v>311</v>
      </c>
      <c r="B74" s="52">
        <v>34</v>
      </c>
      <c r="C74" s="52">
        <v>920</v>
      </c>
      <c r="D74" s="7">
        <v>70989</v>
      </c>
      <c r="E74" s="194" t="s">
        <v>424</v>
      </c>
      <c r="F74" s="215">
        <v>0</v>
      </c>
      <c r="G74" s="215">
        <v>0</v>
      </c>
      <c r="H74" s="215">
        <v>0</v>
      </c>
      <c r="I74" s="215">
        <v>0</v>
      </c>
      <c r="J74" s="215">
        <v>0</v>
      </c>
      <c r="K74" s="215">
        <v>0</v>
      </c>
    </row>
    <row r="75" spans="1:11" ht="33" x14ac:dyDescent="0.25">
      <c r="A75" s="4">
        <v>311</v>
      </c>
      <c r="B75" s="52">
        <v>34</v>
      </c>
      <c r="C75" s="52">
        <v>930</v>
      </c>
      <c r="D75" s="7">
        <v>70989</v>
      </c>
      <c r="E75" s="194" t="s">
        <v>423</v>
      </c>
      <c r="F75" s="215">
        <v>0</v>
      </c>
      <c r="G75" s="215">
        <v>0</v>
      </c>
      <c r="H75" s="215">
        <v>0</v>
      </c>
      <c r="I75" s="215">
        <v>0</v>
      </c>
      <c r="J75" s="215">
        <v>0</v>
      </c>
      <c r="K75" s="215">
        <v>0</v>
      </c>
    </row>
    <row r="76" spans="1:11" ht="33" x14ac:dyDescent="0.25">
      <c r="A76" s="4">
        <v>311</v>
      </c>
      <c r="B76" s="52">
        <v>34</v>
      </c>
      <c r="C76" s="52">
        <v>920</v>
      </c>
      <c r="D76" s="7">
        <v>70989</v>
      </c>
      <c r="E76" s="194" t="s">
        <v>414</v>
      </c>
      <c r="F76" s="215">
        <v>0</v>
      </c>
      <c r="G76" s="215">
        <v>0</v>
      </c>
      <c r="H76" s="215">
        <v>0</v>
      </c>
      <c r="I76" s="215">
        <v>0</v>
      </c>
      <c r="J76" s="215">
        <v>0</v>
      </c>
      <c r="K76" s="215">
        <v>0</v>
      </c>
    </row>
    <row r="77" spans="1:11" ht="16.5" x14ac:dyDescent="0.25">
      <c r="A77" s="4">
        <v>311</v>
      </c>
      <c r="B77" s="52">
        <v>34</v>
      </c>
      <c r="C77" s="52">
        <v>920</v>
      </c>
      <c r="D77" s="7">
        <v>70989</v>
      </c>
      <c r="E77" s="194" t="s">
        <v>421</v>
      </c>
      <c r="F77" s="215">
        <v>0</v>
      </c>
      <c r="G77" s="215">
        <v>0</v>
      </c>
      <c r="H77" s="215">
        <v>0</v>
      </c>
      <c r="I77" s="215">
        <v>0</v>
      </c>
      <c r="J77" s="215">
        <v>0</v>
      </c>
      <c r="K77" s="215">
        <v>0</v>
      </c>
    </row>
    <row r="78" spans="1:11" s="208" customFormat="1" ht="16.5" x14ac:dyDescent="0.25">
      <c r="A78" s="4">
        <v>311</v>
      </c>
      <c r="B78" s="52">
        <v>34</v>
      </c>
      <c r="C78" s="52">
        <v>930</v>
      </c>
      <c r="D78" s="7">
        <v>70989</v>
      </c>
      <c r="E78" s="194" t="s">
        <v>452</v>
      </c>
      <c r="F78" s="216"/>
      <c r="G78" s="216"/>
      <c r="H78" s="216"/>
      <c r="I78" s="216"/>
      <c r="J78" s="215"/>
      <c r="K78" s="215"/>
    </row>
    <row r="79" spans="1:11" s="208" customFormat="1" ht="33" x14ac:dyDescent="0.25">
      <c r="A79" s="4">
        <v>311</v>
      </c>
      <c r="B79" s="52">
        <v>34</v>
      </c>
      <c r="C79" s="52">
        <v>910</v>
      </c>
      <c r="D79" s="7">
        <v>70989</v>
      </c>
      <c r="E79" s="194" t="s">
        <v>461</v>
      </c>
      <c r="F79" s="216"/>
      <c r="G79" s="216"/>
      <c r="H79" s="216"/>
      <c r="I79" s="216"/>
      <c r="J79" s="215"/>
      <c r="K79" s="215"/>
    </row>
    <row r="80" spans="1:11" s="208" customFormat="1" ht="38.25" customHeight="1" x14ac:dyDescent="0.25">
      <c r="A80" s="4">
        <v>311</v>
      </c>
      <c r="B80" s="52">
        <v>34</v>
      </c>
      <c r="C80" s="52">
        <v>920</v>
      </c>
      <c r="D80" s="7">
        <v>70989</v>
      </c>
      <c r="E80" s="194" t="s">
        <v>462</v>
      </c>
      <c r="F80" s="216"/>
      <c r="G80" s="216"/>
      <c r="H80" s="216"/>
      <c r="I80" s="216"/>
      <c r="J80" s="215"/>
      <c r="K80" s="215"/>
    </row>
    <row r="81" spans="1:11" s="208" customFormat="1" ht="15" customHeight="1" x14ac:dyDescent="0.25">
      <c r="A81" s="4"/>
      <c r="B81" s="52"/>
      <c r="C81" s="52"/>
      <c r="D81" s="7"/>
      <c r="E81" s="194"/>
      <c r="F81" s="216"/>
      <c r="G81" s="216"/>
      <c r="H81" s="216"/>
      <c r="I81" s="216"/>
      <c r="J81" s="215"/>
      <c r="K81" s="215"/>
    </row>
    <row r="82" spans="1:11" s="58" customFormat="1" ht="16.5" x14ac:dyDescent="0.25">
      <c r="A82" s="56"/>
      <c r="B82" s="50"/>
      <c r="C82" s="50"/>
      <c r="D82" s="50"/>
      <c r="E82" s="192" t="s">
        <v>481</v>
      </c>
      <c r="F82" s="213">
        <v>85173.4</v>
      </c>
      <c r="G82" s="213">
        <v>2502849.7999999998</v>
      </c>
      <c r="H82" s="213">
        <v>80370</v>
      </c>
      <c r="I82" s="213">
        <v>2218015.6</v>
      </c>
      <c r="J82" s="214">
        <v>13425</v>
      </c>
      <c r="K82" s="214">
        <v>906222.5</v>
      </c>
    </row>
    <row r="83" spans="1:11" s="58" customFormat="1" ht="16.5" x14ac:dyDescent="0.25">
      <c r="A83" s="57"/>
      <c r="B83" s="51"/>
      <c r="C83" s="51"/>
      <c r="D83" s="51"/>
      <c r="E83" s="193" t="s">
        <v>6</v>
      </c>
      <c r="F83" s="214">
        <v>85173.4</v>
      </c>
      <c r="G83" s="214">
        <v>2502849.7999999998</v>
      </c>
      <c r="H83" s="214">
        <v>80370</v>
      </c>
      <c r="I83" s="214">
        <v>2218015.6</v>
      </c>
      <c r="J83" s="214">
        <v>13425</v>
      </c>
      <c r="K83" s="214">
        <v>906222.5</v>
      </c>
    </row>
    <row r="84" spans="1:11" ht="16.5" x14ac:dyDescent="0.25">
      <c r="A84" s="4">
        <v>311</v>
      </c>
      <c r="B84" s="52">
        <v>37</v>
      </c>
      <c r="C84" s="52">
        <v>920</v>
      </c>
      <c r="D84" s="7">
        <v>70769</v>
      </c>
      <c r="E84" s="195" t="s">
        <v>500</v>
      </c>
      <c r="F84" s="215">
        <v>0</v>
      </c>
      <c r="G84" s="215">
        <v>3400.7</v>
      </c>
      <c r="H84" s="215">
        <v>0</v>
      </c>
      <c r="I84" s="215">
        <v>0</v>
      </c>
      <c r="J84" s="215">
        <v>0</v>
      </c>
      <c r="K84" s="215">
        <v>0</v>
      </c>
    </row>
    <row r="85" spans="1:11" ht="16.5" x14ac:dyDescent="0.25">
      <c r="A85" s="4">
        <v>311</v>
      </c>
      <c r="B85" s="52">
        <v>37</v>
      </c>
      <c r="C85" s="52">
        <v>910</v>
      </c>
      <c r="D85" s="7">
        <v>70769</v>
      </c>
      <c r="E85" s="194" t="s">
        <v>36</v>
      </c>
      <c r="F85" s="215">
        <v>0</v>
      </c>
      <c r="G85" s="215">
        <v>0</v>
      </c>
      <c r="H85" s="215">
        <v>0</v>
      </c>
      <c r="I85" s="215">
        <v>0</v>
      </c>
      <c r="J85" s="215">
        <v>0</v>
      </c>
      <c r="K85" s="215">
        <v>0</v>
      </c>
    </row>
    <row r="86" spans="1:11" ht="16.5" x14ac:dyDescent="0.25">
      <c r="A86" s="4">
        <v>311</v>
      </c>
      <c r="B86" s="52">
        <v>37</v>
      </c>
      <c r="C86" s="52">
        <v>920</v>
      </c>
      <c r="D86" s="7">
        <v>70769</v>
      </c>
      <c r="E86" s="194" t="s">
        <v>37</v>
      </c>
      <c r="F86" s="215">
        <v>0</v>
      </c>
      <c r="G86" s="215">
        <v>0</v>
      </c>
      <c r="H86" s="215">
        <v>0</v>
      </c>
      <c r="I86" s="215">
        <v>0</v>
      </c>
      <c r="J86" s="215">
        <v>0</v>
      </c>
      <c r="K86" s="215">
        <v>0</v>
      </c>
    </row>
    <row r="87" spans="1:11" ht="16.5" x14ac:dyDescent="0.25">
      <c r="A87" s="4">
        <v>311</v>
      </c>
      <c r="B87" s="52">
        <v>37</v>
      </c>
      <c r="C87" s="52">
        <v>910</v>
      </c>
      <c r="D87" s="7">
        <v>70769</v>
      </c>
      <c r="E87" s="194" t="s">
        <v>501</v>
      </c>
      <c r="F87" s="215">
        <v>0</v>
      </c>
      <c r="G87" s="215">
        <v>0</v>
      </c>
      <c r="H87" s="215">
        <v>0</v>
      </c>
      <c r="I87" s="215">
        <v>0</v>
      </c>
      <c r="J87" s="215">
        <v>0</v>
      </c>
      <c r="K87" s="215">
        <v>0</v>
      </c>
    </row>
    <row r="88" spans="1:11" ht="16.5" x14ac:dyDescent="0.25">
      <c r="A88" s="4">
        <v>311</v>
      </c>
      <c r="B88" s="52">
        <v>37</v>
      </c>
      <c r="C88" s="52">
        <v>920</v>
      </c>
      <c r="D88" s="7">
        <v>70769</v>
      </c>
      <c r="E88" s="194" t="s">
        <v>502</v>
      </c>
      <c r="F88" s="215">
        <v>0</v>
      </c>
      <c r="G88" s="215">
        <v>2278.1</v>
      </c>
      <c r="H88" s="215">
        <v>0</v>
      </c>
      <c r="I88" s="215">
        <v>0</v>
      </c>
      <c r="J88" s="215">
        <v>0</v>
      </c>
      <c r="K88" s="215">
        <v>0</v>
      </c>
    </row>
    <row r="89" spans="1:11" s="208" customFormat="1" ht="33" x14ac:dyDescent="0.25">
      <c r="A89" s="4">
        <v>311</v>
      </c>
      <c r="B89" s="52">
        <v>37</v>
      </c>
      <c r="C89" s="52">
        <v>930</v>
      </c>
      <c r="D89" s="7">
        <v>70769</v>
      </c>
      <c r="E89" s="194" t="s">
        <v>40</v>
      </c>
      <c r="F89" s="215"/>
      <c r="G89" s="215">
        <v>695975.9</v>
      </c>
      <c r="H89" s="215"/>
      <c r="I89" s="215"/>
      <c r="J89" s="215"/>
      <c r="K89" s="215"/>
    </row>
    <row r="90" spans="1:11" s="208" customFormat="1" ht="16.5" x14ac:dyDescent="0.25">
      <c r="A90" s="4">
        <v>311</v>
      </c>
      <c r="B90" s="52">
        <v>37</v>
      </c>
      <c r="C90" s="52">
        <v>910</v>
      </c>
      <c r="D90" s="7">
        <v>70769</v>
      </c>
      <c r="E90" s="194" t="s">
        <v>503</v>
      </c>
      <c r="F90" s="215"/>
      <c r="G90" s="215"/>
      <c r="H90" s="215"/>
      <c r="I90" s="215"/>
      <c r="J90" s="215"/>
      <c r="K90" s="215"/>
    </row>
    <row r="91" spans="1:11" ht="16.5" x14ac:dyDescent="0.25">
      <c r="A91" s="4">
        <v>311</v>
      </c>
      <c r="B91" s="52">
        <v>37</v>
      </c>
      <c r="C91" s="52">
        <v>920</v>
      </c>
      <c r="D91" s="7">
        <v>70769</v>
      </c>
      <c r="E91" s="195" t="s">
        <v>504</v>
      </c>
      <c r="F91" s="215">
        <v>0</v>
      </c>
      <c r="G91" s="215">
        <v>217972.3</v>
      </c>
      <c r="H91" s="215">
        <v>0</v>
      </c>
      <c r="I91" s="215">
        <v>411137.2</v>
      </c>
      <c r="J91" s="215">
        <v>0</v>
      </c>
      <c r="K91" s="215">
        <v>347241.2</v>
      </c>
    </row>
    <row r="92" spans="1:11" s="208" customFormat="1" ht="16.5" x14ac:dyDescent="0.25">
      <c r="A92" s="4">
        <v>311</v>
      </c>
      <c r="B92" s="52">
        <v>37</v>
      </c>
      <c r="C92" s="52">
        <v>910</v>
      </c>
      <c r="D92" s="7">
        <v>70769</v>
      </c>
      <c r="E92" s="195" t="s">
        <v>505</v>
      </c>
      <c r="F92" s="215"/>
      <c r="G92" s="215"/>
      <c r="H92" s="215"/>
      <c r="I92" s="215"/>
      <c r="J92" s="215"/>
      <c r="K92" s="215"/>
    </row>
    <row r="93" spans="1:11" ht="16.5" x14ac:dyDescent="0.25">
      <c r="A93" s="4">
        <v>311</v>
      </c>
      <c r="B93" s="52">
        <v>37</v>
      </c>
      <c r="C93" s="52">
        <v>920</v>
      </c>
      <c r="D93" s="7">
        <v>70769</v>
      </c>
      <c r="E93" s="195" t="s">
        <v>506</v>
      </c>
      <c r="F93" s="215">
        <v>0</v>
      </c>
      <c r="G93" s="215">
        <v>148075.29999999999</v>
      </c>
      <c r="H93" s="215">
        <v>0</v>
      </c>
      <c r="I93" s="215">
        <v>202648.5</v>
      </c>
      <c r="J93" s="215">
        <v>0</v>
      </c>
      <c r="K93" s="215">
        <v>0</v>
      </c>
    </row>
    <row r="94" spans="1:11" ht="33" x14ac:dyDescent="0.25">
      <c r="A94" s="4">
        <v>311</v>
      </c>
      <c r="B94" s="52">
        <v>37</v>
      </c>
      <c r="C94" s="52">
        <v>920</v>
      </c>
      <c r="D94" s="7">
        <v>70769</v>
      </c>
      <c r="E94" s="195" t="s">
        <v>557</v>
      </c>
      <c r="F94" s="215">
        <v>0</v>
      </c>
      <c r="G94" s="215">
        <v>0</v>
      </c>
      <c r="H94" s="215">
        <v>0</v>
      </c>
      <c r="I94" s="215">
        <v>0</v>
      </c>
      <c r="J94" s="215">
        <v>0</v>
      </c>
      <c r="K94" s="215">
        <v>0</v>
      </c>
    </row>
    <row r="95" spans="1:11" ht="33" x14ac:dyDescent="0.25">
      <c r="A95" s="4">
        <v>311</v>
      </c>
      <c r="B95" s="52">
        <v>37</v>
      </c>
      <c r="C95" s="52">
        <v>930</v>
      </c>
      <c r="D95" s="7">
        <v>70769</v>
      </c>
      <c r="E95" s="195" t="s">
        <v>46</v>
      </c>
      <c r="F95" s="215">
        <v>0</v>
      </c>
      <c r="G95" s="215">
        <v>0</v>
      </c>
      <c r="H95" s="215">
        <v>0</v>
      </c>
      <c r="I95" s="215">
        <v>0</v>
      </c>
      <c r="J95" s="215">
        <v>0</v>
      </c>
      <c r="K95" s="215">
        <v>0</v>
      </c>
    </row>
    <row r="96" spans="1:11" ht="33" x14ac:dyDescent="0.25">
      <c r="A96" s="4">
        <v>311</v>
      </c>
      <c r="B96" s="52">
        <v>37</v>
      </c>
      <c r="C96" s="52">
        <v>910</v>
      </c>
      <c r="D96" s="7">
        <v>70769</v>
      </c>
      <c r="E96" s="194" t="s">
        <v>49</v>
      </c>
      <c r="F96" s="215">
        <v>14453.4</v>
      </c>
      <c r="G96" s="215">
        <v>0</v>
      </c>
      <c r="H96" s="215">
        <v>0</v>
      </c>
      <c r="I96" s="215">
        <v>0</v>
      </c>
      <c r="J96" s="215">
        <v>0</v>
      </c>
      <c r="K96" s="215">
        <v>0</v>
      </c>
    </row>
    <row r="97" spans="1:12" ht="33" x14ac:dyDescent="0.25">
      <c r="A97" s="4">
        <v>311</v>
      </c>
      <c r="B97" s="52">
        <v>37</v>
      </c>
      <c r="C97" s="52">
        <v>930</v>
      </c>
      <c r="D97" s="7">
        <v>70769</v>
      </c>
      <c r="E97" s="194" t="s">
        <v>50</v>
      </c>
      <c r="F97" s="215">
        <v>0</v>
      </c>
      <c r="G97" s="215">
        <v>487676.3</v>
      </c>
      <c r="H97" s="215">
        <v>0</v>
      </c>
      <c r="I97" s="215">
        <v>375524.4</v>
      </c>
      <c r="J97" s="215">
        <v>0</v>
      </c>
      <c r="K97" s="215">
        <v>495123</v>
      </c>
    </row>
    <row r="98" spans="1:12" ht="17.25" customHeight="1" x14ac:dyDescent="0.25">
      <c r="A98" s="4">
        <v>311</v>
      </c>
      <c r="B98" s="52">
        <v>37</v>
      </c>
      <c r="C98" s="52">
        <v>910</v>
      </c>
      <c r="D98" s="7">
        <v>70769</v>
      </c>
      <c r="E98" s="198" t="s">
        <v>51</v>
      </c>
      <c r="F98" s="215">
        <v>70720</v>
      </c>
      <c r="G98" s="215">
        <v>0</v>
      </c>
      <c r="H98" s="215">
        <v>80370</v>
      </c>
      <c r="I98" s="215">
        <v>0</v>
      </c>
      <c r="J98" s="215">
        <v>13425</v>
      </c>
      <c r="K98" s="215">
        <v>0</v>
      </c>
    </row>
    <row r="99" spans="1:12" ht="33" x14ac:dyDescent="0.25">
      <c r="A99" s="4">
        <v>311</v>
      </c>
      <c r="B99" s="52">
        <v>37</v>
      </c>
      <c r="C99" s="52">
        <v>920</v>
      </c>
      <c r="D99" s="7">
        <v>70769</v>
      </c>
      <c r="E99" s="198" t="s">
        <v>52</v>
      </c>
      <c r="F99" s="215">
        <v>0</v>
      </c>
      <c r="G99" s="215">
        <v>416187.2</v>
      </c>
      <c r="H99" s="215">
        <v>0</v>
      </c>
      <c r="I99" s="215">
        <v>420540.5</v>
      </c>
      <c r="J99" s="215">
        <v>0</v>
      </c>
      <c r="K99" s="215">
        <v>63858.3</v>
      </c>
    </row>
    <row r="100" spans="1:12" ht="33" x14ac:dyDescent="0.25">
      <c r="A100" s="4">
        <v>311</v>
      </c>
      <c r="B100" s="52">
        <v>37</v>
      </c>
      <c r="C100" s="52">
        <v>930</v>
      </c>
      <c r="D100" s="7">
        <v>70769</v>
      </c>
      <c r="E100" s="198" t="s">
        <v>53</v>
      </c>
      <c r="F100" s="215">
        <v>0</v>
      </c>
      <c r="G100" s="215">
        <v>283764</v>
      </c>
      <c r="H100" s="215">
        <v>0</v>
      </c>
      <c r="I100" s="215">
        <v>56259</v>
      </c>
      <c r="J100" s="215">
        <v>0</v>
      </c>
      <c r="K100" s="215">
        <v>0</v>
      </c>
    </row>
    <row r="101" spans="1:12" ht="33" x14ac:dyDescent="0.25">
      <c r="A101" s="4">
        <v>311</v>
      </c>
      <c r="B101" s="52">
        <v>37</v>
      </c>
      <c r="C101" s="52">
        <v>930</v>
      </c>
      <c r="D101" s="7">
        <v>70769</v>
      </c>
      <c r="E101" s="199" t="s">
        <v>418</v>
      </c>
      <c r="F101" s="215">
        <v>0</v>
      </c>
      <c r="G101" s="215">
        <v>247520</v>
      </c>
      <c r="H101" s="215">
        <v>0</v>
      </c>
      <c r="I101" s="215">
        <v>751906</v>
      </c>
      <c r="J101" s="215">
        <v>0</v>
      </c>
      <c r="K101" s="215">
        <v>0</v>
      </c>
    </row>
    <row r="102" spans="1:12" s="208" customFormat="1" ht="16.5" x14ac:dyDescent="0.25">
      <c r="A102" s="4">
        <v>311</v>
      </c>
      <c r="B102" s="52">
        <v>37</v>
      </c>
      <c r="C102" s="52">
        <v>920</v>
      </c>
      <c r="D102" s="7">
        <v>70769</v>
      </c>
      <c r="E102" s="199" t="s">
        <v>475</v>
      </c>
      <c r="F102" s="215"/>
      <c r="G102" s="215"/>
      <c r="H102" s="215"/>
      <c r="I102" s="215"/>
      <c r="J102" s="215"/>
      <c r="K102" s="215"/>
    </row>
    <row r="103" spans="1:12" ht="33" x14ac:dyDescent="0.25">
      <c r="A103" s="4">
        <v>311</v>
      </c>
      <c r="B103" s="52">
        <v>37</v>
      </c>
      <c r="C103" s="52">
        <v>930</v>
      </c>
      <c r="D103" s="7">
        <v>70769</v>
      </c>
      <c r="E103" s="200" t="s">
        <v>411</v>
      </c>
      <c r="F103" s="215">
        <v>0</v>
      </c>
      <c r="G103" s="215">
        <v>0</v>
      </c>
      <c r="H103" s="215">
        <v>0</v>
      </c>
      <c r="I103" s="215">
        <v>0</v>
      </c>
      <c r="J103" s="215">
        <v>0</v>
      </c>
      <c r="K103" s="215">
        <v>0</v>
      </c>
    </row>
    <row r="104" spans="1:12" ht="33" x14ac:dyDescent="0.25">
      <c r="A104" s="4">
        <v>311</v>
      </c>
      <c r="B104" s="52">
        <v>37</v>
      </c>
      <c r="C104" s="52">
        <v>930</v>
      </c>
      <c r="D104" s="7">
        <v>70769</v>
      </c>
      <c r="E104" s="200" t="s">
        <v>412</v>
      </c>
      <c r="F104" s="215">
        <v>0</v>
      </c>
      <c r="G104" s="215">
        <v>0</v>
      </c>
      <c r="H104" s="215">
        <v>0</v>
      </c>
      <c r="I104" s="215">
        <v>0</v>
      </c>
      <c r="J104" s="215">
        <v>0</v>
      </c>
      <c r="K104" s="215">
        <v>0</v>
      </c>
    </row>
    <row r="105" spans="1:12" ht="33" x14ac:dyDescent="0.25">
      <c r="A105" s="4">
        <v>311</v>
      </c>
      <c r="B105" s="52">
        <v>37</v>
      </c>
      <c r="C105" s="52">
        <v>930</v>
      </c>
      <c r="D105" s="7">
        <v>70769</v>
      </c>
      <c r="E105" s="200" t="s">
        <v>413</v>
      </c>
      <c r="F105" s="215">
        <v>0</v>
      </c>
      <c r="G105" s="215">
        <v>0</v>
      </c>
      <c r="H105" s="215">
        <v>0</v>
      </c>
      <c r="I105" s="215">
        <v>0</v>
      </c>
      <c r="J105" s="215">
        <v>0</v>
      </c>
      <c r="K105" s="215">
        <v>0</v>
      </c>
    </row>
    <row r="106" spans="1:12" ht="33" x14ac:dyDescent="0.25">
      <c r="A106" s="4">
        <v>311</v>
      </c>
      <c r="B106" s="52">
        <v>37</v>
      </c>
      <c r="C106" s="52">
        <v>930</v>
      </c>
      <c r="D106" s="7">
        <v>70769</v>
      </c>
      <c r="E106" s="200" t="s">
        <v>422</v>
      </c>
      <c r="F106" s="215">
        <v>0</v>
      </c>
      <c r="G106" s="215">
        <v>0</v>
      </c>
      <c r="H106" s="215">
        <v>0</v>
      </c>
      <c r="I106" s="215">
        <v>0</v>
      </c>
      <c r="J106" s="215">
        <v>0</v>
      </c>
      <c r="K106" s="215">
        <v>0</v>
      </c>
    </row>
    <row r="107" spans="1:12" s="208" customFormat="1" ht="16.5" x14ac:dyDescent="0.25">
      <c r="A107" s="4">
        <v>311</v>
      </c>
      <c r="B107" s="52">
        <v>37</v>
      </c>
      <c r="C107" s="52">
        <v>910</v>
      </c>
      <c r="D107" s="7">
        <v>70769</v>
      </c>
      <c r="E107" s="200" t="s">
        <v>463</v>
      </c>
      <c r="F107" s="216"/>
      <c r="G107" s="216"/>
      <c r="H107" s="216"/>
      <c r="I107" s="216"/>
      <c r="J107" s="215"/>
      <c r="K107" s="215"/>
    </row>
    <row r="108" spans="1:12" s="208" customFormat="1" ht="16.5" x14ac:dyDescent="0.25">
      <c r="A108" s="4">
        <v>311</v>
      </c>
      <c r="B108" s="52">
        <v>37</v>
      </c>
      <c r="C108" s="52">
        <v>920</v>
      </c>
      <c r="D108" s="7">
        <v>70769</v>
      </c>
      <c r="E108" s="200" t="s">
        <v>464</v>
      </c>
      <c r="F108" s="216"/>
      <c r="G108" s="216"/>
      <c r="H108" s="216"/>
      <c r="I108" s="216"/>
      <c r="J108" s="215"/>
      <c r="K108" s="215"/>
    </row>
    <row r="109" spans="1:12" s="208" customFormat="1" ht="15" customHeight="1" x14ac:dyDescent="0.25">
      <c r="A109" s="4"/>
      <c r="B109" s="52"/>
      <c r="C109" s="52"/>
      <c r="D109" s="7"/>
      <c r="E109" s="200"/>
      <c r="F109" s="216"/>
      <c r="G109" s="216"/>
      <c r="H109" s="216"/>
      <c r="I109" s="216"/>
      <c r="J109" s="215"/>
      <c r="K109" s="215"/>
    </row>
    <row r="110" spans="1:12" s="47" customFormat="1" ht="33" x14ac:dyDescent="0.25">
      <c r="A110" s="56"/>
      <c r="B110" s="50"/>
      <c r="C110" s="50"/>
      <c r="D110" s="50"/>
      <c r="E110" s="201" t="s">
        <v>482</v>
      </c>
      <c r="F110" s="213">
        <v>0</v>
      </c>
      <c r="G110" s="213">
        <v>521560</v>
      </c>
      <c r="H110" s="213">
        <v>0</v>
      </c>
      <c r="I110" s="213">
        <v>267900</v>
      </c>
      <c r="J110" s="214">
        <v>0</v>
      </c>
      <c r="K110" s="214">
        <v>0</v>
      </c>
    </row>
    <row r="111" spans="1:12" s="47" customFormat="1" ht="16.5" x14ac:dyDescent="0.25">
      <c r="A111" s="57"/>
      <c r="B111" s="51"/>
      <c r="C111" s="51"/>
      <c r="D111" s="51"/>
      <c r="E111" s="193" t="s">
        <v>6</v>
      </c>
      <c r="F111" s="214">
        <v>0</v>
      </c>
      <c r="G111" s="214">
        <v>521560</v>
      </c>
      <c r="H111" s="214">
        <v>0</v>
      </c>
      <c r="I111" s="214">
        <v>267900</v>
      </c>
      <c r="J111" s="214">
        <v>0</v>
      </c>
      <c r="K111" s="214">
        <v>0</v>
      </c>
    </row>
    <row r="112" spans="1:12" ht="16.5" x14ac:dyDescent="0.25">
      <c r="A112" s="4">
        <v>311</v>
      </c>
      <c r="B112" s="52">
        <v>38</v>
      </c>
      <c r="C112" s="52">
        <v>930</v>
      </c>
      <c r="D112" s="7">
        <v>70499</v>
      </c>
      <c r="E112" s="194" t="s">
        <v>55</v>
      </c>
      <c r="F112" s="215">
        <v>0</v>
      </c>
      <c r="G112" s="215">
        <v>521560</v>
      </c>
      <c r="H112" s="215">
        <v>0</v>
      </c>
      <c r="I112" s="215">
        <v>267900</v>
      </c>
      <c r="J112" s="215">
        <v>0</v>
      </c>
      <c r="K112" s="215">
        <v>0</v>
      </c>
      <c r="L112" s="105"/>
    </row>
    <row r="113" spans="1:11" ht="37.5" customHeight="1" x14ac:dyDescent="0.25">
      <c r="A113" s="4">
        <v>311</v>
      </c>
      <c r="B113" s="52">
        <v>38</v>
      </c>
      <c r="C113" s="52">
        <v>920</v>
      </c>
      <c r="D113" s="7">
        <v>70499</v>
      </c>
      <c r="E113" s="194" t="s">
        <v>56</v>
      </c>
      <c r="F113" s="215">
        <v>0</v>
      </c>
      <c r="G113" s="215">
        <v>0</v>
      </c>
      <c r="H113" s="215">
        <v>0</v>
      </c>
      <c r="I113" s="215">
        <v>0</v>
      </c>
      <c r="J113" s="215">
        <v>0</v>
      </c>
      <c r="K113" s="215">
        <v>0</v>
      </c>
    </row>
    <row r="114" spans="1:11" s="208" customFormat="1" ht="15" customHeight="1" x14ac:dyDescent="0.25">
      <c r="A114" s="4"/>
      <c r="B114" s="52"/>
      <c r="C114" s="52"/>
      <c r="D114" s="7"/>
      <c r="E114" s="194"/>
      <c r="F114" s="216"/>
      <c r="G114" s="216"/>
      <c r="H114" s="216"/>
      <c r="I114" s="216"/>
      <c r="J114" s="215"/>
      <c r="K114" s="215"/>
    </row>
    <row r="115" spans="1:11" s="47" customFormat="1" ht="33" x14ac:dyDescent="0.25">
      <c r="A115" s="56"/>
      <c r="B115" s="50"/>
      <c r="C115" s="50"/>
      <c r="D115" s="50"/>
      <c r="E115" s="201" t="s">
        <v>483</v>
      </c>
      <c r="F115" s="213">
        <v>17680</v>
      </c>
      <c r="G115" s="213">
        <v>1922700</v>
      </c>
      <c r="H115" s="213">
        <v>172349</v>
      </c>
      <c r="I115" s="213">
        <v>2087110.6</v>
      </c>
      <c r="J115" s="214">
        <v>179000</v>
      </c>
      <c r="K115" s="214">
        <v>1894983.5</v>
      </c>
    </row>
    <row r="116" spans="1:11" s="47" customFormat="1" ht="16.5" x14ac:dyDescent="0.25">
      <c r="A116" s="57"/>
      <c r="B116" s="51"/>
      <c r="C116" s="51"/>
      <c r="D116" s="51"/>
      <c r="E116" s="193" t="s">
        <v>6</v>
      </c>
      <c r="F116" s="214">
        <v>17680</v>
      </c>
      <c r="G116" s="214">
        <v>1922700</v>
      </c>
      <c r="H116" s="214">
        <v>172349</v>
      </c>
      <c r="I116" s="214">
        <v>2087110.6</v>
      </c>
      <c r="J116" s="214">
        <v>179000</v>
      </c>
      <c r="K116" s="214">
        <v>1894983.5</v>
      </c>
    </row>
    <row r="117" spans="1:11" ht="33" x14ac:dyDescent="0.25">
      <c r="A117" s="4">
        <v>311</v>
      </c>
      <c r="B117" s="52">
        <v>41</v>
      </c>
      <c r="C117" s="52">
        <v>920</v>
      </c>
      <c r="D117" s="7">
        <v>70499</v>
      </c>
      <c r="E117" s="194" t="s">
        <v>507</v>
      </c>
      <c r="F117" s="215">
        <v>0</v>
      </c>
      <c r="G117" s="215">
        <v>0</v>
      </c>
      <c r="H117" s="215">
        <v>0</v>
      </c>
      <c r="I117" s="215">
        <v>0</v>
      </c>
      <c r="J117" s="215">
        <v>0</v>
      </c>
      <c r="K117" s="215">
        <v>0</v>
      </c>
    </row>
    <row r="118" spans="1:11" ht="33" x14ac:dyDescent="0.25">
      <c r="A118" s="4">
        <v>321</v>
      </c>
      <c r="B118" s="52">
        <v>41</v>
      </c>
      <c r="C118" s="52">
        <v>920</v>
      </c>
      <c r="D118" s="7">
        <v>70499</v>
      </c>
      <c r="E118" s="194" t="s">
        <v>507</v>
      </c>
      <c r="F118" s="215">
        <v>0</v>
      </c>
      <c r="G118" s="215">
        <v>0</v>
      </c>
      <c r="H118" s="215">
        <v>0</v>
      </c>
      <c r="I118" s="215">
        <v>0</v>
      </c>
      <c r="J118" s="215">
        <v>0</v>
      </c>
      <c r="K118" s="215">
        <v>0</v>
      </c>
    </row>
    <row r="119" spans="1:11" ht="33" x14ac:dyDescent="0.25">
      <c r="A119" s="4">
        <v>311</v>
      </c>
      <c r="B119" s="52">
        <v>41</v>
      </c>
      <c r="C119" s="52">
        <v>930</v>
      </c>
      <c r="D119" s="7">
        <v>70499</v>
      </c>
      <c r="E119" s="194" t="s">
        <v>508</v>
      </c>
      <c r="F119" s="215">
        <v>0</v>
      </c>
      <c r="G119" s="215">
        <v>0</v>
      </c>
      <c r="H119" s="215">
        <v>0</v>
      </c>
      <c r="I119" s="215">
        <v>0</v>
      </c>
      <c r="J119" s="215">
        <v>0</v>
      </c>
      <c r="K119" s="215">
        <v>0</v>
      </c>
    </row>
    <row r="120" spans="1:11" ht="33" x14ac:dyDescent="0.25">
      <c r="A120" s="4">
        <v>321</v>
      </c>
      <c r="B120" s="52">
        <v>41</v>
      </c>
      <c r="C120" s="52">
        <v>930</v>
      </c>
      <c r="D120" s="7">
        <v>70499</v>
      </c>
      <c r="E120" s="194" t="s">
        <v>508</v>
      </c>
      <c r="F120" s="215">
        <v>0</v>
      </c>
      <c r="G120" s="215">
        <v>0</v>
      </c>
      <c r="H120" s="215">
        <v>0</v>
      </c>
      <c r="I120" s="215">
        <v>0</v>
      </c>
      <c r="J120" s="215">
        <v>0</v>
      </c>
      <c r="K120" s="215">
        <v>0</v>
      </c>
    </row>
    <row r="121" spans="1:11" ht="33" x14ac:dyDescent="0.25">
      <c r="A121" s="4">
        <v>311</v>
      </c>
      <c r="B121" s="52">
        <v>41</v>
      </c>
      <c r="C121" s="52">
        <v>920</v>
      </c>
      <c r="D121" s="7">
        <v>70499</v>
      </c>
      <c r="E121" s="194" t="s">
        <v>57</v>
      </c>
      <c r="F121" s="215">
        <v>0</v>
      </c>
      <c r="G121" s="215">
        <v>48620</v>
      </c>
      <c r="H121" s="215">
        <v>0</v>
      </c>
      <c r="I121" s="215">
        <v>47605.8</v>
      </c>
      <c r="J121" s="215">
        <v>0</v>
      </c>
      <c r="K121" s="215">
        <v>0</v>
      </c>
    </row>
    <row r="122" spans="1:11" ht="33" x14ac:dyDescent="0.25">
      <c r="A122" s="4">
        <v>311</v>
      </c>
      <c r="B122" s="52">
        <v>41</v>
      </c>
      <c r="C122" s="52">
        <v>910</v>
      </c>
      <c r="D122" s="7">
        <v>70499</v>
      </c>
      <c r="E122" s="194" t="s">
        <v>160</v>
      </c>
      <c r="F122" s="215">
        <v>0</v>
      </c>
      <c r="G122" s="215">
        <v>0</v>
      </c>
      <c r="H122" s="215">
        <v>0</v>
      </c>
      <c r="I122" s="215">
        <v>0</v>
      </c>
      <c r="J122" s="215">
        <v>0</v>
      </c>
      <c r="K122" s="215">
        <v>0</v>
      </c>
    </row>
    <row r="123" spans="1:11" ht="33" x14ac:dyDescent="0.25">
      <c r="A123" s="4">
        <v>311</v>
      </c>
      <c r="B123" s="52">
        <v>41</v>
      </c>
      <c r="C123" s="52">
        <v>920</v>
      </c>
      <c r="D123" s="7">
        <v>70499</v>
      </c>
      <c r="E123" s="194" t="s">
        <v>161</v>
      </c>
      <c r="F123" s="215">
        <v>0</v>
      </c>
      <c r="G123" s="215">
        <v>106080</v>
      </c>
      <c r="H123" s="215">
        <v>0</v>
      </c>
      <c r="I123" s="215">
        <v>112678.7</v>
      </c>
      <c r="J123" s="215">
        <v>0</v>
      </c>
      <c r="K123" s="215">
        <v>72763.5</v>
      </c>
    </row>
    <row r="124" spans="1:11" ht="33" x14ac:dyDescent="0.25">
      <c r="A124" s="4">
        <v>321</v>
      </c>
      <c r="B124" s="52">
        <v>41</v>
      </c>
      <c r="C124" s="52">
        <v>920</v>
      </c>
      <c r="D124" s="7">
        <v>70499</v>
      </c>
      <c r="E124" s="194" t="s">
        <v>161</v>
      </c>
      <c r="F124" s="215">
        <v>0</v>
      </c>
      <c r="G124" s="215">
        <v>795600</v>
      </c>
      <c r="H124" s="215">
        <v>0</v>
      </c>
      <c r="I124" s="215">
        <v>625100</v>
      </c>
      <c r="J124" s="215">
        <v>0</v>
      </c>
      <c r="K124" s="215">
        <v>0</v>
      </c>
    </row>
    <row r="125" spans="1:11" ht="33" x14ac:dyDescent="0.25">
      <c r="A125" s="4">
        <v>321</v>
      </c>
      <c r="B125" s="52">
        <v>41</v>
      </c>
      <c r="C125" s="52">
        <v>930</v>
      </c>
      <c r="D125" s="7">
        <v>70499</v>
      </c>
      <c r="E125" s="194" t="s">
        <v>162</v>
      </c>
      <c r="F125" s="215">
        <v>0</v>
      </c>
      <c r="G125" s="215">
        <v>265200</v>
      </c>
      <c r="H125" s="215">
        <v>0</v>
      </c>
      <c r="I125" s="215">
        <v>446500</v>
      </c>
      <c r="J125" s="215">
        <v>0</v>
      </c>
      <c r="K125" s="215">
        <v>537000</v>
      </c>
    </row>
    <row r="126" spans="1:11" ht="16.5" x14ac:dyDescent="0.25">
      <c r="A126" s="4">
        <v>311</v>
      </c>
      <c r="B126" s="52">
        <v>41</v>
      </c>
      <c r="C126" s="52">
        <v>920</v>
      </c>
      <c r="D126" s="7">
        <v>70499</v>
      </c>
      <c r="E126" s="194" t="s">
        <v>379</v>
      </c>
      <c r="F126" s="215">
        <v>0</v>
      </c>
      <c r="G126" s="215">
        <v>150280</v>
      </c>
      <c r="H126" s="215">
        <v>0</v>
      </c>
      <c r="I126" s="215">
        <v>151810</v>
      </c>
      <c r="J126" s="215">
        <v>0</v>
      </c>
      <c r="K126" s="215">
        <v>80550</v>
      </c>
    </row>
    <row r="127" spans="1:11" ht="16.5" x14ac:dyDescent="0.25">
      <c r="A127" s="4">
        <v>311</v>
      </c>
      <c r="B127" s="52">
        <v>41</v>
      </c>
      <c r="C127" s="52">
        <v>930</v>
      </c>
      <c r="D127" s="7">
        <v>70499</v>
      </c>
      <c r="E127" s="194" t="s">
        <v>359</v>
      </c>
      <c r="F127" s="215">
        <v>0</v>
      </c>
      <c r="G127" s="215">
        <v>238680</v>
      </c>
      <c r="H127" s="215">
        <v>0</v>
      </c>
      <c r="I127" s="215">
        <v>241110</v>
      </c>
      <c r="J127" s="215">
        <v>0</v>
      </c>
      <c r="K127" s="215">
        <v>134250</v>
      </c>
    </row>
    <row r="128" spans="1:11" ht="33" x14ac:dyDescent="0.25">
      <c r="A128" s="4">
        <v>311</v>
      </c>
      <c r="B128" s="52">
        <v>41</v>
      </c>
      <c r="C128" s="52">
        <v>910</v>
      </c>
      <c r="D128" s="7">
        <v>70499</v>
      </c>
      <c r="E128" s="194" t="s">
        <v>373</v>
      </c>
      <c r="F128" s="215">
        <v>17680</v>
      </c>
      <c r="G128" s="215">
        <v>0</v>
      </c>
      <c r="H128" s="215">
        <v>172349</v>
      </c>
      <c r="I128" s="215">
        <v>0</v>
      </c>
      <c r="J128" s="215">
        <v>179000</v>
      </c>
      <c r="K128" s="215">
        <v>0</v>
      </c>
    </row>
    <row r="129" spans="1:11" ht="33" x14ac:dyDescent="0.25">
      <c r="A129" s="4">
        <v>311</v>
      </c>
      <c r="B129" s="52">
        <v>41</v>
      </c>
      <c r="C129" s="52">
        <v>920</v>
      </c>
      <c r="D129" s="7">
        <v>70499</v>
      </c>
      <c r="E129" s="194" t="s">
        <v>391</v>
      </c>
      <c r="F129" s="215">
        <v>0</v>
      </c>
      <c r="G129" s="215">
        <v>0</v>
      </c>
      <c r="H129" s="215">
        <v>0</v>
      </c>
      <c r="I129" s="215">
        <v>9823</v>
      </c>
      <c r="J129" s="215">
        <v>0</v>
      </c>
      <c r="K129" s="215">
        <v>0</v>
      </c>
    </row>
    <row r="130" spans="1:11" ht="33" x14ac:dyDescent="0.25">
      <c r="A130" s="4">
        <v>311</v>
      </c>
      <c r="B130" s="52">
        <v>41</v>
      </c>
      <c r="C130" s="52">
        <v>930</v>
      </c>
      <c r="D130" s="7">
        <v>70499</v>
      </c>
      <c r="E130" s="194" t="s">
        <v>392</v>
      </c>
      <c r="F130" s="215">
        <v>0</v>
      </c>
      <c r="G130" s="215">
        <v>13260</v>
      </c>
      <c r="H130" s="215">
        <v>0</v>
      </c>
      <c r="I130" s="215">
        <v>5983.1</v>
      </c>
      <c r="J130" s="215">
        <v>0</v>
      </c>
      <c r="K130" s="215">
        <v>5996.5</v>
      </c>
    </row>
    <row r="131" spans="1:11" ht="33" x14ac:dyDescent="0.25">
      <c r="A131" s="4">
        <v>321</v>
      </c>
      <c r="B131" s="52">
        <v>41</v>
      </c>
      <c r="C131" s="52">
        <v>930</v>
      </c>
      <c r="D131" s="7">
        <v>70499</v>
      </c>
      <c r="E131" s="194" t="s">
        <v>392</v>
      </c>
      <c r="F131" s="215">
        <v>0</v>
      </c>
      <c r="G131" s="215">
        <v>304980</v>
      </c>
      <c r="H131" s="215">
        <v>0</v>
      </c>
      <c r="I131" s="215">
        <v>446500</v>
      </c>
      <c r="J131" s="215">
        <v>0</v>
      </c>
      <c r="K131" s="215">
        <v>1064423.5</v>
      </c>
    </row>
    <row r="132" spans="1:11" ht="53.25" customHeight="1" x14ac:dyDescent="0.25">
      <c r="A132" s="4">
        <v>311</v>
      </c>
      <c r="B132" s="52">
        <v>41</v>
      </c>
      <c r="C132" s="52">
        <v>920</v>
      </c>
      <c r="D132" s="7">
        <v>70499</v>
      </c>
      <c r="E132" s="194" t="s">
        <v>387</v>
      </c>
      <c r="F132" s="215">
        <v>0</v>
      </c>
      <c r="G132" s="215">
        <v>0</v>
      </c>
      <c r="H132" s="215">
        <v>0</v>
      </c>
      <c r="I132" s="215">
        <v>0</v>
      </c>
      <c r="J132" s="215">
        <v>0</v>
      </c>
      <c r="K132" s="215">
        <v>0</v>
      </c>
    </row>
    <row r="133" spans="1:11" ht="52.5" customHeight="1" x14ac:dyDescent="0.25">
      <c r="A133" s="4">
        <v>311</v>
      </c>
      <c r="B133" s="52">
        <v>41</v>
      </c>
      <c r="C133" s="52">
        <v>930</v>
      </c>
      <c r="D133" s="7">
        <v>70499</v>
      </c>
      <c r="E133" s="194" t="s">
        <v>388</v>
      </c>
      <c r="F133" s="215">
        <v>0</v>
      </c>
      <c r="G133" s="215">
        <v>0</v>
      </c>
      <c r="H133" s="215">
        <v>0</v>
      </c>
      <c r="I133" s="215">
        <v>0</v>
      </c>
      <c r="J133" s="215">
        <v>0</v>
      </c>
      <c r="K133" s="215">
        <v>0</v>
      </c>
    </row>
    <row r="134" spans="1:11" s="208" customFormat="1" ht="16.5" x14ac:dyDescent="0.25">
      <c r="A134" s="4">
        <v>311</v>
      </c>
      <c r="B134" s="52">
        <v>41</v>
      </c>
      <c r="C134" s="52">
        <v>910</v>
      </c>
      <c r="D134" s="7">
        <v>70499</v>
      </c>
      <c r="E134" s="194" t="s">
        <v>514</v>
      </c>
      <c r="F134" s="216"/>
      <c r="G134" s="216"/>
      <c r="H134" s="216"/>
      <c r="I134" s="216"/>
      <c r="J134" s="215"/>
      <c r="K134" s="215"/>
    </row>
    <row r="135" spans="1:11" s="208" customFormat="1" ht="16.5" x14ac:dyDescent="0.25">
      <c r="A135" s="4">
        <v>311</v>
      </c>
      <c r="B135" s="52">
        <v>41</v>
      </c>
      <c r="C135" s="52">
        <v>930</v>
      </c>
      <c r="D135" s="7">
        <v>70499</v>
      </c>
      <c r="E135" s="194" t="s">
        <v>515</v>
      </c>
      <c r="F135" s="216"/>
      <c r="G135" s="216"/>
      <c r="H135" s="216"/>
      <c r="I135" s="216"/>
      <c r="J135" s="215"/>
      <c r="K135" s="215"/>
    </row>
    <row r="136" spans="1:11" s="208" customFormat="1" ht="15" customHeight="1" x14ac:dyDescent="0.25">
      <c r="A136" s="4"/>
      <c r="B136" s="52"/>
      <c r="C136" s="52"/>
      <c r="D136" s="7"/>
      <c r="E136" s="194"/>
      <c r="F136" s="216"/>
      <c r="G136" s="216"/>
      <c r="H136" s="216"/>
      <c r="I136" s="216"/>
      <c r="J136" s="215"/>
      <c r="K136" s="215"/>
    </row>
    <row r="137" spans="1:11" s="47" customFormat="1" ht="49.5" x14ac:dyDescent="0.25">
      <c r="A137" s="56"/>
      <c r="B137" s="50"/>
      <c r="C137" s="50"/>
      <c r="D137" s="50"/>
      <c r="E137" s="201" t="s">
        <v>484</v>
      </c>
      <c r="F137" s="213">
        <v>72134.399999999994</v>
      </c>
      <c r="G137" s="213">
        <v>2058659.2</v>
      </c>
      <c r="H137" s="213"/>
      <c r="I137" s="213">
        <v>1617286.7</v>
      </c>
      <c r="J137" s="214"/>
      <c r="K137" s="214">
        <v>1988477.5</v>
      </c>
    </row>
    <row r="138" spans="1:11" s="47" customFormat="1" ht="16.5" x14ac:dyDescent="0.25">
      <c r="A138" s="57"/>
      <c r="B138" s="51"/>
      <c r="C138" s="51"/>
      <c r="D138" s="51"/>
      <c r="E138" s="193" t="s">
        <v>6</v>
      </c>
      <c r="F138" s="213">
        <v>72134.399999999994</v>
      </c>
      <c r="G138" s="214">
        <v>2058659.2</v>
      </c>
      <c r="H138" s="214"/>
      <c r="I138" s="214">
        <v>1617286.7</v>
      </c>
      <c r="J138" s="214"/>
      <c r="K138" s="214">
        <v>1988477.5</v>
      </c>
    </row>
    <row r="139" spans="1:11" ht="33" x14ac:dyDescent="0.25">
      <c r="A139" s="49">
        <v>311</v>
      </c>
      <c r="B139" s="52">
        <v>41</v>
      </c>
      <c r="C139" s="52">
        <v>920</v>
      </c>
      <c r="D139" s="53">
        <v>70499</v>
      </c>
      <c r="E139" s="194" t="s">
        <v>224</v>
      </c>
      <c r="F139" s="215">
        <v>0</v>
      </c>
      <c r="G139" s="215">
        <v>707200</v>
      </c>
      <c r="H139" s="215">
        <v>0</v>
      </c>
      <c r="I139" s="215">
        <v>89300</v>
      </c>
      <c r="J139" s="215">
        <v>0</v>
      </c>
      <c r="K139" s="215">
        <v>64082</v>
      </c>
    </row>
    <row r="140" spans="1:11" ht="33" x14ac:dyDescent="0.25">
      <c r="A140" s="49">
        <v>311</v>
      </c>
      <c r="B140" s="52">
        <v>41</v>
      </c>
      <c r="C140" s="52">
        <v>930</v>
      </c>
      <c r="D140" s="53">
        <v>70499</v>
      </c>
      <c r="E140" s="194" t="s">
        <v>225</v>
      </c>
      <c r="F140" s="215">
        <v>0</v>
      </c>
      <c r="G140" s="215">
        <v>0</v>
      </c>
      <c r="H140" s="215">
        <v>0</v>
      </c>
      <c r="I140" s="215">
        <v>258970</v>
      </c>
      <c r="J140" s="215">
        <v>0</v>
      </c>
      <c r="K140" s="215">
        <v>483317.9</v>
      </c>
    </row>
    <row r="141" spans="1:11" ht="33" x14ac:dyDescent="0.25">
      <c r="A141" s="49">
        <v>311</v>
      </c>
      <c r="B141" s="52">
        <v>41</v>
      </c>
      <c r="C141" s="52">
        <v>910</v>
      </c>
      <c r="D141" s="53">
        <v>70499</v>
      </c>
      <c r="E141" s="194" t="s">
        <v>59</v>
      </c>
      <c r="F141" s="215">
        <v>60112</v>
      </c>
      <c r="G141" s="215">
        <v>0</v>
      </c>
      <c r="H141" s="215">
        <v>0</v>
      </c>
      <c r="I141" s="215">
        <v>0</v>
      </c>
      <c r="J141" s="215">
        <v>0</v>
      </c>
      <c r="K141" s="215">
        <v>0</v>
      </c>
    </row>
    <row r="142" spans="1:11" ht="33" x14ac:dyDescent="0.25">
      <c r="A142" s="49">
        <v>311</v>
      </c>
      <c r="B142" s="52">
        <v>41</v>
      </c>
      <c r="C142" s="52">
        <v>930</v>
      </c>
      <c r="D142" s="53">
        <v>70499</v>
      </c>
      <c r="E142" s="194" t="s">
        <v>60</v>
      </c>
      <c r="F142" s="215">
        <v>0</v>
      </c>
      <c r="G142" s="215">
        <v>269620</v>
      </c>
      <c r="H142" s="215">
        <v>0</v>
      </c>
      <c r="I142" s="215">
        <v>0</v>
      </c>
      <c r="J142" s="215">
        <v>0</v>
      </c>
      <c r="K142" s="215">
        <v>0</v>
      </c>
    </row>
    <row r="143" spans="1:11" ht="33" x14ac:dyDescent="0.25">
      <c r="A143" s="49">
        <v>311</v>
      </c>
      <c r="B143" s="52">
        <v>41</v>
      </c>
      <c r="C143" s="52">
        <v>930</v>
      </c>
      <c r="D143" s="53">
        <v>70499</v>
      </c>
      <c r="E143" s="195" t="s">
        <v>61</v>
      </c>
      <c r="F143" s="215">
        <v>0</v>
      </c>
      <c r="G143" s="215">
        <v>247520</v>
      </c>
      <c r="H143" s="215">
        <v>0</v>
      </c>
      <c r="I143" s="215">
        <v>0</v>
      </c>
      <c r="J143" s="215">
        <v>0</v>
      </c>
      <c r="K143" s="215">
        <v>0</v>
      </c>
    </row>
    <row r="144" spans="1:11" ht="33" x14ac:dyDescent="0.25">
      <c r="A144" s="49">
        <v>311</v>
      </c>
      <c r="B144" s="52">
        <v>41</v>
      </c>
      <c r="C144" s="52">
        <v>910</v>
      </c>
      <c r="D144" s="53">
        <v>70499</v>
      </c>
      <c r="E144" s="194" t="s">
        <v>62</v>
      </c>
      <c r="F144" s="215">
        <v>9723.9500000000007</v>
      </c>
      <c r="G144" s="215">
        <v>0</v>
      </c>
      <c r="H144" s="215">
        <v>0</v>
      </c>
      <c r="I144" s="215">
        <v>0</v>
      </c>
      <c r="J144" s="215">
        <v>0</v>
      </c>
      <c r="K144" s="215">
        <v>0</v>
      </c>
    </row>
    <row r="145" spans="1:11" ht="33" x14ac:dyDescent="0.25">
      <c r="A145" s="49">
        <v>311</v>
      </c>
      <c r="B145" s="52">
        <v>41</v>
      </c>
      <c r="C145" s="52">
        <v>920</v>
      </c>
      <c r="D145" s="53">
        <v>70499</v>
      </c>
      <c r="E145" s="194" t="s">
        <v>63</v>
      </c>
      <c r="F145" s="215">
        <v>0</v>
      </c>
      <c r="G145" s="215">
        <v>13260</v>
      </c>
      <c r="H145" s="215">
        <v>0</v>
      </c>
      <c r="I145" s="215">
        <v>0</v>
      </c>
      <c r="J145" s="215">
        <v>0</v>
      </c>
      <c r="K145" s="215">
        <v>0</v>
      </c>
    </row>
    <row r="146" spans="1:11" ht="33" x14ac:dyDescent="0.25">
      <c r="A146" s="49">
        <v>311</v>
      </c>
      <c r="B146" s="52">
        <v>41</v>
      </c>
      <c r="C146" s="52">
        <v>930</v>
      </c>
      <c r="D146" s="53">
        <v>70499</v>
      </c>
      <c r="E146" s="194" t="s">
        <v>64</v>
      </c>
      <c r="F146" s="215">
        <v>0</v>
      </c>
      <c r="G146" s="215">
        <v>4420</v>
      </c>
      <c r="H146" s="215">
        <v>0</v>
      </c>
      <c r="I146" s="215">
        <v>0</v>
      </c>
      <c r="J146" s="215">
        <v>0</v>
      </c>
      <c r="K146" s="215">
        <v>0</v>
      </c>
    </row>
    <row r="147" spans="1:11" ht="17.25" customHeight="1" x14ac:dyDescent="0.25">
      <c r="A147" s="49">
        <v>311</v>
      </c>
      <c r="B147" s="52">
        <v>41</v>
      </c>
      <c r="C147" s="52">
        <v>920</v>
      </c>
      <c r="D147" s="53">
        <v>70499</v>
      </c>
      <c r="E147" s="194" t="s">
        <v>209</v>
      </c>
      <c r="F147" s="215">
        <v>0</v>
      </c>
      <c r="G147" s="215">
        <v>129329.2</v>
      </c>
      <c r="H147" s="215">
        <v>0</v>
      </c>
      <c r="I147" s="215">
        <v>139486.6</v>
      </c>
      <c r="J147" s="215">
        <v>0</v>
      </c>
      <c r="K147" s="215">
        <v>47256</v>
      </c>
    </row>
    <row r="148" spans="1:11" ht="18" customHeight="1" x14ac:dyDescent="0.25">
      <c r="A148" s="49">
        <v>311</v>
      </c>
      <c r="B148" s="52">
        <v>41</v>
      </c>
      <c r="C148" s="52">
        <v>930</v>
      </c>
      <c r="D148" s="53">
        <v>70499</v>
      </c>
      <c r="E148" s="194" t="s">
        <v>218</v>
      </c>
      <c r="F148" s="215">
        <v>0</v>
      </c>
      <c r="G148" s="215">
        <v>492034.4</v>
      </c>
      <c r="H148" s="215">
        <v>0</v>
      </c>
      <c r="I148" s="215">
        <v>522583.6</v>
      </c>
      <c r="J148" s="215">
        <v>0</v>
      </c>
      <c r="K148" s="215">
        <v>177210</v>
      </c>
    </row>
    <row r="149" spans="1:11" ht="33" x14ac:dyDescent="0.25">
      <c r="A149" s="49">
        <v>311</v>
      </c>
      <c r="B149" s="52">
        <v>41</v>
      </c>
      <c r="C149" s="52">
        <v>910</v>
      </c>
      <c r="D149" s="53">
        <v>70499</v>
      </c>
      <c r="E149" s="194" t="s">
        <v>221</v>
      </c>
      <c r="F149" s="215">
        <v>2298.4</v>
      </c>
      <c r="G149" s="215">
        <v>0</v>
      </c>
      <c r="H149" s="215">
        <v>0</v>
      </c>
      <c r="I149" s="215">
        <v>0</v>
      </c>
      <c r="J149" s="215">
        <v>0</v>
      </c>
      <c r="K149" s="215">
        <v>0</v>
      </c>
    </row>
    <row r="150" spans="1:11" ht="33" x14ac:dyDescent="0.25">
      <c r="A150" s="49">
        <v>311</v>
      </c>
      <c r="B150" s="52">
        <v>41</v>
      </c>
      <c r="C150" s="52">
        <v>920</v>
      </c>
      <c r="D150" s="53">
        <v>70499</v>
      </c>
      <c r="E150" s="194" t="s">
        <v>222</v>
      </c>
      <c r="F150" s="215">
        <v>0</v>
      </c>
      <c r="G150" s="215">
        <v>8840</v>
      </c>
      <c r="H150" s="215">
        <v>0</v>
      </c>
      <c r="I150" s="215">
        <v>0</v>
      </c>
      <c r="J150" s="215">
        <v>0</v>
      </c>
      <c r="K150" s="215">
        <v>0</v>
      </c>
    </row>
    <row r="151" spans="1:11" ht="33" x14ac:dyDescent="0.25">
      <c r="A151" s="49">
        <v>311</v>
      </c>
      <c r="B151" s="52">
        <v>41</v>
      </c>
      <c r="C151" s="52">
        <v>920</v>
      </c>
      <c r="D151" s="53">
        <v>70499</v>
      </c>
      <c r="E151" s="194" t="s">
        <v>509</v>
      </c>
      <c r="F151" s="215">
        <v>0</v>
      </c>
      <c r="G151" s="215">
        <v>0</v>
      </c>
      <c r="H151" s="215">
        <v>0</v>
      </c>
      <c r="I151" s="215">
        <v>108347.7</v>
      </c>
      <c r="J151" s="215">
        <v>0</v>
      </c>
      <c r="K151" s="215">
        <v>217180.7</v>
      </c>
    </row>
    <row r="152" spans="1:11" ht="33" x14ac:dyDescent="0.25">
      <c r="A152" s="49">
        <v>311</v>
      </c>
      <c r="B152" s="52">
        <v>41</v>
      </c>
      <c r="C152" s="52">
        <v>930</v>
      </c>
      <c r="D152" s="53">
        <v>70499</v>
      </c>
      <c r="E152" s="194" t="s">
        <v>510</v>
      </c>
      <c r="F152" s="215">
        <v>0</v>
      </c>
      <c r="G152" s="215">
        <v>0</v>
      </c>
      <c r="H152" s="215">
        <v>0</v>
      </c>
      <c r="I152" s="215">
        <v>264516.7</v>
      </c>
      <c r="J152" s="215">
        <v>0</v>
      </c>
      <c r="K152" s="215">
        <v>530218.19999999995</v>
      </c>
    </row>
    <row r="153" spans="1:11" ht="33" x14ac:dyDescent="0.25">
      <c r="A153" s="49">
        <v>311</v>
      </c>
      <c r="B153" s="52">
        <v>41</v>
      </c>
      <c r="C153" s="52">
        <v>920</v>
      </c>
      <c r="D153" s="53">
        <v>70499</v>
      </c>
      <c r="E153" s="194" t="s">
        <v>327</v>
      </c>
      <c r="F153" s="215">
        <v>0</v>
      </c>
      <c r="G153" s="215">
        <v>19448</v>
      </c>
      <c r="H153" s="215">
        <v>0</v>
      </c>
      <c r="I153" s="215">
        <v>84477.8</v>
      </c>
      <c r="J153" s="215">
        <v>0</v>
      </c>
      <c r="K153" s="215">
        <v>169334</v>
      </c>
    </row>
    <row r="154" spans="1:11" ht="33" x14ac:dyDescent="0.25">
      <c r="A154" s="49">
        <v>311</v>
      </c>
      <c r="B154" s="52">
        <v>41</v>
      </c>
      <c r="C154" s="52">
        <v>930</v>
      </c>
      <c r="D154" s="53">
        <v>70499</v>
      </c>
      <c r="E154" s="194" t="s">
        <v>328</v>
      </c>
      <c r="F154" s="215">
        <v>0</v>
      </c>
      <c r="G154" s="215">
        <v>78587.600000000006</v>
      </c>
      <c r="H154" s="215">
        <v>0</v>
      </c>
      <c r="I154" s="215">
        <v>149604.29999999999</v>
      </c>
      <c r="J154" s="215">
        <v>0</v>
      </c>
      <c r="K154" s="215">
        <v>299878.7</v>
      </c>
    </row>
    <row r="155" spans="1:11" ht="33" x14ac:dyDescent="0.25">
      <c r="A155" s="49">
        <v>311</v>
      </c>
      <c r="B155" s="52">
        <v>41</v>
      </c>
      <c r="C155" s="52">
        <v>910</v>
      </c>
      <c r="D155" s="53">
        <v>70499</v>
      </c>
      <c r="E155" s="194" t="s">
        <v>511</v>
      </c>
      <c r="F155" s="215">
        <v>0</v>
      </c>
      <c r="G155" s="215">
        <v>0</v>
      </c>
      <c r="H155" s="215">
        <v>0</v>
      </c>
      <c r="I155" s="215">
        <v>0</v>
      </c>
      <c r="J155" s="215">
        <v>0</v>
      </c>
      <c r="K155" s="215">
        <v>0</v>
      </c>
    </row>
    <row r="156" spans="1:11" ht="33" x14ac:dyDescent="0.25">
      <c r="A156" s="49">
        <v>311</v>
      </c>
      <c r="B156" s="52">
        <v>41</v>
      </c>
      <c r="C156" s="52">
        <v>920</v>
      </c>
      <c r="D156" s="53">
        <v>70499</v>
      </c>
      <c r="E156" s="194" t="s">
        <v>512</v>
      </c>
      <c r="F156" s="215">
        <v>0</v>
      </c>
      <c r="G156" s="215">
        <v>44200</v>
      </c>
      <c r="H156" s="215">
        <v>0</v>
      </c>
      <c r="I156" s="215">
        <v>0</v>
      </c>
      <c r="J156" s="215">
        <v>0</v>
      </c>
      <c r="K156" s="215">
        <v>0</v>
      </c>
    </row>
    <row r="157" spans="1:11" ht="33" x14ac:dyDescent="0.25">
      <c r="A157" s="49">
        <v>311</v>
      </c>
      <c r="B157" s="52">
        <v>41</v>
      </c>
      <c r="C157" s="52">
        <v>930</v>
      </c>
      <c r="D157" s="53">
        <v>70499</v>
      </c>
      <c r="E157" s="194" t="s">
        <v>513</v>
      </c>
      <c r="F157" s="215">
        <v>0</v>
      </c>
      <c r="G157" s="215">
        <v>44200</v>
      </c>
      <c r="H157" s="215">
        <v>0</v>
      </c>
      <c r="I157" s="215">
        <v>0</v>
      </c>
      <c r="J157" s="215">
        <v>0</v>
      </c>
      <c r="K157" s="215">
        <v>0</v>
      </c>
    </row>
    <row r="158" spans="1:11" s="208" customFormat="1" ht="15" customHeight="1" x14ac:dyDescent="0.25">
      <c r="A158" s="49"/>
      <c r="B158" s="52"/>
      <c r="C158" s="52"/>
      <c r="D158" s="53"/>
      <c r="E158" s="194"/>
      <c r="F158" s="216"/>
      <c r="G158" s="216"/>
      <c r="H158" s="216"/>
      <c r="I158" s="216"/>
      <c r="J158" s="215"/>
      <c r="K158" s="215"/>
    </row>
    <row r="159" spans="1:11" s="208" customFormat="1" ht="49.5" x14ac:dyDescent="0.25">
      <c r="A159" s="56"/>
      <c r="B159" s="50"/>
      <c r="C159" s="50"/>
      <c r="D159" s="50"/>
      <c r="E159" s="201" t="s">
        <v>465</v>
      </c>
      <c r="F159" s="213">
        <v>472705.8</v>
      </c>
      <c r="G159" s="213">
        <v>6414406.2999999998</v>
      </c>
      <c r="H159" s="213">
        <v>326152.2</v>
      </c>
      <c r="I159" s="213">
        <v>3761943.9</v>
      </c>
      <c r="J159" s="214">
        <v>246572.5</v>
      </c>
      <c r="K159" s="214">
        <v>6575923</v>
      </c>
    </row>
    <row r="160" spans="1:11" s="208" customFormat="1" ht="16.5" x14ac:dyDescent="0.25">
      <c r="A160" s="57"/>
      <c r="B160" s="51"/>
      <c r="C160" s="51"/>
      <c r="D160" s="51"/>
      <c r="E160" s="193" t="s">
        <v>6</v>
      </c>
      <c r="F160" s="213">
        <v>472705.8</v>
      </c>
      <c r="G160" s="214">
        <v>6414406.2999999998</v>
      </c>
      <c r="H160" s="214">
        <v>326152.2</v>
      </c>
      <c r="I160" s="214">
        <v>3761943.9</v>
      </c>
      <c r="J160" s="214">
        <v>246572.5</v>
      </c>
      <c r="K160" s="214">
        <v>6575923</v>
      </c>
    </row>
    <row r="161" spans="1:11" ht="33" x14ac:dyDescent="0.25">
      <c r="A161" s="4">
        <v>311</v>
      </c>
      <c r="B161" s="52">
        <v>41</v>
      </c>
      <c r="C161" s="52">
        <v>920</v>
      </c>
      <c r="D161" s="7">
        <v>70499</v>
      </c>
      <c r="E161" s="194" t="s">
        <v>78</v>
      </c>
      <c r="F161" s="215">
        <v>0</v>
      </c>
      <c r="G161" s="215">
        <v>0</v>
      </c>
      <c r="H161" s="215">
        <v>0</v>
      </c>
      <c r="I161" s="215">
        <v>0</v>
      </c>
      <c r="J161" s="215">
        <v>0</v>
      </c>
      <c r="K161" s="215">
        <v>0</v>
      </c>
    </row>
    <row r="162" spans="1:11" ht="33" x14ac:dyDescent="0.25">
      <c r="A162" s="4">
        <v>321</v>
      </c>
      <c r="B162" s="52">
        <v>41</v>
      </c>
      <c r="C162" s="52">
        <v>930</v>
      </c>
      <c r="D162" s="7">
        <v>70499</v>
      </c>
      <c r="E162" s="194" t="s">
        <v>79</v>
      </c>
      <c r="F162" s="215">
        <v>0</v>
      </c>
      <c r="G162" s="215">
        <v>0</v>
      </c>
      <c r="H162" s="215">
        <v>0</v>
      </c>
      <c r="I162" s="215">
        <v>0</v>
      </c>
      <c r="J162" s="215">
        <v>0</v>
      </c>
      <c r="K162" s="215">
        <v>0</v>
      </c>
    </row>
    <row r="163" spans="1:11" ht="16.5" x14ac:dyDescent="0.25">
      <c r="A163" s="4">
        <v>311</v>
      </c>
      <c r="B163" s="52">
        <v>41</v>
      </c>
      <c r="C163" s="52">
        <v>920</v>
      </c>
      <c r="D163" s="7">
        <v>70499</v>
      </c>
      <c r="E163" s="194" t="s">
        <v>80</v>
      </c>
      <c r="F163" s="215">
        <v>0</v>
      </c>
      <c r="G163" s="215">
        <v>69977.399999999994</v>
      </c>
      <c r="H163" s="215">
        <v>0</v>
      </c>
      <c r="I163" s="215">
        <v>0</v>
      </c>
      <c r="J163" s="215">
        <v>0</v>
      </c>
      <c r="K163" s="215">
        <v>0</v>
      </c>
    </row>
    <row r="164" spans="1:11" ht="18" customHeight="1" x14ac:dyDescent="0.25">
      <c r="A164" s="4">
        <v>321</v>
      </c>
      <c r="B164" s="52">
        <v>41</v>
      </c>
      <c r="C164" s="52">
        <v>930</v>
      </c>
      <c r="D164" s="7">
        <v>70499</v>
      </c>
      <c r="E164" s="194" t="s">
        <v>81</v>
      </c>
      <c r="F164" s="215">
        <v>0</v>
      </c>
      <c r="G164" s="215">
        <v>0</v>
      </c>
      <c r="H164" s="215">
        <v>0</v>
      </c>
      <c r="I164" s="215">
        <v>0</v>
      </c>
      <c r="J164" s="215">
        <v>0</v>
      </c>
      <c r="K164" s="215">
        <v>0</v>
      </c>
    </row>
    <row r="165" spans="1:11" ht="33" x14ac:dyDescent="0.25">
      <c r="A165" s="4">
        <v>321</v>
      </c>
      <c r="B165" s="52">
        <v>41</v>
      </c>
      <c r="C165" s="52">
        <v>930</v>
      </c>
      <c r="D165" s="7">
        <v>70499</v>
      </c>
      <c r="E165" s="194" t="s">
        <v>554</v>
      </c>
      <c r="F165" s="215">
        <v>0</v>
      </c>
      <c r="G165" s="215">
        <v>39355.699999999997</v>
      </c>
      <c r="H165" s="215">
        <v>0</v>
      </c>
      <c r="I165" s="215">
        <v>0</v>
      </c>
      <c r="J165" s="215">
        <v>0</v>
      </c>
      <c r="K165" s="215">
        <v>0</v>
      </c>
    </row>
    <row r="166" spans="1:11" ht="20.25" customHeight="1" x14ac:dyDescent="0.25">
      <c r="A166" s="4">
        <v>311</v>
      </c>
      <c r="B166" s="52">
        <v>41</v>
      </c>
      <c r="C166" s="52">
        <v>920</v>
      </c>
      <c r="D166" s="7">
        <v>70499</v>
      </c>
      <c r="E166" s="194" t="s">
        <v>82</v>
      </c>
      <c r="F166" s="215">
        <v>0</v>
      </c>
      <c r="G166" s="215">
        <v>14462.2</v>
      </c>
      <c r="H166" s="215">
        <v>0</v>
      </c>
      <c r="I166" s="215">
        <v>0</v>
      </c>
      <c r="J166" s="215">
        <v>0</v>
      </c>
      <c r="K166" s="215">
        <v>0</v>
      </c>
    </row>
    <row r="167" spans="1:11" ht="33" x14ac:dyDescent="0.25">
      <c r="A167" s="4">
        <v>321</v>
      </c>
      <c r="B167" s="52">
        <v>41</v>
      </c>
      <c r="C167" s="52">
        <v>930</v>
      </c>
      <c r="D167" s="7">
        <v>70499</v>
      </c>
      <c r="E167" s="194" t="s">
        <v>83</v>
      </c>
      <c r="F167" s="215">
        <v>0</v>
      </c>
      <c r="G167" s="215">
        <v>162496.9</v>
      </c>
      <c r="H167" s="215">
        <v>0</v>
      </c>
      <c r="I167" s="215">
        <v>0</v>
      </c>
      <c r="J167" s="215">
        <v>0</v>
      </c>
      <c r="K167" s="215">
        <v>0</v>
      </c>
    </row>
    <row r="168" spans="1:11" ht="33" x14ac:dyDescent="0.25">
      <c r="A168" s="4">
        <v>321</v>
      </c>
      <c r="B168" s="52">
        <v>41</v>
      </c>
      <c r="C168" s="52">
        <v>930</v>
      </c>
      <c r="D168" s="7">
        <v>70499</v>
      </c>
      <c r="E168" s="194" t="s">
        <v>84</v>
      </c>
      <c r="F168" s="215">
        <v>0</v>
      </c>
      <c r="G168" s="215">
        <v>0</v>
      </c>
      <c r="H168" s="215">
        <v>0</v>
      </c>
      <c r="I168" s="215">
        <v>0</v>
      </c>
      <c r="J168" s="215">
        <v>0</v>
      </c>
      <c r="K168" s="215">
        <v>0</v>
      </c>
    </row>
    <row r="169" spans="1:11" ht="16.5" x14ac:dyDescent="0.25">
      <c r="A169" s="4">
        <v>311</v>
      </c>
      <c r="B169" s="52">
        <v>41</v>
      </c>
      <c r="C169" s="52">
        <v>920</v>
      </c>
      <c r="D169" s="7">
        <v>70499</v>
      </c>
      <c r="E169" s="194" t="s">
        <v>85</v>
      </c>
      <c r="F169" s="215">
        <v>0</v>
      </c>
      <c r="G169" s="215">
        <v>0</v>
      </c>
      <c r="H169" s="215">
        <v>0</v>
      </c>
      <c r="I169" s="215">
        <v>0</v>
      </c>
      <c r="J169" s="215">
        <v>0</v>
      </c>
      <c r="K169" s="215">
        <v>0</v>
      </c>
    </row>
    <row r="170" spans="1:11" ht="16.5" x14ac:dyDescent="0.25">
      <c r="A170" s="4">
        <v>321</v>
      </c>
      <c r="B170" s="52">
        <v>41</v>
      </c>
      <c r="C170" s="52">
        <v>930</v>
      </c>
      <c r="D170" s="7">
        <v>70499</v>
      </c>
      <c r="E170" s="194" t="s">
        <v>86</v>
      </c>
      <c r="F170" s="215">
        <v>0</v>
      </c>
      <c r="G170" s="215">
        <v>0</v>
      </c>
      <c r="H170" s="215">
        <v>0</v>
      </c>
      <c r="I170" s="215">
        <v>0</v>
      </c>
      <c r="J170" s="215">
        <v>0</v>
      </c>
      <c r="K170" s="215">
        <v>0</v>
      </c>
    </row>
    <row r="171" spans="1:11" ht="16.5" x14ac:dyDescent="0.25">
      <c r="A171" s="4">
        <v>321</v>
      </c>
      <c r="B171" s="52">
        <v>41</v>
      </c>
      <c r="C171" s="52">
        <v>930</v>
      </c>
      <c r="D171" s="7">
        <v>70499</v>
      </c>
      <c r="E171" s="194" t="s">
        <v>219</v>
      </c>
      <c r="F171" s="215">
        <v>0</v>
      </c>
      <c r="G171" s="215">
        <v>0</v>
      </c>
      <c r="H171" s="215">
        <v>0</v>
      </c>
      <c r="I171" s="215">
        <v>0</v>
      </c>
      <c r="J171" s="215">
        <v>0</v>
      </c>
      <c r="K171" s="215">
        <v>0</v>
      </c>
    </row>
    <row r="172" spans="1:11" ht="16.5" x14ac:dyDescent="0.25">
      <c r="A172" s="4">
        <v>311</v>
      </c>
      <c r="B172" s="52">
        <v>41</v>
      </c>
      <c r="C172" s="52">
        <v>920</v>
      </c>
      <c r="D172" s="7">
        <v>70499</v>
      </c>
      <c r="E172" s="194" t="s">
        <v>87</v>
      </c>
      <c r="F172" s="215">
        <v>0</v>
      </c>
      <c r="G172" s="215">
        <v>85898.3</v>
      </c>
      <c r="H172" s="215">
        <v>0</v>
      </c>
      <c r="I172" s="215">
        <v>0</v>
      </c>
      <c r="J172" s="215">
        <v>0</v>
      </c>
      <c r="K172" s="215">
        <v>0</v>
      </c>
    </row>
    <row r="173" spans="1:11" ht="18.75" customHeight="1" x14ac:dyDescent="0.25">
      <c r="A173" s="4">
        <v>321</v>
      </c>
      <c r="B173" s="52">
        <v>41</v>
      </c>
      <c r="C173" s="52">
        <v>930</v>
      </c>
      <c r="D173" s="7">
        <v>70499</v>
      </c>
      <c r="E173" s="194" t="s">
        <v>88</v>
      </c>
      <c r="F173" s="215">
        <v>0</v>
      </c>
      <c r="G173" s="215">
        <v>136940.4</v>
      </c>
      <c r="H173" s="215">
        <v>0</v>
      </c>
      <c r="I173" s="215">
        <v>0</v>
      </c>
      <c r="J173" s="215">
        <v>0</v>
      </c>
      <c r="K173" s="215">
        <v>0</v>
      </c>
    </row>
    <row r="174" spans="1:11" ht="33" x14ac:dyDescent="0.25">
      <c r="A174" s="4">
        <v>311</v>
      </c>
      <c r="B174" s="52">
        <v>41</v>
      </c>
      <c r="C174" s="52">
        <v>920</v>
      </c>
      <c r="D174" s="7">
        <v>70499</v>
      </c>
      <c r="E174" s="194" t="s">
        <v>89</v>
      </c>
      <c r="F174" s="215">
        <v>0</v>
      </c>
      <c r="G174" s="215">
        <v>106928.2</v>
      </c>
      <c r="H174" s="215">
        <v>0</v>
      </c>
      <c r="I174" s="215">
        <v>0</v>
      </c>
      <c r="J174" s="215">
        <v>0</v>
      </c>
      <c r="K174" s="215">
        <v>0</v>
      </c>
    </row>
    <row r="175" spans="1:11" ht="33" x14ac:dyDescent="0.25">
      <c r="A175" s="4">
        <v>321</v>
      </c>
      <c r="B175" s="52">
        <v>41</v>
      </c>
      <c r="C175" s="52">
        <v>930</v>
      </c>
      <c r="D175" s="7">
        <v>70499</v>
      </c>
      <c r="E175" s="194" t="s">
        <v>90</v>
      </c>
      <c r="F175" s="215">
        <v>0</v>
      </c>
      <c r="G175" s="215">
        <v>28685.8</v>
      </c>
      <c r="H175" s="215">
        <v>0</v>
      </c>
      <c r="I175" s="215">
        <v>0</v>
      </c>
      <c r="J175" s="215">
        <v>0</v>
      </c>
      <c r="K175" s="215">
        <v>0</v>
      </c>
    </row>
    <row r="176" spans="1:11" ht="16.5" x14ac:dyDescent="0.25">
      <c r="A176" s="4">
        <v>311</v>
      </c>
      <c r="B176" s="52">
        <v>41</v>
      </c>
      <c r="C176" s="52">
        <v>920</v>
      </c>
      <c r="D176" s="7">
        <v>70499</v>
      </c>
      <c r="E176" s="194" t="s">
        <v>91</v>
      </c>
      <c r="F176" s="215">
        <v>0</v>
      </c>
      <c r="G176" s="215">
        <v>103392.6</v>
      </c>
      <c r="H176" s="215">
        <v>0</v>
      </c>
      <c r="I176" s="215">
        <v>11609</v>
      </c>
      <c r="J176" s="215">
        <v>0</v>
      </c>
      <c r="K176" s="215">
        <v>0</v>
      </c>
    </row>
    <row r="177" spans="1:11" ht="16.5" x14ac:dyDescent="0.25">
      <c r="A177" s="4">
        <v>321</v>
      </c>
      <c r="B177" s="52">
        <v>41</v>
      </c>
      <c r="C177" s="52">
        <v>930</v>
      </c>
      <c r="D177" s="7">
        <v>70499</v>
      </c>
      <c r="E177" s="194" t="s">
        <v>92</v>
      </c>
      <c r="F177" s="215">
        <v>0</v>
      </c>
      <c r="G177" s="215">
        <v>41097.199999999997</v>
      </c>
      <c r="H177" s="215">
        <v>0</v>
      </c>
      <c r="I177" s="215">
        <v>4616.8</v>
      </c>
      <c r="J177" s="215">
        <v>0</v>
      </c>
      <c r="K177" s="215">
        <v>0</v>
      </c>
    </row>
    <row r="178" spans="1:11" ht="33" x14ac:dyDescent="0.25">
      <c r="A178" s="4">
        <v>311</v>
      </c>
      <c r="B178" s="52">
        <v>41</v>
      </c>
      <c r="C178" s="52">
        <v>920</v>
      </c>
      <c r="D178" s="7">
        <v>70499</v>
      </c>
      <c r="E178" s="194" t="s">
        <v>552</v>
      </c>
      <c r="F178" s="215">
        <v>0</v>
      </c>
      <c r="G178" s="215">
        <v>203495.3</v>
      </c>
      <c r="H178" s="215">
        <v>0</v>
      </c>
      <c r="I178" s="215">
        <v>0</v>
      </c>
      <c r="J178" s="215">
        <v>0</v>
      </c>
      <c r="K178" s="215">
        <v>0</v>
      </c>
    </row>
    <row r="179" spans="1:11" ht="33" x14ac:dyDescent="0.25">
      <c r="A179" s="4">
        <v>321</v>
      </c>
      <c r="B179" s="52">
        <v>41</v>
      </c>
      <c r="C179" s="52">
        <v>930</v>
      </c>
      <c r="D179" s="7">
        <v>70499</v>
      </c>
      <c r="E179" s="194" t="s">
        <v>553</v>
      </c>
      <c r="F179" s="215">
        <v>0</v>
      </c>
      <c r="G179" s="215">
        <v>223779.20000000001</v>
      </c>
      <c r="H179" s="215">
        <v>0</v>
      </c>
      <c r="I179" s="215">
        <v>0</v>
      </c>
      <c r="J179" s="215">
        <v>0</v>
      </c>
      <c r="K179" s="215">
        <v>0</v>
      </c>
    </row>
    <row r="180" spans="1:11" ht="16.5" x14ac:dyDescent="0.25">
      <c r="A180" s="4">
        <v>311</v>
      </c>
      <c r="B180" s="52">
        <v>41</v>
      </c>
      <c r="C180" s="52">
        <v>920</v>
      </c>
      <c r="D180" s="7">
        <v>70499</v>
      </c>
      <c r="E180" s="194" t="s">
        <v>95</v>
      </c>
      <c r="F180" s="215">
        <v>0</v>
      </c>
      <c r="G180" s="215">
        <v>115441.60000000001</v>
      </c>
      <c r="H180" s="215">
        <v>0</v>
      </c>
      <c r="I180" s="215">
        <v>0</v>
      </c>
      <c r="J180" s="215">
        <v>0</v>
      </c>
      <c r="K180" s="215">
        <v>0</v>
      </c>
    </row>
    <row r="181" spans="1:11" ht="16.5" x14ac:dyDescent="0.25">
      <c r="A181" s="4">
        <v>321</v>
      </c>
      <c r="B181" s="52">
        <v>41</v>
      </c>
      <c r="C181" s="52">
        <v>930</v>
      </c>
      <c r="D181" s="7">
        <v>70499</v>
      </c>
      <c r="E181" s="194" t="s">
        <v>96</v>
      </c>
      <c r="F181" s="215">
        <v>0</v>
      </c>
      <c r="G181" s="215">
        <v>16822.5</v>
      </c>
      <c r="H181" s="215">
        <v>0</v>
      </c>
      <c r="I181" s="215">
        <v>0</v>
      </c>
      <c r="J181" s="215">
        <v>0</v>
      </c>
      <c r="K181" s="215">
        <v>0</v>
      </c>
    </row>
    <row r="182" spans="1:11" ht="16.5" x14ac:dyDescent="0.25">
      <c r="A182" s="4">
        <v>311</v>
      </c>
      <c r="B182" s="52">
        <v>41</v>
      </c>
      <c r="C182" s="52">
        <v>920</v>
      </c>
      <c r="D182" s="7">
        <v>70499</v>
      </c>
      <c r="E182" s="194" t="s">
        <v>216</v>
      </c>
      <c r="F182" s="215">
        <v>0</v>
      </c>
      <c r="G182" s="215">
        <v>42664</v>
      </c>
      <c r="H182" s="215">
        <v>0</v>
      </c>
      <c r="I182" s="215">
        <v>18470.7</v>
      </c>
      <c r="J182" s="215">
        <v>0</v>
      </c>
      <c r="K182" s="215">
        <v>0</v>
      </c>
    </row>
    <row r="183" spans="1:11" ht="18.75" customHeight="1" x14ac:dyDescent="0.25">
      <c r="A183" s="4">
        <v>321</v>
      </c>
      <c r="B183" s="52">
        <v>41</v>
      </c>
      <c r="C183" s="52">
        <v>930</v>
      </c>
      <c r="D183" s="7">
        <v>70499</v>
      </c>
      <c r="E183" s="194" t="s">
        <v>210</v>
      </c>
      <c r="F183" s="215">
        <v>0</v>
      </c>
      <c r="G183" s="215">
        <v>110166.7</v>
      </c>
      <c r="H183" s="215">
        <v>0</v>
      </c>
      <c r="I183" s="215">
        <v>49051.7</v>
      </c>
      <c r="J183" s="215">
        <v>0</v>
      </c>
      <c r="K183" s="215">
        <v>0</v>
      </c>
    </row>
    <row r="184" spans="1:11" ht="16.5" x14ac:dyDescent="0.25">
      <c r="A184" s="4">
        <v>311</v>
      </c>
      <c r="B184" s="52">
        <v>41</v>
      </c>
      <c r="C184" s="52">
        <v>920</v>
      </c>
      <c r="D184" s="7">
        <v>70499</v>
      </c>
      <c r="E184" s="194" t="s">
        <v>217</v>
      </c>
      <c r="F184" s="215">
        <v>0</v>
      </c>
      <c r="G184" s="215">
        <v>94248.3</v>
      </c>
      <c r="H184" s="215">
        <v>0</v>
      </c>
      <c r="I184" s="215">
        <v>0</v>
      </c>
      <c r="J184" s="215">
        <v>0</v>
      </c>
      <c r="K184" s="215">
        <v>0</v>
      </c>
    </row>
    <row r="185" spans="1:11" ht="16.5" x14ac:dyDescent="0.25">
      <c r="A185" s="4">
        <v>321</v>
      </c>
      <c r="B185" s="52">
        <v>41</v>
      </c>
      <c r="C185" s="52">
        <v>930</v>
      </c>
      <c r="D185" s="7">
        <v>70499</v>
      </c>
      <c r="E185" s="194" t="s">
        <v>211</v>
      </c>
      <c r="F185" s="215">
        <v>0</v>
      </c>
      <c r="G185" s="215">
        <v>167020.29999999999</v>
      </c>
      <c r="H185" s="215">
        <v>0</v>
      </c>
      <c r="I185" s="215">
        <v>0</v>
      </c>
      <c r="J185" s="215">
        <v>0</v>
      </c>
      <c r="K185" s="215">
        <v>0</v>
      </c>
    </row>
    <row r="186" spans="1:11" ht="16.5" x14ac:dyDescent="0.25">
      <c r="A186" s="4">
        <v>311</v>
      </c>
      <c r="B186" s="52">
        <v>41</v>
      </c>
      <c r="C186" s="52">
        <v>920</v>
      </c>
      <c r="D186" s="7">
        <v>70499</v>
      </c>
      <c r="E186" s="194" t="s">
        <v>212</v>
      </c>
      <c r="F186" s="215">
        <v>0</v>
      </c>
      <c r="G186" s="215">
        <v>84033.5</v>
      </c>
      <c r="H186" s="215">
        <v>0</v>
      </c>
      <c r="I186" s="215">
        <v>0</v>
      </c>
      <c r="J186" s="215">
        <v>0</v>
      </c>
      <c r="K186" s="215">
        <v>0</v>
      </c>
    </row>
    <row r="187" spans="1:11" ht="16.5" x14ac:dyDescent="0.25">
      <c r="A187" s="4">
        <v>321</v>
      </c>
      <c r="B187" s="52">
        <v>41</v>
      </c>
      <c r="C187" s="52">
        <v>930</v>
      </c>
      <c r="D187" s="7">
        <v>70499</v>
      </c>
      <c r="E187" s="194" t="s">
        <v>213</v>
      </c>
      <c r="F187" s="215">
        <v>0</v>
      </c>
      <c r="G187" s="215">
        <v>165338.1</v>
      </c>
      <c r="H187" s="215">
        <v>0</v>
      </c>
      <c r="I187" s="215">
        <v>0</v>
      </c>
      <c r="J187" s="215">
        <v>0</v>
      </c>
      <c r="K187" s="215">
        <v>0</v>
      </c>
    </row>
    <row r="188" spans="1:11" ht="16.5" x14ac:dyDescent="0.25">
      <c r="A188" s="4">
        <v>311</v>
      </c>
      <c r="B188" s="52">
        <v>41</v>
      </c>
      <c r="C188" s="52">
        <v>920</v>
      </c>
      <c r="D188" s="7">
        <v>70499</v>
      </c>
      <c r="E188" s="194" t="s">
        <v>214</v>
      </c>
      <c r="F188" s="215">
        <v>0</v>
      </c>
      <c r="G188" s="215">
        <v>98169.5</v>
      </c>
      <c r="H188" s="215">
        <v>0</v>
      </c>
      <c r="I188" s="215">
        <v>0</v>
      </c>
      <c r="J188" s="215">
        <v>0</v>
      </c>
      <c r="K188" s="215">
        <v>0</v>
      </c>
    </row>
    <row r="189" spans="1:11" ht="18.75" customHeight="1" x14ac:dyDescent="0.25">
      <c r="A189" s="4">
        <v>321</v>
      </c>
      <c r="B189" s="52">
        <v>41</v>
      </c>
      <c r="C189" s="52">
        <v>930</v>
      </c>
      <c r="D189" s="7">
        <v>70499</v>
      </c>
      <c r="E189" s="194" t="s">
        <v>215</v>
      </c>
      <c r="F189" s="215">
        <v>0</v>
      </c>
      <c r="G189" s="215">
        <v>168926.2</v>
      </c>
      <c r="H189" s="215">
        <v>0</v>
      </c>
      <c r="I189" s="215">
        <v>0</v>
      </c>
      <c r="J189" s="215">
        <v>0</v>
      </c>
      <c r="K189" s="215">
        <v>0</v>
      </c>
    </row>
    <row r="190" spans="1:11" ht="18.75" customHeight="1" x14ac:dyDescent="0.25">
      <c r="A190" s="4">
        <v>311</v>
      </c>
      <c r="B190" s="52">
        <v>41</v>
      </c>
      <c r="C190" s="52">
        <v>920</v>
      </c>
      <c r="D190" s="7">
        <v>70499</v>
      </c>
      <c r="E190" s="194" t="s">
        <v>201</v>
      </c>
      <c r="F190" s="215">
        <v>0</v>
      </c>
      <c r="G190" s="215">
        <v>195894.39999999999</v>
      </c>
      <c r="H190" s="215">
        <v>0</v>
      </c>
      <c r="I190" s="215">
        <v>0</v>
      </c>
      <c r="J190" s="215">
        <v>0</v>
      </c>
      <c r="K190" s="215">
        <v>0</v>
      </c>
    </row>
    <row r="191" spans="1:11" ht="16.5" x14ac:dyDescent="0.25">
      <c r="A191" s="4">
        <v>321</v>
      </c>
      <c r="B191" s="52">
        <v>41</v>
      </c>
      <c r="C191" s="52">
        <v>930</v>
      </c>
      <c r="D191" s="7">
        <v>70499</v>
      </c>
      <c r="E191" s="194" t="s">
        <v>200</v>
      </c>
      <c r="F191" s="215">
        <v>0</v>
      </c>
      <c r="G191" s="215">
        <v>232050</v>
      </c>
      <c r="H191" s="215">
        <v>0</v>
      </c>
      <c r="I191" s="215">
        <v>116715.1</v>
      </c>
      <c r="J191" s="215">
        <v>0</v>
      </c>
      <c r="K191" s="215">
        <v>0</v>
      </c>
    </row>
    <row r="192" spans="1:11" ht="16.5" x14ac:dyDescent="0.25">
      <c r="A192" s="4">
        <v>311</v>
      </c>
      <c r="B192" s="52">
        <v>41</v>
      </c>
      <c r="C192" s="52">
        <v>920</v>
      </c>
      <c r="D192" s="7">
        <v>70499</v>
      </c>
      <c r="E192" s="194" t="s">
        <v>202</v>
      </c>
      <c r="F192" s="215">
        <v>0</v>
      </c>
      <c r="G192" s="215">
        <v>14851.2</v>
      </c>
      <c r="H192" s="215">
        <v>0</v>
      </c>
      <c r="I192" s="215">
        <v>46882.5</v>
      </c>
      <c r="J192" s="215">
        <v>0</v>
      </c>
      <c r="K192" s="215">
        <v>56385</v>
      </c>
    </row>
    <row r="193" spans="1:11" ht="16.5" x14ac:dyDescent="0.25">
      <c r="A193" s="4">
        <v>321</v>
      </c>
      <c r="B193" s="52">
        <v>41</v>
      </c>
      <c r="C193" s="52">
        <v>930</v>
      </c>
      <c r="D193" s="7">
        <v>70499</v>
      </c>
      <c r="E193" s="194" t="s">
        <v>203</v>
      </c>
      <c r="F193" s="215">
        <v>0</v>
      </c>
      <c r="G193" s="215">
        <v>14851.2</v>
      </c>
      <c r="H193" s="215">
        <v>0</v>
      </c>
      <c r="I193" s="215">
        <v>37506</v>
      </c>
      <c r="J193" s="215">
        <v>0</v>
      </c>
      <c r="K193" s="215">
        <v>60144</v>
      </c>
    </row>
    <row r="194" spans="1:11" ht="16.5" x14ac:dyDescent="0.25">
      <c r="A194" s="4">
        <v>311</v>
      </c>
      <c r="B194" s="52">
        <v>41</v>
      </c>
      <c r="C194" s="52">
        <v>920</v>
      </c>
      <c r="D194" s="7">
        <v>70499</v>
      </c>
      <c r="E194" s="194" t="s">
        <v>204</v>
      </c>
      <c r="F194" s="215">
        <v>0</v>
      </c>
      <c r="G194" s="215">
        <v>52447.7</v>
      </c>
      <c r="H194" s="215">
        <v>0</v>
      </c>
      <c r="I194" s="215">
        <v>28888.6</v>
      </c>
      <c r="J194" s="215">
        <v>0</v>
      </c>
      <c r="K194" s="215">
        <v>72405.5</v>
      </c>
    </row>
    <row r="195" spans="1:11" ht="16.5" x14ac:dyDescent="0.25">
      <c r="A195" s="4">
        <v>321</v>
      </c>
      <c r="B195" s="52">
        <v>41</v>
      </c>
      <c r="C195" s="52">
        <v>930</v>
      </c>
      <c r="D195" s="7">
        <v>70499</v>
      </c>
      <c r="E195" s="194" t="s">
        <v>205</v>
      </c>
      <c r="F195" s="215">
        <v>0</v>
      </c>
      <c r="G195" s="215">
        <v>52447.7</v>
      </c>
      <c r="H195" s="215">
        <v>0</v>
      </c>
      <c r="I195" s="215">
        <v>28888.6</v>
      </c>
      <c r="J195" s="215">
        <v>0</v>
      </c>
      <c r="K195" s="215">
        <v>72405.5</v>
      </c>
    </row>
    <row r="196" spans="1:11" ht="16.5" x14ac:dyDescent="0.25">
      <c r="A196" s="4">
        <v>311</v>
      </c>
      <c r="B196" s="52">
        <v>41</v>
      </c>
      <c r="C196" s="52">
        <v>920</v>
      </c>
      <c r="D196" s="7">
        <v>70499</v>
      </c>
      <c r="E196" s="194" t="s">
        <v>360</v>
      </c>
      <c r="F196" s="215">
        <v>0</v>
      </c>
      <c r="G196" s="215">
        <v>14851.2</v>
      </c>
      <c r="H196" s="215">
        <v>0</v>
      </c>
      <c r="I196" s="215">
        <v>46882.5</v>
      </c>
      <c r="J196" s="215">
        <v>0</v>
      </c>
      <c r="K196" s="215">
        <v>56385</v>
      </c>
    </row>
    <row r="197" spans="1:11" ht="16.5" x14ac:dyDescent="0.25">
      <c r="A197" s="4">
        <v>321</v>
      </c>
      <c r="B197" s="52">
        <v>41</v>
      </c>
      <c r="C197" s="52">
        <v>930</v>
      </c>
      <c r="D197" s="7">
        <v>70499</v>
      </c>
      <c r="E197" s="194" t="s">
        <v>206</v>
      </c>
      <c r="F197" s="215">
        <v>0</v>
      </c>
      <c r="G197" s="215">
        <v>14851.2</v>
      </c>
      <c r="H197" s="215">
        <v>0</v>
      </c>
      <c r="I197" s="215">
        <v>37506</v>
      </c>
      <c r="J197" s="215">
        <v>0</v>
      </c>
      <c r="K197" s="215">
        <v>60144</v>
      </c>
    </row>
    <row r="198" spans="1:11" ht="33" x14ac:dyDescent="0.25">
      <c r="A198" s="4">
        <v>311</v>
      </c>
      <c r="B198" s="52">
        <v>41</v>
      </c>
      <c r="C198" s="52">
        <v>920</v>
      </c>
      <c r="D198" s="7">
        <v>70499</v>
      </c>
      <c r="E198" s="194" t="s">
        <v>208</v>
      </c>
      <c r="F198" s="215">
        <v>0</v>
      </c>
      <c r="G198" s="215">
        <v>72930</v>
      </c>
      <c r="H198" s="215">
        <v>0</v>
      </c>
      <c r="I198" s="215">
        <v>0</v>
      </c>
      <c r="J198" s="215">
        <v>0</v>
      </c>
      <c r="K198" s="215">
        <v>0</v>
      </c>
    </row>
    <row r="199" spans="1:11" ht="33" x14ac:dyDescent="0.25">
      <c r="A199" s="4">
        <v>321</v>
      </c>
      <c r="B199" s="52">
        <v>41</v>
      </c>
      <c r="C199" s="52">
        <v>930</v>
      </c>
      <c r="D199" s="7">
        <v>70499</v>
      </c>
      <c r="E199" s="194" t="s">
        <v>207</v>
      </c>
      <c r="F199" s="215">
        <v>0</v>
      </c>
      <c r="G199" s="215">
        <v>145860</v>
      </c>
      <c r="H199" s="215">
        <v>0</v>
      </c>
      <c r="I199" s="215">
        <v>0</v>
      </c>
      <c r="J199" s="215">
        <v>0</v>
      </c>
      <c r="K199" s="215">
        <v>0</v>
      </c>
    </row>
    <row r="200" spans="1:11" s="208" customFormat="1" ht="16.5" x14ac:dyDescent="0.25">
      <c r="A200" s="4">
        <v>311</v>
      </c>
      <c r="B200" s="52">
        <v>41</v>
      </c>
      <c r="C200" s="52">
        <v>920</v>
      </c>
      <c r="D200" s="7">
        <v>70499</v>
      </c>
      <c r="E200" s="194" t="s">
        <v>466</v>
      </c>
      <c r="F200" s="215"/>
      <c r="G200" s="215"/>
      <c r="H200" s="215"/>
      <c r="I200" s="215"/>
      <c r="J200" s="215"/>
      <c r="K200" s="215"/>
    </row>
    <row r="201" spans="1:11" s="208" customFormat="1" ht="16.5" x14ac:dyDescent="0.25">
      <c r="A201" s="4">
        <v>321</v>
      </c>
      <c r="B201" s="52">
        <v>41</v>
      </c>
      <c r="C201" s="52">
        <v>930</v>
      </c>
      <c r="D201" s="7">
        <v>70499</v>
      </c>
      <c r="E201" s="194" t="s">
        <v>467</v>
      </c>
      <c r="F201" s="215"/>
      <c r="G201" s="215"/>
      <c r="H201" s="215"/>
      <c r="I201" s="215"/>
      <c r="J201" s="215"/>
      <c r="K201" s="215"/>
    </row>
    <row r="202" spans="1:11" ht="18.75" customHeight="1" x14ac:dyDescent="0.25">
      <c r="A202" s="4">
        <v>311</v>
      </c>
      <c r="B202" s="52">
        <v>41</v>
      </c>
      <c r="C202" s="52">
        <v>910</v>
      </c>
      <c r="D202" s="7">
        <v>70499</v>
      </c>
      <c r="E202" s="194" t="s">
        <v>97</v>
      </c>
      <c r="F202" s="215">
        <v>182382.5</v>
      </c>
      <c r="G202" s="215">
        <v>0</v>
      </c>
      <c r="H202" s="215">
        <v>0</v>
      </c>
      <c r="I202" s="215">
        <v>0</v>
      </c>
      <c r="J202" s="215">
        <v>0</v>
      </c>
      <c r="K202" s="215">
        <v>0</v>
      </c>
    </row>
    <row r="203" spans="1:11" ht="16.5" x14ac:dyDescent="0.25">
      <c r="A203" s="4">
        <v>311</v>
      </c>
      <c r="B203" s="52">
        <v>41</v>
      </c>
      <c r="C203" s="52">
        <v>920</v>
      </c>
      <c r="D203" s="7">
        <v>70499</v>
      </c>
      <c r="E203" s="194" t="s">
        <v>98</v>
      </c>
      <c r="F203" s="215">
        <v>0</v>
      </c>
      <c r="G203" s="215">
        <v>509283</v>
      </c>
      <c r="H203" s="215">
        <v>0</v>
      </c>
      <c r="I203" s="215">
        <v>0</v>
      </c>
      <c r="J203" s="215">
        <v>0</v>
      </c>
      <c r="K203" s="215">
        <v>0</v>
      </c>
    </row>
    <row r="204" spans="1:11" ht="16.5" x14ac:dyDescent="0.25">
      <c r="A204" s="4">
        <v>311</v>
      </c>
      <c r="B204" s="52">
        <v>41</v>
      </c>
      <c r="C204" s="52">
        <v>930</v>
      </c>
      <c r="D204" s="7">
        <v>70499</v>
      </c>
      <c r="E204" s="194" t="s">
        <v>99</v>
      </c>
      <c r="F204" s="215">
        <v>0</v>
      </c>
      <c r="G204" s="215">
        <v>947917.6</v>
      </c>
      <c r="H204" s="215">
        <v>0</v>
      </c>
      <c r="I204" s="215">
        <v>0</v>
      </c>
      <c r="J204" s="215">
        <v>0</v>
      </c>
      <c r="K204" s="215">
        <v>0</v>
      </c>
    </row>
    <row r="205" spans="1:11" ht="33" x14ac:dyDescent="0.25">
      <c r="A205" s="4">
        <v>311</v>
      </c>
      <c r="B205" s="52">
        <v>41</v>
      </c>
      <c r="C205" s="52">
        <v>920</v>
      </c>
      <c r="D205" s="7">
        <v>70499</v>
      </c>
      <c r="E205" s="194" t="s">
        <v>224</v>
      </c>
      <c r="F205" s="215">
        <v>0</v>
      </c>
      <c r="G205" s="215">
        <v>406640</v>
      </c>
      <c r="H205" s="215">
        <v>0</v>
      </c>
      <c r="I205" s="215">
        <v>399399.6</v>
      </c>
      <c r="J205" s="215">
        <v>0</v>
      </c>
      <c r="K205" s="215">
        <v>273154</v>
      </c>
    </row>
    <row r="206" spans="1:11" ht="33" x14ac:dyDescent="0.25">
      <c r="A206" s="4">
        <v>311</v>
      </c>
      <c r="B206" s="52">
        <v>41</v>
      </c>
      <c r="C206" s="52">
        <v>930</v>
      </c>
      <c r="D206" s="7">
        <v>70499</v>
      </c>
      <c r="E206" s="194" t="s">
        <v>227</v>
      </c>
      <c r="F206" s="215">
        <v>0</v>
      </c>
      <c r="G206" s="215">
        <v>114920</v>
      </c>
      <c r="H206" s="215">
        <v>0</v>
      </c>
      <c r="I206" s="215">
        <v>241110</v>
      </c>
      <c r="J206" s="215">
        <v>0</v>
      </c>
      <c r="K206" s="215">
        <v>939750</v>
      </c>
    </row>
    <row r="207" spans="1:11" ht="33" x14ac:dyDescent="0.25">
      <c r="A207" s="49">
        <v>311</v>
      </c>
      <c r="B207" s="52">
        <v>41</v>
      </c>
      <c r="C207" s="52">
        <v>930</v>
      </c>
      <c r="D207" s="53">
        <v>70499</v>
      </c>
      <c r="E207" s="194" t="s">
        <v>189</v>
      </c>
      <c r="F207" s="215">
        <v>0</v>
      </c>
      <c r="G207" s="215">
        <v>202612.8</v>
      </c>
      <c r="H207" s="215">
        <v>0</v>
      </c>
      <c r="I207" s="215">
        <v>0</v>
      </c>
      <c r="J207" s="215">
        <v>0</v>
      </c>
      <c r="K207" s="215">
        <v>0</v>
      </c>
    </row>
    <row r="208" spans="1:11" ht="16.5" x14ac:dyDescent="0.25">
      <c r="A208" s="4">
        <v>311</v>
      </c>
      <c r="B208" s="52">
        <v>41</v>
      </c>
      <c r="C208" s="52">
        <v>920</v>
      </c>
      <c r="D208" s="7">
        <v>70499</v>
      </c>
      <c r="E208" s="194" t="s">
        <v>100</v>
      </c>
      <c r="F208" s="215">
        <v>0</v>
      </c>
      <c r="G208" s="215">
        <v>0</v>
      </c>
      <c r="H208" s="215">
        <v>0</v>
      </c>
      <c r="I208" s="215">
        <v>0</v>
      </c>
      <c r="J208" s="215">
        <v>0</v>
      </c>
      <c r="K208" s="215">
        <v>0</v>
      </c>
    </row>
    <row r="209" spans="1:11" ht="16.5" x14ac:dyDescent="0.25">
      <c r="A209" s="4">
        <v>311</v>
      </c>
      <c r="B209" s="52">
        <v>41</v>
      </c>
      <c r="C209" s="52">
        <v>930</v>
      </c>
      <c r="D209" s="7">
        <v>70499</v>
      </c>
      <c r="E209" s="194" t="s">
        <v>101</v>
      </c>
      <c r="F209" s="215">
        <v>0</v>
      </c>
      <c r="G209" s="215">
        <v>0</v>
      </c>
      <c r="H209" s="215">
        <v>0</v>
      </c>
      <c r="I209" s="215">
        <v>0</v>
      </c>
      <c r="J209" s="215">
        <v>0</v>
      </c>
      <c r="K209" s="215">
        <v>0</v>
      </c>
    </row>
    <row r="210" spans="1:11" ht="16.5" x14ac:dyDescent="0.25">
      <c r="A210" s="4">
        <v>311</v>
      </c>
      <c r="B210" s="52">
        <v>41</v>
      </c>
      <c r="C210" s="52">
        <v>920</v>
      </c>
      <c r="D210" s="7">
        <v>70499</v>
      </c>
      <c r="E210" s="194" t="s">
        <v>102</v>
      </c>
      <c r="F210" s="215">
        <v>0</v>
      </c>
      <c r="G210" s="215">
        <v>88400</v>
      </c>
      <c r="H210" s="215">
        <v>0</v>
      </c>
      <c r="I210" s="215">
        <v>0</v>
      </c>
      <c r="J210" s="215">
        <v>0</v>
      </c>
      <c r="K210" s="215">
        <v>0</v>
      </c>
    </row>
    <row r="211" spans="1:11" ht="16.5" x14ac:dyDescent="0.25">
      <c r="A211" s="4">
        <v>311</v>
      </c>
      <c r="B211" s="52">
        <v>41</v>
      </c>
      <c r="C211" s="52">
        <v>930</v>
      </c>
      <c r="D211" s="7">
        <v>70499</v>
      </c>
      <c r="E211" s="194" t="s">
        <v>103</v>
      </c>
      <c r="F211" s="215">
        <v>0</v>
      </c>
      <c r="G211" s="215">
        <v>176800</v>
      </c>
      <c r="H211" s="215">
        <v>0</v>
      </c>
      <c r="I211" s="215">
        <v>0</v>
      </c>
      <c r="J211" s="215">
        <v>0</v>
      </c>
      <c r="K211" s="215">
        <v>0</v>
      </c>
    </row>
    <row r="212" spans="1:11" ht="32.25" customHeight="1" x14ac:dyDescent="0.25">
      <c r="A212" s="4">
        <v>311</v>
      </c>
      <c r="B212" s="52">
        <v>41</v>
      </c>
      <c r="C212" s="52">
        <v>910</v>
      </c>
      <c r="D212" s="7">
        <v>70499</v>
      </c>
      <c r="E212" s="194" t="s">
        <v>104</v>
      </c>
      <c r="F212" s="215">
        <v>88400</v>
      </c>
      <c r="G212" s="215">
        <v>0</v>
      </c>
      <c r="H212" s="215">
        <v>0</v>
      </c>
      <c r="I212" s="215">
        <v>0</v>
      </c>
      <c r="J212" s="215">
        <v>0</v>
      </c>
      <c r="K212" s="215">
        <v>0</v>
      </c>
    </row>
    <row r="213" spans="1:11" ht="33" x14ac:dyDescent="0.25">
      <c r="A213" s="4">
        <v>311</v>
      </c>
      <c r="B213" s="52">
        <v>41</v>
      </c>
      <c r="C213" s="52">
        <v>930</v>
      </c>
      <c r="D213" s="7">
        <v>70499</v>
      </c>
      <c r="E213" s="194" t="s">
        <v>105</v>
      </c>
      <c r="F213" s="215">
        <v>0</v>
      </c>
      <c r="G213" s="215">
        <v>0</v>
      </c>
      <c r="H213" s="215">
        <v>0</v>
      </c>
      <c r="I213" s="215">
        <v>0</v>
      </c>
      <c r="J213" s="215">
        <v>0</v>
      </c>
      <c r="K213" s="215">
        <v>0</v>
      </c>
    </row>
    <row r="214" spans="1:11" ht="33" x14ac:dyDescent="0.25">
      <c r="A214" s="4">
        <v>311</v>
      </c>
      <c r="B214" s="52">
        <v>41</v>
      </c>
      <c r="C214" s="52">
        <v>930</v>
      </c>
      <c r="D214" s="7">
        <v>70499</v>
      </c>
      <c r="E214" s="194" t="s">
        <v>106</v>
      </c>
      <c r="F214" s="215">
        <v>0</v>
      </c>
      <c r="G214" s="215">
        <v>176800</v>
      </c>
      <c r="H214" s="215">
        <v>0</v>
      </c>
      <c r="I214" s="215">
        <v>0</v>
      </c>
      <c r="J214" s="215">
        <v>0</v>
      </c>
      <c r="K214" s="215">
        <v>0</v>
      </c>
    </row>
    <row r="215" spans="1:11" ht="16.5" x14ac:dyDescent="0.25">
      <c r="A215" s="4">
        <v>311</v>
      </c>
      <c r="B215" s="52">
        <v>41</v>
      </c>
      <c r="C215" s="52">
        <v>910</v>
      </c>
      <c r="D215" s="7">
        <v>70499</v>
      </c>
      <c r="E215" s="194" t="s">
        <v>107</v>
      </c>
      <c r="F215" s="215">
        <v>153303.29999999999</v>
      </c>
      <c r="G215" s="215">
        <v>0</v>
      </c>
      <c r="H215" s="215">
        <v>46722.7</v>
      </c>
      <c r="I215" s="215">
        <v>0</v>
      </c>
      <c r="J215" s="215">
        <v>0</v>
      </c>
      <c r="K215" s="215">
        <v>0</v>
      </c>
    </row>
    <row r="216" spans="1:11" ht="33" x14ac:dyDescent="0.25">
      <c r="A216" s="4">
        <v>311</v>
      </c>
      <c r="B216" s="52">
        <v>41</v>
      </c>
      <c r="C216" s="52">
        <v>920</v>
      </c>
      <c r="D216" s="7">
        <v>70499</v>
      </c>
      <c r="E216" s="194" t="s">
        <v>558</v>
      </c>
      <c r="F216" s="215">
        <v>0</v>
      </c>
      <c r="G216" s="215">
        <v>164689.20000000001</v>
      </c>
      <c r="H216" s="215">
        <v>0</v>
      </c>
      <c r="I216" s="215">
        <v>44652.7</v>
      </c>
      <c r="J216" s="215">
        <v>0</v>
      </c>
      <c r="K216" s="215">
        <v>0</v>
      </c>
    </row>
    <row r="217" spans="1:11" ht="33" x14ac:dyDescent="0.25">
      <c r="A217" s="4">
        <v>311</v>
      </c>
      <c r="B217" s="52">
        <v>41</v>
      </c>
      <c r="C217" s="52">
        <v>930</v>
      </c>
      <c r="D217" s="7">
        <v>70499</v>
      </c>
      <c r="E217" s="194" t="s">
        <v>109</v>
      </c>
      <c r="F217" s="215">
        <v>0</v>
      </c>
      <c r="G217" s="215">
        <v>164689.20000000001</v>
      </c>
      <c r="H217" s="215">
        <v>0</v>
      </c>
      <c r="I217" s="215">
        <v>44652.7</v>
      </c>
      <c r="J217" s="215">
        <v>0</v>
      </c>
      <c r="K217" s="215">
        <v>0</v>
      </c>
    </row>
    <row r="218" spans="1:11" ht="35.25" customHeight="1" x14ac:dyDescent="0.25">
      <c r="A218" s="49">
        <v>311</v>
      </c>
      <c r="B218" s="52">
        <v>41</v>
      </c>
      <c r="C218" s="52">
        <v>910</v>
      </c>
      <c r="D218" s="53">
        <v>70499</v>
      </c>
      <c r="E218" s="194" t="s">
        <v>192</v>
      </c>
      <c r="F218" s="215">
        <v>44200</v>
      </c>
      <c r="G218" s="215">
        <v>0</v>
      </c>
      <c r="H218" s="215">
        <v>263435</v>
      </c>
      <c r="I218" s="215">
        <v>0</v>
      </c>
      <c r="J218" s="215">
        <v>246572.5</v>
      </c>
      <c r="K218" s="215">
        <v>0</v>
      </c>
    </row>
    <row r="219" spans="1:11" ht="33" x14ac:dyDescent="0.25">
      <c r="A219" s="49">
        <v>311</v>
      </c>
      <c r="B219" s="52">
        <v>41</v>
      </c>
      <c r="C219" s="52">
        <v>920</v>
      </c>
      <c r="D219" s="53">
        <v>70499</v>
      </c>
      <c r="E219" s="194" t="s">
        <v>190</v>
      </c>
      <c r="F219" s="215">
        <v>0</v>
      </c>
      <c r="G219" s="215">
        <v>66300</v>
      </c>
      <c r="H219" s="215">
        <v>0</v>
      </c>
      <c r="I219" s="215">
        <v>241110</v>
      </c>
      <c r="J219" s="215">
        <v>0</v>
      </c>
      <c r="K219" s="215">
        <v>170050</v>
      </c>
    </row>
    <row r="220" spans="1:11" ht="33" x14ac:dyDescent="0.25">
      <c r="A220" s="49">
        <v>311</v>
      </c>
      <c r="B220" s="52">
        <v>41</v>
      </c>
      <c r="C220" s="52">
        <v>930</v>
      </c>
      <c r="D220" s="53">
        <v>70499</v>
      </c>
      <c r="E220" s="194" t="s">
        <v>191</v>
      </c>
      <c r="F220" s="215">
        <v>0</v>
      </c>
      <c r="G220" s="215">
        <v>132600</v>
      </c>
      <c r="H220" s="215">
        <v>0</v>
      </c>
      <c r="I220" s="215">
        <v>446500</v>
      </c>
      <c r="J220" s="215">
        <v>0</v>
      </c>
      <c r="K220" s="215">
        <v>608600</v>
      </c>
    </row>
    <row r="221" spans="1:11" ht="16.5" x14ac:dyDescent="0.25">
      <c r="A221" s="4">
        <v>311</v>
      </c>
      <c r="B221" s="52">
        <v>41</v>
      </c>
      <c r="C221" s="52">
        <v>910</v>
      </c>
      <c r="D221" s="53">
        <v>70499</v>
      </c>
      <c r="E221" s="194" t="s">
        <v>287</v>
      </c>
      <c r="F221" s="215">
        <v>0</v>
      </c>
      <c r="G221" s="215">
        <v>0</v>
      </c>
      <c r="H221" s="215">
        <v>0</v>
      </c>
      <c r="I221" s="215">
        <v>0</v>
      </c>
      <c r="J221" s="215">
        <v>0</v>
      </c>
      <c r="K221" s="215">
        <v>0</v>
      </c>
    </row>
    <row r="222" spans="1:11" ht="16.5" x14ac:dyDescent="0.25">
      <c r="A222" s="4">
        <v>311</v>
      </c>
      <c r="B222" s="52">
        <v>41</v>
      </c>
      <c r="C222" s="52">
        <v>920</v>
      </c>
      <c r="D222" s="7">
        <v>70499</v>
      </c>
      <c r="E222" s="194" t="s">
        <v>288</v>
      </c>
      <c r="F222" s="215">
        <v>0</v>
      </c>
      <c r="G222" s="215">
        <v>0</v>
      </c>
      <c r="H222" s="215">
        <v>0</v>
      </c>
      <c r="I222" s="215">
        <v>0</v>
      </c>
      <c r="J222" s="215">
        <v>0</v>
      </c>
      <c r="K222" s="215">
        <v>0</v>
      </c>
    </row>
    <row r="223" spans="1:11" ht="18.75" customHeight="1" x14ac:dyDescent="0.25">
      <c r="A223" s="4">
        <v>311</v>
      </c>
      <c r="B223" s="52">
        <v>41</v>
      </c>
      <c r="C223" s="52">
        <v>910</v>
      </c>
      <c r="D223" s="53">
        <v>70499</v>
      </c>
      <c r="E223" s="194" t="s">
        <v>223</v>
      </c>
      <c r="F223" s="215">
        <v>4420</v>
      </c>
      <c r="G223" s="215">
        <v>0</v>
      </c>
      <c r="H223" s="215">
        <v>15994.5</v>
      </c>
      <c r="I223" s="215">
        <v>0</v>
      </c>
      <c r="J223" s="215">
        <v>0</v>
      </c>
      <c r="K223" s="215">
        <v>0</v>
      </c>
    </row>
    <row r="224" spans="1:11" ht="16.5" x14ac:dyDescent="0.25">
      <c r="A224" s="4">
        <v>311</v>
      </c>
      <c r="B224" s="52">
        <v>41</v>
      </c>
      <c r="C224" s="52">
        <v>920</v>
      </c>
      <c r="D224" s="53">
        <v>70499</v>
      </c>
      <c r="E224" s="194" t="s">
        <v>116</v>
      </c>
      <c r="F224" s="215">
        <v>0</v>
      </c>
      <c r="G224" s="215">
        <v>35360</v>
      </c>
      <c r="H224" s="215">
        <v>0</v>
      </c>
      <c r="I224" s="215">
        <v>118106.4</v>
      </c>
      <c r="J224" s="215">
        <v>0</v>
      </c>
      <c r="K224" s="215">
        <v>0</v>
      </c>
    </row>
    <row r="225" spans="1:11" ht="16.5" x14ac:dyDescent="0.25">
      <c r="A225" s="4">
        <v>311</v>
      </c>
      <c r="B225" s="52">
        <v>41</v>
      </c>
      <c r="C225" s="52">
        <v>920</v>
      </c>
      <c r="D225" s="53">
        <v>70499</v>
      </c>
      <c r="E225" s="194" t="s">
        <v>346</v>
      </c>
      <c r="F225" s="215">
        <v>0</v>
      </c>
      <c r="G225" s="215">
        <v>0</v>
      </c>
      <c r="H225" s="215">
        <v>0</v>
      </c>
      <c r="I225" s="215">
        <v>178600</v>
      </c>
      <c r="J225" s="215">
        <v>0</v>
      </c>
      <c r="K225" s="215">
        <v>268500</v>
      </c>
    </row>
    <row r="226" spans="1:11" ht="16.5" x14ac:dyDescent="0.25">
      <c r="A226" s="4">
        <v>311</v>
      </c>
      <c r="B226" s="52">
        <v>41</v>
      </c>
      <c r="C226" s="52">
        <v>920</v>
      </c>
      <c r="D226" s="53">
        <v>70499</v>
      </c>
      <c r="E226" s="194" t="s">
        <v>347</v>
      </c>
      <c r="F226" s="215">
        <v>0</v>
      </c>
      <c r="G226" s="215">
        <v>88400</v>
      </c>
      <c r="H226" s="215">
        <v>0</v>
      </c>
      <c r="I226" s="215">
        <v>267900</v>
      </c>
      <c r="J226" s="215">
        <v>0</v>
      </c>
      <c r="K226" s="215">
        <v>0</v>
      </c>
    </row>
    <row r="227" spans="1:11" ht="16.5" x14ac:dyDescent="0.25">
      <c r="A227" s="4">
        <v>311</v>
      </c>
      <c r="B227" s="52">
        <v>41</v>
      </c>
      <c r="C227" s="52">
        <v>930</v>
      </c>
      <c r="D227" s="53">
        <v>70499</v>
      </c>
      <c r="E227" s="194" t="s">
        <v>348</v>
      </c>
      <c r="F227" s="215">
        <v>0</v>
      </c>
      <c r="G227" s="215">
        <v>48620</v>
      </c>
      <c r="H227" s="215">
        <v>0</v>
      </c>
      <c r="I227" s="215">
        <v>629565</v>
      </c>
      <c r="J227" s="215">
        <v>0</v>
      </c>
      <c r="K227" s="215">
        <v>2461250</v>
      </c>
    </row>
    <row r="228" spans="1:11" ht="16.5" x14ac:dyDescent="0.25">
      <c r="A228" s="4">
        <v>311</v>
      </c>
      <c r="B228" s="52">
        <v>41</v>
      </c>
      <c r="C228" s="52">
        <v>930</v>
      </c>
      <c r="D228" s="53">
        <v>70499</v>
      </c>
      <c r="E228" s="194" t="s">
        <v>349</v>
      </c>
      <c r="F228" s="215">
        <v>0</v>
      </c>
      <c r="G228" s="215">
        <v>0</v>
      </c>
      <c r="H228" s="215">
        <v>0</v>
      </c>
      <c r="I228" s="215">
        <v>178600</v>
      </c>
      <c r="J228" s="215">
        <v>0</v>
      </c>
      <c r="K228" s="215">
        <v>537000</v>
      </c>
    </row>
    <row r="229" spans="1:11" ht="16.5" x14ac:dyDescent="0.25">
      <c r="A229" s="4">
        <v>311</v>
      </c>
      <c r="B229" s="52">
        <v>41</v>
      </c>
      <c r="C229" s="52">
        <v>930</v>
      </c>
      <c r="D229" s="53">
        <v>70499</v>
      </c>
      <c r="E229" s="194" t="s">
        <v>350</v>
      </c>
      <c r="F229" s="215">
        <v>0</v>
      </c>
      <c r="G229" s="215">
        <v>0</v>
      </c>
      <c r="H229" s="215">
        <v>0</v>
      </c>
      <c r="I229" s="215">
        <v>544730</v>
      </c>
      <c r="J229" s="215">
        <v>0</v>
      </c>
      <c r="K229" s="215">
        <v>939750</v>
      </c>
    </row>
    <row r="230" spans="1:11" s="121" customFormat="1" ht="16.5" x14ac:dyDescent="0.25">
      <c r="A230" s="4">
        <v>311</v>
      </c>
      <c r="B230" s="52">
        <v>41</v>
      </c>
      <c r="C230" s="52">
        <v>910</v>
      </c>
      <c r="D230" s="53">
        <v>70499</v>
      </c>
      <c r="E230" s="194" t="s">
        <v>436</v>
      </c>
      <c r="F230" s="215">
        <v>0</v>
      </c>
      <c r="G230" s="215">
        <v>0</v>
      </c>
      <c r="H230" s="215">
        <v>0</v>
      </c>
      <c r="I230" s="215">
        <v>0</v>
      </c>
      <c r="J230" s="215">
        <v>0</v>
      </c>
      <c r="K230" s="215">
        <v>0</v>
      </c>
    </row>
    <row r="231" spans="1:11" s="121" customFormat="1" ht="16.5" x14ac:dyDescent="0.25">
      <c r="A231" s="4">
        <v>311</v>
      </c>
      <c r="B231" s="52">
        <v>41</v>
      </c>
      <c r="C231" s="52">
        <v>930</v>
      </c>
      <c r="D231" s="53">
        <v>70499</v>
      </c>
      <c r="E231" s="194" t="s">
        <v>437</v>
      </c>
      <c r="F231" s="215">
        <v>0</v>
      </c>
      <c r="G231" s="215">
        <v>0</v>
      </c>
      <c r="H231" s="215">
        <v>0</v>
      </c>
      <c r="I231" s="215">
        <v>0</v>
      </c>
      <c r="J231" s="215">
        <v>0</v>
      </c>
      <c r="K231" s="215">
        <v>0</v>
      </c>
    </row>
    <row r="232" spans="1:11" s="121" customFormat="1" ht="33" x14ac:dyDescent="0.25">
      <c r="A232" s="4">
        <v>311</v>
      </c>
      <c r="B232" s="52">
        <v>41</v>
      </c>
      <c r="C232" s="52">
        <v>910</v>
      </c>
      <c r="D232" s="53">
        <v>70499</v>
      </c>
      <c r="E232" s="194" t="s">
        <v>468</v>
      </c>
      <c r="F232" s="216"/>
      <c r="G232" s="216"/>
      <c r="H232" s="216"/>
      <c r="I232" s="216"/>
      <c r="J232" s="215"/>
      <c r="K232" s="215"/>
    </row>
    <row r="233" spans="1:11" s="121" customFormat="1" ht="33" x14ac:dyDescent="0.25">
      <c r="A233" s="4">
        <v>311</v>
      </c>
      <c r="B233" s="52">
        <v>41</v>
      </c>
      <c r="C233" s="52">
        <v>920</v>
      </c>
      <c r="D233" s="53">
        <v>70499</v>
      </c>
      <c r="E233" s="194" t="s">
        <v>469</v>
      </c>
      <c r="F233" s="216"/>
      <c r="G233" s="216"/>
      <c r="H233" s="216"/>
      <c r="I233" s="216"/>
      <c r="J233" s="215"/>
      <c r="K233" s="215"/>
    </row>
    <row r="234" spans="1:11" s="121" customFormat="1" ht="66" x14ac:dyDescent="0.25">
      <c r="A234" s="4">
        <v>311</v>
      </c>
      <c r="B234" s="52">
        <v>41</v>
      </c>
      <c r="C234" s="52">
        <v>920</v>
      </c>
      <c r="D234" s="53">
        <v>70499</v>
      </c>
      <c r="E234" s="194" t="s">
        <v>470</v>
      </c>
      <c r="F234" s="216"/>
      <c r="G234" s="216"/>
      <c r="H234" s="216"/>
      <c r="I234" s="216"/>
      <c r="J234" s="215"/>
      <c r="K234" s="215"/>
    </row>
    <row r="235" spans="1:11" s="121" customFormat="1" ht="15" customHeight="1" x14ac:dyDescent="0.25">
      <c r="A235" s="4"/>
      <c r="B235" s="52"/>
      <c r="C235" s="52"/>
      <c r="D235" s="53"/>
      <c r="E235" s="194"/>
      <c r="F235" s="216"/>
      <c r="G235" s="216"/>
      <c r="H235" s="216"/>
      <c r="I235" s="216"/>
      <c r="J235" s="215"/>
      <c r="K235" s="215"/>
    </row>
    <row r="236" spans="1:11" ht="16.5" x14ac:dyDescent="0.25">
      <c r="A236" s="56"/>
      <c r="B236" s="50"/>
      <c r="C236" s="50"/>
      <c r="D236" s="50"/>
      <c r="E236" s="192" t="s">
        <v>486</v>
      </c>
      <c r="F236" s="213">
        <v>1410765.1</v>
      </c>
      <c r="G236" s="213">
        <v>7005240.1999999993</v>
      </c>
      <c r="H236" s="213">
        <v>1957135.5</v>
      </c>
      <c r="I236" s="213">
        <v>7030645.3000000007</v>
      </c>
      <c r="J236" s="214">
        <v>2131389.7999999998</v>
      </c>
      <c r="K236" s="214">
        <v>6947162</v>
      </c>
    </row>
    <row r="237" spans="1:11" ht="16.5" x14ac:dyDescent="0.25">
      <c r="A237" s="57"/>
      <c r="B237" s="51"/>
      <c r="C237" s="51"/>
      <c r="D237" s="51"/>
      <c r="E237" s="193" t="s">
        <v>6</v>
      </c>
      <c r="F237" s="214">
        <v>1410765.1</v>
      </c>
      <c r="G237" s="214">
        <v>7005240.1999999993</v>
      </c>
      <c r="H237" s="214">
        <v>1957135.5</v>
      </c>
      <c r="I237" s="214">
        <v>7030645.3000000007</v>
      </c>
      <c r="J237" s="214">
        <v>2131389.7999999998</v>
      </c>
      <c r="K237" s="214">
        <v>6947162</v>
      </c>
    </row>
    <row r="238" spans="1:11" ht="33" x14ac:dyDescent="0.25">
      <c r="A238" s="10">
        <v>311</v>
      </c>
      <c r="B238" s="8">
        <v>43</v>
      </c>
      <c r="C238" s="8">
        <v>910</v>
      </c>
      <c r="D238" s="9">
        <v>70499</v>
      </c>
      <c r="E238" s="196" t="s">
        <v>516</v>
      </c>
      <c r="F238" s="215">
        <v>185038.9</v>
      </c>
      <c r="G238" s="215">
        <v>0</v>
      </c>
      <c r="H238" s="215">
        <v>291922.59999999998</v>
      </c>
      <c r="I238" s="215">
        <v>0</v>
      </c>
      <c r="J238" s="215">
        <v>131798.6</v>
      </c>
      <c r="K238" s="215">
        <v>0</v>
      </c>
    </row>
    <row r="239" spans="1:11" ht="33" x14ac:dyDescent="0.25">
      <c r="A239" s="10">
        <v>311</v>
      </c>
      <c r="B239" s="8">
        <v>43</v>
      </c>
      <c r="C239" s="8">
        <v>930</v>
      </c>
      <c r="D239" s="9">
        <v>70499</v>
      </c>
      <c r="E239" s="196" t="s">
        <v>517</v>
      </c>
      <c r="F239" s="215">
        <v>0</v>
      </c>
      <c r="G239" s="215">
        <v>525698.9</v>
      </c>
      <c r="H239" s="215">
        <v>0</v>
      </c>
      <c r="I239" s="215">
        <v>849682.4</v>
      </c>
      <c r="J239" s="215">
        <v>0</v>
      </c>
      <c r="K239" s="215">
        <v>383213</v>
      </c>
    </row>
    <row r="240" spans="1:11" ht="33" x14ac:dyDescent="0.25">
      <c r="A240" s="10">
        <v>311</v>
      </c>
      <c r="B240" s="8">
        <v>43</v>
      </c>
      <c r="C240" s="8">
        <v>930</v>
      </c>
      <c r="D240" s="9">
        <v>70499</v>
      </c>
      <c r="E240" s="196" t="s">
        <v>518</v>
      </c>
      <c r="F240" s="215">
        <v>0</v>
      </c>
      <c r="G240" s="215">
        <v>262937.8</v>
      </c>
      <c r="H240" s="215">
        <v>0</v>
      </c>
      <c r="I240" s="215">
        <v>424983.2</v>
      </c>
      <c r="J240" s="215">
        <v>0</v>
      </c>
      <c r="K240" s="215">
        <v>191670.5</v>
      </c>
    </row>
    <row r="241" spans="1:11" ht="33" x14ac:dyDescent="0.25">
      <c r="A241" s="10">
        <v>311</v>
      </c>
      <c r="B241" s="8">
        <v>43</v>
      </c>
      <c r="C241" s="8">
        <v>920</v>
      </c>
      <c r="D241" s="9">
        <v>70499</v>
      </c>
      <c r="E241" s="196" t="s">
        <v>519</v>
      </c>
      <c r="F241" s="215">
        <v>0</v>
      </c>
      <c r="G241" s="215">
        <v>0</v>
      </c>
      <c r="H241" s="215">
        <v>0</v>
      </c>
      <c r="I241" s="215">
        <v>0</v>
      </c>
      <c r="J241" s="215">
        <v>0</v>
      </c>
      <c r="K241" s="215">
        <v>0</v>
      </c>
    </row>
    <row r="242" spans="1:11" ht="33" x14ac:dyDescent="0.25">
      <c r="A242" s="10">
        <v>311</v>
      </c>
      <c r="B242" s="8">
        <v>43</v>
      </c>
      <c r="C242" s="8">
        <v>930</v>
      </c>
      <c r="D242" s="9">
        <v>70499</v>
      </c>
      <c r="E242" s="196" t="s">
        <v>520</v>
      </c>
      <c r="F242" s="215">
        <v>0</v>
      </c>
      <c r="G242" s="215">
        <v>888205.2</v>
      </c>
      <c r="H242" s="215">
        <v>0</v>
      </c>
      <c r="I242" s="215">
        <v>714400</v>
      </c>
      <c r="J242" s="215">
        <v>0</v>
      </c>
      <c r="K242" s="215">
        <v>609194.30000000005</v>
      </c>
    </row>
    <row r="243" spans="1:11" ht="16.5" x14ac:dyDescent="0.25">
      <c r="A243" s="4">
        <v>311</v>
      </c>
      <c r="B243" s="52">
        <v>43</v>
      </c>
      <c r="C243" s="52">
        <v>910</v>
      </c>
      <c r="D243" s="7">
        <v>70499</v>
      </c>
      <c r="E243" s="196" t="s">
        <v>521</v>
      </c>
      <c r="F243" s="215">
        <v>0</v>
      </c>
      <c r="G243" s="215">
        <v>0</v>
      </c>
      <c r="H243" s="215">
        <v>0</v>
      </c>
      <c r="I243" s="215">
        <v>0</v>
      </c>
      <c r="J243" s="215">
        <v>0</v>
      </c>
      <c r="K243" s="215">
        <v>0</v>
      </c>
    </row>
    <row r="244" spans="1:11" ht="33" x14ac:dyDescent="0.25">
      <c r="A244" s="4">
        <v>311</v>
      </c>
      <c r="B244" s="52">
        <v>43</v>
      </c>
      <c r="C244" s="52">
        <v>930</v>
      </c>
      <c r="D244" s="7">
        <v>70499</v>
      </c>
      <c r="E244" s="196" t="s">
        <v>559</v>
      </c>
      <c r="F244" s="215">
        <v>0</v>
      </c>
      <c r="G244" s="215">
        <v>0</v>
      </c>
      <c r="H244" s="215">
        <v>0</v>
      </c>
      <c r="I244" s="215">
        <v>0</v>
      </c>
      <c r="J244" s="215">
        <v>0</v>
      </c>
      <c r="K244" s="215">
        <v>0</v>
      </c>
    </row>
    <row r="245" spans="1:11" ht="33" x14ac:dyDescent="0.25">
      <c r="A245" s="10">
        <v>311</v>
      </c>
      <c r="B245" s="8">
        <v>43</v>
      </c>
      <c r="C245" s="8">
        <v>910</v>
      </c>
      <c r="D245" s="9">
        <v>70499</v>
      </c>
      <c r="E245" s="196" t="s">
        <v>522</v>
      </c>
      <c r="F245" s="215">
        <v>315240.59999999998</v>
      </c>
      <c r="G245" s="215">
        <v>0</v>
      </c>
      <c r="H245" s="215">
        <v>136682.6</v>
      </c>
      <c r="I245" s="215">
        <v>0</v>
      </c>
      <c r="J245" s="215">
        <v>0</v>
      </c>
      <c r="K245" s="215">
        <v>0</v>
      </c>
    </row>
    <row r="246" spans="1:11" ht="33" x14ac:dyDescent="0.25">
      <c r="A246" s="4">
        <v>311</v>
      </c>
      <c r="B246" s="52">
        <v>43</v>
      </c>
      <c r="C246" s="52">
        <v>930</v>
      </c>
      <c r="D246" s="7">
        <v>70499</v>
      </c>
      <c r="E246" s="196" t="s">
        <v>523</v>
      </c>
      <c r="F246" s="215">
        <v>0</v>
      </c>
      <c r="G246" s="215">
        <v>450601.3</v>
      </c>
      <c r="H246" s="215">
        <v>0</v>
      </c>
      <c r="I246" s="215">
        <v>196457.3</v>
      </c>
      <c r="J246" s="215">
        <v>0</v>
      </c>
      <c r="K246" s="215">
        <v>0</v>
      </c>
    </row>
    <row r="247" spans="1:11" ht="33" x14ac:dyDescent="0.25">
      <c r="A247" s="4">
        <v>311</v>
      </c>
      <c r="B247" s="52">
        <v>43</v>
      </c>
      <c r="C247" s="52">
        <v>930</v>
      </c>
      <c r="D247" s="7">
        <v>70499</v>
      </c>
      <c r="E247" s="196" t="s">
        <v>524</v>
      </c>
      <c r="F247" s="215">
        <v>0</v>
      </c>
      <c r="G247" s="215">
        <v>836619.4</v>
      </c>
      <c r="H247" s="215">
        <v>0</v>
      </c>
      <c r="I247" s="215">
        <v>386276.1</v>
      </c>
      <c r="J247" s="215">
        <v>0</v>
      </c>
      <c r="K247" s="215">
        <v>0</v>
      </c>
    </row>
    <row r="248" spans="1:11" ht="33" x14ac:dyDescent="0.25">
      <c r="A248" s="4">
        <v>311</v>
      </c>
      <c r="B248" s="52">
        <v>43</v>
      </c>
      <c r="C248" s="52">
        <v>930</v>
      </c>
      <c r="D248" s="7">
        <v>70499</v>
      </c>
      <c r="E248" s="196" t="s">
        <v>525</v>
      </c>
      <c r="F248" s="215">
        <v>0</v>
      </c>
      <c r="G248" s="215">
        <v>635925.69999999995</v>
      </c>
      <c r="H248" s="215">
        <v>0</v>
      </c>
      <c r="I248" s="215">
        <v>299389</v>
      </c>
      <c r="J248" s="215">
        <v>0</v>
      </c>
      <c r="K248" s="215">
        <v>0</v>
      </c>
    </row>
    <row r="249" spans="1:11" ht="33" x14ac:dyDescent="0.25">
      <c r="A249" s="4">
        <v>311</v>
      </c>
      <c r="B249" s="52">
        <v>43</v>
      </c>
      <c r="C249" s="52">
        <v>930</v>
      </c>
      <c r="D249" s="7">
        <v>70499</v>
      </c>
      <c r="E249" s="196" t="s">
        <v>526</v>
      </c>
      <c r="F249" s="215">
        <v>0</v>
      </c>
      <c r="G249" s="215">
        <v>245780.3</v>
      </c>
      <c r="H249" s="215">
        <v>0</v>
      </c>
      <c r="I249" s="215">
        <v>106407.2</v>
      </c>
      <c r="J249" s="215">
        <v>0</v>
      </c>
      <c r="K249" s="215">
        <v>0</v>
      </c>
    </row>
    <row r="250" spans="1:11" ht="16.5" x14ac:dyDescent="0.25">
      <c r="A250" s="4">
        <v>311</v>
      </c>
      <c r="B250" s="53">
        <v>43</v>
      </c>
      <c r="C250" s="53">
        <v>910</v>
      </c>
      <c r="D250" s="7">
        <v>70499</v>
      </c>
      <c r="E250" s="196" t="s">
        <v>527</v>
      </c>
      <c r="F250" s="215">
        <v>0</v>
      </c>
      <c r="G250" s="215">
        <v>0</v>
      </c>
      <c r="H250" s="215">
        <v>0</v>
      </c>
      <c r="I250" s="215">
        <v>0</v>
      </c>
      <c r="J250" s="215">
        <v>0</v>
      </c>
      <c r="K250" s="215">
        <v>0</v>
      </c>
    </row>
    <row r="251" spans="1:11" ht="33" x14ac:dyDescent="0.25">
      <c r="A251" s="4">
        <v>311</v>
      </c>
      <c r="B251" s="53">
        <v>43</v>
      </c>
      <c r="C251" s="53">
        <v>930</v>
      </c>
      <c r="D251" s="7">
        <v>70499</v>
      </c>
      <c r="E251" s="202" t="s">
        <v>528</v>
      </c>
      <c r="F251" s="215">
        <v>0</v>
      </c>
      <c r="G251" s="215">
        <v>0</v>
      </c>
      <c r="H251" s="215">
        <v>0</v>
      </c>
      <c r="I251" s="215">
        <v>0</v>
      </c>
      <c r="J251" s="215">
        <v>0</v>
      </c>
      <c r="K251" s="215">
        <v>0</v>
      </c>
    </row>
    <row r="252" spans="1:11" ht="16.5" x14ac:dyDescent="0.25">
      <c r="A252" s="4">
        <v>311</v>
      </c>
      <c r="B252" s="53">
        <v>43</v>
      </c>
      <c r="C252" s="53">
        <v>930</v>
      </c>
      <c r="D252" s="53">
        <v>70499</v>
      </c>
      <c r="E252" s="196" t="s">
        <v>529</v>
      </c>
      <c r="F252" s="215">
        <v>0</v>
      </c>
      <c r="G252" s="215">
        <v>0</v>
      </c>
      <c r="H252" s="215">
        <v>0</v>
      </c>
      <c r="I252" s="215">
        <v>0</v>
      </c>
      <c r="J252" s="215">
        <v>0</v>
      </c>
      <c r="K252" s="215">
        <v>0</v>
      </c>
    </row>
    <row r="253" spans="1:11" ht="16.5" x14ac:dyDescent="0.25">
      <c r="A253" s="4">
        <v>311</v>
      </c>
      <c r="B253" s="53">
        <v>43</v>
      </c>
      <c r="C253" s="53">
        <v>910</v>
      </c>
      <c r="D253" s="53">
        <v>70499</v>
      </c>
      <c r="E253" s="196" t="s">
        <v>530</v>
      </c>
      <c r="F253" s="215">
        <v>0</v>
      </c>
      <c r="G253" s="215">
        <v>0</v>
      </c>
      <c r="H253" s="215">
        <v>0</v>
      </c>
      <c r="I253" s="215">
        <v>0</v>
      </c>
      <c r="J253" s="215">
        <v>0</v>
      </c>
      <c r="K253" s="215">
        <v>0</v>
      </c>
    </row>
    <row r="254" spans="1:11" ht="16.5" x14ac:dyDescent="0.25">
      <c r="A254" s="4">
        <v>311</v>
      </c>
      <c r="B254" s="53">
        <v>43</v>
      </c>
      <c r="C254" s="53">
        <v>920</v>
      </c>
      <c r="D254" s="53">
        <v>70499</v>
      </c>
      <c r="E254" s="196" t="s">
        <v>531</v>
      </c>
      <c r="F254" s="215">
        <v>0</v>
      </c>
      <c r="G254" s="215">
        <v>35360</v>
      </c>
      <c r="H254" s="215">
        <v>0</v>
      </c>
      <c r="I254" s="215">
        <v>98230</v>
      </c>
      <c r="J254" s="215">
        <v>0</v>
      </c>
      <c r="K254" s="215">
        <v>13425</v>
      </c>
    </row>
    <row r="255" spans="1:11" ht="16.5" x14ac:dyDescent="0.25">
      <c r="A255" s="4">
        <v>311</v>
      </c>
      <c r="B255" s="53">
        <v>43</v>
      </c>
      <c r="C255" s="53">
        <v>930</v>
      </c>
      <c r="D255" s="53">
        <v>70499</v>
      </c>
      <c r="E255" s="196" t="s">
        <v>532</v>
      </c>
      <c r="F255" s="215">
        <v>0</v>
      </c>
      <c r="G255" s="215">
        <v>8840</v>
      </c>
      <c r="H255" s="215">
        <v>0</v>
      </c>
      <c r="I255" s="215">
        <v>141076.1</v>
      </c>
      <c r="J255" s="215">
        <v>0</v>
      </c>
      <c r="K255" s="215">
        <v>0</v>
      </c>
    </row>
    <row r="256" spans="1:11" ht="33" x14ac:dyDescent="0.25">
      <c r="A256" s="4">
        <v>311</v>
      </c>
      <c r="B256" s="53">
        <v>43</v>
      </c>
      <c r="C256" s="53">
        <v>910</v>
      </c>
      <c r="D256" s="53">
        <v>70499</v>
      </c>
      <c r="E256" s="196" t="s">
        <v>533</v>
      </c>
      <c r="F256" s="215">
        <v>0</v>
      </c>
      <c r="G256" s="215">
        <v>0</v>
      </c>
      <c r="H256" s="215">
        <v>0</v>
      </c>
      <c r="I256" s="215">
        <v>0</v>
      </c>
      <c r="J256" s="215">
        <v>0</v>
      </c>
      <c r="K256" s="215">
        <v>0</v>
      </c>
    </row>
    <row r="257" spans="1:11" ht="33" x14ac:dyDescent="0.25">
      <c r="A257" s="4">
        <v>311</v>
      </c>
      <c r="B257" s="53">
        <v>43</v>
      </c>
      <c r="C257" s="53">
        <v>920</v>
      </c>
      <c r="D257" s="53">
        <v>70499</v>
      </c>
      <c r="E257" s="196" t="s">
        <v>534</v>
      </c>
      <c r="F257" s="215">
        <v>0</v>
      </c>
      <c r="G257" s="215">
        <v>39780</v>
      </c>
      <c r="H257" s="215">
        <v>0</v>
      </c>
      <c r="I257" s="215">
        <v>35720</v>
      </c>
      <c r="J257" s="215">
        <v>0</v>
      </c>
      <c r="K257" s="215">
        <v>31325</v>
      </c>
    </row>
    <row r="258" spans="1:11" ht="33" x14ac:dyDescent="0.25">
      <c r="A258" s="4">
        <v>311</v>
      </c>
      <c r="B258" s="53">
        <v>43</v>
      </c>
      <c r="C258" s="53">
        <v>930</v>
      </c>
      <c r="D258" s="53">
        <v>70499</v>
      </c>
      <c r="E258" s="196" t="s">
        <v>535</v>
      </c>
      <c r="F258" s="215">
        <v>0</v>
      </c>
      <c r="G258" s="215">
        <v>47444.3</v>
      </c>
      <c r="H258" s="215">
        <v>0</v>
      </c>
      <c r="I258" s="215">
        <v>51177.8</v>
      </c>
      <c r="J258" s="215">
        <v>0</v>
      </c>
      <c r="K258" s="215">
        <v>55642.2</v>
      </c>
    </row>
    <row r="259" spans="1:11" ht="33" x14ac:dyDescent="0.25">
      <c r="A259" s="4">
        <v>311</v>
      </c>
      <c r="B259" s="53">
        <v>43</v>
      </c>
      <c r="C259" s="53">
        <v>910</v>
      </c>
      <c r="D259" s="7">
        <v>70499</v>
      </c>
      <c r="E259" s="196" t="s">
        <v>536</v>
      </c>
      <c r="F259" s="215">
        <v>404545</v>
      </c>
      <c r="G259" s="215">
        <v>0</v>
      </c>
      <c r="H259" s="215">
        <v>1528530.3</v>
      </c>
      <c r="I259" s="215">
        <v>0</v>
      </c>
      <c r="J259" s="215">
        <v>1999591.2</v>
      </c>
      <c r="K259" s="215">
        <v>0</v>
      </c>
    </row>
    <row r="260" spans="1:11" ht="33" x14ac:dyDescent="0.25">
      <c r="A260" s="4">
        <v>311</v>
      </c>
      <c r="B260" s="53">
        <v>43</v>
      </c>
      <c r="C260" s="53">
        <v>920</v>
      </c>
      <c r="D260" s="7">
        <v>70499</v>
      </c>
      <c r="E260" s="196" t="s">
        <v>537</v>
      </c>
      <c r="F260" s="215">
        <v>0</v>
      </c>
      <c r="G260" s="215">
        <v>160737.70000000001</v>
      </c>
      <c r="H260" s="215">
        <v>0</v>
      </c>
      <c r="I260" s="215">
        <v>131253.1</v>
      </c>
      <c r="J260" s="215">
        <v>0</v>
      </c>
      <c r="K260" s="215">
        <v>201786.7</v>
      </c>
    </row>
    <row r="261" spans="1:11" ht="33" x14ac:dyDescent="0.25">
      <c r="A261" s="4">
        <v>311</v>
      </c>
      <c r="B261" s="53">
        <v>43</v>
      </c>
      <c r="C261" s="53">
        <v>930</v>
      </c>
      <c r="D261" s="7">
        <v>70499</v>
      </c>
      <c r="E261" s="196" t="s">
        <v>538</v>
      </c>
      <c r="F261" s="215">
        <v>0</v>
      </c>
      <c r="G261" s="215">
        <v>1072716.3</v>
      </c>
      <c r="H261" s="215">
        <v>0</v>
      </c>
      <c r="I261" s="215">
        <v>1071600</v>
      </c>
      <c r="J261" s="215">
        <v>0</v>
      </c>
      <c r="K261" s="215">
        <v>1724620.3</v>
      </c>
    </row>
    <row r="262" spans="1:11" ht="33" x14ac:dyDescent="0.25">
      <c r="A262" s="4">
        <v>311</v>
      </c>
      <c r="B262" s="53">
        <v>43</v>
      </c>
      <c r="C262" s="53">
        <v>910</v>
      </c>
      <c r="D262" s="7">
        <v>70499</v>
      </c>
      <c r="E262" s="196" t="s">
        <v>539</v>
      </c>
      <c r="F262" s="215">
        <v>0</v>
      </c>
      <c r="G262" s="215">
        <v>0</v>
      </c>
      <c r="H262" s="215">
        <v>0</v>
      </c>
      <c r="I262" s="215">
        <v>0</v>
      </c>
      <c r="J262" s="215">
        <v>0</v>
      </c>
      <c r="K262" s="215">
        <v>0</v>
      </c>
    </row>
    <row r="263" spans="1:11" ht="33" x14ac:dyDescent="0.25">
      <c r="A263" s="4">
        <v>311</v>
      </c>
      <c r="B263" s="53">
        <v>43</v>
      </c>
      <c r="C263" s="53">
        <v>920</v>
      </c>
      <c r="D263" s="7">
        <v>70499</v>
      </c>
      <c r="E263" s="196" t="s">
        <v>540</v>
      </c>
      <c r="F263" s="215">
        <v>0</v>
      </c>
      <c r="G263" s="215">
        <v>61906.5</v>
      </c>
      <c r="H263" s="215">
        <v>0</v>
      </c>
      <c r="I263" s="215">
        <v>125082.5</v>
      </c>
      <c r="J263" s="215">
        <v>0</v>
      </c>
      <c r="K263" s="215">
        <v>94019.8</v>
      </c>
    </row>
    <row r="264" spans="1:11" ht="33" x14ac:dyDescent="0.25">
      <c r="A264" s="4">
        <v>311</v>
      </c>
      <c r="B264" s="53">
        <v>43</v>
      </c>
      <c r="C264" s="53">
        <v>930</v>
      </c>
      <c r="D264" s="7">
        <v>70499</v>
      </c>
      <c r="E264" s="196" t="s">
        <v>255</v>
      </c>
      <c r="F264" s="215">
        <v>0</v>
      </c>
      <c r="G264" s="215">
        <v>427573.1</v>
      </c>
      <c r="H264" s="215">
        <v>0</v>
      </c>
      <c r="I264" s="215">
        <v>267900</v>
      </c>
      <c r="J264" s="215">
        <v>0</v>
      </c>
      <c r="K264" s="215">
        <v>1515127.6</v>
      </c>
    </row>
    <row r="265" spans="1:11" ht="16.5" x14ac:dyDescent="0.25">
      <c r="A265" s="4">
        <v>311</v>
      </c>
      <c r="B265" s="53">
        <v>43</v>
      </c>
      <c r="C265" s="53">
        <v>910</v>
      </c>
      <c r="D265" s="7">
        <v>70499</v>
      </c>
      <c r="E265" s="196" t="s">
        <v>541</v>
      </c>
      <c r="F265" s="215">
        <v>0</v>
      </c>
      <c r="G265" s="215">
        <v>0</v>
      </c>
      <c r="H265" s="215">
        <v>0</v>
      </c>
      <c r="I265" s="215">
        <v>0</v>
      </c>
      <c r="J265" s="215">
        <v>0</v>
      </c>
      <c r="K265" s="215">
        <v>0</v>
      </c>
    </row>
    <row r="266" spans="1:11" ht="16.5" x14ac:dyDescent="0.25">
      <c r="A266" s="4">
        <v>311</v>
      </c>
      <c r="B266" s="53">
        <v>43</v>
      </c>
      <c r="C266" s="53">
        <v>930</v>
      </c>
      <c r="D266" s="7">
        <v>70499</v>
      </c>
      <c r="E266" s="196" t="s">
        <v>542</v>
      </c>
      <c r="F266" s="215">
        <v>0</v>
      </c>
      <c r="G266" s="215">
        <v>8539.4</v>
      </c>
      <c r="H266" s="215">
        <v>0</v>
      </c>
      <c r="I266" s="215">
        <v>2131010.6</v>
      </c>
      <c r="J266" s="215">
        <v>0</v>
      </c>
      <c r="K266" s="215">
        <v>2127137.6</v>
      </c>
    </row>
    <row r="267" spans="1:11" ht="33" x14ac:dyDescent="0.25">
      <c r="A267" s="4">
        <v>311</v>
      </c>
      <c r="B267" s="53">
        <v>43</v>
      </c>
      <c r="C267" s="53">
        <v>920</v>
      </c>
      <c r="D267" s="7">
        <v>70499</v>
      </c>
      <c r="E267" s="196" t="s">
        <v>256</v>
      </c>
      <c r="F267" s="215">
        <v>0</v>
      </c>
      <c r="G267" s="215">
        <v>216580</v>
      </c>
      <c r="H267" s="215">
        <v>0</v>
      </c>
      <c r="I267" s="215">
        <v>0</v>
      </c>
      <c r="J267" s="215">
        <v>0</v>
      </c>
      <c r="K267" s="215">
        <v>0</v>
      </c>
    </row>
    <row r="268" spans="1:11" ht="33" x14ac:dyDescent="0.25">
      <c r="A268" s="4">
        <v>311</v>
      </c>
      <c r="B268" s="53">
        <v>43</v>
      </c>
      <c r="C268" s="53">
        <v>930</v>
      </c>
      <c r="D268" s="7">
        <v>70499</v>
      </c>
      <c r="E268" s="196" t="s">
        <v>257</v>
      </c>
      <c r="F268" s="215">
        <v>0</v>
      </c>
      <c r="G268" s="215">
        <v>44200</v>
      </c>
      <c r="H268" s="215">
        <v>0</v>
      </c>
      <c r="I268" s="215">
        <v>0</v>
      </c>
      <c r="J268" s="215">
        <v>0</v>
      </c>
      <c r="K268" s="215">
        <v>0</v>
      </c>
    </row>
    <row r="269" spans="1:11" ht="16.5" x14ac:dyDescent="0.25">
      <c r="A269" s="4">
        <v>311</v>
      </c>
      <c r="B269" s="53">
        <v>43</v>
      </c>
      <c r="C269" s="53">
        <v>910</v>
      </c>
      <c r="D269" s="53">
        <v>70499</v>
      </c>
      <c r="E269" s="196" t="s">
        <v>258</v>
      </c>
      <c r="F269" s="215">
        <v>6188</v>
      </c>
      <c r="G269" s="215">
        <v>0</v>
      </c>
      <c r="H269" s="215">
        <v>0</v>
      </c>
      <c r="I269" s="215">
        <v>0</v>
      </c>
      <c r="J269" s="215">
        <v>0</v>
      </c>
      <c r="K269" s="215">
        <v>0</v>
      </c>
    </row>
    <row r="270" spans="1:11" ht="16.5" x14ac:dyDescent="0.25">
      <c r="A270" s="4">
        <v>311</v>
      </c>
      <c r="B270" s="53">
        <v>43</v>
      </c>
      <c r="C270" s="53">
        <v>930</v>
      </c>
      <c r="D270" s="53">
        <v>70499</v>
      </c>
      <c r="E270" s="196" t="s">
        <v>259</v>
      </c>
      <c r="F270" s="215">
        <v>0</v>
      </c>
      <c r="G270" s="215">
        <v>291720</v>
      </c>
      <c r="H270" s="215">
        <v>0</v>
      </c>
      <c r="I270" s="215">
        <v>0</v>
      </c>
      <c r="J270" s="215">
        <v>0</v>
      </c>
      <c r="K270" s="215">
        <v>0</v>
      </c>
    </row>
    <row r="271" spans="1:11" ht="33" x14ac:dyDescent="0.25">
      <c r="A271" s="4">
        <v>311</v>
      </c>
      <c r="B271" s="53">
        <v>43</v>
      </c>
      <c r="C271" s="53">
        <v>910</v>
      </c>
      <c r="D271" s="53">
        <v>70499</v>
      </c>
      <c r="E271" s="196" t="s">
        <v>560</v>
      </c>
      <c r="F271" s="215">
        <v>0</v>
      </c>
      <c r="G271" s="215">
        <v>0</v>
      </c>
      <c r="H271" s="215">
        <v>0</v>
      </c>
      <c r="I271" s="215">
        <v>0</v>
      </c>
      <c r="J271" s="215">
        <v>0</v>
      </c>
      <c r="K271" s="215">
        <v>0</v>
      </c>
    </row>
    <row r="272" spans="1:11" ht="33" x14ac:dyDescent="0.25">
      <c r="A272" s="10">
        <v>311</v>
      </c>
      <c r="B272" s="11">
        <v>43</v>
      </c>
      <c r="C272" s="11">
        <v>920</v>
      </c>
      <c r="D272" s="11">
        <v>70499</v>
      </c>
      <c r="E272" s="202" t="s">
        <v>543</v>
      </c>
      <c r="F272" s="215">
        <v>0</v>
      </c>
      <c r="G272" s="215">
        <v>0</v>
      </c>
      <c r="H272" s="215">
        <v>0</v>
      </c>
      <c r="I272" s="215">
        <v>0</v>
      </c>
      <c r="J272" s="215">
        <v>0</v>
      </c>
      <c r="K272" s="215">
        <v>0</v>
      </c>
    </row>
    <row r="273" spans="1:11" ht="16.5" x14ac:dyDescent="0.25">
      <c r="A273" s="10">
        <v>311</v>
      </c>
      <c r="B273" s="11">
        <v>43</v>
      </c>
      <c r="C273" s="11">
        <v>920</v>
      </c>
      <c r="D273" s="11">
        <v>70499</v>
      </c>
      <c r="E273" s="202" t="s">
        <v>555</v>
      </c>
      <c r="F273" s="215">
        <v>0</v>
      </c>
      <c r="G273" s="215">
        <v>0</v>
      </c>
      <c r="H273" s="215">
        <v>0</v>
      </c>
      <c r="I273" s="215">
        <v>0</v>
      </c>
      <c r="J273" s="215">
        <v>0</v>
      </c>
      <c r="K273" s="215">
        <v>0</v>
      </c>
    </row>
    <row r="274" spans="1:11" ht="16.5" x14ac:dyDescent="0.25">
      <c r="A274" s="10">
        <v>311</v>
      </c>
      <c r="B274" s="11">
        <v>43</v>
      </c>
      <c r="C274" s="11">
        <v>910</v>
      </c>
      <c r="D274" s="11">
        <v>70499</v>
      </c>
      <c r="E274" s="202" t="s">
        <v>70</v>
      </c>
      <c r="F274" s="215">
        <v>0</v>
      </c>
      <c r="G274" s="215">
        <v>0</v>
      </c>
      <c r="H274" s="215">
        <v>0</v>
      </c>
      <c r="I274" s="215">
        <v>0</v>
      </c>
      <c r="J274" s="215">
        <v>0</v>
      </c>
      <c r="K274" s="215">
        <v>0</v>
      </c>
    </row>
    <row r="275" spans="1:11" ht="33" x14ac:dyDescent="0.25">
      <c r="A275" s="10">
        <v>311</v>
      </c>
      <c r="B275" s="11">
        <v>43</v>
      </c>
      <c r="C275" s="11">
        <v>920</v>
      </c>
      <c r="D275" s="11">
        <v>70499</v>
      </c>
      <c r="E275" s="202" t="s">
        <v>71</v>
      </c>
      <c r="F275" s="215">
        <v>0</v>
      </c>
      <c r="G275" s="215">
        <v>0</v>
      </c>
      <c r="H275" s="215">
        <v>0</v>
      </c>
      <c r="I275" s="215">
        <v>0</v>
      </c>
      <c r="J275" s="215">
        <v>0</v>
      </c>
      <c r="K275" s="215">
        <v>0</v>
      </c>
    </row>
    <row r="276" spans="1:11" ht="33" x14ac:dyDescent="0.25">
      <c r="A276" s="10">
        <v>321</v>
      </c>
      <c r="B276" s="11">
        <v>43</v>
      </c>
      <c r="C276" s="11">
        <v>930</v>
      </c>
      <c r="D276" s="11">
        <v>70499</v>
      </c>
      <c r="E276" s="202" t="s">
        <v>72</v>
      </c>
      <c r="F276" s="215">
        <v>0</v>
      </c>
      <c r="G276" s="215">
        <v>0</v>
      </c>
      <c r="H276" s="215">
        <v>0</v>
      </c>
      <c r="I276" s="215">
        <v>0</v>
      </c>
      <c r="J276" s="215">
        <v>0</v>
      </c>
      <c r="K276" s="215">
        <v>0</v>
      </c>
    </row>
    <row r="277" spans="1:11" ht="16.5" x14ac:dyDescent="0.25">
      <c r="A277" s="10">
        <v>311</v>
      </c>
      <c r="B277" s="11">
        <v>43</v>
      </c>
      <c r="C277" s="11">
        <v>910</v>
      </c>
      <c r="D277" s="11">
        <v>70499</v>
      </c>
      <c r="E277" s="202" t="s">
        <v>73</v>
      </c>
      <c r="F277" s="215">
        <v>499752.6</v>
      </c>
      <c r="G277" s="215">
        <v>0</v>
      </c>
      <c r="H277" s="215">
        <v>0</v>
      </c>
      <c r="I277" s="215">
        <v>0</v>
      </c>
      <c r="J277" s="215">
        <v>0</v>
      </c>
      <c r="K277" s="215">
        <v>0</v>
      </c>
    </row>
    <row r="278" spans="1:11" ht="16.5" x14ac:dyDescent="0.25">
      <c r="A278" s="10">
        <v>311</v>
      </c>
      <c r="B278" s="11">
        <v>43</v>
      </c>
      <c r="C278" s="11">
        <v>920</v>
      </c>
      <c r="D278" s="11">
        <v>70499</v>
      </c>
      <c r="E278" s="202" t="s">
        <v>74</v>
      </c>
      <c r="F278" s="215">
        <v>0</v>
      </c>
      <c r="G278" s="215">
        <v>556095.19999999995</v>
      </c>
      <c r="H278" s="215">
        <v>0</v>
      </c>
      <c r="I278" s="215">
        <v>0</v>
      </c>
      <c r="J278" s="215">
        <v>0</v>
      </c>
      <c r="K278" s="215">
        <v>0</v>
      </c>
    </row>
    <row r="279" spans="1:11" ht="16.5" x14ac:dyDescent="0.25">
      <c r="A279" s="10">
        <v>321</v>
      </c>
      <c r="B279" s="11">
        <v>43</v>
      </c>
      <c r="C279" s="11">
        <v>930</v>
      </c>
      <c r="D279" s="11">
        <v>70499</v>
      </c>
      <c r="E279" s="202" t="s">
        <v>75</v>
      </c>
      <c r="F279" s="215">
        <v>0</v>
      </c>
      <c r="G279" s="215">
        <v>187979.1</v>
      </c>
      <c r="H279" s="215">
        <v>0</v>
      </c>
      <c r="I279" s="215">
        <v>0</v>
      </c>
      <c r="J279" s="215">
        <v>0</v>
      </c>
      <c r="K279" s="215">
        <v>0</v>
      </c>
    </row>
    <row r="280" spans="1:11" s="208" customFormat="1" ht="33" x14ac:dyDescent="0.25">
      <c r="A280" s="10">
        <v>311</v>
      </c>
      <c r="B280" s="11">
        <v>43</v>
      </c>
      <c r="C280" s="11">
        <v>910</v>
      </c>
      <c r="D280" s="11">
        <v>70499</v>
      </c>
      <c r="E280" s="202" t="s">
        <v>493</v>
      </c>
      <c r="F280" s="215"/>
      <c r="G280" s="215"/>
      <c r="H280" s="215"/>
      <c r="I280" s="215"/>
      <c r="J280" s="215"/>
      <c r="K280" s="215"/>
    </row>
    <row r="281" spans="1:11" s="208" customFormat="1" ht="33" x14ac:dyDescent="0.25">
      <c r="A281" s="10">
        <v>311</v>
      </c>
      <c r="B281" s="11">
        <v>43</v>
      </c>
      <c r="C281" s="11">
        <v>920</v>
      </c>
      <c r="D281" s="11">
        <v>70499</v>
      </c>
      <c r="E281" s="202" t="s">
        <v>494</v>
      </c>
      <c r="F281" s="215"/>
      <c r="G281" s="215"/>
      <c r="H281" s="215"/>
      <c r="I281" s="215"/>
      <c r="J281" s="215"/>
      <c r="K281" s="215"/>
    </row>
    <row r="282" spans="1:11" s="208" customFormat="1" ht="33" x14ac:dyDescent="0.25">
      <c r="A282" s="10">
        <v>311</v>
      </c>
      <c r="B282" s="11">
        <v>43</v>
      </c>
      <c r="C282" s="11">
        <v>930</v>
      </c>
      <c r="D282" s="11">
        <v>70499</v>
      </c>
      <c r="E282" s="202" t="s">
        <v>495</v>
      </c>
      <c r="F282" s="215"/>
      <c r="G282" s="215"/>
      <c r="H282" s="215"/>
      <c r="I282" s="215"/>
      <c r="J282" s="215"/>
      <c r="K282" s="215"/>
    </row>
    <row r="283" spans="1:11" s="208" customFormat="1" ht="33" x14ac:dyDescent="0.25">
      <c r="A283" s="10">
        <v>311</v>
      </c>
      <c r="B283" s="11">
        <v>43</v>
      </c>
      <c r="C283" s="11">
        <v>910</v>
      </c>
      <c r="D283" s="11">
        <v>70499</v>
      </c>
      <c r="E283" s="202" t="s">
        <v>545</v>
      </c>
      <c r="F283" s="215"/>
      <c r="G283" s="215"/>
      <c r="H283" s="215"/>
      <c r="I283" s="215"/>
      <c r="J283" s="215"/>
      <c r="K283" s="215"/>
    </row>
    <row r="284" spans="1:11" ht="33" x14ac:dyDescent="0.25">
      <c r="A284" s="10">
        <v>311</v>
      </c>
      <c r="B284" s="11">
        <v>43</v>
      </c>
      <c r="C284" s="11">
        <v>920</v>
      </c>
      <c r="D284" s="11">
        <v>70499</v>
      </c>
      <c r="E284" s="202" t="s">
        <v>544</v>
      </c>
      <c r="F284" s="215"/>
      <c r="G284" s="215"/>
      <c r="H284" s="215"/>
      <c r="I284" s="215"/>
      <c r="J284" s="215"/>
      <c r="K284" s="215"/>
    </row>
    <row r="285" spans="1:11" s="208" customFormat="1" ht="16.5" x14ac:dyDescent="0.25">
      <c r="A285" s="10">
        <v>311</v>
      </c>
      <c r="B285" s="11">
        <v>43</v>
      </c>
      <c r="C285" s="11">
        <v>910</v>
      </c>
      <c r="D285" s="11">
        <v>70499</v>
      </c>
      <c r="E285" s="202" t="s">
        <v>476</v>
      </c>
      <c r="F285" s="216"/>
      <c r="G285" s="216"/>
      <c r="H285" s="216"/>
      <c r="I285" s="216"/>
      <c r="J285" s="215"/>
      <c r="K285" s="215"/>
    </row>
    <row r="286" spans="1:11" s="208" customFormat="1" ht="16.5" x14ac:dyDescent="0.25">
      <c r="A286" s="10">
        <v>311</v>
      </c>
      <c r="B286" s="11">
        <v>43</v>
      </c>
      <c r="C286" s="11">
        <v>920</v>
      </c>
      <c r="D286" s="11">
        <v>70499</v>
      </c>
      <c r="E286" s="202" t="s">
        <v>477</v>
      </c>
      <c r="F286" s="216"/>
      <c r="G286" s="216"/>
      <c r="H286" s="216"/>
      <c r="I286" s="216"/>
      <c r="J286" s="215"/>
      <c r="K286" s="215"/>
    </row>
    <row r="287" spans="1:11" s="208" customFormat="1" ht="15" customHeight="1" x14ac:dyDescent="0.25">
      <c r="A287" s="10"/>
      <c r="B287" s="11"/>
      <c r="C287" s="11"/>
      <c r="D287" s="11"/>
      <c r="E287" s="202"/>
      <c r="F287" s="216"/>
      <c r="G287" s="216"/>
      <c r="H287" s="216"/>
      <c r="I287" s="216"/>
      <c r="J287" s="215"/>
      <c r="K287" s="215"/>
    </row>
    <row r="288" spans="1:11" ht="33" x14ac:dyDescent="0.25">
      <c r="A288" s="56"/>
      <c r="B288" s="50"/>
      <c r="C288" s="50"/>
      <c r="D288" s="50"/>
      <c r="E288" s="201" t="s">
        <v>434</v>
      </c>
      <c r="F288" s="213">
        <v>167960</v>
      </c>
      <c r="G288" s="213">
        <v>1858079.1</v>
      </c>
      <c r="H288" s="213">
        <v>285760</v>
      </c>
      <c r="I288" s="213">
        <v>1397214.6</v>
      </c>
      <c r="J288" s="214">
        <v>205850</v>
      </c>
      <c r="K288" s="214">
        <v>1558991.6</v>
      </c>
    </row>
    <row r="289" spans="1:11" ht="16.5" x14ac:dyDescent="0.25">
      <c r="A289" s="57"/>
      <c r="B289" s="51"/>
      <c r="C289" s="51"/>
      <c r="D289" s="51"/>
      <c r="E289" s="193" t="s">
        <v>6</v>
      </c>
      <c r="F289" s="214">
        <v>167960</v>
      </c>
      <c r="G289" s="214">
        <v>1858079.1</v>
      </c>
      <c r="H289" s="214">
        <v>285760</v>
      </c>
      <c r="I289" s="214">
        <v>1397214.6</v>
      </c>
      <c r="J289" s="214">
        <v>205850</v>
      </c>
      <c r="K289" s="214">
        <v>1558991.6</v>
      </c>
    </row>
    <row r="290" spans="1:11" ht="20.25" customHeight="1" x14ac:dyDescent="0.25">
      <c r="A290" s="4">
        <v>311</v>
      </c>
      <c r="B290" s="52">
        <v>60</v>
      </c>
      <c r="C290" s="52">
        <v>920</v>
      </c>
      <c r="D290" s="7">
        <v>70499</v>
      </c>
      <c r="E290" s="194" t="s">
        <v>110</v>
      </c>
      <c r="F290" s="215">
        <v>0</v>
      </c>
      <c r="G290" s="215">
        <v>37711.4</v>
      </c>
      <c r="H290" s="215">
        <v>0</v>
      </c>
      <c r="I290" s="215">
        <v>88898.2</v>
      </c>
      <c r="J290" s="215">
        <v>0</v>
      </c>
      <c r="K290" s="215">
        <v>127278</v>
      </c>
    </row>
    <row r="291" spans="1:11" ht="17.25" customHeight="1" x14ac:dyDescent="0.25">
      <c r="A291" s="4">
        <v>321</v>
      </c>
      <c r="B291" s="52">
        <v>60</v>
      </c>
      <c r="C291" s="52">
        <v>930</v>
      </c>
      <c r="D291" s="7">
        <v>70499</v>
      </c>
      <c r="E291" s="194" t="s">
        <v>111</v>
      </c>
      <c r="F291" s="215">
        <v>0</v>
      </c>
      <c r="G291" s="215">
        <v>34131.199999999997</v>
      </c>
      <c r="H291" s="215">
        <v>0</v>
      </c>
      <c r="I291" s="215">
        <v>80441.399999999994</v>
      </c>
      <c r="J291" s="215">
        <v>0</v>
      </c>
      <c r="K291" s="215">
        <v>115168.6</v>
      </c>
    </row>
    <row r="292" spans="1:11" ht="18" customHeight="1" x14ac:dyDescent="0.25">
      <c r="A292" s="4">
        <v>311</v>
      </c>
      <c r="B292" s="52">
        <v>60</v>
      </c>
      <c r="C292" s="52">
        <v>920</v>
      </c>
      <c r="D292" s="7">
        <v>70499</v>
      </c>
      <c r="E292" s="194" t="s">
        <v>112</v>
      </c>
      <c r="F292" s="215">
        <v>0</v>
      </c>
      <c r="G292" s="215">
        <v>176649.7</v>
      </c>
      <c r="H292" s="215">
        <v>0</v>
      </c>
      <c r="I292" s="215">
        <v>0</v>
      </c>
      <c r="J292" s="215">
        <v>0</v>
      </c>
      <c r="K292" s="215">
        <v>0</v>
      </c>
    </row>
    <row r="293" spans="1:11" ht="19.5" customHeight="1" x14ac:dyDescent="0.25">
      <c r="A293" s="49">
        <v>321</v>
      </c>
      <c r="B293" s="52">
        <v>60</v>
      </c>
      <c r="C293" s="52">
        <v>930</v>
      </c>
      <c r="D293" s="53">
        <v>70499</v>
      </c>
      <c r="E293" s="194" t="s">
        <v>113</v>
      </c>
      <c r="F293" s="215">
        <v>0</v>
      </c>
      <c r="G293" s="215">
        <v>448010.8</v>
      </c>
      <c r="H293" s="215">
        <v>0</v>
      </c>
      <c r="I293" s="215">
        <v>0</v>
      </c>
      <c r="J293" s="215">
        <v>0</v>
      </c>
      <c r="K293" s="215">
        <v>0</v>
      </c>
    </row>
    <row r="294" spans="1:11" ht="19.5" customHeight="1" x14ac:dyDescent="0.25">
      <c r="A294" s="49">
        <v>321</v>
      </c>
      <c r="B294" s="52">
        <v>60</v>
      </c>
      <c r="C294" s="52">
        <v>930</v>
      </c>
      <c r="D294" s="53">
        <v>70499</v>
      </c>
      <c r="E294" s="194" t="s">
        <v>199</v>
      </c>
      <c r="F294" s="215">
        <v>0</v>
      </c>
      <c r="G294" s="215">
        <v>0</v>
      </c>
      <c r="H294" s="215">
        <v>0</v>
      </c>
      <c r="I294" s="215">
        <v>0</v>
      </c>
      <c r="J294" s="215">
        <v>0</v>
      </c>
      <c r="K294" s="215">
        <v>0</v>
      </c>
    </row>
    <row r="295" spans="1:11" ht="33" x14ac:dyDescent="0.25">
      <c r="A295" s="4">
        <v>311</v>
      </c>
      <c r="B295" s="52">
        <v>60</v>
      </c>
      <c r="C295" s="52">
        <v>910</v>
      </c>
      <c r="D295" s="53">
        <v>70499</v>
      </c>
      <c r="E295" s="194" t="s">
        <v>292</v>
      </c>
      <c r="F295" s="215">
        <v>167960</v>
      </c>
      <c r="G295" s="215">
        <v>0</v>
      </c>
      <c r="H295" s="215">
        <v>285760</v>
      </c>
      <c r="I295" s="215">
        <v>0</v>
      </c>
      <c r="J295" s="215">
        <v>205850</v>
      </c>
      <c r="K295" s="215">
        <v>0</v>
      </c>
    </row>
    <row r="296" spans="1:11" ht="33" x14ac:dyDescent="0.25">
      <c r="A296" s="4">
        <v>311</v>
      </c>
      <c r="B296" s="52">
        <v>60</v>
      </c>
      <c r="C296" s="52">
        <v>920</v>
      </c>
      <c r="D296" s="53">
        <v>70499</v>
      </c>
      <c r="E296" s="194" t="s">
        <v>293</v>
      </c>
      <c r="F296" s="215">
        <v>0</v>
      </c>
      <c r="G296" s="215">
        <v>648856</v>
      </c>
      <c r="H296" s="215">
        <v>0</v>
      </c>
      <c r="I296" s="215">
        <v>692075</v>
      </c>
      <c r="J296" s="215">
        <v>0</v>
      </c>
      <c r="K296" s="215">
        <v>680200</v>
      </c>
    </row>
    <row r="297" spans="1:11" ht="33" x14ac:dyDescent="0.25">
      <c r="A297" s="4">
        <v>311</v>
      </c>
      <c r="B297" s="52">
        <v>60</v>
      </c>
      <c r="C297" s="52">
        <v>930</v>
      </c>
      <c r="D297" s="53">
        <v>70499</v>
      </c>
      <c r="E297" s="194" t="s">
        <v>294</v>
      </c>
      <c r="F297" s="215">
        <v>0</v>
      </c>
      <c r="G297" s="215">
        <v>512720</v>
      </c>
      <c r="H297" s="215">
        <v>0</v>
      </c>
      <c r="I297" s="215">
        <v>535800</v>
      </c>
      <c r="J297" s="215">
        <v>0</v>
      </c>
      <c r="K297" s="215">
        <v>636345</v>
      </c>
    </row>
    <row r="298" spans="1:11" ht="16.5" x14ac:dyDescent="0.25">
      <c r="A298" s="4">
        <v>311</v>
      </c>
      <c r="B298" s="52">
        <v>60</v>
      </c>
      <c r="C298" s="52">
        <v>910</v>
      </c>
      <c r="D298" s="53">
        <v>70499</v>
      </c>
      <c r="E298" s="194" t="s">
        <v>114</v>
      </c>
      <c r="F298" s="215">
        <v>0</v>
      </c>
      <c r="G298" s="215">
        <v>0</v>
      </c>
      <c r="H298" s="215">
        <v>0</v>
      </c>
      <c r="I298" s="215">
        <v>0</v>
      </c>
      <c r="J298" s="215">
        <v>0</v>
      </c>
      <c r="K298" s="215">
        <v>0</v>
      </c>
    </row>
    <row r="299" spans="1:11" ht="16.5" x14ac:dyDescent="0.25">
      <c r="A299" s="4">
        <v>311</v>
      </c>
      <c r="B299" s="52">
        <v>60</v>
      </c>
      <c r="C299" s="52">
        <v>930</v>
      </c>
      <c r="D299" s="53">
        <v>70499</v>
      </c>
      <c r="E299" s="194" t="s">
        <v>115</v>
      </c>
      <c r="F299" s="215">
        <v>0</v>
      </c>
      <c r="G299" s="215">
        <v>0</v>
      </c>
      <c r="H299" s="215">
        <v>0</v>
      </c>
      <c r="I299" s="215">
        <v>0</v>
      </c>
      <c r="J299" s="215">
        <v>0</v>
      </c>
      <c r="K299" s="215">
        <v>0</v>
      </c>
    </row>
    <row r="300" spans="1:11" ht="16.5" x14ac:dyDescent="0.25">
      <c r="A300" s="4">
        <v>311</v>
      </c>
      <c r="B300" s="52">
        <v>60</v>
      </c>
      <c r="C300" s="52">
        <v>910</v>
      </c>
      <c r="D300" s="53">
        <v>70499</v>
      </c>
      <c r="E300" s="194" t="s">
        <v>228</v>
      </c>
      <c r="F300" s="215">
        <v>0</v>
      </c>
      <c r="G300" s="215">
        <v>0</v>
      </c>
      <c r="H300" s="215">
        <v>0</v>
      </c>
      <c r="I300" s="215">
        <v>0</v>
      </c>
      <c r="J300" s="215">
        <v>0</v>
      </c>
      <c r="K300" s="215">
        <v>0</v>
      </c>
    </row>
    <row r="301" spans="1:11" ht="16.5" x14ac:dyDescent="0.25">
      <c r="A301" s="4">
        <v>311</v>
      </c>
      <c r="B301" s="52">
        <v>60</v>
      </c>
      <c r="C301" s="52">
        <v>930</v>
      </c>
      <c r="D301" s="53">
        <v>70499</v>
      </c>
      <c r="E301" s="194" t="s">
        <v>229</v>
      </c>
      <c r="F301" s="215">
        <v>0</v>
      </c>
      <c r="G301" s="215">
        <v>0</v>
      </c>
      <c r="H301" s="215">
        <v>0</v>
      </c>
      <c r="I301" s="215">
        <v>0</v>
      </c>
      <c r="J301" s="215">
        <v>0</v>
      </c>
      <c r="K301" s="215">
        <v>0</v>
      </c>
    </row>
    <row r="302" spans="1:11" ht="16.5" x14ac:dyDescent="0.25">
      <c r="A302" s="4">
        <v>311</v>
      </c>
      <c r="B302" s="52">
        <v>60</v>
      </c>
      <c r="C302" s="52">
        <v>910</v>
      </c>
      <c r="D302" s="7">
        <v>70499</v>
      </c>
      <c r="E302" s="194" t="s">
        <v>386</v>
      </c>
      <c r="F302" s="215">
        <v>0</v>
      </c>
      <c r="G302" s="215">
        <v>0</v>
      </c>
      <c r="H302" s="215">
        <v>0</v>
      </c>
      <c r="I302" s="215">
        <v>0</v>
      </c>
      <c r="J302" s="215">
        <v>0</v>
      </c>
      <c r="K302" s="215">
        <v>0</v>
      </c>
    </row>
    <row r="303" spans="1:11" ht="33" x14ac:dyDescent="0.25">
      <c r="A303" s="4">
        <v>321</v>
      </c>
      <c r="B303" s="52">
        <v>60</v>
      </c>
      <c r="C303" s="52">
        <v>920</v>
      </c>
      <c r="D303" s="7">
        <v>70499</v>
      </c>
      <c r="E303" s="194" t="s">
        <v>385</v>
      </c>
      <c r="F303" s="215">
        <v>0</v>
      </c>
      <c r="G303" s="215">
        <v>0</v>
      </c>
      <c r="H303" s="215">
        <v>0</v>
      </c>
      <c r="I303" s="215">
        <v>0</v>
      </c>
      <c r="J303" s="215">
        <v>0</v>
      </c>
      <c r="K303" s="215">
        <v>0</v>
      </c>
    </row>
    <row r="304" spans="1:11" ht="33" x14ac:dyDescent="0.25">
      <c r="A304" s="4">
        <v>321</v>
      </c>
      <c r="B304" s="52">
        <v>60</v>
      </c>
      <c r="C304" s="52">
        <v>930</v>
      </c>
      <c r="D304" s="7">
        <v>70499</v>
      </c>
      <c r="E304" s="194" t="s">
        <v>384</v>
      </c>
      <c r="F304" s="215">
        <v>0</v>
      </c>
      <c r="G304" s="215">
        <v>0</v>
      </c>
      <c r="H304" s="215">
        <v>0</v>
      </c>
      <c r="I304" s="215">
        <v>0</v>
      </c>
      <c r="J304" s="215">
        <v>0</v>
      </c>
      <c r="K304" s="215">
        <v>0</v>
      </c>
    </row>
    <row r="305" spans="1:11" ht="16.5" x14ac:dyDescent="0.25">
      <c r="A305" s="4">
        <v>321</v>
      </c>
      <c r="B305" s="52">
        <v>60</v>
      </c>
      <c r="C305" s="52">
        <v>930</v>
      </c>
      <c r="D305" s="7">
        <v>70499</v>
      </c>
      <c r="E305" s="194" t="s">
        <v>404</v>
      </c>
      <c r="F305" s="215">
        <v>0</v>
      </c>
      <c r="G305" s="215">
        <v>0</v>
      </c>
      <c r="H305" s="215">
        <v>0</v>
      </c>
      <c r="I305" s="215">
        <v>0</v>
      </c>
      <c r="J305" s="215">
        <v>0</v>
      </c>
      <c r="K305" s="215">
        <v>0</v>
      </c>
    </row>
    <row r="306" spans="1:11" ht="33" x14ac:dyDescent="0.25">
      <c r="A306" s="4">
        <v>321</v>
      </c>
      <c r="B306" s="52">
        <v>60</v>
      </c>
      <c r="C306" s="52">
        <v>910</v>
      </c>
      <c r="D306" s="7">
        <v>70499</v>
      </c>
      <c r="E306" s="194" t="s">
        <v>415</v>
      </c>
      <c r="F306" s="215">
        <v>0</v>
      </c>
      <c r="G306" s="215">
        <v>0</v>
      </c>
      <c r="H306" s="215">
        <v>0</v>
      </c>
      <c r="I306" s="215">
        <v>0</v>
      </c>
      <c r="J306" s="215">
        <v>0</v>
      </c>
      <c r="K306" s="215">
        <v>0</v>
      </c>
    </row>
    <row r="307" spans="1:11" ht="33" x14ac:dyDescent="0.25">
      <c r="A307" s="4">
        <v>321</v>
      </c>
      <c r="B307" s="52">
        <v>60</v>
      </c>
      <c r="C307" s="52">
        <v>920</v>
      </c>
      <c r="D307" s="7">
        <v>70499</v>
      </c>
      <c r="E307" s="194" t="s">
        <v>426</v>
      </c>
      <c r="F307" s="216"/>
      <c r="G307" s="216"/>
      <c r="H307" s="216"/>
      <c r="I307" s="216"/>
      <c r="J307" s="215"/>
      <c r="K307" s="215"/>
    </row>
    <row r="308" spans="1:11" ht="33" x14ac:dyDescent="0.25">
      <c r="A308" s="4">
        <v>321</v>
      </c>
      <c r="B308" s="52">
        <v>60</v>
      </c>
      <c r="C308" s="52">
        <v>930</v>
      </c>
      <c r="D308" s="7">
        <v>70499</v>
      </c>
      <c r="E308" s="194" t="s">
        <v>445</v>
      </c>
      <c r="F308" s="216"/>
      <c r="G308" s="216"/>
      <c r="H308" s="216"/>
      <c r="I308" s="216"/>
      <c r="J308" s="215"/>
      <c r="K308" s="215"/>
    </row>
    <row r="309" spans="1:11" s="208" customFormat="1" ht="15" customHeight="1" x14ac:dyDescent="0.25">
      <c r="A309" s="4"/>
      <c r="B309" s="52"/>
      <c r="C309" s="52"/>
      <c r="D309" s="7"/>
      <c r="E309" s="194"/>
      <c r="F309" s="216"/>
      <c r="G309" s="216"/>
      <c r="H309" s="216"/>
      <c r="I309" s="216"/>
      <c r="J309" s="215"/>
      <c r="K309" s="215"/>
    </row>
    <row r="310" spans="1:11" ht="16.5" x14ac:dyDescent="0.25">
      <c r="A310" s="56"/>
      <c r="B310" s="50"/>
      <c r="C310" s="50"/>
      <c r="D310" s="50"/>
      <c r="E310" s="192" t="s">
        <v>487</v>
      </c>
      <c r="F310" s="213">
        <v>134368</v>
      </c>
      <c r="G310" s="213">
        <v>3680878.8</v>
      </c>
      <c r="H310" s="213">
        <v>89300</v>
      </c>
      <c r="I310" s="213">
        <v>3737633.7</v>
      </c>
      <c r="J310" s="214">
        <v>39917</v>
      </c>
      <c r="K310" s="214">
        <v>2219304.7000000002</v>
      </c>
    </row>
    <row r="311" spans="1:11" ht="16.5" x14ac:dyDescent="0.25">
      <c r="A311" s="57"/>
      <c r="B311" s="51"/>
      <c r="C311" s="51"/>
      <c r="D311" s="51"/>
      <c r="E311" s="193" t="s">
        <v>6</v>
      </c>
      <c r="F311" s="214">
        <v>134368</v>
      </c>
      <c r="G311" s="214">
        <v>3680878.8</v>
      </c>
      <c r="H311" s="214">
        <v>89300</v>
      </c>
      <c r="I311" s="214">
        <v>3737633.7</v>
      </c>
      <c r="J311" s="214">
        <v>39917</v>
      </c>
      <c r="K311" s="214">
        <v>2219304.7000000002</v>
      </c>
    </row>
    <row r="312" spans="1:11" ht="33" x14ac:dyDescent="0.25">
      <c r="A312" s="4">
        <v>311</v>
      </c>
      <c r="B312" s="53">
        <v>45</v>
      </c>
      <c r="C312" s="53">
        <v>920</v>
      </c>
      <c r="D312" s="53">
        <v>70259</v>
      </c>
      <c r="E312" s="196" t="s">
        <v>561</v>
      </c>
      <c r="F312" s="215">
        <v>0</v>
      </c>
      <c r="G312" s="215">
        <v>0</v>
      </c>
      <c r="H312" s="215">
        <v>0</v>
      </c>
      <c r="I312" s="215">
        <v>0</v>
      </c>
      <c r="J312" s="215">
        <v>0</v>
      </c>
      <c r="K312" s="215">
        <v>0</v>
      </c>
    </row>
    <row r="313" spans="1:11" ht="33" x14ac:dyDescent="0.25">
      <c r="A313" s="4">
        <v>311</v>
      </c>
      <c r="B313" s="53">
        <v>45</v>
      </c>
      <c r="C313" s="53">
        <v>930</v>
      </c>
      <c r="D313" s="53">
        <v>70259</v>
      </c>
      <c r="E313" s="196" t="s">
        <v>46</v>
      </c>
      <c r="F313" s="215">
        <v>0</v>
      </c>
      <c r="G313" s="215">
        <v>0</v>
      </c>
      <c r="H313" s="215">
        <v>0</v>
      </c>
      <c r="I313" s="215">
        <v>0</v>
      </c>
      <c r="J313" s="215">
        <v>0</v>
      </c>
      <c r="K313" s="215">
        <v>0</v>
      </c>
    </row>
    <row r="314" spans="1:11" ht="33" x14ac:dyDescent="0.25">
      <c r="A314" s="4">
        <v>311</v>
      </c>
      <c r="B314" s="53">
        <v>45</v>
      </c>
      <c r="C314" s="53">
        <v>920</v>
      </c>
      <c r="D314" s="53">
        <v>70259</v>
      </c>
      <c r="E314" s="196" t="s">
        <v>546</v>
      </c>
      <c r="F314" s="215">
        <v>0</v>
      </c>
      <c r="G314" s="215">
        <v>1105000</v>
      </c>
      <c r="H314" s="215">
        <v>0</v>
      </c>
      <c r="I314" s="215">
        <v>523199.8</v>
      </c>
      <c r="J314" s="215">
        <v>0</v>
      </c>
      <c r="K314" s="215">
        <v>0</v>
      </c>
    </row>
    <row r="315" spans="1:11" ht="33" x14ac:dyDescent="0.25">
      <c r="A315" s="4">
        <v>311</v>
      </c>
      <c r="B315" s="53">
        <v>45</v>
      </c>
      <c r="C315" s="53">
        <v>930</v>
      </c>
      <c r="D315" s="53">
        <v>70259</v>
      </c>
      <c r="E315" s="196" t="s">
        <v>547</v>
      </c>
      <c r="F315" s="215">
        <v>0</v>
      </c>
      <c r="G315" s="215">
        <v>1105000</v>
      </c>
      <c r="H315" s="215">
        <v>0</v>
      </c>
      <c r="I315" s="215">
        <v>523199.8</v>
      </c>
      <c r="J315" s="215">
        <v>0</v>
      </c>
      <c r="K315" s="215">
        <v>0</v>
      </c>
    </row>
    <row r="316" spans="1:11" ht="36.75" customHeight="1" x14ac:dyDescent="0.25">
      <c r="A316" s="4">
        <v>311</v>
      </c>
      <c r="B316" s="53">
        <v>45</v>
      </c>
      <c r="C316" s="53">
        <v>930</v>
      </c>
      <c r="D316" s="53">
        <v>70259</v>
      </c>
      <c r="E316" s="196" t="s">
        <v>548</v>
      </c>
      <c r="F316" s="215">
        <v>0</v>
      </c>
      <c r="G316" s="215">
        <v>0</v>
      </c>
      <c r="H316" s="215">
        <v>0</v>
      </c>
      <c r="I316" s="215">
        <v>893000</v>
      </c>
      <c r="J316" s="215">
        <v>0</v>
      </c>
      <c r="K316" s="215">
        <v>447500</v>
      </c>
    </row>
    <row r="317" spans="1:11" ht="33" x14ac:dyDescent="0.25">
      <c r="A317" s="4">
        <v>311</v>
      </c>
      <c r="B317" s="53">
        <v>45</v>
      </c>
      <c r="C317" s="53">
        <v>920</v>
      </c>
      <c r="D317" s="53">
        <v>70259</v>
      </c>
      <c r="E317" s="203" t="s">
        <v>232</v>
      </c>
      <c r="F317" s="215">
        <v>0</v>
      </c>
      <c r="G317" s="215">
        <v>100555</v>
      </c>
      <c r="H317" s="215">
        <v>0</v>
      </c>
      <c r="I317" s="215">
        <v>133682.1</v>
      </c>
      <c r="J317" s="215">
        <v>0</v>
      </c>
      <c r="K317" s="215">
        <v>166156.79999999999</v>
      </c>
    </row>
    <row r="318" spans="1:11" ht="33" x14ac:dyDescent="0.25">
      <c r="A318" s="4">
        <v>311</v>
      </c>
      <c r="B318" s="53">
        <v>45</v>
      </c>
      <c r="C318" s="53">
        <v>930</v>
      </c>
      <c r="D318" s="53">
        <v>70259</v>
      </c>
      <c r="E318" s="203" t="s">
        <v>231</v>
      </c>
      <c r="F318" s="215">
        <v>0</v>
      </c>
      <c r="G318" s="215">
        <v>822243.8</v>
      </c>
      <c r="H318" s="215">
        <v>0</v>
      </c>
      <c r="I318" s="215">
        <v>893000</v>
      </c>
      <c r="J318" s="215">
        <v>0</v>
      </c>
      <c r="K318" s="215">
        <v>598146.4</v>
      </c>
    </row>
    <row r="319" spans="1:11" ht="16.5" x14ac:dyDescent="0.25">
      <c r="A319" s="4">
        <v>311</v>
      </c>
      <c r="B319" s="53">
        <v>45</v>
      </c>
      <c r="C319" s="53">
        <v>910</v>
      </c>
      <c r="D319" s="53">
        <v>70259</v>
      </c>
      <c r="E319" s="196" t="s">
        <v>120</v>
      </c>
      <c r="F319" s="215">
        <v>132600</v>
      </c>
      <c r="G319" s="215">
        <v>0</v>
      </c>
      <c r="H319" s="215">
        <v>89300</v>
      </c>
      <c r="I319" s="215">
        <v>0</v>
      </c>
      <c r="J319" s="215">
        <v>39917</v>
      </c>
      <c r="K319" s="215">
        <v>0</v>
      </c>
    </row>
    <row r="320" spans="1:11" ht="16.5" x14ac:dyDescent="0.25">
      <c r="A320" s="4">
        <v>311</v>
      </c>
      <c r="B320" s="53">
        <v>45</v>
      </c>
      <c r="C320" s="53">
        <v>920</v>
      </c>
      <c r="D320" s="53">
        <v>70259</v>
      </c>
      <c r="E320" s="196" t="s">
        <v>121</v>
      </c>
      <c r="F320" s="215">
        <v>0</v>
      </c>
      <c r="G320" s="215">
        <v>300560</v>
      </c>
      <c r="H320" s="215">
        <v>0</v>
      </c>
      <c r="I320" s="215">
        <v>535800</v>
      </c>
      <c r="J320" s="215">
        <v>0</v>
      </c>
      <c r="K320" s="215">
        <v>689060.5</v>
      </c>
    </row>
    <row r="321" spans="1:11" ht="16.5" x14ac:dyDescent="0.25">
      <c r="A321" s="4">
        <v>311</v>
      </c>
      <c r="B321" s="53">
        <v>45</v>
      </c>
      <c r="C321" s="53">
        <v>930</v>
      </c>
      <c r="D321" s="53">
        <v>70259</v>
      </c>
      <c r="E321" s="196" t="s">
        <v>122</v>
      </c>
      <c r="F321" s="215">
        <v>0</v>
      </c>
      <c r="G321" s="215">
        <v>238680</v>
      </c>
      <c r="H321" s="215">
        <v>0</v>
      </c>
      <c r="I321" s="215">
        <v>235752</v>
      </c>
      <c r="J321" s="215">
        <v>0</v>
      </c>
      <c r="K321" s="215">
        <v>318441</v>
      </c>
    </row>
    <row r="322" spans="1:11" ht="31.5" customHeight="1" x14ac:dyDescent="0.25">
      <c r="A322" s="4">
        <v>311</v>
      </c>
      <c r="B322" s="53">
        <v>45</v>
      </c>
      <c r="C322" s="53">
        <v>910</v>
      </c>
      <c r="D322" s="53">
        <v>70259</v>
      </c>
      <c r="E322" s="196" t="s">
        <v>62</v>
      </c>
      <c r="F322" s="215">
        <v>1768</v>
      </c>
      <c r="G322" s="215">
        <v>0</v>
      </c>
      <c r="H322" s="215">
        <v>0</v>
      </c>
      <c r="I322" s="215">
        <v>0</v>
      </c>
      <c r="J322" s="215">
        <v>0</v>
      </c>
      <c r="K322" s="215">
        <v>0</v>
      </c>
    </row>
    <row r="323" spans="1:11" ht="31.5" customHeight="1" x14ac:dyDescent="0.25">
      <c r="A323" s="4">
        <v>311</v>
      </c>
      <c r="B323" s="53">
        <v>45</v>
      </c>
      <c r="C323" s="53">
        <v>920</v>
      </c>
      <c r="D323" s="53">
        <v>70259</v>
      </c>
      <c r="E323" s="196" t="s">
        <v>63</v>
      </c>
      <c r="F323" s="215">
        <v>0</v>
      </c>
      <c r="G323" s="215">
        <v>0</v>
      </c>
      <c r="H323" s="215">
        <v>0</v>
      </c>
      <c r="I323" s="215">
        <v>0</v>
      </c>
      <c r="J323" s="215">
        <v>0</v>
      </c>
      <c r="K323" s="215">
        <v>0</v>
      </c>
    </row>
    <row r="324" spans="1:11" ht="31.5" customHeight="1" x14ac:dyDescent="0.25">
      <c r="A324" s="4">
        <v>311</v>
      </c>
      <c r="B324" s="53">
        <v>45</v>
      </c>
      <c r="C324" s="53">
        <v>930</v>
      </c>
      <c r="D324" s="53">
        <v>70259</v>
      </c>
      <c r="E324" s="196" t="s">
        <v>64</v>
      </c>
      <c r="F324" s="215">
        <v>0</v>
      </c>
      <c r="G324" s="215">
        <v>8840</v>
      </c>
      <c r="H324" s="215">
        <v>0</v>
      </c>
      <c r="I324" s="215">
        <v>0</v>
      </c>
      <c r="J324" s="215">
        <v>0</v>
      </c>
      <c r="K324" s="215">
        <v>0</v>
      </c>
    </row>
    <row r="325" spans="1:11" s="208" customFormat="1" ht="31.5" customHeight="1" x14ac:dyDescent="0.25">
      <c r="A325" s="114">
        <v>311</v>
      </c>
      <c r="B325" s="135">
        <v>45</v>
      </c>
      <c r="C325" s="135">
        <v>910</v>
      </c>
      <c r="D325" s="135">
        <v>70259</v>
      </c>
      <c r="E325" s="211" t="s">
        <v>511</v>
      </c>
      <c r="F325" s="216"/>
      <c r="G325" s="216"/>
      <c r="H325" s="216"/>
      <c r="I325" s="216"/>
      <c r="J325" s="215"/>
      <c r="K325" s="215"/>
    </row>
    <row r="326" spans="1:11" s="208" customFormat="1" ht="31.5" customHeight="1" x14ac:dyDescent="0.25">
      <c r="A326" s="114">
        <v>311</v>
      </c>
      <c r="B326" s="135">
        <v>45</v>
      </c>
      <c r="C326" s="135">
        <v>920</v>
      </c>
      <c r="D326" s="135">
        <v>70259</v>
      </c>
      <c r="E326" s="211" t="s">
        <v>512</v>
      </c>
      <c r="F326" s="216"/>
      <c r="G326" s="216"/>
      <c r="H326" s="216"/>
      <c r="I326" s="216"/>
      <c r="J326" s="215"/>
      <c r="K326" s="215"/>
    </row>
    <row r="327" spans="1:11" s="208" customFormat="1" ht="31.5" customHeight="1" x14ac:dyDescent="0.25">
      <c r="A327" s="114">
        <v>311</v>
      </c>
      <c r="B327" s="135">
        <v>45</v>
      </c>
      <c r="C327" s="135">
        <v>930</v>
      </c>
      <c r="D327" s="135">
        <v>70259</v>
      </c>
      <c r="E327" s="211" t="s">
        <v>513</v>
      </c>
      <c r="F327" s="216"/>
      <c r="G327" s="216"/>
      <c r="H327" s="216"/>
      <c r="I327" s="216"/>
      <c r="J327" s="215"/>
      <c r="K327" s="215"/>
    </row>
    <row r="328" spans="1:11" s="208" customFormat="1" ht="15" customHeight="1" x14ac:dyDescent="0.25">
      <c r="A328" s="114"/>
      <c r="B328" s="135"/>
      <c r="C328" s="135"/>
      <c r="D328" s="135"/>
      <c r="E328" s="211"/>
      <c r="F328" s="216"/>
      <c r="G328" s="216"/>
      <c r="H328" s="216"/>
      <c r="I328" s="216"/>
      <c r="J328" s="215"/>
      <c r="K328" s="215"/>
    </row>
    <row r="329" spans="1:11" ht="16.5" x14ac:dyDescent="0.25">
      <c r="A329" s="56"/>
      <c r="B329" s="50"/>
      <c r="C329" s="50"/>
      <c r="D329" s="50"/>
      <c r="E329" s="192" t="s">
        <v>488</v>
      </c>
      <c r="F329" s="213">
        <v>0</v>
      </c>
      <c r="G329" s="213">
        <v>7983368.7999999998</v>
      </c>
      <c r="H329" s="213">
        <v>0</v>
      </c>
      <c r="I329" s="213">
        <v>10721323.199999999</v>
      </c>
      <c r="J329" s="214">
        <v>0</v>
      </c>
      <c r="K329" s="214">
        <v>4762805.3</v>
      </c>
    </row>
    <row r="330" spans="1:11" ht="16.5" x14ac:dyDescent="0.25">
      <c r="A330" s="57"/>
      <c r="B330" s="51"/>
      <c r="C330" s="51"/>
      <c r="D330" s="51"/>
      <c r="E330" s="193" t="s">
        <v>6</v>
      </c>
      <c r="F330" s="214">
        <v>0</v>
      </c>
      <c r="G330" s="214">
        <v>7983368.7999999998</v>
      </c>
      <c r="H330" s="214">
        <v>0</v>
      </c>
      <c r="I330" s="214">
        <v>10721323.199999999</v>
      </c>
      <c r="J330" s="214">
        <v>0</v>
      </c>
      <c r="K330" s="214">
        <v>4762805.3</v>
      </c>
    </row>
    <row r="331" spans="1:11" ht="33" x14ac:dyDescent="0.25">
      <c r="A331" s="4">
        <v>321</v>
      </c>
      <c r="B331" s="52">
        <v>55</v>
      </c>
      <c r="C331" s="52">
        <v>930</v>
      </c>
      <c r="D331" s="7">
        <v>70499</v>
      </c>
      <c r="E331" s="194" t="s">
        <v>431</v>
      </c>
      <c r="F331" s="215">
        <v>0</v>
      </c>
      <c r="G331" s="215">
        <v>2722720</v>
      </c>
      <c r="H331" s="215">
        <v>0</v>
      </c>
      <c r="I331" s="215">
        <v>2232500</v>
      </c>
      <c r="J331" s="215">
        <v>0</v>
      </c>
      <c r="K331" s="215">
        <v>2078020</v>
      </c>
    </row>
    <row r="332" spans="1:11" ht="16.5" x14ac:dyDescent="0.25">
      <c r="A332" s="4">
        <v>321</v>
      </c>
      <c r="B332" s="52">
        <v>55</v>
      </c>
      <c r="C332" s="52">
        <v>930</v>
      </c>
      <c r="D332" s="7">
        <v>70499</v>
      </c>
      <c r="E332" s="194" t="s">
        <v>432</v>
      </c>
      <c r="F332" s="215">
        <v>0</v>
      </c>
      <c r="G332" s="215">
        <v>85306</v>
      </c>
      <c r="H332" s="215">
        <v>0</v>
      </c>
      <c r="I332" s="215">
        <v>2292956.1</v>
      </c>
      <c r="J332" s="215">
        <v>0</v>
      </c>
      <c r="K332" s="215">
        <v>179000</v>
      </c>
    </row>
    <row r="333" spans="1:11" ht="16.5" x14ac:dyDescent="0.25">
      <c r="A333" s="4">
        <v>311</v>
      </c>
      <c r="B333" s="52">
        <v>55</v>
      </c>
      <c r="C333" s="52">
        <v>910</v>
      </c>
      <c r="D333" s="7">
        <v>70499</v>
      </c>
      <c r="E333" s="194" t="s">
        <v>124</v>
      </c>
      <c r="F333" s="215">
        <v>0</v>
      </c>
      <c r="G333" s="215">
        <v>0</v>
      </c>
      <c r="H333" s="215">
        <v>0</v>
      </c>
      <c r="I333" s="215">
        <v>0</v>
      </c>
      <c r="J333" s="215">
        <v>0</v>
      </c>
      <c r="K333" s="215">
        <v>0</v>
      </c>
    </row>
    <row r="334" spans="1:11" ht="16.5" x14ac:dyDescent="0.25">
      <c r="A334" s="4">
        <v>311</v>
      </c>
      <c r="B334" s="52">
        <v>55</v>
      </c>
      <c r="C334" s="52">
        <v>920</v>
      </c>
      <c r="D334" s="7">
        <v>70499</v>
      </c>
      <c r="E334" s="194" t="s">
        <v>125</v>
      </c>
      <c r="F334" s="215">
        <v>0</v>
      </c>
      <c r="G334" s="217"/>
      <c r="H334" s="215">
        <v>0</v>
      </c>
      <c r="I334" s="215">
        <v>0</v>
      </c>
      <c r="J334" s="215">
        <v>0</v>
      </c>
      <c r="K334" s="215">
        <v>0</v>
      </c>
    </row>
    <row r="335" spans="1:11" ht="16.5" x14ac:dyDescent="0.25">
      <c r="A335" s="4">
        <v>311</v>
      </c>
      <c r="B335" s="52">
        <v>55</v>
      </c>
      <c r="C335" s="52">
        <v>920</v>
      </c>
      <c r="D335" s="7">
        <v>70499</v>
      </c>
      <c r="E335" s="194" t="s">
        <v>126</v>
      </c>
      <c r="F335" s="215">
        <v>0</v>
      </c>
      <c r="G335" s="215">
        <v>123760</v>
      </c>
      <c r="H335" s="215">
        <v>0</v>
      </c>
      <c r="I335" s="215">
        <v>76619.399999999994</v>
      </c>
      <c r="J335" s="215">
        <v>0</v>
      </c>
      <c r="K335" s="215">
        <v>0</v>
      </c>
    </row>
    <row r="336" spans="1:11" ht="16.5" x14ac:dyDescent="0.25">
      <c r="A336" s="4">
        <v>321</v>
      </c>
      <c r="B336" s="52">
        <v>55</v>
      </c>
      <c r="C336" s="52">
        <v>930</v>
      </c>
      <c r="D336" s="7">
        <v>70499</v>
      </c>
      <c r="E336" s="194" t="s">
        <v>127</v>
      </c>
      <c r="F336" s="215">
        <v>0</v>
      </c>
      <c r="G336" s="215">
        <v>71188.5</v>
      </c>
      <c r="H336" s="215">
        <v>0</v>
      </c>
      <c r="I336" s="215">
        <v>179412.6</v>
      </c>
      <c r="J336" s="215">
        <v>0</v>
      </c>
      <c r="K336" s="215">
        <v>0</v>
      </c>
    </row>
    <row r="337" spans="1:11" ht="16.5" x14ac:dyDescent="0.25">
      <c r="A337" s="4">
        <v>311</v>
      </c>
      <c r="B337" s="52">
        <v>55</v>
      </c>
      <c r="C337" s="52">
        <v>930</v>
      </c>
      <c r="D337" s="7">
        <v>70499</v>
      </c>
      <c r="E337" s="194" t="s">
        <v>127</v>
      </c>
      <c r="F337" s="215">
        <v>0</v>
      </c>
      <c r="G337" s="215">
        <v>17211.5</v>
      </c>
      <c r="H337" s="215">
        <v>0</v>
      </c>
      <c r="I337" s="215">
        <v>43364.1</v>
      </c>
      <c r="J337" s="215">
        <v>0</v>
      </c>
      <c r="K337" s="215">
        <v>0</v>
      </c>
    </row>
    <row r="338" spans="1:11" ht="16.5" x14ac:dyDescent="0.25">
      <c r="A338" s="4">
        <v>311</v>
      </c>
      <c r="B338" s="52">
        <v>55</v>
      </c>
      <c r="C338" s="52">
        <v>920</v>
      </c>
      <c r="D338" s="7">
        <v>70499</v>
      </c>
      <c r="E338" s="194" t="s">
        <v>128</v>
      </c>
      <c r="F338" s="215">
        <v>0</v>
      </c>
      <c r="G338" s="215">
        <v>65477.9</v>
      </c>
      <c r="H338" s="215">
        <v>0</v>
      </c>
      <c r="I338" s="215">
        <v>0</v>
      </c>
      <c r="J338" s="215">
        <v>0</v>
      </c>
      <c r="K338" s="215">
        <v>0</v>
      </c>
    </row>
    <row r="339" spans="1:11" ht="16.5" x14ac:dyDescent="0.25">
      <c r="A339" s="4">
        <v>311</v>
      </c>
      <c r="B339" s="52">
        <v>55</v>
      </c>
      <c r="C339" s="52">
        <v>920</v>
      </c>
      <c r="D339" s="7">
        <v>70499</v>
      </c>
      <c r="E339" s="194" t="s">
        <v>129</v>
      </c>
      <c r="F339" s="215">
        <v>0</v>
      </c>
      <c r="G339" s="215">
        <v>168844</v>
      </c>
      <c r="H339" s="215">
        <v>0</v>
      </c>
      <c r="I339" s="215">
        <v>326034.3</v>
      </c>
      <c r="J339" s="215">
        <v>0</v>
      </c>
      <c r="K339" s="215">
        <v>0</v>
      </c>
    </row>
    <row r="340" spans="1:11" ht="16.5" x14ac:dyDescent="0.25">
      <c r="A340" s="4">
        <v>321</v>
      </c>
      <c r="B340" s="52">
        <v>55</v>
      </c>
      <c r="C340" s="52">
        <v>930</v>
      </c>
      <c r="D340" s="7">
        <v>70499</v>
      </c>
      <c r="E340" s="194" t="s">
        <v>130</v>
      </c>
      <c r="F340" s="215">
        <v>0</v>
      </c>
      <c r="G340" s="215">
        <v>122876</v>
      </c>
      <c r="H340" s="215">
        <v>0</v>
      </c>
      <c r="I340" s="215">
        <v>780267.7</v>
      </c>
      <c r="J340" s="215">
        <v>0</v>
      </c>
      <c r="K340" s="215">
        <v>0</v>
      </c>
    </row>
    <row r="341" spans="1:11" ht="16.5" x14ac:dyDescent="0.25">
      <c r="A341" s="4">
        <v>311</v>
      </c>
      <c r="B341" s="52">
        <v>55</v>
      </c>
      <c r="C341" s="52">
        <v>910</v>
      </c>
      <c r="D341" s="7">
        <v>70499</v>
      </c>
      <c r="E341" s="194" t="s">
        <v>131</v>
      </c>
      <c r="F341" s="215">
        <v>0</v>
      </c>
      <c r="G341" s="215">
        <v>0</v>
      </c>
      <c r="H341" s="215">
        <v>0</v>
      </c>
      <c r="I341" s="215">
        <v>0</v>
      </c>
      <c r="J341" s="215">
        <v>0</v>
      </c>
      <c r="K341" s="215">
        <v>0</v>
      </c>
    </row>
    <row r="342" spans="1:11" ht="16.5" x14ac:dyDescent="0.25">
      <c r="A342" s="4">
        <v>311</v>
      </c>
      <c r="B342" s="52">
        <v>55</v>
      </c>
      <c r="C342" s="52">
        <v>920</v>
      </c>
      <c r="D342" s="7">
        <v>70499</v>
      </c>
      <c r="E342" s="194" t="s">
        <v>132</v>
      </c>
      <c r="F342" s="215">
        <v>0</v>
      </c>
      <c r="G342" s="215">
        <v>623220</v>
      </c>
      <c r="H342" s="215">
        <v>0</v>
      </c>
      <c r="I342" s="215">
        <v>787154.5</v>
      </c>
      <c r="J342" s="215">
        <v>0</v>
      </c>
      <c r="K342" s="215">
        <v>89500</v>
      </c>
    </row>
    <row r="343" spans="1:11" ht="16.5" x14ac:dyDescent="0.25">
      <c r="A343" s="4">
        <v>321</v>
      </c>
      <c r="B343" s="52">
        <v>55</v>
      </c>
      <c r="C343" s="52">
        <v>930</v>
      </c>
      <c r="D343" s="7">
        <v>70499</v>
      </c>
      <c r="E343" s="194" t="s">
        <v>133</v>
      </c>
      <c r="F343" s="215">
        <v>0</v>
      </c>
      <c r="G343" s="215">
        <v>718108.6</v>
      </c>
      <c r="H343" s="215">
        <v>0</v>
      </c>
      <c r="I343" s="215">
        <v>1715068.1</v>
      </c>
      <c r="J343" s="215">
        <v>0</v>
      </c>
      <c r="K343" s="215">
        <v>179000</v>
      </c>
    </row>
    <row r="344" spans="1:11" ht="33" x14ac:dyDescent="0.25">
      <c r="A344" s="4">
        <v>311</v>
      </c>
      <c r="B344" s="52">
        <v>55</v>
      </c>
      <c r="C344" s="52">
        <v>920</v>
      </c>
      <c r="D344" s="7">
        <v>70499</v>
      </c>
      <c r="E344" s="194" t="s">
        <v>134</v>
      </c>
      <c r="F344" s="215">
        <v>0</v>
      </c>
      <c r="G344" s="215">
        <v>48699.6</v>
      </c>
      <c r="H344" s="215">
        <v>0</v>
      </c>
      <c r="I344" s="215">
        <v>47409.4</v>
      </c>
      <c r="J344" s="215">
        <v>0</v>
      </c>
      <c r="K344" s="215">
        <v>46817.5</v>
      </c>
    </row>
    <row r="345" spans="1:11" ht="33" x14ac:dyDescent="0.25">
      <c r="A345" s="4">
        <v>311</v>
      </c>
      <c r="B345" s="52">
        <v>55</v>
      </c>
      <c r="C345" s="52">
        <v>920</v>
      </c>
      <c r="D345" s="7">
        <v>70499</v>
      </c>
      <c r="E345" s="194" t="s">
        <v>135</v>
      </c>
      <c r="F345" s="215">
        <v>0</v>
      </c>
      <c r="G345" s="215">
        <v>707200</v>
      </c>
      <c r="H345" s="215">
        <v>0</v>
      </c>
      <c r="I345" s="215">
        <v>0</v>
      </c>
      <c r="J345" s="215">
        <v>0</v>
      </c>
      <c r="K345" s="215">
        <v>0</v>
      </c>
    </row>
    <row r="346" spans="1:11" ht="33" x14ac:dyDescent="0.25">
      <c r="A346" s="4">
        <v>311</v>
      </c>
      <c r="B346" s="52">
        <v>55</v>
      </c>
      <c r="C346" s="52">
        <v>920</v>
      </c>
      <c r="D346" s="7">
        <v>70499</v>
      </c>
      <c r="E346" s="194" t="s">
        <v>136</v>
      </c>
      <c r="F346" s="215">
        <v>0</v>
      </c>
      <c r="G346" s="215">
        <v>314986.90000000002</v>
      </c>
      <c r="H346" s="215">
        <v>0</v>
      </c>
      <c r="I346" s="215">
        <v>0</v>
      </c>
      <c r="J346" s="215">
        <v>0</v>
      </c>
      <c r="K346" s="215">
        <v>0</v>
      </c>
    </row>
    <row r="347" spans="1:11" ht="33" x14ac:dyDescent="0.25">
      <c r="A347" s="4">
        <v>321</v>
      </c>
      <c r="B347" s="52">
        <v>55</v>
      </c>
      <c r="C347" s="52">
        <v>930</v>
      </c>
      <c r="D347" s="7">
        <v>70499</v>
      </c>
      <c r="E347" s="194" t="s">
        <v>137</v>
      </c>
      <c r="F347" s="215">
        <v>0</v>
      </c>
      <c r="G347" s="215">
        <v>283445.8</v>
      </c>
      <c r="H347" s="215">
        <v>0</v>
      </c>
      <c r="I347" s="215">
        <v>446500</v>
      </c>
      <c r="J347" s="215">
        <v>0</v>
      </c>
      <c r="K347" s="215">
        <v>745042.8</v>
      </c>
    </row>
    <row r="348" spans="1:11" ht="16.5" x14ac:dyDescent="0.25">
      <c r="A348" s="4">
        <v>311</v>
      </c>
      <c r="B348" s="52">
        <v>55</v>
      </c>
      <c r="C348" s="52">
        <v>920</v>
      </c>
      <c r="D348" s="7">
        <v>70499</v>
      </c>
      <c r="E348" s="194" t="s">
        <v>448</v>
      </c>
      <c r="F348" s="215">
        <v>0</v>
      </c>
      <c r="G348" s="215">
        <v>0</v>
      </c>
      <c r="H348" s="215">
        <v>0</v>
      </c>
      <c r="I348" s="215">
        <v>0</v>
      </c>
      <c r="J348" s="215">
        <v>0</v>
      </c>
      <c r="K348" s="215">
        <v>0</v>
      </c>
    </row>
    <row r="349" spans="1:11" ht="16.5" x14ac:dyDescent="0.25">
      <c r="A349" s="4">
        <v>321</v>
      </c>
      <c r="B349" s="52">
        <v>55</v>
      </c>
      <c r="C349" s="52">
        <v>930</v>
      </c>
      <c r="D349" s="7">
        <v>70499</v>
      </c>
      <c r="E349" s="194" t="s">
        <v>449</v>
      </c>
      <c r="F349" s="215">
        <v>0</v>
      </c>
      <c r="G349" s="215">
        <v>0</v>
      </c>
      <c r="H349" s="215">
        <v>0</v>
      </c>
      <c r="I349" s="215">
        <v>0</v>
      </c>
      <c r="J349" s="215">
        <v>0</v>
      </c>
      <c r="K349" s="215">
        <v>0</v>
      </c>
    </row>
    <row r="350" spans="1:11" ht="16.5" x14ac:dyDescent="0.25">
      <c r="A350" s="4">
        <v>321</v>
      </c>
      <c r="B350" s="52">
        <v>55</v>
      </c>
      <c r="C350" s="52">
        <v>930</v>
      </c>
      <c r="D350" s="7">
        <v>70499</v>
      </c>
      <c r="E350" s="194" t="s">
        <v>471</v>
      </c>
      <c r="F350" s="215">
        <v>0</v>
      </c>
      <c r="G350" s="215">
        <v>0</v>
      </c>
      <c r="H350" s="215">
        <v>0</v>
      </c>
      <c r="I350" s="215">
        <v>0</v>
      </c>
      <c r="J350" s="215">
        <v>0</v>
      </c>
      <c r="K350" s="215">
        <v>0</v>
      </c>
    </row>
    <row r="351" spans="1:11" ht="16.5" x14ac:dyDescent="0.25">
      <c r="A351" s="4">
        <v>321</v>
      </c>
      <c r="B351" s="52">
        <v>55</v>
      </c>
      <c r="C351" s="52">
        <v>930</v>
      </c>
      <c r="D351" s="7">
        <v>70499</v>
      </c>
      <c r="E351" s="194" t="s">
        <v>472</v>
      </c>
      <c r="F351" s="215">
        <v>0</v>
      </c>
      <c r="G351" s="215">
        <v>0</v>
      </c>
      <c r="H351" s="215">
        <v>0</v>
      </c>
      <c r="I351" s="215">
        <v>0</v>
      </c>
      <c r="J351" s="215">
        <v>0</v>
      </c>
      <c r="K351" s="215">
        <v>0</v>
      </c>
    </row>
    <row r="352" spans="1:11" ht="16.5" x14ac:dyDescent="0.25">
      <c r="A352" s="4">
        <v>311</v>
      </c>
      <c r="B352" s="52">
        <v>55</v>
      </c>
      <c r="C352" s="52">
        <v>920</v>
      </c>
      <c r="D352" s="7">
        <v>70499</v>
      </c>
      <c r="E352" s="194" t="s">
        <v>140</v>
      </c>
      <c r="F352" s="215">
        <v>0</v>
      </c>
      <c r="G352" s="215">
        <v>0</v>
      </c>
      <c r="H352" s="215">
        <v>0</v>
      </c>
      <c r="I352" s="215">
        <v>0</v>
      </c>
      <c r="J352" s="215">
        <v>0</v>
      </c>
      <c r="K352" s="215">
        <v>0</v>
      </c>
    </row>
    <row r="353" spans="1:11" ht="16.5" x14ac:dyDescent="0.25">
      <c r="A353" s="4">
        <v>321</v>
      </c>
      <c r="B353" s="52">
        <v>55</v>
      </c>
      <c r="C353" s="52">
        <v>930</v>
      </c>
      <c r="D353" s="7">
        <v>70499</v>
      </c>
      <c r="E353" s="194" t="s">
        <v>141</v>
      </c>
      <c r="F353" s="215">
        <v>0</v>
      </c>
      <c r="G353" s="215">
        <v>88400</v>
      </c>
      <c r="H353" s="215">
        <v>0</v>
      </c>
      <c r="I353" s="215">
        <v>44650</v>
      </c>
      <c r="J353" s="215">
        <v>0</v>
      </c>
      <c r="K353" s="215">
        <v>0</v>
      </c>
    </row>
    <row r="354" spans="1:11" ht="16.5" x14ac:dyDescent="0.25">
      <c r="A354" s="4">
        <v>311</v>
      </c>
      <c r="B354" s="52">
        <v>55</v>
      </c>
      <c r="C354" s="52">
        <v>920</v>
      </c>
      <c r="D354" s="7">
        <v>70499</v>
      </c>
      <c r="E354" s="194" t="s">
        <v>184</v>
      </c>
      <c r="F354" s="215">
        <v>0</v>
      </c>
      <c r="G354" s="215">
        <v>17680</v>
      </c>
      <c r="H354" s="215">
        <v>0</v>
      </c>
      <c r="I354" s="215">
        <v>17860</v>
      </c>
      <c r="J354" s="215">
        <v>0</v>
      </c>
      <c r="K354" s="215">
        <v>8950</v>
      </c>
    </row>
    <row r="355" spans="1:11" ht="16.5" x14ac:dyDescent="0.25">
      <c r="A355" s="4">
        <v>311</v>
      </c>
      <c r="B355" s="52">
        <v>55</v>
      </c>
      <c r="C355" s="52">
        <v>920</v>
      </c>
      <c r="D355" s="7">
        <v>70499</v>
      </c>
      <c r="E355" s="194" t="s">
        <v>185</v>
      </c>
      <c r="F355" s="215">
        <v>0</v>
      </c>
      <c r="G355" s="215">
        <v>70720</v>
      </c>
      <c r="H355" s="215">
        <v>0</v>
      </c>
      <c r="I355" s="215">
        <v>71440</v>
      </c>
      <c r="J355" s="215">
        <v>0</v>
      </c>
      <c r="K355" s="215">
        <v>35800</v>
      </c>
    </row>
    <row r="356" spans="1:11" ht="18.75" customHeight="1" x14ac:dyDescent="0.25">
      <c r="A356" s="4">
        <v>321</v>
      </c>
      <c r="B356" s="52">
        <v>55</v>
      </c>
      <c r="C356" s="52">
        <v>930</v>
      </c>
      <c r="D356" s="7">
        <v>70499</v>
      </c>
      <c r="E356" s="194" t="s">
        <v>186</v>
      </c>
      <c r="F356" s="215">
        <v>0</v>
      </c>
      <c r="G356" s="215">
        <v>0</v>
      </c>
      <c r="H356" s="215">
        <v>0</v>
      </c>
      <c r="I356" s="215">
        <v>0</v>
      </c>
      <c r="J356" s="215">
        <v>0</v>
      </c>
      <c r="K356" s="215">
        <v>0</v>
      </c>
    </row>
    <row r="357" spans="1:11" ht="16.5" x14ac:dyDescent="0.25">
      <c r="A357" s="4">
        <v>311</v>
      </c>
      <c r="B357" s="52">
        <v>55</v>
      </c>
      <c r="C357" s="52">
        <v>930</v>
      </c>
      <c r="D357" s="7">
        <v>70499</v>
      </c>
      <c r="E357" s="194" t="s">
        <v>142</v>
      </c>
      <c r="F357" s="215">
        <v>0</v>
      </c>
      <c r="G357" s="215">
        <v>22100</v>
      </c>
      <c r="H357" s="215">
        <v>0</v>
      </c>
      <c r="I357" s="215">
        <v>22325</v>
      </c>
      <c r="J357" s="215">
        <v>0</v>
      </c>
      <c r="K357" s="215">
        <v>0</v>
      </c>
    </row>
    <row r="358" spans="1:11" ht="16.5" x14ac:dyDescent="0.25">
      <c r="A358" s="4">
        <v>321</v>
      </c>
      <c r="B358" s="52">
        <v>55</v>
      </c>
      <c r="C358" s="52">
        <v>930</v>
      </c>
      <c r="D358" s="7">
        <v>70499</v>
      </c>
      <c r="E358" s="194" t="s">
        <v>143</v>
      </c>
      <c r="F358" s="215">
        <v>0</v>
      </c>
      <c r="G358" s="215">
        <v>464100</v>
      </c>
      <c r="H358" s="215">
        <v>0</v>
      </c>
      <c r="I358" s="215">
        <v>608133</v>
      </c>
      <c r="J358" s="215">
        <v>0</v>
      </c>
      <c r="K358" s="215">
        <v>671250</v>
      </c>
    </row>
    <row r="359" spans="1:11" ht="16.5" x14ac:dyDescent="0.25">
      <c r="A359" s="4">
        <v>321</v>
      </c>
      <c r="B359" s="52">
        <v>55</v>
      </c>
      <c r="C359" s="52">
        <v>930</v>
      </c>
      <c r="D359" s="7">
        <v>70499</v>
      </c>
      <c r="E359" s="194" t="s">
        <v>144</v>
      </c>
      <c r="F359" s="215">
        <v>0</v>
      </c>
      <c r="G359" s="215">
        <v>451724</v>
      </c>
      <c r="H359" s="215">
        <v>0</v>
      </c>
      <c r="I359" s="215">
        <v>618849</v>
      </c>
      <c r="J359" s="215">
        <v>0</v>
      </c>
      <c r="K359" s="215">
        <v>729425</v>
      </c>
    </row>
    <row r="360" spans="1:11" ht="16.5" x14ac:dyDescent="0.25">
      <c r="A360" s="4">
        <v>311</v>
      </c>
      <c r="B360" s="52">
        <v>55</v>
      </c>
      <c r="C360" s="52">
        <v>930</v>
      </c>
      <c r="D360" s="7">
        <v>70499</v>
      </c>
      <c r="E360" s="194" t="s">
        <v>193</v>
      </c>
      <c r="F360" s="215">
        <v>0</v>
      </c>
      <c r="G360" s="215">
        <v>0</v>
      </c>
      <c r="H360" s="215">
        <v>0</v>
      </c>
      <c r="I360" s="215">
        <v>0</v>
      </c>
      <c r="J360" s="215">
        <v>0</v>
      </c>
      <c r="K360" s="215">
        <v>0</v>
      </c>
    </row>
    <row r="361" spans="1:11" ht="16.5" x14ac:dyDescent="0.25">
      <c r="A361" s="4">
        <v>321</v>
      </c>
      <c r="B361" s="52">
        <v>55</v>
      </c>
      <c r="C361" s="52">
        <v>930</v>
      </c>
      <c r="D361" s="7">
        <v>70499</v>
      </c>
      <c r="E361" s="194" t="s">
        <v>193</v>
      </c>
      <c r="F361" s="215">
        <v>0</v>
      </c>
      <c r="G361" s="215">
        <v>0</v>
      </c>
      <c r="H361" s="215">
        <v>0</v>
      </c>
      <c r="I361" s="215">
        <v>0</v>
      </c>
      <c r="J361" s="215">
        <v>0</v>
      </c>
      <c r="K361" s="215">
        <v>0</v>
      </c>
    </row>
    <row r="362" spans="1:11" ht="33" x14ac:dyDescent="0.25">
      <c r="A362" s="4">
        <v>321</v>
      </c>
      <c r="B362" s="52">
        <v>55</v>
      </c>
      <c r="C362" s="52">
        <v>930</v>
      </c>
      <c r="D362" s="7">
        <v>70499</v>
      </c>
      <c r="E362" s="194" t="s">
        <v>549</v>
      </c>
      <c r="F362" s="215">
        <v>0</v>
      </c>
      <c r="G362" s="215">
        <v>0</v>
      </c>
      <c r="H362" s="215">
        <v>0</v>
      </c>
      <c r="I362" s="215">
        <v>0</v>
      </c>
      <c r="J362" s="215">
        <v>0</v>
      </c>
      <c r="K362" s="215">
        <v>0</v>
      </c>
    </row>
    <row r="363" spans="1:11" ht="16.5" x14ac:dyDescent="0.25">
      <c r="A363" s="4">
        <v>311</v>
      </c>
      <c r="B363" s="52">
        <v>55</v>
      </c>
      <c r="C363" s="52">
        <v>920</v>
      </c>
      <c r="D363" s="7">
        <v>70499</v>
      </c>
      <c r="E363" s="194" t="s">
        <v>268</v>
      </c>
      <c r="F363" s="215">
        <v>0</v>
      </c>
      <c r="G363" s="215">
        <v>0</v>
      </c>
      <c r="H363" s="215">
        <v>0</v>
      </c>
      <c r="I363" s="215">
        <v>0</v>
      </c>
      <c r="J363" s="215">
        <v>0</v>
      </c>
      <c r="K363" s="215">
        <v>0</v>
      </c>
    </row>
    <row r="364" spans="1:11" ht="16.5" x14ac:dyDescent="0.25">
      <c r="A364" s="4">
        <v>321</v>
      </c>
      <c r="B364" s="52">
        <v>55</v>
      </c>
      <c r="C364" s="52">
        <v>930</v>
      </c>
      <c r="D364" s="7">
        <v>70499</v>
      </c>
      <c r="E364" s="194" t="s">
        <v>269</v>
      </c>
      <c r="F364" s="215">
        <v>0</v>
      </c>
      <c r="G364" s="215">
        <v>0</v>
      </c>
      <c r="H364" s="215">
        <v>0</v>
      </c>
      <c r="I364" s="215">
        <v>0</v>
      </c>
      <c r="J364" s="215">
        <v>0</v>
      </c>
      <c r="K364" s="215">
        <v>0</v>
      </c>
    </row>
    <row r="365" spans="1:11" ht="33" x14ac:dyDescent="0.25">
      <c r="A365" s="4">
        <v>311</v>
      </c>
      <c r="B365" s="52">
        <v>55</v>
      </c>
      <c r="C365" s="52">
        <v>920</v>
      </c>
      <c r="D365" s="7">
        <v>70499</v>
      </c>
      <c r="E365" s="194" t="s">
        <v>270</v>
      </c>
      <c r="F365" s="215">
        <v>0</v>
      </c>
      <c r="G365" s="215">
        <v>0</v>
      </c>
      <c r="H365" s="215">
        <v>0</v>
      </c>
      <c r="I365" s="215">
        <v>0</v>
      </c>
      <c r="J365" s="215">
        <v>0</v>
      </c>
      <c r="K365" s="215">
        <v>0</v>
      </c>
    </row>
    <row r="366" spans="1:11" ht="33" x14ac:dyDescent="0.25">
      <c r="A366" s="4">
        <v>321</v>
      </c>
      <c r="B366" s="52">
        <v>55</v>
      </c>
      <c r="C366" s="52">
        <v>930</v>
      </c>
      <c r="D366" s="7">
        <v>70499</v>
      </c>
      <c r="E366" s="194" t="s">
        <v>271</v>
      </c>
      <c r="F366" s="215">
        <v>0</v>
      </c>
      <c r="G366" s="215">
        <v>0</v>
      </c>
      <c r="H366" s="215">
        <v>0</v>
      </c>
      <c r="I366" s="215">
        <v>0</v>
      </c>
      <c r="J366" s="215">
        <v>0</v>
      </c>
      <c r="K366" s="215">
        <v>0</v>
      </c>
    </row>
    <row r="367" spans="1:11" ht="33" x14ac:dyDescent="0.25">
      <c r="A367" s="4">
        <v>321</v>
      </c>
      <c r="B367" s="52">
        <v>55</v>
      </c>
      <c r="C367" s="52">
        <v>930</v>
      </c>
      <c r="D367" s="7">
        <v>70499</v>
      </c>
      <c r="E367" s="194" t="s">
        <v>433</v>
      </c>
      <c r="F367" s="215">
        <v>0</v>
      </c>
      <c r="G367" s="215">
        <v>0</v>
      </c>
      <c r="H367" s="215">
        <v>0</v>
      </c>
      <c r="I367" s="215">
        <v>0</v>
      </c>
      <c r="J367" s="215">
        <v>0</v>
      </c>
      <c r="K367" s="215">
        <v>0</v>
      </c>
    </row>
    <row r="368" spans="1:11" ht="33" x14ac:dyDescent="0.25">
      <c r="A368" s="4">
        <v>311</v>
      </c>
      <c r="B368" s="52">
        <v>55</v>
      </c>
      <c r="C368" s="52">
        <v>910</v>
      </c>
      <c r="D368" s="7">
        <v>70499</v>
      </c>
      <c r="E368" s="194" t="s">
        <v>453</v>
      </c>
      <c r="F368" s="215">
        <v>0</v>
      </c>
      <c r="G368" s="215">
        <v>0</v>
      </c>
      <c r="H368" s="215">
        <v>0</v>
      </c>
      <c r="I368" s="215">
        <v>0</v>
      </c>
      <c r="J368" s="215">
        <v>0</v>
      </c>
      <c r="K368" s="215">
        <v>0</v>
      </c>
    </row>
    <row r="369" spans="1:11" ht="33" x14ac:dyDescent="0.25">
      <c r="A369" s="4">
        <v>311</v>
      </c>
      <c r="B369" s="52">
        <v>55</v>
      </c>
      <c r="C369" s="52">
        <v>920</v>
      </c>
      <c r="D369" s="7">
        <v>70499</v>
      </c>
      <c r="E369" s="194" t="s">
        <v>454</v>
      </c>
      <c r="F369" s="215">
        <v>0</v>
      </c>
      <c r="G369" s="215">
        <v>0</v>
      </c>
      <c r="H369" s="215">
        <v>0</v>
      </c>
      <c r="I369" s="215">
        <v>0</v>
      </c>
      <c r="J369" s="215">
        <v>0</v>
      </c>
      <c r="K369" s="215">
        <v>0</v>
      </c>
    </row>
    <row r="370" spans="1:11" ht="33" x14ac:dyDescent="0.25">
      <c r="A370" s="4">
        <v>321</v>
      </c>
      <c r="B370" s="52">
        <v>55</v>
      </c>
      <c r="C370" s="52">
        <v>930</v>
      </c>
      <c r="D370" s="7">
        <v>70499</v>
      </c>
      <c r="E370" s="194" t="s">
        <v>455</v>
      </c>
      <c r="F370" s="215">
        <v>0</v>
      </c>
      <c r="G370" s="215">
        <v>0</v>
      </c>
      <c r="H370" s="215">
        <v>0</v>
      </c>
      <c r="I370" s="215">
        <v>0</v>
      </c>
      <c r="J370" s="215">
        <v>0</v>
      </c>
      <c r="K370" s="215">
        <v>0</v>
      </c>
    </row>
    <row r="371" spans="1:11" ht="38.25" customHeight="1" x14ac:dyDescent="0.25">
      <c r="A371" s="4">
        <v>311</v>
      </c>
      <c r="B371" s="52">
        <v>55</v>
      </c>
      <c r="C371" s="52">
        <v>920</v>
      </c>
      <c r="D371" s="7">
        <v>70499</v>
      </c>
      <c r="E371" s="194" t="s">
        <v>447</v>
      </c>
      <c r="F371" s="215">
        <v>0</v>
      </c>
      <c r="G371" s="215">
        <v>141440</v>
      </c>
      <c r="H371" s="215">
        <v>0</v>
      </c>
      <c r="I371" s="215">
        <v>89300</v>
      </c>
      <c r="J371" s="215">
        <v>0</v>
      </c>
      <c r="K371" s="215">
        <v>0</v>
      </c>
    </row>
    <row r="372" spans="1:11" ht="33" x14ac:dyDescent="0.25">
      <c r="A372" s="4">
        <v>321</v>
      </c>
      <c r="B372" s="52">
        <v>55</v>
      </c>
      <c r="C372" s="52">
        <v>930</v>
      </c>
      <c r="D372" s="7">
        <v>70499</v>
      </c>
      <c r="E372" s="194" t="s">
        <v>446</v>
      </c>
      <c r="F372" s="215">
        <v>0</v>
      </c>
      <c r="G372" s="215">
        <v>654160</v>
      </c>
      <c r="H372" s="215">
        <v>0</v>
      </c>
      <c r="I372" s="215">
        <v>321480</v>
      </c>
      <c r="J372" s="215">
        <v>0</v>
      </c>
      <c r="K372" s="215">
        <v>0</v>
      </c>
    </row>
    <row r="373" spans="1:11" s="208" customFormat="1" ht="33" x14ac:dyDescent="0.25">
      <c r="A373" s="4">
        <v>311</v>
      </c>
      <c r="B373" s="52">
        <v>55</v>
      </c>
      <c r="C373" s="52">
        <v>920</v>
      </c>
      <c r="D373" s="7">
        <v>70499</v>
      </c>
      <c r="E373" s="194" t="s">
        <v>496</v>
      </c>
      <c r="F373" s="216"/>
      <c r="G373" s="216"/>
      <c r="H373" s="216"/>
      <c r="I373" s="216"/>
      <c r="J373" s="215"/>
      <c r="K373" s="215"/>
    </row>
    <row r="374" spans="1:11" s="208" customFormat="1" ht="33" x14ac:dyDescent="0.25">
      <c r="A374" s="4">
        <v>321</v>
      </c>
      <c r="B374" s="52">
        <v>55</v>
      </c>
      <c r="C374" s="52">
        <v>930</v>
      </c>
      <c r="D374" s="7">
        <v>70499</v>
      </c>
      <c r="E374" s="194" t="s">
        <v>497</v>
      </c>
      <c r="F374" s="216"/>
      <c r="G374" s="216"/>
      <c r="H374" s="216"/>
      <c r="I374" s="216"/>
      <c r="J374" s="215"/>
      <c r="K374" s="215"/>
    </row>
    <row r="375" spans="1:11" s="208" customFormat="1" ht="15" customHeight="1" x14ac:dyDescent="0.25">
      <c r="A375" s="4"/>
      <c r="B375" s="52"/>
      <c r="C375" s="52"/>
      <c r="D375" s="7"/>
      <c r="E375" s="194"/>
      <c r="F375" s="216"/>
      <c r="G375" s="216"/>
      <c r="H375" s="216"/>
      <c r="I375" s="216"/>
      <c r="J375" s="215"/>
      <c r="K375" s="215"/>
    </row>
    <row r="376" spans="1:11" ht="33" x14ac:dyDescent="0.25">
      <c r="A376" s="56"/>
      <c r="B376" s="50"/>
      <c r="C376" s="50"/>
      <c r="D376" s="50"/>
      <c r="E376" s="201" t="s">
        <v>489</v>
      </c>
      <c r="F376" s="218">
        <v>0</v>
      </c>
      <c r="G376" s="218">
        <v>0</v>
      </c>
      <c r="H376" s="218">
        <v>0</v>
      </c>
      <c r="I376" s="218">
        <v>0</v>
      </c>
      <c r="J376" s="219">
        <v>0</v>
      </c>
      <c r="K376" s="219">
        <v>0</v>
      </c>
    </row>
    <row r="377" spans="1:11" ht="16.5" x14ac:dyDescent="0.25">
      <c r="A377" s="57"/>
      <c r="B377" s="51"/>
      <c r="C377" s="51"/>
      <c r="D377" s="51"/>
      <c r="E377" s="193" t="s">
        <v>6</v>
      </c>
      <c r="F377" s="219">
        <v>0</v>
      </c>
      <c r="G377" s="219">
        <v>0</v>
      </c>
      <c r="H377" s="219">
        <v>0</v>
      </c>
      <c r="I377" s="219">
        <v>0</v>
      </c>
      <c r="J377" s="219">
        <v>0</v>
      </c>
      <c r="K377" s="219">
        <v>0</v>
      </c>
    </row>
    <row r="378" spans="1:11" ht="16.5" x14ac:dyDescent="0.25">
      <c r="A378" s="4">
        <v>311</v>
      </c>
      <c r="B378" s="52">
        <v>69</v>
      </c>
      <c r="C378" s="52">
        <v>930</v>
      </c>
      <c r="D378" s="7">
        <v>70499</v>
      </c>
      <c r="E378" s="194" t="s">
        <v>450</v>
      </c>
      <c r="F378" s="220">
        <v>0</v>
      </c>
      <c r="G378" s="220">
        <v>0</v>
      </c>
      <c r="H378" s="220">
        <v>0</v>
      </c>
      <c r="I378" s="220">
        <v>0</v>
      </c>
      <c r="J378" s="220">
        <v>0</v>
      </c>
      <c r="K378" s="220">
        <v>0</v>
      </c>
    </row>
    <row r="379" spans="1:11" s="208" customFormat="1" ht="15" customHeight="1" x14ac:dyDescent="0.25">
      <c r="A379" s="4"/>
      <c r="B379" s="52"/>
      <c r="C379" s="52"/>
      <c r="D379" s="7"/>
      <c r="E379" s="194"/>
      <c r="F379" s="221"/>
      <c r="G379" s="221"/>
      <c r="H379" s="221"/>
      <c r="I379" s="221"/>
      <c r="J379" s="220"/>
      <c r="K379" s="220"/>
    </row>
    <row r="380" spans="1:11" ht="33" x14ac:dyDescent="0.25">
      <c r="A380" s="56"/>
      <c r="B380" s="50"/>
      <c r="C380" s="50"/>
      <c r="D380" s="50"/>
      <c r="E380" s="201" t="s">
        <v>490</v>
      </c>
      <c r="F380" s="213">
        <v>0</v>
      </c>
      <c r="G380" s="213">
        <v>353600</v>
      </c>
      <c r="H380" s="213">
        <v>0</v>
      </c>
      <c r="I380" s="213">
        <v>357200</v>
      </c>
      <c r="J380" s="214">
        <v>0</v>
      </c>
      <c r="K380" s="214">
        <v>268500</v>
      </c>
    </row>
    <row r="381" spans="1:11" ht="16.5" x14ac:dyDescent="0.25">
      <c r="A381" s="57"/>
      <c r="B381" s="51"/>
      <c r="C381" s="51"/>
      <c r="D381" s="51"/>
      <c r="E381" s="193" t="s">
        <v>6</v>
      </c>
      <c r="F381" s="214">
        <v>0</v>
      </c>
      <c r="G381" s="214">
        <v>353600</v>
      </c>
      <c r="H381" s="214">
        <v>0</v>
      </c>
      <c r="I381" s="214">
        <v>357200</v>
      </c>
      <c r="J381" s="214">
        <v>0</v>
      </c>
      <c r="K381" s="214">
        <v>268500</v>
      </c>
    </row>
    <row r="382" spans="1:11" ht="16.5" x14ac:dyDescent="0.25">
      <c r="A382" s="4">
        <v>311</v>
      </c>
      <c r="B382" s="52">
        <v>65</v>
      </c>
      <c r="C382" s="52">
        <v>930</v>
      </c>
      <c r="D382" s="7">
        <v>70499</v>
      </c>
      <c r="E382" s="197" t="s">
        <v>146</v>
      </c>
      <c r="F382" s="215">
        <v>0</v>
      </c>
      <c r="G382" s="215">
        <v>353600</v>
      </c>
      <c r="H382" s="215">
        <v>0</v>
      </c>
      <c r="I382" s="215">
        <v>357200</v>
      </c>
      <c r="J382" s="215">
        <v>0</v>
      </c>
      <c r="K382" s="215">
        <v>268500</v>
      </c>
    </row>
    <row r="383" spans="1:11" s="208" customFormat="1" ht="33" x14ac:dyDescent="0.25">
      <c r="A383" s="4">
        <v>311</v>
      </c>
      <c r="B383" s="52">
        <v>65</v>
      </c>
      <c r="C383" s="52">
        <v>910</v>
      </c>
      <c r="D383" s="7">
        <v>70499</v>
      </c>
      <c r="E383" s="197" t="s">
        <v>473</v>
      </c>
      <c r="F383" s="216"/>
      <c r="G383" s="216"/>
      <c r="H383" s="216"/>
      <c r="I383" s="216"/>
      <c r="J383" s="215"/>
      <c r="K383" s="215"/>
    </row>
    <row r="384" spans="1:11" s="208" customFormat="1" ht="33" x14ac:dyDescent="0.25">
      <c r="A384" s="4">
        <v>311</v>
      </c>
      <c r="B384" s="52">
        <v>65</v>
      </c>
      <c r="C384" s="52">
        <v>920</v>
      </c>
      <c r="D384" s="7">
        <v>70499</v>
      </c>
      <c r="E384" s="197" t="s">
        <v>474</v>
      </c>
      <c r="F384" s="216"/>
      <c r="G384" s="216"/>
      <c r="H384" s="216"/>
      <c r="I384" s="216"/>
      <c r="J384" s="215"/>
      <c r="K384" s="215"/>
    </row>
    <row r="385" spans="1:17" s="208" customFormat="1" ht="15" customHeight="1" x14ac:dyDescent="0.25">
      <c r="A385" s="4"/>
      <c r="B385" s="52"/>
      <c r="C385" s="52"/>
      <c r="D385" s="7"/>
      <c r="E385" s="197"/>
      <c r="F385" s="216"/>
      <c r="G385" s="216"/>
      <c r="H385" s="216"/>
      <c r="I385" s="216"/>
      <c r="J385" s="215"/>
      <c r="K385" s="215"/>
    </row>
    <row r="386" spans="1:17" ht="16.5" x14ac:dyDescent="0.25">
      <c r="A386" s="56"/>
      <c r="B386" s="50"/>
      <c r="C386" s="50"/>
      <c r="D386" s="50"/>
      <c r="E386" s="192" t="s">
        <v>491</v>
      </c>
      <c r="F386" s="213">
        <v>0</v>
      </c>
      <c r="G386" s="213">
        <v>160216.20000000001</v>
      </c>
      <c r="H386" s="213">
        <v>0</v>
      </c>
      <c r="I386" s="213">
        <v>103980.9</v>
      </c>
      <c r="J386" s="214">
        <v>0</v>
      </c>
      <c r="K386" s="214">
        <v>0</v>
      </c>
    </row>
    <row r="387" spans="1:17" ht="16.5" x14ac:dyDescent="0.25">
      <c r="A387" s="57"/>
      <c r="B387" s="51"/>
      <c r="C387" s="51"/>
      <c r="D387" s="51"/>
      <c r="E387" s="193" t="s">
        <v>6</v>
      </c>
      <c r="F387" s="214">
        <v>0</v>
      </c>
      <c r="G387" s="214">
        <v>160216.20000000001</v>
      </c>
      <c r="H387" s="214">
        <v>0</v>
      </c>
      <c r="I387" s="214">
        <v>103980.9</v>
      </c>
      <c r="J387" s="214">
        <v>0</v>
      </c>
      <c r="K387" s="214">
        <v>0</v>
      </c>
    </row>
    <row r="388" spans="1:17" ht="33" x14ac:dyDescent="0.25">
      <c r="A388" s="4">
        <v>311</v>
      </c>
      <c r="B388" s="52">
        <v>74</v>
      </c>
      <c r="C388" s="52">
        <v>920</v>
      </c>
      <c r="D388" s="7">
        <v>70499</v>
      </c>
      <c r="E388" s="197" t="s">
        <v>23</v>
      </c>
      <c r="F388" s="215">
        <v>0</v>
      </c>
      <c r="G388" s="215">
        <v>0</v>
      </c>
      <c r="H388" s="215">
        <v>0</v>
      </c>
      <c r="I388" s="215">
        <v>103980.9</v>
      </c>
      <c r="J388" s="215">
        <v>0</v>
      </c>
      <c r="K388" s="215">
        <v>0</v>
      </c>
    </row>
    <row r="389" spans="1:17" ht="33" x14ac:dyDescent="0.25">
      <c r="A389" s="4">
        <v>311</v>
      </c>
      <c r="B389" s="52">
        <v>74</v>
      </c>
      <c r="C389" s="52">
        <v>930</v>
      </c>
      <c r="D389" s="7">
        <v>70499</v>
      </c>
      <c r="E389" s="194" t="s">
        <v>24</v>
      </c>
      <c r="F389" s="215">
        <v>0</v>
      </c>
      <c r="G389" s="215">
        <v>160216.20000000001</v>
      </c>
      <c r="H389" s="215">
        <v>0</v>
      </c>
      <c r="I389" s="215">
        <v>0</v>
      </c>
      <c r="J389" s="215">
        <v>0</v>
      </c>
      <c r="K389" s="215">
        <v>0</v>
      </c>
    </row>
    <row r="390" spans="1:17" s="208" customFormat="1" ht="15" customHeight="1" x14ac:dyDescent="0.25">
      <c r="A390" s="4"/>
      <c r="B390" s="52"/>
      <c r="C390" s="52"/>
      <c r="D390" s="7"/>
      <c r="E390" s="194"/>
      <c r="F390" s="216"/>
      <c r="G390" s="216"/>
      <c r="H390" s="216"/>
      <c r="I390" s="216"/>
      <c r="J390" s="215"/>
      <c r="K390" s="215"/>
    </row>
    <row r="391" spans="1:17" ht="33" x14ac:dyDescent="0.25">
      <c r="A391" s="56"/>
      <c r="B391" s="50"/>
      <c r="C391" s="50"/>
      <c r="D391" s="50"/>
      <c r="E391" s="204" t="s">
        <v>492</v>
      </c>
      <c r="F391" s="213">
        <v>1768</v>
      </c>
      <c r="G391" s="213">
        <v>17288.2</v>
      </c>
      <c r="H391" s="213">
        <v>267.89999999999998</v>
      </c>
      <c r="I391" s="213">
        <v>2106</v>
      </c>
      <c r="J391" s="214">
        <v>0</v>
      </c>
      <c r="K391" s="214">
        <v>0</v>
      </c>
    </row>
    <row r="392" spans="1:17" ht="16.5" x14ac:dyDescent="0.25">
      <c r="A392" s="57"/>
      <c r="B392" s="51"/>
      <c r="C392" s="51"/>
      <c r="D392" s="51"/>
      <c r="E392" s="193" t="s">
        <v>6</v>
      </c>
      <c r="F392" s="214">
        <v>1768</v>
      </c>
      <c r="G392" s="214">
        <v>17288.2</v>
      </c>
      <c r="H392" s="214">
        <v>267.89999999999998</v>
      </c>
      <c r="I392" s="214">
        <v>2106</v>
      </c>
      <c r="J392" s="214">
        <v>0</v>
      </c>
      <c r="K392" s="214">
        <v>0</v>
      </c>
    </row>
    <row r="393" spans="1:17" ht="16.5" x14ac:dyDescent="0.25">
      <c r="A393" s="4">
        <v>311</v>
      </c>
      <c r="B393" s="52">
        <v>67</v>
      </c>
      <c r="C393" s="52">
        <v>910</v>
      </c>
      <c r="D393" s="7">
        <v>70259</v>
      </c>
      <c r="E393" s="194" t="s">
        <v>149</v>
      </c>
      <c r="F393" s="215">
        <v>1768</v>
      </c>
      <c r="G393" s="215">
        <v>0</v>
      </c>
      <c r="H393" s="215">
        <v>267.89999999999998</v>
      </c>
      <c r="I393" s="215">
        <v>0</v>
      </c>
      <c r="J393" s="215">
        <v>0</v>
      </c>
      <c r="K393" s="215">
        <v>0</v>
      </c>
    </row>
    <row r="394" spans="1:17" ht="16.5" x14ac:dyDescent="0.25">
      <c r="A394" s="4">
        <v>311</v>
      </c>
      <c r="B394" s="52">
        <v>67</v>
      </c>
      <c r="C394" s="52">
        <v>920</v>
      </c>
      <c r="D394" s="7">
        <v>70259</v>
      </c>
      <c r="E394" s="194" t="s">
        <v>150</v>
      </c>
      <c r="F394" s="215">
        <v>0</v>
      </c>
      <c r="G394" s="215">
        <v>17288.2</v>
      </c>
      <c r="H394" s="215">
        <v>0</v>
      </c>
      <c r="I394" s="215">
        <v>2106</v>
      </c>
      <c r="J394" s="215">
        <v>0</v>
      </c>
      <c r="K394" s="215">
        <v>0</v>
      </c>
    </row>
    <row r="395" spans="1:17" ht="33" x14ac:dyDescent="0.25">
      <c r="A395" s="4">
        <v>311</v>
      </c>
      <c r="B395" s="52">
        <v>67</v>
      </c>
      <c r="C395" s="52">
        <v>910</v>
      </c>
      <c r="D395" s="7">
        <v>70259</v>
      </c>
      <c r="E395" s="194" t="s">
        <v>408</v>
      </c>
      <c r="F395" s="215">
        <v>0</v>
      </c>
      <c r="G395" s="215">
        <v>0</v>
      </c>
      <c r="H395" s="215">
        <v>0</v>
      </c>
      <c r="I395" s="215">
        <v>0</v>
      </c>
      <c r="J395" s="215">
        <v>0</v>
      </c>
      <c r="K395" s="215">
        <v>0</v>
      </c>
    </row>
    <row r="396" spans="1:17" ht="33" x14ac:dyDescent="0.25">
      <c r="A396" s="4">
        <v>311</v>
      </c>
      <c r="B396" s="52">
        <v>67</v>
      </c>
      <c r="C396" s="52">
        <v>920</v>
      </c>
      <c r="D396" s="7">
        <v>70259</v>
      </c>
      <c r="E396" s="194" t="s">
        <v>409</v>
      </c>
      <c r="F396" s="215">
        <v>0</v>
      </c>
      <c r="G396" s="215">
        <v>0</v>
      </c>
      <c r="H396" s="215">
        <v>0</v>
      </c>
      <c r="I396" s="215">
        <v>0</v>
      </c>
      <c r="J396" s="215">
        <v>0</v>
      </c>
      <c r="K396" s="215">
        <v>0</v>
      </c>
    </row>
    <row r="397" spans="1:17" ht="33" x14ac:dyDescent="0.25">
      <c r="A397" s="4">
        <v>311</v>
      </c>
      <c r="B397" s="52">
        <v>67</v>
      </c>
      <c r="C397" s="52">
        <v>930</v>
      </c>
      <c r="D397" s="7">
        <v>70259</v>
      </c>
      <c r="E397" s="194" t="s">
        <v>410</v>
      </c>
      <c r="F397" s="215">
        <v>0</v>
      </c>
      <c r="G397" s="215">
        <v>0</v>
      </c>
      <c r="H397" s="215">
        <v>0</v>
      </c>
      <c r="I397" s="215">
        <v>0</v>
      </c>
      <c r="J397" s="215">
        <v>0</v>
      </c>
      <c r="K397" s="215">
        <v>0</v>
      </c>
    </row>
    <row r="398" spans="1:17" s="208" customFormat="1" ht="15" customHeight="1" x14ac:dyDescent="0.25">
      <c r="A398" s="4"/>
      <c r="B398" s="52"/>
      <c r="C398" s="52"/>
      <c r="D398" s="7"/>
      <c r="E398" s="194"/>
      <c r="F398" s="215"/>
      <c r="G398" s="215"/>
      <c r="H398" s="215"/>
      <c r="I398" s="215"/>
      <c r="J398" s="215"/>
      <c r="K398" s="215"/>
    </row>
    <row r="399" spans="1:17" ht="16.5" x14ac:dyDescent="0.25">
      <c r="A399" s="23"/>
      <c r="B399" s="24"/>
      <c r="C399" s="24"/>
      <c r="D399" s="24"/>
      <c r="E399" s="205" t="s">
        <v>151</v>
      </c>
      <c r="F399" s="222">
        <v>2451197.75</v>
      </c>
      <c r="G399" s="222">
        <v>42165983.299999997</v>
      </c>
      <c r="H399" s="222">
        <v>3003873.5</v>
      </c>
      <c r="I399" s="222">
        <v>40501580</v>
      </c>
      <c r="J399" s="222">
        <v>2887754.3</v>
      </c>
      <c r="K399" s="222">
        <v>37397212.700000003</v>
      </c>
      <c r="L399" s="208"/>
      <c r="M399" s="208"/>
      <c r="N399" s="208"/>
      <c r="O399" s="208"/>
      <c r="P399" s="208"/>
      <c r="Q399" s="208"/>
    </row>
    <row r="400" spans="1:17" ht="17.25" x14ac:dyDescent="0.25">
      <c r="A400" s="6"/>
      <c r="B400" s="12"/>
      <c r="C400" s="12"/>
      <c r="D400" s="12"/>
      <c r="E400" s="13"/>
      <c r="F400" s="223"/>
      <c r="G400" s="223"/>
      <c r="H400" s="223"/>
      <c r="I400" s="223"/>
      <c r="J400" s="223"/>
      <c r="K400" s="223"/>
      <c r="L400" s="207"/>
    </row>
    <row r="401" spans="1:17" ht="17.25" x14ac:dyDescent="0.25">
      <c r="A401" s="6"/>
      <c r="B401" s="12"/>
      <c r="C401" s="12"/>
      <c r="D401" s="12"/>
      <c r="E401" s="14" t="s">
        <v>550</v>
      </c>
      <c r="F401" s="223"/>
      <c r="G401" s="224">
        <v>29235690.800000001</v>
      </c>
      <c r="H401" s="224">
        <v>0</v>
      </c>
      <c r="I401" s="224">
        <v>31325206.5</v>
      </c>
      <c r="J401" s="224">
        <v>0</v>
      </c>
      <c r="K401" s="224">
        <v>33062126.900000002</v>
      </c>
    </row>
    <row r="402" spans="1:17" ht="17.25" x14ac:dyDescent="0.25">
      <c r="A402" s="6"/>
      <c r="B402" s="12"/>
      <c r="C402" s="12"/>
      <c r="D402" s="12"/>
      <c r="E402" s="14" t="s">
        <v>551</v>
      </c>
      <c r="F402" s="223">
        <v>0</v>
      </c>
      <c r="G402" s="224">
        <v>12930292.5</v>
      </c>
      <c r="H402" s="224">
        <v>0</v>
      </c>
      <c r="I402" s="224">
        <v>9176373.5</v>
      </c>
      <c r="J402" s="224">
        <v>0</v>
      </c>
      <c r="K402" s="224">
        <v>4335085.8</v>
      </c>
    </row>
    <row r="403" spans="1:17" ht="17.25" x14ac:dyDescent="0.25">
      <c r="A403" s="240">
        <v>321</v>
      </c>
      <c r="B403" s="240"/>
      <c r="C403" s="240"/>
      <c r="D403" s="240"/>
      <c r="E403" s="14" t="s">
        <v>154</v>
      </c>
      <c r="F403" s="223">
        <v>0</v>
      </c>
      <c r="G403" s="224">
        <v>11613414.300000001</v>
      </c>
      <c r="H403" s="224">
        <v>0</v>
      </c>
      <c r="I403" s="224">
        <v>13826692.4</v>
      </c>
      <c r="J403" s="224">
        <v>0</v>
      </c>
      <c r="K403" s="224">
        <v>13568012.199999999</v>
      </c>
      <c r="L403" s="191"/>
      <c r="M403" s="191"/>
      <c r="N403" s="191"/>
      <c r="O403" s="186"/>
      <c r="P403" s="177"/>
      <c r="Q403" s="177"/>
    </row>
    <row r="404" spans="1:17" ht="17.25" x14ac:dyDescent="0.25">
      <c r="A404" s="240"/>
      <c r="B404" s="240"/>
      <c r="C404" s="240"/>
      <c r="D404" s="240"/>
      <c r="E404" s="14" t="s">
        <v>155</v>
      </c>
      <c r="F404" s="223">
        <v>0</v>
      </c>
      <c r="G404" s="224">
        <v>795600</v>
      </c>
      <c r="H404" s="224">
        <v>0</v>
      </c>
      <c r="I404" s="224">
        <v>625100</v>
      </c>
      <c r="J404" s="224">
        <v>0</v>
      </c>
      <c r="K404" s="224">
        <v>0</v>
      </c>
      <c r="L404" s="191"/>
      <c r="M404" s="191"/>
      <c r="N404" s="191"/>
      <c r="O404" s="186"/>
      <c r="P404" s="177"/>
      <c r="Q404" s="177"/>
    </row>
    <row r="405" spans="1:17" ht="17.25" x14ac:dyDescent="0.25">
      <c r="A405" s="240"/>
      <c r="B405" s="240"/>
      <c r="C405" s="240"/>
      <c r="D405" s="240"/>
      <c r="E405" s="14" t="s">
        <v>156</v>
      </c>
      <c r="F405" s="223">
        <v>0</v>
      </c>
      <c r="G405" s="224">
        <v>12409014.300000001</v>
      </c>
      <c r="H405" s="224">
        <v>0</v>
      </c>
      <c r="I405" s="224">
        <v>14451792.4</v>
      </c>
      <c r="J405" s="224">
        <v>0</v>
      </c>
      <c r="K405" s="224">
        <v>13568012.199999999</v>
      </c>
      <c r="L405" s="191"/>
      <c r="M405" s="191"/>
      <c r="N405" s="191"/>
      <c r="O405" s="186"/>
      <c r="P405" s="177"/>
      <c r="Q405" s="177"/>
    </row>
    <row r="406" spans="1:17" ht="17.25" x14ac:dyDescent="0.25">
      <c r="A406" s="240">
        <v>311</v>
      </c>
      <c r="B406" s="240"/>
      <c r="C406" s="240"/>
      <c r="D406" s="240"/>
      <c r="E406" s="14" t="s">
        <v>157</v>
      </c>
      <c r="F406" s="223">
        <v>0</v>
      </c>
      <c r="G406" s="224">
        <v>17622276.600000001</v>
      </c>
      <c r="H406" s="224">
        <v>0</v>
      </c>
      <c r="I406" s="224">
        <v>17498514.099999998</v>
      </c>
      <c r="J406" s="224">
        <v>0</v>
      </c>
      <c r="K406" s="224">
        <v>19494114.700000003</v>
      </c>
      <c r="L406" s="191"/>
      <c r="M406" s="191"/>
      <c r="N406" s="191"/>
      <c r="O406" s="186"/>
      <c r="P406" s="177"/>
      <c r="Q406" s="177"/>
    </row>
    <row r="407" spans="1:17" ht="17.25" x14ac:dyDescent="0.25">
      <c r="A407" s="240"/>
      <c r="B407" s="240"/>
      <c r="C407" s="240"/>
      <c r="D407" s="240"/>
      <c r="E407" s="14" t="s">
        <v>158</v>
      </c>
      <c r="F407" s="223">
        <v>0</v>
      </c>
      <c r="G407" s="224">
        <v>12134692.4</v>
      </c>
      <c r="H407" s="224">
        <v>0</v>
      </c>
      <c r="I407" s="224">
        <v>8551273.5</v>
      </c>
      <c r="J407" s="224">
        <v>0</v>
      </c>
      <c r="K407" s="224">
        <v>4335085.8</v>
      </c>
      <c r="L407" s="191"/>
      <c r="M407" s="191"/>
      <c r="N407" s="191"/>
      <c r="O407" s="186"/>
      <c r="P407" s="177"/>
      <c r="Q407" s="177"/>
    </row>
    <row r="408" spans="1:17" ht="17.25" x14ac:dyDescent="0.25">
      <c r="A408" s="240"/>
      <c r="B408" s="240"/>
      <c r="C408" s="240"/>
      <c r="D408" s="240"/>
      <c r="E408" s="15" t="s">
        <v>159</v>
      </c>
      <c r="F408" s="223">
        <v>0</v>
      </c>
      <c r="G408" s="224">
        <v>29756969</v>
      </c>
      <c r="H408" s="224">
        <v>0</v>
      </c>
      <c r="I408" s="224">
        <v>26049787.599999998</v>
      </c>
      <c r="J408" s="224">
        <v>0</v>
      </c>
      <c r="K408" s="224">
        <v>23829200.500000004</v>
      </c>
      <c r="L408" s="186"/>
      <c r="M408" s="186"/>
      <c r="N408" s="186"/>
      <c r="O408" s="186"/>
      <c r="P408" s="177"/>
      <c r="Q408" s="177"/>
    </row>
    <row r="409" spans="1:17" ht="18.75" x14ac:dyDescent="0.25">
      <c r="A409" s="187"/>
      <c r="B409" s="187"/>
      <c r="C409" s="187"/>
      <c r="D409" s="187"/>
      <c r="E409" s="188"/>
      <c r="F409" s="189"/>
      <c r="G409" s="189"/>
      <c r="H409" s="189"/>
      <c r="I409" s="189"/>
      <c r="J409" s="189"/>
      <c r="K409" s="189"/>
      <c r="L409" s="190"/>
      <c r="M409" s="190"/>
      <c r="N409" s="190"/>
      <c r="O409" s="186"/>
      <c r="P409" s="177"/>
      <c r="Q409" s="177"/>
    </row>
    <row r="410" spans="1:17" ht="54.75" customHeight="1" x14ac:dyDescent="0.25">
      <c r="A410" s="187"/>
      <c r="B410" s="187"/>
      <c r="C410" s="187"/>
      <c r="D410" s="187"/>
      <c r="E410" s="188"/>
      <c r="F410" s="189"/>
      <c r="G410" s="189"/>
      <c r="H410" s="189"/>
      <c r="I410" s="189"/>
      <c r="J410" s="189"/>
      <c r="K410" s="189"/>
      <c r="L410" s="190"/>
      <c r="M410" s="190"/>
      <c r="N410" s="190"/>
      <c r="O410" s="186"/>
      <c r="P410" s="177"/>
      <c r="Q410" s="177"/>
    </row>
    <row r="411" spans="1:17" ht="94.5" customHeight="1" x14ac:dyDescent="0.25">
      <c r="A411" s="187"/>
      <c r="B411" s="187"/>
      <c r="C411" s="187"/>
      <c r="D411" s="187"/>
      <c r="E411" s="188"/>
      <c r="F411" s="189"/>
      <c r="G411" s="189"/>
      <c r="H411" s="189"/>
      <c r="I411" s="189"/>
      <c r="J411" s="189"/>
      <c r="K411" s="189"/>
      <c r="L411" s="190"/>
      <c r="M411" s="190"/>
      <c r="N411" s="190"/>
      <c r="O411" s="186"/>
      <c r="P411" s="177"/>
      <c r="Q411" s="177"/>
    </row>
    <row r="412" spans="1:17" ht="65.25" customHeight="1" x14ac:dyDescent="0.25">
      <c r="A412" s="187"/>
      <c r="B412" s="187"/>
      <c r="C412" s="187"/>
      <c r="D412" s="187"/>
      <c r="E412" s="188"/>
      <c r="F412" s="189"/>
      <c r="G412" s="189"/>
      <c r="H412" s="189"/>
      <c r="I412" s="189"/>
      <c r="J412" s="189"/>
      <c r="K412" s="189"/>
      <c r="L412" s="190"/>
      <c r="M412" s="190"/>
      <c r="N412" s="190"/>
      <c r="O412" s="186"/>
      <c r="P412" s="177"/>
      <c r="Q412" s="177"/>
    </row>
    <row r="413" spans="1:17" ht="79.5" customHeight="1" x14ac:dyDescent="0.25">
      <c r="A413" s="187"/>
      <c r="B413" s="187"/>
      <c r="C413" s="187"/>
      <c r="D413" s="187"/>
      <c r="E413" s="188"/>
      <c r="F413" s="189"/>
      <c r="G413" s="189"/>
      <c r="H413" s="189"/>
      <c r="I413" s="189"/>
      <c r="J413" s="189"/>
      <c r="K413" s="189"/>
      <c r="L413" s="190"/>
      <c r="M413" s="190"/>
      <c r="N413" s="190"/>
      <c r="O413" s="186"/>
      <c r="P413" s="177"/>
      <c r="Q413" s="177"/>
    </row>
    <row r="414" spans="1:17" ht="79.5" customHeight="1" x14ac:dyDescent="0.25">
      <c r="A414" s="187"/>
      <c r="B414" s="187"/>
      <c r="C414" s="187"/>
      <c r="D414" s="187"/>
      <c r="E414" s="188"/>
      <c r="F414" s="189"/>
      <c r="G414" s="189"/>
      <c r="H414" s="189"/>
      <c r="I414" s="189"/>
      <c r="J414" s="189"/>
      <c r="K414" s="189"/>
      <c r="L414" s="190"/>
      <c r="M414" s="190"/>
      <c r="N414" s="190"/>
      <c r="O414" s="186"/>
      <c r="P414" s="177"/>
      <c r="Q414" s="177"/>
    </row>
    <row r="415" spans="1:17" ht="79.5" customHeight="1" x14ac:dyDescent="0.25">
      <c r="A415" s="187"/>
      <c r="B415" s="187"/>
      <c r="C415" s="187"/>
      <c r="D415" s="187"/>
      <c r="E415" s="188"/>
      <c r="F415" s="189"/>
      <c r="G415" s="189"/>
      <c r="H415" s="189"/>
      <c r="I415" s="189"/>
      <c r="J415" s="189"/>
      <c r="K415" s="189"/>
      <c r="L415" s="190"/>
      <c r="M415" s="190"/>
      <c r="N415" s="190"/>
      <c r="O415" s="186"/>
      <c r="P415" s="177"/>
      <c r="Q415" s="177"/>
    </row>
    <row r="416" spans="1:17" ht="79.5" customHeight="1" x14ac:dyDescent="0.25">
      <c r="A416" s="187"/>
      <c r="B416" s="187"/>
      <c r="C416" s="187"/>
      <c r="D416" s="187"/>
      <c r="E416" s="188"/>
      <c r="F416" s="189"/>
      <c r="G416" s="189"/>
      <c r="H416" s="189"/>
      <c r="I416" s="189"/>
      <c r="J416" s="189"/>
      <c r="K416" s="189"/>
      <c r="L416" s="190"/>
      <c r="M416" s="190"/>
      <c r="N416" s="190"/>
      <c r="O416" s="186"/>
      <c r="P416" s="177"/>
      <c r="Q416" s="177"/>
    </row>
    <row r="417" spans="1:17" ht="18.75" x14ac:dyDescent="0.25">
      <c r="A417" s="187"/>
      <c r="B417" s="187"/>
      <c r="C417" s="187"/>
      <c r="D417" s="187"/>
      <c r="E417" s="188"/>
      <c r="F417" s="189"/>
      <c r="G417" s="189"/>
      <c r="H417" s="189"/>
      <c r="I417" s="189"/>
      <c r="J417" s="189"/>
      <c r="K417" s="189"/>
      <c r="L417" s="190"/>
      <c r="M417" s="190"/>
      <c r="N417" s="190"/>
      <c r="O417" s="186"/>
      <c r="P417" s="177"/>
      <c r="Q417" s="177"/>
    </row>
    <row r="418" spans="1:17" ht="18.75" x14ac:dyDescent="0.25">
      <c r="A418" s="187"/>
      <c r="B418" s="187"/>
      <c r="C418" s="187"/>
      <c r="D418" s="187"/>
      <c r="E418" s="188"/>
      <c r="F418" s="189"/>
      <c r="G418" s="189"/>
      <c r="H418" s="189"/>
      <c r="I418" s="189"/>
      <c r="J418" s="189"/>
      <c r="K418" s="189"/>
      <c r="L418" s="190"/>
      <c r="M418" s="190"/>
      <c r="N418" s="190"/>
      <c r="O418" s="186"/>
      <c r="P418" s="177"/>
      <c r="Q418" s="177"/>
    </row>
    <row r="419" spans="1:17" ht="18.75" x14ac:dyDescent="0.3">
      <c r="A419" s="16"/>
      <c r="B419" s="16"/>
      <c r="C419" s="16"/>
      <c r="D419" s="16"/>
      <c r="E419" s="17"/>
      <c r="F419" s="93"/>
      <c r="G419" s="176">
        <f>G408+G405-G399</f>
        <v>0</v>
      </c>
      <c r="H419" s="93"/>
      <c r="I419" s="176">
        <f>I408+I405-I399</f>
        <v>0</v>
      </c>
      <c r="J419" s="93"/>
      <c r="K419" s="176">
        <f>K408+K405-K399</f>
        <v>0</v>
      </c>
      <c r="L419" s="185"/>
      <c r="M419" s="185"/>
      <c r="N419" s="185"/>
      <c r="O419" s="185"/>
    </row>
  </sheetData>
  <mergeCells count="8">
    <mergeCell ref="H1:K1"/>
    <mergeCell ref="A5:D5"/>
    <mergeCell ref="A3:K3"/>
    <mergeCell ref="A403:D405"/>
    <mergeCell ref="A406:D408"/>
    <mergeCell ref="F5:G5"/>
    <mergeCell ref="H5:I5"/>
    <mergeCell ref="J5:K5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9" fitToHeight="0" orientation="landscape" r:id="rId1"/>
  <headerFooter differentFirst="1">
    <oddFooter>&amp;R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4"/>
  <sheetViews>
    <sheetView zoomScale="55" zoomScaleNormal="55" workbookViewId="0">
      <pane ySplit="6" topLeftCell="A437" activePane="bottomLeft" state="frozen"/>
      <selection pane="bottomLeft" activeCell="V460" sqref="V460"/>
    </sheetView>
  </sheetViews>
  <sheetFormatPr defaultRowHeight="15.75" x14ac:dyDescent="0.25"/>
  <cols>
    <col min="1" max="3" width="9.140625" customWidth="1"/>
    <col min="4" max="4" width="23.28515625" customWidth="1"/>
    <col min="5" max="5" width="15.85546875" customWidth="1"/>
    <col min="6" max="6" width="85.140625" customWidth="1"/>
    <col min="7" max="11" width="27.42578125" customWidth="1"/>
    <col min="12" max="12" width="23.28515625" style="105" customWidth="1"/>
    <col min="13" max="13" width="21" style="105" customWidth="1"/>
    <col min="14" max="14" width="23.28515625" style="105" customWidth="1"/>
    <col min="15" max="15" width="24.7109375" style="105" customWidth="1"/>
    <col min="16" max="16" width="23.28515625" style="105" customWidth="1"/>
    <col min="17" max="17" width="21" style="105" customWidth="1"/>
    <col min="18" max="18" width="23.28515625" style="105" customWidth="1"/>
    <col min="19" max="19" width="22.42578125" style="105" customWidth="1"/>
    <col min="20" max="20" width="23.28515625" style="105" customWidth="1"/>
    <col min="21" max="21" width="22.42578125" style="105" customWidth="1"/>
    <col min="22" max="22" width="23.28515625" style="105" customWidth="1"/>
    <col min="23" max="23" width="22.42578125" style="105" customWidth="1"/>
    <col min="24" max="24" width="18.140625" style="110" customWidth="1"/>
  </cols>
  <sheetData>
    <row r="1" spans="1:24" ht="18.75" x14ac:dyDescent="0.3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93"/>
      <c r="M1" s="93"/>
      <c r="N1" s="93"/>
      <c r="O1" s="94"/>
      <c r="P1" s="94"/>
      <c r="Q1" s="94"/>
      <c r="R1" s="94"/>
      <c r="S1" s="94"/>
      <c r="T1" s="94"/>
      <c r="U1" s="94"/>
      <c r="V1" s="94"/>
      <c r="W1" s="94"/>
    </row>
    <row r="2" spans="1:24" ht="18.75" x14ac:dyDescent="0.3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93"/>
      <c r="M2" s="93"/>
      <c r="N2" s="93"/>
      <c r="O2" s="94"/>
      <c r="P2" s="94"/>
      <c r="Q2" s="94"/>
      <c r="R2" s="94"/>
      <c r="S2" s="94"/>
      <c r="T2" s="94"/>
      <c r="U2" s="94"/>
      <c r="V2" s="94"/>
      <c r="W2" s="94"/>
    </row>
    <row r="3" spans="1:24" ht="40.5" x14ac:dyDescent="0.3">
      <c r="A3" s="59" t="s">
        <v>194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95"/>
      <c r="M3" s="95"/>
      <c r="N3" s="96"/>
      <c r="O3" s="95"/>
      <c r="P3" s="95"/>
      <c r="Q3" s="95"/>
      <c r="R3" s="95"/>
      <c r="S3" s="95"/>
      <c r="T3" s="95"/>
      <c r="U3" s="95"/>
      <c r="V3" s="95"/>
      <c r="W3" s="95"/>
    </row>
    <row r="4" spans="1:24" ht="18.75" x14ac:dyDescent="0.3">
      <c r="A4" s="16"/>
      <c r="B4" s="1"/>
      <c r="C4" s="1"/>
      <c r="D4" s="1"/>
      <c r="E4" s="1"/>
      <c r="F4" s="2"/>
      <c r="G4" s="2"/>
      <c r="H4" s="2"/>
      <c r="I4" s="2"/>
      <c r="J4" s="2"/>
      <c r="K4" s="2"/>
      <c r="L4" s="93">
        <v>91.6</v>
      </c>
      <c r="M4" s="93"/>
      <c r="N4" s="145">
        <v>88.4</v>
      </c>
      <c r="O4"/>
      <c r="P4" s="145">
        <v>89.3</v>
      </c>
      <c r="Q4"/>
      <c r="R4" s="145">
        <v>89.5</v>
      </c>
      <c r="S4" s="1"/>
      <c r="T4" s="145">
        <v>90</v>
      </c>
      <c r="U4" s="1"/>
      <c r="V4" s="146">
        <v>90.5</v>
      </c>
      <c r="W4" s="94"/>
    </row>
    <row r="5" spans="1:24" ht="49.5" x14ac:dyDescent="0.25">
      <c r="A5" s="61" t="s">
        <v>0</v>
      </c>
      <c r="B5" s="61"/>
      <c r="C5" s="61"/>
      <c r="D5" s="61"/>
      <c r="E5" s="18" t="s">
        <v>163</v>
      </c>
      <c r="F5" s="3" t="s">
        <v>1</v>
      </c>
      <c r="G5" s="3" t="s">
        <v>265</v>
      </c>
      <c r="H5" s="244">
        <v>2024</v>
      </c>
      <c r="I5" s="245"/>
      <c r="J5" s="245"/>
      <c r="K5" s="246"/>
      <c r="L5" s="106">
        <v>2025</v>
      </c>
      <c r="M5" s="107"/>
      <c r="N5" s="106">
        <v>2026</v>
      </c>
      <c r="O5" s="107"/>
      <c r="P5" s="106">
        <v>2027</v>
      </c>
      <c r="Q5" s="107"/>
      <c r="R5" s="106">
        <v>2028</v>
      </c>
      <c r="S5" s="107"/>
      <c r="T5" s="106">
        <v>2029</v>
      </c>
      <c r="U5" s="107"/>
      <c r="V5" s="106">
        <v>2030</v>
      </c>
      <c r="W5" s="107"/>
    </row>
    <row r="6" spans="1:24" ht="16.5" x14ac:dyDescent="0.25">
      <c r="A6" s="4" t="s">
        <v>2</v>
      </c>
      <c r="B6" s="49" t="s">
        <v>3</v>
      </c>
      <c r="C6" s="49"/>
      <c r="D6" s="49" t="s">
        <v>4</v>
      </c>
      <c r="E6" s="19"/>
      <c r="F6" s="5"/>
      <c r="G6" s="5"/>
      <c r="H6" s="5" t="s">
        <v>438</v>
      </c>
      <c r="I6" s="5" t="s">
        <v>440</v>
      </c>
      <c r="J6" s="5" t="s">
        <v>439</v>
      </c>
      <c r="K6" s="5" t="s">
        <v>440</v>
      </c>
      <c r="L6" s="97" t="s">
        <v>188</v>
      </c>
      <c r="M6" s="98" t="s">
        <v>187</v>
      </c>
      <c r="N6" s="97" t="s">
        <v>188</v>
      </c>
      <c r="O6" s="98" t="s">
        <v>187</v>
      </c>
      <c r="P6" s="97" t="s">
        <v>188</v>
      </c>
      <c r="Q6" s="98" t="s">
        <v>187</v>
      </c>
      <c r="R6" s="97" t="s">
        <v>188</v>
      </c>
      <c r="S6" s="98" t="s">
        <v>187</v>
      </c>
      <c r="T6" s="97" t="s">
        <v>188</v>
      </c>
      <c r="U6" s="98" t="s">
        <v>187</v>
      </c>
      <c r="V6" s="97" t="s">
        <v>188</v>
      </c>
      <c r="W6" s="98" t="s">
        <v>187</v>
      </c>
    </row>
    <row r="7" spans="1:24" ht="18.75" x14ac:dyDescent="0.25">
      <c r="A7" s="56"/>
      <c r="B7" s="50"/>
      <c r="C7" s="50"/>
      <c r="D7" s="50"/>
      <c r="E7" s="54"/>
      <c r="F7" s="36" t="s">
        <v>5</v>
      </c>
      <c r="G7" s="36"/>
      <c r="H7" s="36"/>
      <c r="I7" s="36"/>
      <c r="J7" s="36"/>
      <c r="K7" s="36"/>
      <c r="L7" s="99" t="e">
        <f>L8</f>
        <v>#REF!</v>
      </c>
      <c r="M7" s="99" t="e">
        <f t="shared" ref="M7:W7" si="0">M8</f>
        <v>#REF!</v>
      </c>
      <c r="N7" s="99" t="e">
        <f t="shared" si="0"/>
        <v>#REF!</v>
      </c>
      <c r="O7" s="99" t="e">
        <f t="shared" si="0"/>
        <v>#REF!</v>
      </c>
      <c r="P7" s="99" t="e">
        <f t="shared" si="0"/>
        <v>#REF!</v>
      </c>
      <c r="Q7" s="99" t="e">
        <f t="shared" si="0"/>
        <v>#REF!</v>
      </c>
      <c r="R7" s="99" t="e">
        <f t="shared" si="0"/>
        <v>#REF!</v>
      </c>
      <c r="S7" s="99" t="e">
        <f t="shared" si="0"/>
        <v>#REF!</v>
      </c>
      <c r="T7" s="99" t="e">
        <f t="shared" si="0"/>
        <v>#REF!</v>
      </c>
      <c r="U7" s="99" t="e">
        <f t="shared" si="0"/>
        <v>#REF!</v>
      </c>
      <c r="V7" s="99" t="e">
        <f t="shared" si="0"/>
        <v>#REF!</v>
      </c>
      <c r="W7" s="99" t="e">
        <f t="shared" si="0"/>
        <v>#REF!</v>
      </c>
      <c r="X7" s="111" t="e">
        <f t="shared" ref="X7:X81" si="1">M7+O7+Q7+S7+U7+W7</f>
        <v>#REF!</v>
      </c>
    </row>
    <row r="8" spans="1:24" ht="18.75" x14ac:dyDescent="0.25">
      <c r="A8" s="57"/>
      <c r="B8" s="51"/>
      <c r="C8" s="51"/>
      <c r="D8" s="51"/>
      <c r="E8" s="55"/>
      <c r="F8" s="37" t="s">
        <v>6</v>
      </c>
      <c r="G8" s="37"/>
      <c r="H8" s="37"/>
      <c r="I8" s="37"/>
      <c r="J8" s="37"/>
      <c r="K8" s="37"/>
      <c r="L8" s="100" t="e">
        <f>SUM(L9:L38)</f>
        <v>#REF!</v>
      </c>
      <c r="M8" s="100" t="e">
        <f t="shared" ref="M8:W8" si="2">SUM(M9:M38)</f>
        <v>#REF!</v>
      </c>
      <c r="N8" s="100" t="e">
        <f t="shared" si="2"/>
        <v>#REF!</v>
      </c>
      <c r="O8" s="100" t="e">
        <f>SUM(O9:O38)</f>
        <v>#REF!</v>
      </c>
      <c r="P8" s="100" t="e">
        <f t="shared" si="2"/>
        <v>#REF!</v>
      </c>
      <c r="Q8" s="100" t="e">
        <f t="shared" si="2"/>
        <v>#REF!</v>
      </c>
      <c r="R8" s="100" t="e">
        <f t="shared" si="2"/>
        <v>#REF!</v>
      </c>
      <c r="S8" s="100" t="e">
        <f>SUM(S9:S38)</f>
        <v>#REF!</v>
      </c>
      <c r="T8" s="100" t="e">
        <f t="shared" si="2"/>
        <v>#REF!</v>
      </c>
      <c r="U8" s="100" t="e">
        <f t="shared" si="2"/>
        <v>#REF!</v>
      </c>
      <c r="V8" s="100" t="e">
        <f t="shared" si="2"/>
        <v>#REF!</v>
      </c>
      <c r="W8" s="100" t="e">
        <f t="shared" si="2"/>
        <v>#REF!</v>
      </c>
      <c r="X8" s="111" t="e">
        <f t="shared" si="1"/>
        <v>#REF!</v>
      </c>
    </row>
    <row r="9" spans="1:24" ht="18.75" x14ac:dyDescent="0.25">
      <c r="A9" s="88">
        <v>311</v>
      </c>
      <c r="B9" s="89">
        <v>25</v>
      </c>
      <c r="C9" s="89">
        <v>910</v>
      </c>
      <c r="D9" s="90">
        <v>70499</v>
      </c>
      <c r="E9" s="91"/>
      <c r="F9" s="92" t="s">
        <v>197</v>
      </c>
      <c r="G9" s="92"/>
      <c r="H9" s="92"/>
      <c r="I9" s="92"/>
      <c r="J9" s="92"/>
      <c r="K9" s="92"/>
      <c r="L9" s="68" t="e">
        <f>ROUND(COM!H9,1)</f>
        <v>#REF!</v>
      </c>
      <c r="M9" s="68" t="e">
        <f>ROUND(COM!I9,1)</f>
        <v>#REF!</v>
      </c>
      <c r="N9" s="68" t="e">
        <f>ROUND(COM!J9,1)</f>
        <v>#REF!</v>
      </c>
      <c r="O9" s="68" t="e">
        <f>ROUND(COM!K9,1)</f>
        <v>#REF!</v>
      </c>
      <c r="P9" s="68" t="e">
        <f>ROUND(COM!L9,1)</f>
        <v>#REF!</v>
      </c>
      <c r="Q9" s="68" t="e">
        <f>ROUND(COM!M9,1)</f>
        <v>#REF!</v>
      </c>
      <c r="R9" s="68" t="e">
        <f>ROUND(COM!N9,1)</f>
        <v>#REF!</v>
      </c>
      <c r="S9" s="68" t="e">
        <f>ROUND(COM!O9,1)</f>
        <v>#REF!</v>
      </c>
      <c r="T9" s="68" t="e">
        <f>ROUND(COM!P9,1)</f>
        <v>#REF!</v>
      </c>
      <c r="U9" s="68" t="e">
        <f>ROUND(COM!Q9,1)</f>
        <v>#REF!</v>
      </c>
      <c r="V9" s="68" t="e">
        <f>ROUND(COM!R9,1)</f>
        <v>#REF!</v>
      </c>
      <c r="W9" s="68" t="e">
        <f>ROUND(COM!S9,1)</f>
        <v>#REF!</v>
      </c>
      <c r="X9" s="111" t="e">
        <f t="shared" si="1"/>
        <v>#REF!</v>
      </c>
    </row>
    <row r="10" spans="1:24" ht="37.5" x14ac:dyDescent="0.25">
      <c r="A10" s="88">
        <v>311</v>
      </c>
      <c r="B10" s="89">
        <v>25</v>
      </c>
      <c r="C10" s="89">
        <v>920</v>
      </c>
      <c r="D10" s="90">
        <v>70499</v>
      </c>
      <c r="E10" s="91" t="s">
        <v>164</v>
      </c>
      <c r="F10" s="92" t="s">
        <v>196</v>
      </c>
      <c r="G10" s="92"/>
      <c r="H10" s="92"/>
      <c r="I10" s="92"/>
      <c r="J10" s="92"/>
      <c r="K10" s="92"/>
      <c r="L10" s="68" t="e">
        <f>ROUND(COM!H10,1)</f>
        <v>#REF!</v>
      </c>
      <c r="M10" s="68" t="e">
        <f>ROUND(COM!I10,1)</f>
        <v>#REF!</v>
      </c>
      <c r="N10" s="68" t="e">
        <f>ROUND(COM!J10,1)</f>
        <v>#REF!</v>
      </c>
      <c r="O10" s="68" t="e">
        <f>ROUND(COM!K10,1)</f>
        <v>#REF!</v>
      </c>
      <c r="P10" s="68" t="e">
        <f>ROUND(COM!L10,1)</f>
        <v>#REF!</v>
      </c>
      <c r="Q10" s="68" t="e">
        <f>ROUND(COM!M10,1)</f>
        <v>#REF!</v>
      </c>
      <c r="R10" s="68" t="e">
        <f>ROUND(COM!N10,1)</f>
        <v>#REF!</v>
      </c>
      <c r="S10" s="68" t="e">
        <f>ROUND(COM!O10,1)</f>
        <v>#REF!</v>
      </c>
      <c r="T10" s="68" t="e">
        <f>ROUND(COM!P10,1)</f>
        <v>#REF!</v>
      </c>
      <c r="U10" s="68" t="e">
        <f>ROUND(COM!Q10,1)</f>
        <v>#REF!</v>
      </c>
      <c r="V10" s="68" t="e">
        <f>ROUND(COM!R10,1)</f>
        <v>#REF!</v>
      </c>
      <c r="W10" s="68" t="e">
        <f>ROUND(COM!S10,1)</f>
        <v>#REF!</v>
      </c>
      <c r="X10" s="111" t="e">
        <f t="shared" si="1"/>
        <v>#REF!</v>
      </c>
    </row>
    <row r="11" spans="1:24" ht="18.75" x14ac:dyDescent="0.25">
      <c r="A11" s="88">
        <v>311</v>
      </c>
      <c r="B11" s="89">
        <v>25</v>
      </c>
      <c r="C11" s="89">
        <v>910</v>
      </c>
      <c r="D11" s="90">
        <v>70499</v>
      </c>
      <c r="E11" s="91"/>
      <c r="F11" s="92" t="s">
        <v>195</v>
      </c>
      <c r="G11" s="92"/>
      <c r="H11" s="92"/>
      <c r="I11" s="92"/>
      <c r="J11" s="92"/>
      <c r="K11" s="92"/>
      <c r="L11" s="68" t="e">
        <f>ROUND(COM!H11,1)</f>
        <v>#REF!</v>
      </c>
      <c r="M11" s="68" t="e">
        <f>ROUND(COM!I11,1)</f>
        <v>#REF!</v>
      </c>
      <c r="N11" s="68" t="e">
        <f>ROUND(COM!J11,1)</f>
        <v>#REF!</v>
      </c>
      <c r="O11" s="68" t="e">
        <f>ROUND(COM!K11,1)</f>
        <v>#REF!</v>
      </c>
      <c r="P11" s="68" t="e">
        <f>ROUND(COM!L11,1)</f>
        <v>#REF!</v>
      </c>
      <c r="Q11" s="68" t="e">
        <f>ROUND(COM!M11,1)</f>
        <v>#REF!</v>
      </c>
      <c r="R11" s="68" t="e">
        <f>ROUND(COM!N11,1)</f>
        <v>#REF!</v>
      </c>
      <c r="S11" s="68" t="e">
        <f>ROUND(COM!O11,1)</f>
        <v>#REF!</v>
      </c>
      <c r="T11" s="68" t="e">
        <f>ROUND(COM!P11,1)</f>
        <v>#REF!</v>
      </c>
      <c r="U11" s="68" t="e">
        <f>ROUND(COM!Q11,1)</f>
        <v>#REF!</v>
      </c>
      <c r="V11" s="68" t="e">
        <f>ROUND(COM!R11,1)</f>
        <v>#REF!</v>
      </c>
      <c r="W11" s="68" t="e">
        <f>ROUND(COM!S11,1)</f>
        <v>#REF!</v>
      </c>
      <c r="X11" s="111" t="e">
        <f t="shared" si="1"/>
        <v>#REF!</v>
      </c>
    </row>
    <row r="12" spans="1:24" ht="37.5" x14ac:dyDescent="0.25">
      <c r="A12" s="88">
        <v>311</v>
      </c>
      <c r="B12" s="89">
        <v>25</v>
      </c>
      <c r="C12" s="89">
        <v>920</v>
      </c>
      <c r="D12" s="90">
        <v>70499</v>
      </c>
      <c r="E12" s="91" t="s">
        <v>177</v>
      </c>
      <c r="F12" s="92" t="s">
        <v>198</v>
      </c>
      <c r="G12" s="92"/>
      <c r="H12" s="92"/>
      <c r="I12" s="92"/>
      <c r="J12" s="92"/>
      <c r="K12" s="92"/>
      <c r="L12" s="68" t="e">
        <f>ROUND(COM!H12,1)</f>
        <v>#REF!</v>
      </c>
      <c r="M12" s="68" t="e">
        <f>ROUND(COM!I12,1)</f>
        <v>#REF!</v>
      </c>
      <c r="N12" s="68" t="e">
        <f>ROUND(COM!J12,1)</f>
        <v>#REF!</v>
      </c>
      <c r="O12" s="68" t="e">
        <f>ROUND(COM!K12,1)</f>
        <v>#REF!</v>
      </c>
      <c r="P12" s="68" t="e">
        <f>ROUND(COM!L12,1)</f>
        <v>#REF!</v>
      </c>
      <c r="Q12" s="68" t="e">
        <f>ROUND(COM!M12,1)</f>
        <v>#REF!</v>
      </c>
      <c r="R12" s="68" t="e">
        <f>ROUND(COM!N12,1)</f>
        <v>#REF!</v>
      </c>
      <c r="S12" s="68" t="e">
        <f>ROUND(COM!O12,1)</f>
        <v>#REF!</v>
      </c>
      <c r="T12" s="68" t="e">
        <f>ROUND(COM!P12,1)</f>
        <v>#REF!</v>
      </c>
      <c r="U12" s="68" t="e">
        <f>ROUND(COM!Q12,1)</f>
        <v>#REF!</v>
      </c>
      <c r="V12" s="68" t="e">
        <f>ROUND(COM!R12,1)</f>
        <v>#REF!</v>
      </c>
      <c r="W12" s="68" t="e">
        <f>ROUND(COM!S12,1)</f>
        <v>#REF!</v>
      </c>
      <c r="X12" s="111" t="e">
        <f t="shared" si="1"/>
        <v>#REF!</v>
      </c>
    </row>
    <row r="13" spans="1:24" ht="37.5" x14ac:dyDescent="0.25">
      <c r="A13" s="88">
        <v>321</v>
      </c>
      <c r="B13" s="89">
        <v>25</v>
      </c>
      <c r="C13" s="89">
        <v>930</v>
      </c>
      <c r="D13" s="124">
        <v>70499</v>
      </c>
      <c r="E13" s="122" t="s">
        <v>171</v>
      </c>
      <c r="F13" s="92" t="s">
        <v>7</v>
      </c>
      <c r="G13" s="126" t="s">
        <v>397</v>
      </c>
      <c r="H13" s="126"/>
      <c r="I13" s="126"/>
      <c r="J13" s="126"/>
      <c r="K13" s="126"/>
      <c r="L13" s="68" t="e">
        <f>ROUND(COM!H13,1)</f>
        <v>#REF!</v>
      </c>
      <c r="M13" s="68" t="e">
        <f>ROUND(COM!I13,1)</f>
        <v>#REF!</v>
      </c>
      <c r="N13" s="68" t="e">
        <f>ROUND(COM!J13,1)</f>
        <v>#REF!</v>
      </c>
      <c r="O13" s="68" t="e">
        <f>ROUND(COM!K13,1)</f>
        <v>#REF!</v>
      </c>
      <c r="P13" s="68" t="e">
        <f>ROUND(COM!L13,1)</f>
        <v>#REF!</v>
      </c>
      <c r="Q13" s="68" t="e">
        <f>ROUND(COM!M13,1)</f>
        <v>#REF!</v>
      </c>
      <c r="R13" s="68" t="e">
        <f>ROUND(COM!N13,1)</f>
        <v>#REF!</v>
      </c>
      <c r="S13" s="68" t="e">
        <f>ROUND(COM!O13,1)</f>
        <v>#REF!</v>
      </c>
      <c r="T13" s="68" t="e">
        <f>ROUND(COM!P13,1)</f>
        <v>#REF!</v>
      </c>
      <c r="U13" s="68" t="e">
        <f>ROUND(COM!Q13,1)</f>
        <v>#REF!</v>
      </c>
      <c r="V13" s="68" t="e">
        <f>ROUND(COM!R13,1)</f>
        <v>#REF!</v>
      </c>
      <c r="W13" s="68" t="e">
        <f>ROUND(COM!S13,1)</f>
        <v>#REF!</v>
      </c>
      <c r="X13" s="111" t="e">
        <f t="shared" si="1"/>
        <v>#REF!</v>
      </c>
    </row>
    <row r="14" spans="1:24" ht="37.5" x14ac:dyDescent="0.25">
      <c r="A14" s="88">
        <v>311</v>
      </c>
      <c r="B14" s="89">
        <v>25</v>
      </c>
      <c r="C14" s="89">
        <v>920</v>
      </c>
      <c r="D14" s="124">
        <v>70499</v>
      </c>
      <c r="E14" s="122" t="s">
        <v>172</v>
      </c>
      <c r="F14" s="92" t="s">
        <v>8</v>
      </c>
      <c r="G14" s="92"/>
      <c r="H14" s="92"/>
      <c r="I14" s="92"/>
      <c r="J14" s="92"/>
      <c r="K14" s="92"/>
      <c r="L14" s="68" t="e">
        <f>ROUND(COM!H14,1)</f>
        <v>#REF!</v>
      </c>
      <c r="M14" s="68" t="e">
        <f>ROUND(COM!I14,1)</f>
        <v>#REF!</v>
      </c>
      <c r="N14" s="68" t="e">
        <f>ROUND(COM!J14,1)</f>
        <v>#REF!</v>
      </c>
      <c r="O14" s="68" t="e">
        <f>ROUND(COM!K14,1)</f>
        <v>#REF!</v>
      </c>
      <c r="P14" s="68" t="e">
        <f>ROUND(COM!L14,1)</f>
        <v>#REF!</v>
      </c>
      <c r="Q14" s="68" t="e">
        <f>ROUND(COM!M14,1)</f>
        <v>#REF!</v>
      </c>
      <c r="R14" s="68" t="e">
        <f>ROUND(COM!N14,1)</f>
        <v>#REF!</v>
      </c>
      <c r="S14" s="68" t="e">
        <f>ROUND(COM!O14,1)</f>
        <v>#REF!</v>
      </c>
      <c r="T14" s="68" t="e">
        <f>ROUND(COM!P14,1)</f>
        <v>#REF!</v>
      </c>
      <c r="U14" s="68" t="e">
        <f>ROUND(COM!Q14,1)</f>
        <v>#REF!</v>
      </c>
      <c r="V14" s="68" t="e">
        <f>ROUND(COM!R14,1)</f>
        <v>#REF!</v>
      </c>
      <c r="W14" s="68" t="e">
        <f>ROUND(COM!S14,1)</f>
        <v>#REF!</v>
      </c>
      <c r="X14" s="111" t="e">
        <f t="shared" si="1"/>
        <v>#REF!</v>
      </c>
    </row>
    <row r="15" spans="1:24" ht="37.5" x14ac:dyDescent="0.25">
      <c r="A15" s="88">
        <v>321</v>
      </c>
      <c r="B15" s="89">
        <v>25</v>
      </c>
      <c r="C15" s="89">
        <v>920</v>
      </c>
      <c r="D15" s="124">
        <v>70499</v>
      </c>
      <c r="E15" s="122" t="s">
        <v>172</v>
      </c>
      <c r="F15" s="92" t="s">
        <v>8</v>
      </c>
      <c r="G15" s="92"/>
      <c r="H15" s="92"/>
      <c r="I15" s="92"/>
      <c r="J15" s="92"/>
      <c r="K15" s="92"/>
      <c r="L15" s="68" t="e">
        <f>ROUND(COM!H15,1)</f>
        <v>#REF!</v>
      </c>
      <c r="M15" s="68" t="e">
        <f>ROUND(COM!I15,1)</f>
        <v>#REF!</v>
      </c>
      <c r="N15" s="68" t="e">
        <f>ROUND(COM!J15,1)</f>
        <v>#REF!</v>
      </c>
      <c r="O15" s="68" t="e">
        <f>ROUND(COM!K15,1)</f>
        <v>#REF!</v>
      </c>
      <c r="P15" s="68" t="e">
        <f>ROUND(COM!L15,1)</f>
        <v>#REF!</v>
      </c>
      <c r="Q15" s="68" t="e">
        <f>ROUND(COM!M15,1)</f>
        <v>#REF!</v>
      </c>
      <c r="R15" s="68" t="e">
        <f>ROUND(COM!N15,1)</f>
        <v>#REF!</v>
      </c>
      <c r="S15" s="68" t="e">
        <f>ROUND(COM!O15,1)</f>
        <v>#REF!</v>
      </c>
      <c r="T15" s="68" t="e">
        <f>ROUND(COM!P15,1)</f>
        <v>#REF!</v>
      </c>
      <c r="U15" s="68" t="e">
        <f>ROUND(COM!Q15,1)</f>
        <v>#REF!</v>
      </c>
      <c r="V15" s="68" t="e">
        <f>ROUND(COM!R15,1)</f>
        <v>#REF!</v>
      </c>
      <c r="W15" s="68" t="e">
        <f>ROUND(COM!S15,1)</f>
        <v>#REF!</v>
      </c>
      <c r="X15" s="111" t="e">
        <f t="shared" si="1"/>
        <v>#REF!</v>
      </c>
    </row>
    <row r="16" spans="1:24" ht="37.5" x14ac:dyDescent="0.25">
      <c r="A16" s="88">
        <v>311</v>
      </c>
      <c r="B16" s="89">
        <v>25</v>
      </c>
      <c r="C16" s="89">
        <v>930</v>
      </c>
      <c r="D16" s="124">
        <v>70499</v>
      </c>
      <c r="E16" s="122" t="s">
        <v>172</v>
      </c>
      <c r="F16" s="92" t="s">
        <v>9</v>
      </c>
      <c r="G16" s="228" t="s">
        <v>354</v>
      </c>
      <c r="H16" s="171"/>
      <c r="I16" s="171"/>
      <c r="J16" s="171"/>
      <c r="K16" s="171"/>
      <c r="L16" s="68" t="e">
        <f>ROUND(COM!H16,1)</f>
        <v>#REF!</v>
      </c>
      <c r="M16" s="68" t="e">
        <f>ROUND(COM!I16,1)</f>
        <v>#REF!</v>
      </c>
      <c r="N16" s="68" t="e">
        <f>ROUND(COM!J16,1)</f>
        <v>#REF!</v>
      </c>
      <c r="O16" s="68" t="e">
        <f>ROUND(COM!K16,1)</f>
        <v>#REF!</v>
      </c>
      <c r="P16" s="68" t="e">
        <f>ROUND(COM!L16,1)</f>
        <v>#REF!</v>
      </c>
      <c r="Q16" s="68" t="e">
        <f>ROUND(COM!M16,1)</f>
        <v>#REF!</v>
      </c>
      <c r="R16" s="68" t="e">
        <f>ROUND(COM!N16,1)</f>
        <v>#REF!</v>
      </c>
      <c r="S16" s="68" t="e">
        <f>ROUND(COM!O16,1)</f>
        <v>#REF!</v>
      </c>
      <c r="T16" s="68" t="e">
        <f>ROUND(COM!P16,1)</f>
        <v>#REF!</v>
      </c>
      <c r="U16" s="68" t="e">
        <f>ROUND(COM!Q16,1)</f>
        <v>#REF!</v>
      </c>
      <c r="V16" s="68" t="e">
        <f>ROUND(COM!R16,1)</f>
        <v>#REF!</v>
      </c>
      <c r="W16" s="68" t="e">
        <f>ROUND(COM!S16,1)</f>
        <v>#REF!</v>
      </c>
      <c r="X16" s="111" t="e">
        <f t="shared" si="1"/>
        <v>#REF!</v>
      </c>
    </row>
    <row r="17" spans="1:24" ht="37.5" x14ac:dyDescent="0.25">
      <c r="A17" s="88">
        <v>321</v>
      </c>
      <c r="B17" s="89">
        <v>25</v>
      </c>
      <c r="C17" s="89">
        <v>930</v>
      </c>
      <c r="D17" s="124">
        <v>70499</v>
      </c>
      <c r="E17" s="122" t="s">
        <v>172</v>
      </c>
      <c r="F17" s="92" t="s">
        <v>9</v>
      </c>
      <c r="G17" s="229"/>
      <c r="H17" s="172"/>
      <c r="I17" s="172"/>
      <c r="J17" s="172"/>
      <c r="K17" s="172"/>
      <c r="L17" s="68" t="e">
        <f>ROUND(COM!H17,1)</f>
        <v>#REF!</v>
      </c>
      <c r="M17" s="68" t="e">
        <f>ROUND(COM!I17,1)</f>
        <v>#REF!</v>
      </c>
      <c r="N17" s="68" t="e">
        <f>ROUND(COM!J17,1)</f>
        <v>#REF!</v>
      </c>
      <c r="O17" s="68" t="e">
        <f>ROUND(COM!K17,1)</f>
        <v>#REF!</v>
      </c>
      <c r="P17" s="68" t="e">
        <f>ROUND(COM!L17,1)</f>
        <v>#REF!</v>
      </c>
      <c r="Q17" s="68" t="e">
        <f>ROUND(COM!M17,1)</f>
        <v>#REF!</v>
      </c>
      <c r="R17" s="68" t="e">
        <f>ROUND(COM!N17,1)</f>
        <v>#REF!</v>
      </c>
      <c r="S17" s="68" t="e">
        <f>ROUND(COM!O17,1)</f>
        <v>#REF!</v>
      </c>
      <c r="T17" s="68" t="e">
        <f>ROUND(COM!P17,1)</f>
        <v>#REF!</v>
      </c>
      <c r="U17" s="68" t="e">
        <f>ROUND(COM!Q17,1)</f>
        <v>#REF!</v>
      </c>
      <c r="V17" s="68" t="e">
        <f>ROUND(COM!R17,1)</f>
        <v>#REF!</v>
      </c>
      <c r="W17" s="68" t="e">
        <f>ROUND(COM!S17,1)</f>
        <v>#REF!</v>
      </c>
      <c r="X17" s="111" t="e">
        <f t="shared" si="1"/>
        <v>#REF!</v>
      </c>
    </row>
    <row r="18" spans="1:24" ht="18.75" x14ac:dyDescent="0.25">
      <c r="A18" s="88">
        <v>311</v>
      </c>
      <c r="B18" s="89">
        <v>25</v>
      </c>
      <c r="C18" s="89">
        <v>920</v>
      </c>
      <c r="D18" s="124">
        <v>70499</v>
      </c>
      <c r="E18" s="122" t="s">
        <v>172</v>
      </c>
      <c r="F18" s="92" t="s">
        <v>10</v>
      </c>
      <c r="G18" s="92"/>
      <c r="H18" s="92"/>
      <c r="I18" s="92"/>
      <c r="J18" s="92"/>
      <c r="K18" s="92"/>
      <c r="L18" s="68" t="e">
        <f>ROUND(COM!H18,1)</f>
        <v>#REF!</v>
      </c>
      <c r="M18" s="68" t="e">
        <f>ROUND(COM!I18,1)</f>
        <v>#REF!</v>
      </c>
      <c r="N18" s="68" t="e">
        <f>ROUND(COM!J18,1)</f>
        <v>#REF!</v>
      </c>
      <c r="O18" s="68" t="e">
        <f>ROUND(COM!K18,1)</f>
        <v>#REF!</v>
      </c>
      <c r="P18" s="68" t="e">
        <f>ROUND(COM!L18,1)</f>
        <v>#REF!</v>
      </c>
      <c r="Q18" s="68" t="e">
        <f>ROUND(COM!M18,1)</f>
        <v>#REF!</v>
      </c>
      <c r="R18" s="68" t="e">
        <f>ROUND(COM!N18,1)</f>
        <v>#REF!</v>
      </c>
      <c r="S18" s="68" t="e">
        <f>ROUND(COM!O18,1)</f>
        <v>#REF!</v>
      </c>
      <c r="T18" s="68" t="e">
        <f>ROUND(COM!P18,1)</f>
        <v>#REF!</v>
      </c>
      <c r="U18" s="68" t="e">
        <f>ROUND(COM!Q18,1)</f>
        <v>#REF!</v>
      </c>
      <c r="V18" s="68" t="e">
        <f>ROUND(COM!R18,1)</f>
        <v>#REF!</v>
      </c>
      <c r="W18" s="68" t="e">
        <f>ROUND(COM!S18,1)</f>
        <v>#REF!</v>
      </c>
      <c r="X18" s="111" t="e">
        <f t="shared" si="1"/>
        <v>#REF!</v>
      </c>
    </row>
    <row r="19" spans="1:24" ht="18.75" x14ac:dyDescent="0.25">
      <c r="A19" s="88">
        <v>321</v>
      </c>
      <c r="B19" s="89">
        <v>25</v>
      </c>
      <c r="C19" s="89">
        <v>920</v>
      </c>
      <c r="D19" s="124">
        <v>70499</v>
      </c>
      <c r="E19" s="122" t="s">
        <v>172</v>
      </c>
      <c r="F19" s="92" t="s">
        <v>10</v>
      </c>
      <c r="G19" s="92"/>
      <c r="H19" s="92"/>
      <c r="I19" s="92"/>
      <c r="J19" s="92"/>
      <c r="K19" s="92"/>
      <c r="L19" s="68" t="e">
        <f>ROUND(COM!H19,1)</f>
        <v>#REF!</v>
      </c>
      <c r="M19" s="68" t="e">
        <f>ROUND(COM!I19,1)</f>
        <v>#REF!</v>
      </c>
      <c r="N19" s="68" t="e">
        <f>ROUND(COM!J19,1)</f>
        <v>#REF!</v>
      </c>
      <c r="O19" s="68" t="e">
        <f>ROUND(COM!K19,1)</f>
        <v>#REF!</v>
      </c>
      <c r="P19" s="68" t="e">
        <f>ROUND(COM!L19,1)</f>
        <v>#REF!</v>
      </c>
      <c r="Q19" s="68" t="e">
        <f>ROUND(COM!M19,1)</f>
        <v>#REF!</v>
      </c>
      <c r="R19" s="68" t="e">
        <f>ROUND(COM!N19,1)</f>
        <v>#REF!</v>
      </c>
      <c r="S19" s="68" t="e">
        <f>ROUND(COM!O19,1)</f>
        <v>#REF!</v>
      </c>
      <c r="T19" s="68" t="e">
        <f>ROUND(COM!P19,1)</f>
        <v>#REF!</v>
      </c>
      <c r="U19" s="68" t="e">
        <f>ROUND(COM!Q19,1)</f>
        <v>#REF!</v>
      </c>
      <c r="V19" s="68" t="e">
        <f>ROUND(COM!R19,1)</f>
        <v>#REF!</v>
      </c>
      <c r="W19" s="68" t="e">
        <f>ROUND(COM!S19,1)</f>
        <v>#REF!</v>
      </c>
      <c r="X19" s="111" t="e">
        <f t="shared" si="1"/>
        <v>#REF!</v>
      </c>
    </row>
    <row r="20" spans="1:24" ht="18.75" x14ac:dyDescent="0.25">
      <c r="A20" s="88">
        <v>321</v>
      </c>
      <c r="B20" s="89">
        <v>25</v>
      </c>
      <c r="C20" s="89">
        <v>930</v>
      </c>
      <c r="D20" s="124">
        <v>70499</v>
      </c>
      <c r="E20" s="122" t="s">
        <v>172</v>
      </c>
      <c r="F20" s="92" t="s">
        <v>11</v>
      </c>
      <c r="G20" s="126" t="s">
        <v>357</v>
      </c>
      <c r="H20" s="126"/>
      <c r="I20" s="126"/>
      <c r="J20" s="126"/>
      <c r="K20" s="126"/>
      <c r="L20" s="68" t="e">
        <f>ROUND(COM!H20,1)</f>
        <v>#REF!</v>
      </c>
      <c r="M20" s="68" t="e">
        <f>ROUND(COM!I20,1)</f>
        <v>#REF!</v>
      </c>
      <c r="N20" s="68" t="e">
        <f>ROUND(COM!J20,1)</f>
        <v>#REF!</v>
      </c>
      <c r="O20" s="68" t="e">
        <f>ROUND(COM!K20,1)</f>
        <v>#REF!</v>
      </c>
      <c r="P20" s="68" t="e">
        <f>ROUND(COM!L20,1)</f>
        <v>#REF!</v>
      </c>
      <c r="Q20" s="68" t="e">
        <f>ROUND(COM!M20,1)</f>
        <v>#REF!</v>
      </c>
      <c r="R20" s="68" t="e">
        <f>ROUND(COM!N20,1)</f>
        <v>#REF!</v>
      </c>
      <c r="S20" s="68" t="e">
        <f>ROUND(COM!O20,1)</f>
        <v>#REF!</v>
      </c>
      <c r="T20" s="68" t="e">
        <f>ROUND(COM!P20,1)</f>
        <v>#REF!</v>
      </c>
      <c r="U20" s="68" t="e">
        <f>ROUND(COM!Q20,1)</f>
        <v>#REF!</v>
      </c>
      <c r="V20" s="68" t="e">
        <f>ROUND(COM!R20,1)</f>
        <v>#REF!</v>
      </c>
      <c r="W20" s="68" t="e">
        <f>ROUND(COM!S20,1)</f>
        <v>#REF!</v>
      </c>
      <c r="X20" s="111" t="e">
        <f t="shared" si="1"/>
        <v>#REF!</v>
      </c>
    </row>
    <row r="21" spans="1:24" ht="18.75" x14ac:dyDescent="0.25">
      <c r="A21" s="88">
        <v>311</v>
      </c>
      <c r="B21" s="89">
        <v>25</v>
      </c>
      <c r="C21" s="89">
        <v>930</v>
      </c>
      <c r="D21" s="124">
        <v>70499</v>
      </c>
      <c r="E21" s="122" t="s">
        <v>179</v>
      </c>
      <c r="F21" s="92" t="s">
        <v>12</v>
      </c>
      <c r="G21" s="228" t="s">
        <v>358</v>
      </c>
      <c r="H21" s="171"/>
      <c r="I21" s="171"/>
      <c r="J21" s="171"/>
      <c r="K21" s="171"/>
      <c r="L21" s="68" t="e">
        <f>ROUND(COM!H21,1)</f>
        <v>#REF!</v>
      </c>
      <c r="M21" s="68" t="e">
        <f>ROUND(COM!I21,1)</f>
        <v>#REF!</v>
      </c>
      <c r="N21" s="68" t="e">
        <f>ROUND(COM!J21,1)</f>
        <v>#REF!</v>
      </c>
      <c r="O21" s="68" t="e">
        <f>ROUND(COM!K21,1)</f>
        <v>#REF!</v>
      </c>
      <c r="P21" s="68" t="e">
        <f>ROUND(COM!L21,1)</f>
        <v>#REF!</v>
      </c>
      <c r="Q21" s="68" t="e">
        <f>ROUND(COM!M21,1)</f>
        <v>#REF!</v>
      </c>
      <c r="R21" s="68" t="e">
        <f>ROUND(COM!N21,1)</f>
        <v>#REF!</v>
      </c>
      <c r="S21" s="68" t="e">
        <f>ROUND(COM!O21,1)</f>
        <v>#REF!</v>
      </c>
      <c r="T21" s="68" t="e">
        <f>ROUND(COM!P21,1)</f>
        <v>#REF!</v>
      </c>
      <c r="U21" s="68" t="e">
        <f>ROUND(COM!Q21,1)</f>
        <v>#REF!</v>
      </c>
      <c r="V21" s="68" t="e">
        <f>ROUND(COM!R21,1)</f>
        <v>#REF!</v>
      </c>
      <c r="W21" s="68" t="e">
        <f>ROUND(COM!S21,1)</f>
        <v>#REF!</v>
      </c>
      <c r="X21" s="111" t="e">
        <f t="shared" si="1"/>
        <v>#REF!</v>
      </c>
    </row>
    <row r="22" spans="1:24" ht="18.75" x14ac:dyDescent="0.25">
      <c r="A22" s="88">
        <v>321</v>
      </c>
      <c r="B22" s="89">
        <v>25</v>
      </c>
      <c r="C22" s="89">
        <v>930</v>
      </c>
      <c r="D22" s="124">
        <v>70499</v>
      </c>
      <c r="E22" s="122" t="s">
        <v>179</v>
      </c>
      <c r="F22" s="92" t="s">
        <v>12</v>
      </c>
      <c r="G22" s="229"/>
      <c r="H22" s="172"/>
      <c r="I22" s="172"/>
      <c r="J22" s="172"/>
      <c r="K22" s="172"/>
      <c r="L22" s="68" t="e">
        <f>ROUND(COM!H22,1)</f>
        <v>#REF!</v>
      </c>
      <c r="M22" s="68" t="e">
        <f>ROUND(COM!I22,1)</f>
        <v>#REF!</v>
      </c>
      <c r="N22" s="68" t="e">
        <f>ROUND(COM!J22,1)</f>
        <v>#REF!</v>
      </c>
      <c r="O22" s="68" t="e">
        <f>ROUND(COM!K22,1)</f>
        <v>#REF!</v>
      </c>
      <c r="P22" s="68" t="e">
        <f>ROUND(COM!L22,1)</f>
        <v>#REF!</v>
      </c>
      <c r="Q22" s="68" t="e">
        <f>ROUND(COM!M22,1)</f>
        <v>#REF!</v>
      </c>
      <c r="R22" s="68" t="e">
        <f>ROUND(COM!N22,1)</f>
        <v>#REF!</v>
      </c>
      <c r="S22" s="68" t="e">
        <f>ROUND(COM!O22,1)</f>
        <v>#REF!</v>
      </c>
      <c r="T22" s="68" t="e">
        <f>ROUND(COM!P22,1)</f>
        <v>#REF!</v>
      </c>
      <c r="U22" s="68" t="e">
        <f>ROUND(COM!Q22,1)</f>
        <v>#REF!</v>
      </c>
      <c r="V22" s="68" t="e">
        <f>ROUND(COM!R22,1)</f>
        <v>#REF!</v>
      </c>
      <c r="W22" s="68" t="e">
        <f>ROUND(COM!S22,1)</f>
        <v>#REF!</v>
      </c>
      <c r="X22" s="111" t="e">
        <f t="shared" si="1"/>
        <v>#REF!</v>
      </c>
    </row>
    <row r="23" spans="1:24" ht="37.5" x14ac:dyDescent="0.25">
      <c r="A23" s="88">
        <v>311</v>
      </c>
      <c r="B23" s="89">
        <v>25</v>
      </c>
      <c r="C23" s="89">
        <v>920</v>
      </c>
      <c r="D23" s="124">
        <v>70499</v>
      </c>
      <c r="E23" s="122" t="s">
        <v>172</v>
      </c>
      <c r="F23" s="92" t="s">
        <v>13</v>
      </c>
      <c r="G23" s="92"/>
      <c r="H23" s="92"/>
      <c r="I23" s="92"/>
      <c r="J23" s="92"/>
      <c r="K23" s="92"/>
      <c r="L23" s="68" t="e">
        <f>ROUND(COM!H23,1)</f>
        <v>#REF!</v>
      </c>
      <c r="M23" s="68" t="e">
        <f>ROUND(COM!I23,1)</f>
        <v>#REF!</v>
      </c>
      <c r="N23" s="68" t="e">
        <f>ROUND(COM!J23,1)</f>
        <v>#REF!</v>
      </c>
      <c r="O23" s="68" t="e">
        <f>ROUND(COM!K23,1)</f>
        <v>#REF!</v>
      </c>
      <c r="P23" s="68" t="e">
        <f>ROUND(COM!L23,1)</f>
        <v>#REF!</v>
      </c>
      <c r="Q23" s="68" t="e">
        <f>ROUND(COM!M23,1)</f>
        <v>#REF!</v>
      </c>
      <c r="R23" s="68" t="e">
        <f>ROUND(COM!N23,1)</f>
        <v>#REF!</v>
      </c>
      <c r="S23" s="68" t="e">
        <f>ROUND(COM!O23,1)</f>
        <v>#REF!</v>
      </c>
      <c r="T23" s="68" t="e">
        <f>ROUND(COM!P23,1)</f>
        <v>#REF!</v>
      </c>
      <c r="U23" s="68" t="e">
        <f>ROUND(COM!Q23,1)</f>
        <v>#REF!</v>
      </c>
      <c r="V23" s="68" t="e">
        <f>ROUND(COM!R23,1)</f>
        <v>#REF!</v>
      </c>
      <c r="W23" s="68" t="e">
        <f>ROUND(COM!S23,1)</f>
        <v>#REF!</v>
      </c>
      <c r="X23" s="111" t="e">
        <f t="shared" si="1"/>
        <v>#REF!</v>
      </c>
    </row>
    <row r="24" spans="1:24" ht="37.5" x14ac:dyDescent="0.25">
      <c r="A24" s="88">
        <v>321</v>
      </c>
      <c r="B24" s="89">
        <v>25</v>
      </c>
      <c r="C24" s="89">
        <v>920</v>
      </c>
      <c r="D24" s="124">
        <v>70499</v>
      </c>
      <c r="E24" s="122" t="s">
        <v>172</v>
      </c>
      <c r="F24" s="92" t="s">
        <v>13</v>
      </c>
      <c r="G24" s="92"/>
      <c r="H24" s="92"/>
      <c r="I24" s="92"/>
      <c r="J24" s="92"/>
      <c r="K24" s="92"/>
      <c r="L24" s="68" t="e">
        <f>ROUND(COM!H24,1)</f>
        <v>#REF!</v>
      </c>
      <c r="M24" s="68" t="e">
        <f>ROUND(COM!I24,1)</f>
        <v>#REF!</v>
      </c>
      <c r="N24" s="68" t="e">
        <f>ROUND(COM!J24,1)</f>
        <v>#REF!</v>
      </c>
      <c r="O24" s="68" t="e">
        <f>ROUND(COM!K24,1)</f>
        <v>#REF!</v>
      </c>
      <c r="P24" s="68" t="e">
        <f>ROUND(COM!L24,1)</f>
        <v>#REF!</v>
      </c>
      <c r="Q24" s="68" t="e">
        <f>ROUND(COM!M24,1)</f>
        <v>#REF!</v>
      </c>
      <c r="R24" s="68" t="e">
        <f>ROUND(COM!N24,1)</f>
        <v>#REF!</v>
      </c>
      <c r="S24" s="68" t="e">
        <f>ROUND(COM!O24,1)</f>
        <v>#REF!</v>
      </c>
      <c r="T24" s="68" t="e">
        <f>ROUND(COM!P24,1)</f>
        <v>#REF!</v>
      </c>
      <c r="U24" s="68" t="e">
        <f>ROUND(COM!Q24,1)</f>
        <v>#REF!</v>
      </c>
      <c r="V24" s="68" t="e">
        <f>ROUND(COM!R24,1)</f>
        <v>#REF!</v>
      </c>
      <c r="W24" s="68" t="e">
        <f>ROUND(COM!S24,1)</f>
        <v>#REF!</v>
      </c>
      <c r="X24" s="111" t="e">
        <f t="shared" si="1"/>
        <v>#REF!</v>
      </c>
    </row>
    <row r="25" spans="1:24" ht="37.5" x14ac:dyDescent="0.25">
      <c r="A25" s="88">
        <v>321</v>
      </c>
      <c r="B25" s="89">
        <v>25</v>
      </c>
      <c r="C25" s="89">
        <v>930</v>
      </c>
      <c r="D25" s="124">
        <v>70499</v>
      </c>
      <c r="E25" s="122" t="s">
        <v>172</v>
      </c>
      <c r="F25" s="92" t="s">
        <v>14</v>
      </c>
      <c r="G25" s="126" t="s">
        <v>378</v>
      </c>
      <c r="H25" s="126"/>
      <c r="I25" s="126"/>
      <c r="J25" s="126"/>
      <c r="K25" s="126"/>
      <c r="L25" s="68" t="e">
        <f>ROUND(COM!H25,1)</f>
        <v>#REF!</v>
      </c>
      <c r="M25" s="68" t="e">
        <f>ROUND(COM!I25,1)</f>
        <v>#REF!</v>
      </c>
      <c r="N25" s="68" t="e">
        <f>ROUND(COM!J25,1)</f>
        <v>#REF!</v>
      </c>
      <c r="O25" s="68" t="e">
        <f>ROUND(COM!K25,1)</f>
        <v>#REF!</v>
      </c>
      <c r="P25" s="68" t="e">
        <f>ROUND(COM!L25,1)</f>
        <v>#REF!</v>
      </c>
      <c r="Q25" s="68" t="e">
        <f>ROUND(COM!M25,1)</f>
        <v>#REF!</v>
      </c>
      <c r="R25" s="68" t="e">
        <f>ROUND(COM!N25,1)</f>
        <v>#REF!</v>
      </c>
      <c r="S25" s="68" t="e">
        <f>ROUND(COM!O25,1)</f>
        <v>#REF!</v>
      </c>
      <c r="T25" s="68" t="e">
        <f>ROUND(COM!P25,1)</f>
        <v>#REF!</v>
      </c>
      <c r="U25" s="68" t="e">
        <f>ROUND(COM!Q25,1)</f>
        <v>#REF!</v>
      </c>
      <c r="V25" s="68" t="e">
        <f>ROUND(COM!R25,1)</f>
        <v>#REF!</v>
      </c>
      <c r="W25" s="68" t="e">
        <f>ROUND(COM!S25,1)</f>
        <v>#REF!</v>
      </c>
      <c r="X25" s="111" t="e">
        <f t="shared" si="1"/>
        <v>#REF!</v>
      </c>
    </row>
    <row r="26" spans="1:24" ht="18.75" x14ac:dyDescent="0.25">
      <c r="A26" s="88">
        <v>311</v>
      </c>
      <c r="B26" s="89">
        <v>25</v>
      </c>
      <c r="C26" s="89">
        <v>930</v>
      </c>
      <c r="D26" s="124">
        <v>70499</v>
      </c>
      <c r="E26" s="124" t="s">
        <v>172</v>
      </c>
      <c r="F26" s="92" t="s">
        <v>180</v>
      </c>
      <c r="G26" s="228" t="s">
        <v>355</v>
      </c>
      <c r="H26" s="171"/>
      <c r="I26" s="171"/>
      <c r="J26" s="171"/>
      <c r="K26" s="171"/>
      <c r="L26" s="68" t="e">
        <f>ROUND(COM!H26,1)</f>
        <v>#REF!</v>
      </c>
      <c r="M26" s="68" t="e">
        <f>ROUND(COM!I26,1)</f>
        <v>#REF!</v>
      </c>
      <c r="N26" s="68" t="e">
        <f>ROUND(COM!J26,1)</f>
        <v>#REF!</v>
      </c>
      <c r="O26" s="68" t="e">
        <f>ROUND(COM!K26,1)</f>
        <v>#REF!</v>
      </c>
      <c r="P26" s="68" t="e">
        <f>ROUND(COM!L26,1)</f>
        <v>#REF!</v>
      </c>
      <c r="Q26" s="68" t="e">
        <f>ROUND(COM!M26,1)</f>
        <v>#REF!</v>
      </c>
      <c r="R26" s="68" t="e">
        <f>ROUND(COM!N26,1)</f>
        <v>#REF!</v>
      </c>
      <c r="S26" s="68" t="e">
        <f>ROUND(COM!O26,1)</f>
        <v>#REF!</v>
      </c>
      <c r="T26" s="68" t="e">
        <f>ROUND(COM!P26,1)</f>
        <v>#REF!</v>
      </c>
      <c r="U26" s="68" t="e">
        <f>ROUND(COM!Q26,1)</f>
        <v>#REF!</v>
      </c>
      <c r="V26" s="68" t="e">
        <f>ROUND(COM!R26,1)</f>
        <v>#REF!</v>
      </c>
      <c r="W26" s="68" t="e">
        <f>ROUND(COM!S26,1)</f>
        <v>#REF!</v>
      </c>
      <c r="X26" s="111" t="e">
        <f t="shared" si="1"/>
        <v>#REF!</v>
      </c>
    </row>
    <row r="27" spans="1:24" ht="18.75" x14ac:dyDescent="0.25">
      <c r="A27" s="88">
        <v>321</v>
      </c>
      <c r="B27" s="89">
        <v>25</v>
      </c>
      <c r="C27" s="89">
        <v>930</v>
      </c>
      <c r="D27" s="124">
        <v>70499</v>
      </c>
      <c r="E27" s="124" t="s">
        <v>172</v>
      </c>
      <c r="F27" s="92" t="s">
        <v>181</v>
      </c>
      <c r="G27" s="229"/>
      <c r="H27" s="172"/>
      <c r="I27" s="172"/>
      <c r="J27" s="172"/>
      <c r="K27" s="172"/>
      <c r="L27" s="68" t="e">
        <f>ROUND(COM!H27,1)</f>
        <v>#REF!</v>
      </c>
      <c r="M27" s="68" t="e">
        <f>ROUND(COM!I27,1)</f>
        <v>#REF!</v>
      </c>
      <c r="N27" s="68" t="e">
        <f>ROUND(COM!J27,1)</f>
        <v>#REF!</v>
      </c>
      <c r="O27" s="68" t="e">
        <f>ROUND(COM!K27,1)</f>
        <v>#REF!</v>
      </c>
      <c r="P27" s="68" t="e">
        <f>ROUND(COM!L27,1)</f>
        <v>#REF!</v>
      </c>
      <c r="Q27" s="68" t="e">
        <f>ROUND(COM!M27,1)</f>
        <v>#REF!</v>
      </c>
      <c r="R27" s="68" t="e">
        <f>ROUND(COM!N27,1)</f>
        <v>#REF!</v>
      </c>
      <c r="S27" s="68" t="e">
        <f>ROUND(COM!O27,1)</f>
        <v>#REF!</v>
      </c>
      <c r="T27" s="68" t="e">
        <f>ROUND(COM!P27,1)</f>
        <v>#REF!</v>
      </c>
      <c r="U27" s="68" t="e">
        <f>ROUND(COM!Q27,1)</f>
        <v>#REF!</v>
      </c>
      <c r="V27" s="68" t="e">
        <f>ROUND(COM!R27,1)</f>
        <v>#REF!</v>
      </c>
      <c r="W27" s="68" t="e">
        <f>ROUND(COM!S27,1)</f>
        <v>#REF!</v>
      </c>
      <c r="X27" s="111" t="e">
        <f t="shared" si="1"/>
        <v>#REF!</v>
      </c>
    </row>
    <row r="28" spans="1:24" ht="37.5" x14ac:dyDescent="0.25">
      <c r="A28" s="88">
        <v>311</v>
      </c>
      <c r="B28" s="89">
        <v>25</v>
      </c>
      <c r="C28" s="89">
        <v>930</v>
      </c>
      <c r="D28" s="90">
        <v>70499</v>
      </c>
      <c r="E28" s="122" t="s">
        <v>172</v>
      </c>
      <c r="F28" s="92" t="s">
        <v>359</v>
      </c>
      <c r="G28" s="228" t="s">
        <v>356</v>
      </c>
      <c r="H28" s="171"/>
      <c r="I28" s="171"/>
      <c r="J28" s="171"/>
      <c r="K28" s="171"/>
      <c r="L28" s="68" t="e">
        <f>ROUND(COM!H28,1)</f>
        <v>#REF!</v>
      </c>
      <c r="M28" s="68" t="e">
        <f>ROUND(COM!I28,1)</f>
        <v>#REF!</v>
      </c>
      <c r="N28" s="68" t="e">
        <f>ROUND(COM!J28,1)</f>
        <v>#REF!</v>
      </c>
      <c r="O28" s="68" t="e">
        <f>ROUND(COM!K28,1)</f>
        <v>#REF!</v>
      </c>
      <c r="P28" s="68" t="e">
        <f>ROUND(COM!L28,1)</f>
        <v>#REF!</v>
      </c>
      <c r="Q28" s="68" t="e">
        <f>ROUND(COM!M28,1)</f>
        <v>#REF!</v>
      </c>
      <c r="R28" s="68" t="e">
        <f>ROUND(COM!N28,1)</f>
        <v>#REF!</v>
      </c>
      <c r="S28" s="68" t="e">
        <f>ROUND(COM!O28,1)</f>
        <v>#REF!</v>
      </c>
      <c r="T28" s="68" t="e">
        <f>ROUND(COM!P28,1)</f>
        <v>#REF!</v>
      </c>
      <c r="U28" s="68" t="e">
        <f>ROUND(COM!Q28,1)</f>
        <v>#REF!</v>
      </c>
      <c r="V28" s="68" t="e">
        <f>ROUND(COM!R28,1)</f>
        <v>#REF!</v>
      </c>
      <c r="W28" s="68" t="e">
        <f>ROUND(COM!S28,1)</f>
        <v>#REF!</v>
      </c>
      <c r="X28" s="111" t="e">
        <f t="shared" si="1"/>
        <v>#REF!</v>
      </c>
    </row>
    <row r="29" spans="1:24" ht="37.5" x14ac:dyDescent="0.25">
      <c r="A29" s="88">
        <v>321</v>
      </c>
      <c r="B29" s="89">
        <v>25</v>
      </c>
      <c r="C29" s="89">
        <v>930</v>
      </c>
      <c r="D29" s="90">
        <v>70499</v>
      </c>
      <c r="E29" s="122" t="s">
        <v>172</v>
      </c>
      <c r="F29" s="92" t="s">
        <v>359</v>
      </c>
      <c r="G29" s="229"/>
      <c r="H29" s="172"/>
      <c r="I29" s="172"/>
      <c r="J29" s="172"/>
      <c r="K29" s="172"/>
      <c r="L29" s="68" t="e">
        <f>ROUND(COM!H29,1)</f>
        <v>#REF!</v>
      </c>
      <c r="M29" s="68" t="e">
        <f>ROUND(COM!I29,1)</f>
        <v>#REF!</v>
      </c>
      <c r="N29" s="68" t="e">
        <f>ROUND(COM!J29,1)</f>
        <v>#REF!</v>
      </c>
      <c r="O29" s="68" t="e">
        <f>ROUND(COM!K29,1)</f>
        <v>#REF!</v>
      </c>
      <c r="P29" s="68" t="e">
        <f>ROUND(COM!L29,1)</f>
        <v>#REF!</v>
      </c>
      <c r="Q29" s="68" t="e">
        <f>ROUND(COM!M29,1)</f>
        <v>#REF!</v>
      </c>
      <c r="R29" s="68" t="e">
        <f>ROUND(COM!N29,1)</f>
        <v>#REF!</v>
      </c>
      <c r="S29" s="68" t="e">
        <f>ROUND(COM!O29,1)</f>
        <v>#REF!</v>
      </c>
      <c r="T29" s="68" t="e">
        <f>ROUND(COM!P29,1)</f>
        <v>#REF!</v>
      </c>
      <c r="U29" s="68" t="e">
        <f>ROUND(COM!Q29,1)</f>
        <v>#REF!</v>
      </c>
      <c r="V29" s="68" t="e">
        <f>ROUND(COM!R29,1)</f>
        <v>#REF!</v>
      </c>
      <c r="W29" s="68" t="e">
        <f>ROUND(COM!S29,1)</f>
        <v>#REF!</v>
      </c>
      <c r="X29" s="111" t="e">
        <f t="shared" si="1"/>
        <v>#REF!</v>
      </c>
    </row>
    <row r="30" spans="1:24" ht="37.5" x14ac:dyDescent="0.25">
      <c r="A30" s="114">
        <v>311</v>
      </c>
      <c r="B30" s="115">
        <v>25</v>
      </c>
      <c r="C30" s="115">
        <v>930</v>
      </c>
      <c r="D30" s="116">
        <v>70499</v>
      </c>
      <c r="E30" s="117" t="s">
        <v>172</v>
      </c>
      <c r="F30" s="112" t="s">
        <v>395</v>
      </c>
      <c r="G30" s="233" t="s">
        <v>396</v>
      </c>
      <c r="H30" s="173"/>
      <c r="I30" s="173"/>
      <c r="J30" s="173"/>
      <c r="K30" s="173"/>
      <c r="L30" s="68" t="e">
        <f>ROUND(COM!H30,1)</f>
        <v>#REF!</v>
      </c>
      <c r="M30" s="68" t="e">
        <f>ROUND(COM!I30,1)</f>
        <v>#REF!</v>
      </c>
      <c r="N30" s="68" t="e">
        <f>ROUND(COM!J30,1)</f>
        <v>#REF!</v>
      </c>
      <c r="O30" s="68" t="e">
        <f>ROUND(COM!K30,1)</f>
        <v>#REF!</v>
      </c>
      <c r="P30" s="68" t="e">
        <f>ROUND(COM!L30,1)</f>
        <v>#REF!</v>
      </c>
      <c r="Q30" s="68" t="e">
        <f>ROUND(COM!M30,1)</f>
        <v>#REF!</v>
      </c>
      <c r="R30" s="68" t="e">
        <f>ROUND(COM!N30,1)</f>
        <v>#REF!</v>
      </c>
      <c r="S30" s="68" t="e">
        <f>ROUND(COM!O30,1)</f>
        <v>#REF!</v>
      </c>
      <c r="T30" s="68" t="e">
        <f>ROUND(COM!P30,1)</f>
        <v>#REF!</v>
      </c>
      <c r="U30" s="68" t="e">
        <f>ROUND(COM!Q30,1)</f>
        <v>#REF!</v>
      </c>
      <c r="V30" s="68" t="e">
        <f>ROUND(COM!R30,1)</f>
        <v>#REF!</v>
      </c>
      <c r="W30" s="68" t="e">
        <f>ROUND(COM!S30,1)</f>
        <v>#REF!</v>
      </c>
      <c r="X30" s="111" t="e">
        <f t="shared" si="1"/>
        <v>#REF!</v>
      </c>
    </row>
    <row r="31" spans="1:24" ht="37.5" x14ac:dyDescent="0.25">
      <c r="A31" s="114">
        <v>321</v>
      </c>
      <c r="B31" s="115">
        <v>25</v>
      </c>
      <c r="C31" s="115">
        <v>930</v>
      </c>
      <c r="D31" s="116">
        <v>70499</v>
      </c>
      <c r="E31" s="117" t="s">
        <v>172</v>
      </c>
      <c r="F31" s="112" t="s">
        <v>395</v>
      </c>
      <c r="G31" s="234"/>
      <c r="H31" s="174"/>
      <c r="I31" s="174"/>
      <c r="J31" s="174"/>
      <c r="K31" s="174"/>
      <c r="L31" s="68" t="e">
        <f>ROUND(COM!H31,1)</f>
        <v>#REF!</v>
      </c>
      <c r="M31" s="68" t="e">
        <f>ROUND(COM!I31,1)</f>
        <v>#REF!</v>
      </c>
      <c r="N31" s="68" t="e">
        <f>ROUND(COM!J31,1)</f>
        <v>#REF!</v>
      </c>
      <c r="O31" s="68" t="e">
        <f>ROUND(COM!K31,1)</f>
        <v>#REF!</v>
      </c>
      <c r="P31" s="68" t="e">
        <f>ROUND(COM!L31,1)</f>
        <v>#REF!</v>
      </c>
      <c r="Q31" s="68" t="e">
        <f>ROUND(COM!M31,1)</f>
        <v>#REF!</v>
      </c>
      <c r="R31" s="68" t="e">
        <f>ROUND(COM!N31,1)</f>
        <v>#REF!</v>
      </c>
      <c r="S31" s="68" t="e">
        <f>ROUND(COM!O31,1)</f>
        <v>#REF!</v>
      </c>
      <c r="T31" s="68" t="e">
        <f>ROUND(COM!P31,1)</f>
        <v>#REF!</v>
      </c>
      <c r="U31" s="68" t="e">
        <f>ROUND(COM!Q31,1)</f>
        <v>#REF!</v>
      </c>
      <c r="V31" s="68" t="e">
        <f>ROUND(COM!R31,1)</f>
        <v>#REF!</v>
      </c>
      <c r="W31" s="68" t="e">
        <f>ROUND(COM!S31,1)</f>
        <v>#REF!</v>
      </c>
      <c r="X31" s="111" t="e">
        <f t="shared" si="1"/>
        <v>#REF!</v>
      </c>
    </row>
    <row r="32" spans="1:24" ht="18.75" x14ac:dyDescent="0.25">
      <c r="A32" s="114">
        <v>311</v>
      </c>
      <c r="B32" s="115">
        <v>25</v>
      </c>
      <c r="C32" s="115">
        <v>920</v>
      </c>
      <c r="D32" s="116">
        <v>70499</v>
      </c>
      <c r="E32" s="117" t="s">
        <v>172</v>
      </c>
      <c r="F32" s="118" t="s">
        <v>15</v>
      </c>
      <c r="G32" s="149"/>
      <c r="H32" s="149"/>
      <c r="I32" s="149"/>
      <c r="J32" s="149"/>
      <c r="K32" s="149"/>
      <c r="L32" s="68" t="e">
        <f>ROUND(COM!H32,1)</f>
        <v>#REF!</v>
      </c>
      <c r="M32" s="68" t="e">
        <f>ROUND(COM!I32,1)</f>
        <v>#REF!</v>
      </c>
      <c r="N32" s="68" t="e">
        <f>ROUND(COM!J32,1)</f>
        <v>#REF!</v>
      </c>
      <c r="O32" s="68" t="e">
        <f>ROUND(COM!K32,1)</f>
        <v>#REF!</v>
      </c>
      <c r="P32" s="68" t="e">
        <f>ROUND(COM!L32,1)</f>
        <v>#REF!</v>
      </c>
      <c r="Q32" s="68" t="e">
        <f>ROUND(COM!M32,1)</f>
        <v>#REF!</v>
      </c>
      <c r="R32" s="68" t="e">
        <f>ROUND(COM!N32,1)</f>
        <v>#REF!</v>
      </c>
      <c r="S32" s="68" t="e">
        <f>ROUND(COM!O32,1)</f>
        <v>#REF!</v>
      </c>
      <c r="T32" s="68" t="e">
        <f>ROUND(COM!P32,1)</f>
        <v>#REF!</v>
      </c>
      <c r="U32" s="68" t="e">
        <f>ROUND(COM!Q32,1)</f>
        <v>#REF!</v>
      </c>
      <c r="V32" s="68" t="e">
        <f>ROUND(COM!R32,1)</f>
        <v>#REF!</v>
      </c>
      <c r="W32" s="68" t="e">
        <f>ROUND(COM!S32,1)</f>
        <v>#REF!</v>
      </c>
      <c r="X32" s="111"/>
    </row>
    <row r="33" spans="1:24" ht="18.75" x14ac:dyDescent="0.25">
      <c r="A33" s="114">
        <v>311</v>
      </c>
      <c r="B33" s="115">
        <v>25</v>
      </c>
      <c r="C33" s="115">
        <v>930</v>
      </c>
      <c r="D33" s="116">
        <v>70499</v>
      </c>
      <c r="E33" s="117" t="s">
        <v>172</v>
      </c>
      <c r="F33" s="118" t="s">
        <v>16</v>
      </c>
      <c r="G33" s="149"/>
      <c r="H33" s="149"/>
      <c r="I33" s="149"/>
      <c r="J33" s="149"/>
      <c r="K33" s="149"/>
      <c r="L33" s="68" t="e">
        <f>ROUND(COM!H33,1)</f>
        <v>#REF!</v>
      </c>
      <c r="M33" s="68" t="e">
        <f>ROUND(COM!I33,1)</f>
        <v>#REF!</v>
      </c>
      <c r="N33" s="68" t="e">
        <f>ROUND(COM!J33,1)</f>
        <v>#REF!</v>
      </c>
      <c r="O33" s="68" t="e">
        <f>ROUND(COM!K33,1)</f>
        <v>#REF!</v>
      </c>
      <c r="P33" s="68" t="e">
        <f>ROUND(COM!L33,1)</f>
        <v>#REF!</v>
      </c>
      <c r="Q33" s="68" t="e">
        <f>ROUND(COM!M33,1)</f>
        <v>#REF!</v>
      </c>
      <c r="R33" s="68" t="e">
        <f>ROUND(COM!N33,1)</f>
        <v>#REF!</v>
      </c>
      <c r="S33" s="68" t="e">
        <f>ROUND(COM!O33,1)</f>
        <v>#REF!</v>
      </c>
      <c r="T33" s="68" t="e">
        <f>ROUND(COM!P33,1)</f>
        <v>#REF!</v>
      </c>
      <c r="U33" s="68" t="e">
        <f>ROUND(COM!Q33,1)</f>
        <v>#REF!</v>
      </c>
      <c r="V33" s="68" t="e">
        <f>ROUND(COM!R33,1)</f>
        <v>#REF!</v>
      </c>
      <c r="W33" s="68" t="e">
        <f>ROUND(COM!S33,1)</f>
        <v>#REF!</v>
      </c>
      <c r="X33" s="111"/>
    </row>
    <row r="34" spans="1:24" ht="18.75" x14ac:dyDescent="0.25">
      <c r="A34" s="4"/>
      <c r="B34" s="52"/>
      <c r="C34" s="52"/>
      <c r="D34" s="7"/>
      <c r="E34" s="20"/>
      <c r="F34" s="38"/>
      <c r="G34" s="38"/>
      <c r="H34" s="38"/>
      <c r="I34" s="38"/>
      <c r="J34" s="38"/>
      <c r="K34" s="3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111">
        <f t="shared" si="1"/>
        <v>0</v>
      </c>
    </row>
    <row r="35" spans="1:24" ht="18.75" x14ac:dyDescent="0.25">
      <c r="A35" s="4"/>
      <c r="B35" s="52"/>
      <c r="C35" s="52"/>
      <c r="D35" s="7"/>
      <c r="E35" s="20"/>
      <c r="F35" s="38"/>
      <c r="G35" s="38"/>
      <c r="H35" s="38"/>
      <c r="I35" s="38"/>
      <c r="J35" s="38"/>
      <c r="K35" s="3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111"/>
    </row>
    <row r="36" spans="1:24" ht="18.75" x14ac:dyDescent="0.25">
      <c r="A36" s="4"/>
      <c r="B36" s="52"/>
      <c r="C36" s="52"/>
      <c r="D36" s="7"/>
      <c r="E36" s="20"/>
      <c r="F36" s="38"/>
      <c r="G36" s="38"/>
      <c r="H36" s="38"/>
      <c r="I36" s="38"/>
      <c r="J36" s="38"/>
      <c r="K36" s="3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111">
        <f t="shared" si="1"/>
        <v>0</v>
      </c>
    </row>
    <row r="37" spans="1:24" ht="18.75" x14ac:dyDescent="0.25">
      <c r="A37" s="4"/>
      <c r="B37" s="52"/>
      <c r="C37" s="52"/>
      <c r="D37" s="7"/>
      <c r="E37" s="20"/>
      <c r="F37" s="38"/>
      <c r="G37" s="38"/>
      <c r="H37" s="38"/>
      <c r="I37" s="38"/>
      <c r="J37" s="38"/>
      <c r="K37" s="3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111">
        <f t="shared" si="1"/>
        <v>0</v>
      </c>
    </row>
    <row r="38" spans="1:24" ht="18.75" x14ac:dyDescent="0.25">
      <c r="A38" s="4"/>
      <c r="B38" s="52"/>
      <c r="C38" s="52"/>
      <c r="D38" s="7"/>
      <c r="E38" s="20"/>
      <c r="F38" s="38"/>
      <c r="G38" s="38"/>
      <c r="H38" s="38"/>
      <c r="I38" s="38"/>
      <c r="J38" s="38"/>
      <c r="K38" s="3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111">
        <f t="shared" si="1"/>
        <v>0</v>
      </c>
    </row>
    <row r="39" spans="1:24" ht="18.75" x14ac:dyDescent="0.25">
      <c r="A39" s="56"/>
      <c r="B39" s="50"/>
      <c r="C39" s="50"/>
      <c r="D39" s="50"/>
      <c r="E39" s="54"/>
      <c r="F39" s="36" t="s">
        <v>17</v>
      </c>
      <c r="G39" s="36"/>
      <c r="H39" s="36"/>
      <c r="I39" s="36"/>
      <c r="J39" s="36"/>
      <c r="K39" s="36"/>
      <c r="L39" s="99" t="e">
        <f>L40</f>
        <v>#REF!</v>
      </c>
      <c r="M39" s="99" t="e">
        <f t="shared" ref="M39:W39" si="3">M40</f>
        <v>#REF!</v>
      </c>
      <c r="N39" s="99" t="e">
        <f t="shared" si="3"/>
        <v>#REF!</v>
      </c>
      <c r="O39" s="99" t="e">
        <f t="shared" si="3"/>
        <v>#REF!</v>
      </c>
      <c r="P39" s="99" t="e">
        <f t="shared" si="3"/>
        <v>#REF!</v>
      </c>
      <c r="Q39" s="99" t="e">
        <f t="shared" si="3"/>
        <v>#REF!</v>
      </c>
      <c r="R39" s="99" t="e">
        <f t="shared" si="3"/>
        <v>#REF!</v>
      </c>
      <c r="S39" s="99" t="e">
        <f t="shared" si="3"/>
        <v>#REF!</v>
      </c>
      <c r="T39" s="99" t="e">
        <f t="shared" si="3"/>
        <v>#REF!</v>
      </c>
      <c r="U39" s="99" t="e">
        <f t="shared" si="3"/>
        <v>#REF!</v>
      </c>
      <c r="V39" s="99" t="e">
        <f t="shared" si="3"/>
        <v>#REF!</v>
      </c>
      <c r="W39" s="99" t="e">
        <f t="shared" si="3"/>
        <v>#REF!</v>
      </c>
      <c r="X39" s="111" t="e">
        <f t="shared" si="1"/>
        <v>#REF!</v>
      </c>
    </row>
    <row r="40" spans="1:24" ht="18.75" x14ac:dyDescent="0.25">
      <c r="A40" s="57"/>
      <c r="B40" s="51"/>
      <c r="C40" s="51"/>
      <c r="D40" s="51"/>
      <c r="E40" s="55"/>
      <c r="F40" s="37" t="s">
        <v>6</v>
      </c>
      <c r="G40" s="37"/>
      <c r="H40" s="37"/>
      <c r="I40" s="37"/>
      <c r="J40" s="37"/>
      <c r="K40" s="37"/>
      <c r="L40" s="100" t="e">
        <f t="shared" ref="L40:W40" si="4">SUM(L41:L68)</f>
        <v>#REF!</v>
      </c>
      <c r="M40" s="100" t="e">
        <f>SUM(M41:M68)</f>
        <v>#REF!</v>
      </c>
      <c r="N40" s="100" t="e">
        <f t="shared" si="4"/>
        <v>#REF!</v>
      </c>
      <c r="O40" s="100" t="e">
        <f t="shared" si="4"/>
        <v>#REF!</v>
      </c>
      <c r="P40" s="100" t="e">
        <f t="shared" si="4"/>
        <v>#REF!</v>
      </c>
      <c r="Q40" s="100" t="e">
        <f t="shared" si="4"/>
        <v>#REF!</v>
      </c>
      <c r="R40" s="100" t="e">
        <f t="shared" si="4"/>
        <v>#REF!</v>
      </c>
      <c r="S40" s="100" t="e">
        <f t="shared" si="4"/>
        <v>#REF!</v>
      </c>
      <c r="T40" s="100" t="e">
        <f t="shared" si="4"/>
        <v>#REF!</v>
      </c>
      <c r="U40" s="100" t="e">
        <f t="shared" si="4"/>
        <v>#REF!</v>
      </c>
      <c r="V40" s="100" t="e">
        <f t="shared" si="4"/>
        <v>#REF!</v>
      </c>
      <c r="W40" s="100" t="e">
        <f t="shared" si="4"/>
        <v>#REF!</v>
      </c>
      <c r="X40" s="111" t="e">
        <f t="shared" si="1"/>
        <v>#REF!</v>
      </c>
    </row>
    <row r="41" spans="1:24" ht="37.5" x14ac:dyDescent="0.25">
      <c r="A41" s="4">
        <v>311</v>
      </c>
      <c r="B41" s="52">
        <v>28</v>
      </c>
      <c r="C41" s="52">
        <v>920</v>
      </c>
      <c r="D41" s="73">
        <v>70499</v>
      </c>
      <c r="E41" s="20" t="s">
        <v>172</v>
      </c>
      <c r="F41" s="74" t="s">
        <v>20</v>
      </c>
      <c r="G41" s="225" t="s">
        <v>279</v>
      </c>
      <c r="H41" s="165"/>
      <c r="I41" s="165"/>
      <c r="J41" s="165"/>
      <c r="K41" s="165"/>
      <c r="L41" s="68" t="e">
        <f>ROUND(COM!H41,1)</f>
        <v>#REF!</v>
      </c>
      <c r="M41" s="68" t="e">
        <f>ROUND(COM!I41,1)</f>
        <v>#REF!</v>
      </c>
      <c r="N41" s="68" t="e">
        <f>ROUND(COM!J41,1)</f>
        <v>#REF!</v>
      </c>
      <c r="O41" s="68" t="e">
        <f>ROUND(COM!K41,1)</f>
        <v>#REF!</v>
      </c>
      <c r="P41" s="68" t="e">
        <f>ROUND(COM!L41,1)</f>
        <v>#REF!</v>
      </c>
      <c r="Q41" s="68" t="e">
        <f>ROUND(COM!M41,1)</f>
        <v>#REF!</v>
      </c>
      <c r="R41" s="68" t="e">
        <f>ROUND(COM!N41,1)</f>
        <v>#REF!</v>
      </c>
      <c r="S41" s="68" t="e">
        <f>ROUND(COM!O41,1)</f>
        <v>#REF!</v>
      </c>
      <c r="T41" s="68" t="e">
        <f>ROUND(COM!P41,1)</f>
        <v>#REF!</v>
      </c>
      <c r="U41" s="68" t="e">
        <f>ROUND(COM!Q41,1)</f>
        <v>#REF!</v>
      </c>
      <c r="V41" s="68" t="e">
        <f>ROUND(COM!R41,1)</f>
        <v>#REF!</v>
      </c>
      <c r="W41" s="68" t="e">
        <f>ROUND(COM!S41,1)</f>
        <v>#REF!</v>
      </c>
      <c r="X41" s="111" t="e">
        <f t="shared" si="1"/>
        <v>#REF!</v>
      </c>
    </row>
    <row r="42" spans="1:24" ht="37.5" x14ac:dyDescent="0.25">
      <c r="A42" s="4">
        <v>311</v>
      </c>
      <c r="B42" s="52">
        <v>28</v>
      </c>
      <c r="C42" s="52">
        <v>930</v>
      </c>
      <c r="D42" s="7">
        <v>70499</v>
      </c>
      <c r="E42" s="20" t="s">
        <v>172</v>
      </c>
      <c r="F42" s="74" t="s">
        <v>21</v>
      </c>
      <c r="G42" s="227"/>
      <c r="H42" s="166"/>
      <c r="I42" s="166"/>
      <c r="J42" s="166"/>
      <c r="K42" s="166"/>
      <c r="L42" s="68" t="e">
        <f>ROUND(COM!H42,1)</f>
        <v>#REF!</v>
      </c>
      <c r="M42" s="68" t="e">
        <f>ROUND(COM!I42,1)</f>
        <v>#REF!</v>
      </c>
      <c r="N42" s="68" t="e">
        <f>ROUND(COM!J42,1)</f>
        <v>#REF!</v>
      </c>
      <c r="O42" s="68" t="e">
        <f>ROUND(COM!K42,1)</f>
        <v>#REF!</v>
      </c>
      <c r="P42" s="68" t="e">
        <f>ROUND(COM!L42,1)</f>
        <v>#REF!</v>
      </c>
      <c r="Q42" s="68" t="e">
        <f>ROUND(COM!M42,1)</f>
        <v>#REF!</v>
      </c>
      <c r="R42" s="68" t="e">
        <f>ROUND(COM!N42,1)</f>
        <v>#REF!</v>
      </c>
      <c r="S42" s="68" t="e">
        <f>ROUND(COM!O42,1)</f>
        <v>#REF!</v>
      </c>
      <c r="T42" s="68" t="e">
        <f>ROUND(COM!P42,1)</f>
        <v>#REF!</v>
      </c>
      <c r="U42" s="68" t="e">
        <f>ROUND(COM!Q42,1)</f>
        <v>#REF!</v>
      </c>
      <c r="V42" s="68" t="e">
        <f>ROUND(COM!R42,1)</f>
        <v>#REF!</v>
      </c>
      <c r="W42" s="68" t="e">
        <f>ROUND(COM!S42,1)</f>
        <v>#REF!</v>
      </c>
      <c r="X42" s="111" t="e">
        <f t="shared" si="1"/>
        <v>#REF!</v>
      </c>
    </row>
    <row r="43" spans="1:24" ht="37.5" x14ac:dyDescent="0.25">
      <c r="A43" s="4">
        <v>311</v>
      </c>
      <c r="B43" s="52">
        <v>28</v>
      </c>
      <c r="C43" s="52">
        <v>930</v>
      </c>
      <c r="D43" s="7">
        <v>70499</v>
      </c>
      <c r="E43" s="20" t="s">
        <v>172</v>
      </c>
      <c r="F43" s="74" t="s">
        <v>343</v>
      </c>
      <c r="G43" s="167"/>
      <c r="H43" s="167"/>
      <c r="I43" s="167"/>
      <c r="J43" s="167"/>
      <c r="K43" s="167"/>
      <c r="L43" s="68" t="e">
        <f>ROUND(COM!H43,1)</f>
        <v>#REF!</v>
      </c>
      <c r="M43" s="68" t="e">
        <f>ROUND(COM!I43,1)</f>
        <v>#REF!</v>
      </c>
      <c r="N43" s="68" t="e">
        <f>ROUND(COM!J43,1)</f>
        <v>#REF!</v>
      </c>
      <c r="O43" s="68" t="e">
        <f>ROUND(COM!K43,1)</f>
        <v>#REF!</v>
      </c>
      <c r="P43" s="68" t="e">
        <f>ROUND(COM!L43,1)</f>
        <v>#REF!</v>
      </c>
      <c r="Q43" s="68" t="e">
        <f>ROUND(COM!M43,1)</f>
        <v>#REF!</v>
      </c>
      <c r="R43" s="68" t="e">
        <f>ROUND(COM!N43,1)</f>
        <v>#REF!</v>
      </c>
      <c r="S43" s="68" t="e">
        <f>ROUND(COM!O43,1)</f>
        <v>#REF!</v>
      </c>
      <c r="T43" s="68" t="e">
        <f>ROUND(COM!P43,1)</f>
        <v>#REF!</v>
      </c>
      <c r="U43" s="68" t="e">
        <f>ROUND(COM!Q43,1)</f>
        <v>#REF!</v>
      </c>
      <c r="V43" s="68" t="e">
        <f>ROUND(COM!R43,1)</f>
        <v>#REF!</v>
      </c>
      <c r="W43" s="68" t="e">
        <f>ROUND(COM!S43,1)</f>
        <v>#REF!</v>
      </c>
      <c r="X43" s="111" t="e">
        <f t="shared" si="1"/>
        <v>#REF!</v>
      </c>
    </row>
    <row r="44" spans="1:24" ht="37.5" x14ac:dyDescent="0.25">
      <c r="A44" s="4">
        <v>311</v>
      </c>
      <c r="B44" s="52">
        <v>28</v>
      </c>
      <c r="C44" s="52">
        <v>920</v>
      </c>
      <c r="D44" s="7">
        <v>70499</v>
      </c>
      <c r="E44" s="20" t="s">
        <v>172</v>
      </c>
      <c r="F44" s="62" t="s">
        <v>295</v>
      </c>
      <c r="G44" s="225" t="s">
        <v>280</v>
      </c>
      <c r="H44" s="165"/>
      <c r="I44" s="165"/>
      <c r="J44" s="165"/>
      <c r="K44" s="165"/>
      <c r="L44" s="68" t="e">
        <f>ROUND(COM!H44,1)</f>
        <v>#REF!</v>
      </c>
      <c r="M44" s="68" t="e">
        <f>ROUND(COM!I44,1)</f>
        <v>#REF!</v>
      </c>
      <c r="N44" s="68" t="e">
        <f>ROUND(COM!J44,1)</f>
        <v>#REF!</v>
      </c>
      <c r="O44" s="68" t="e">
        <f>ROUND(COM!K44,1)</f>
        <v>#REF!</v>
      </c>
      <c r="P44" s="68" t="e">
        <f>ROUND(COM!L44,1)</f>
        <v>#REF!</v>
      </c>
      <c r="Q44" s="68" t="e">
        <f>ROUND(COM!M44,1)</f>
        <v>#REF!</v>
      </c>
      <c r="R44" s="68" t="e">
        <f>ROUND(COM!N44,1)</f>
        <v>#REF!</v>
      </c>
      <c r="S44" s="68" t="e">
        <f>ROUND(COM!O44,1)</f>
        <v>#REF!</v>
      </c>
      <c r="T44" s="68" t="e">
        <f>ROUND(COM!P44,1)</f>
        <v>#REF!</v>
      </c>
      <c r="U44" s="68" t="e">
        <f>ROUND(COM!Q44,1)</f>
        <v>#REF!</v>
      </c>
      <c r="V44" s="68" t="e">
        <f>ROUND(COM!R44,1)</f>
        <v>#REF!</v>
      </c>
      <c r="W44" s="68" t="e">
        <f>ROUND(COM!S44,1)</f>
        <v>#REF!</v>
      </c>
      <c r="X44" s="111" t="e">
        <f t="shared" si="1"/>
        <v>#REF!</v>
      </c>
    </row>
    <row r="45" spans="1:24" ht="37.5" x14ac:dyDescent="0.25">
      <c r="A45" s="4">
        <v>311</v>
      </c>
      <c r="B45" s="52">
        <v>28</v>
      </c>
      <c r="C45" s="52">
        <v>930</v>
      </c>
      <c r="D45" s="7">
        <v>70499</v>
      </c>
      <c r="E45" s="20" t="s">
        <v>172</v>
      </c>
      <c r="F45" s="62" t="s">
        <v>296</v>
      </c>
      <c r="G45" s="227"/>
      <c r="H45" s="166"/>
      <c r="I45" s="166"/>
      <c r="J45" s="166"/>
      <c r="K45" s="166"/>
      <c r="L45" s="68" t="e">
        <f>ROUND(COM!H45,1)</f>
        <v>#REF!</v>
      </c>
      <c r="M45" s="68" t="e">
        <f>ROUND(COM!I45,1)</f>
        <v>#REF!</v>
      </c>
      <c r="N45" s="68" t="e">
        <f>ROUND(COM!J45,1)</f>
        <v>#REF!</v>
      </c>
      <c r="O45" s="68" t="e">
        <f>ROUND(COM!K45,1)</f>
        <v>#REF!</v>
      </c>
      <c r="P45" s="68" t="e">
        <f>ROUND(COM!L45,1)</f>
        <v>#REF!</v>
      </c>
      <c r="Q45" s="68" t="e">
        <f>ROUND(COM!M45,1)</f>
        <v>#REF!</v>
      </c>
      <c r="R45" s="68" t="e">
        <f>ROUND(COM!N45,1)</f>
        <v>#REF!</v>
      </c>
      <c r="S45" s="68" t="e">
        <f>ROUND(COM!O45,1)</f>
        <v>#REF!</v>
      </c>
      <c r="T45" s="68" t="e">
        <f>ROUND(COM!P45,1)</f>
        <v>#REF!</v>
      </c>
      <c r="U45" s="68" t="e">
        <f>ROUND(COM!Q45,1)</f>
        <v>#REF!</v>
      </c>
      <c r="V45" s="68" t="e">
        <f>ROUND(COM!R45,1)</f>
        <v>#REF!</v>
      </c>
      <c r="W45" s="68" t="e">
        <f>ROUND(COM!S45,1)</f>
        <v>#REF!</v>
      </c>
      <c r="X45" s="111" t="e">
        <f t="shared" si="1"/>
        <v>#REF!</v>
      </c>
    </row>
    <row r="46" spans="1:24" ht="18.75" customHeight="1" x14ac:dyDescent="0.25">
      <c r="A46" s="4">
        <v>311</v>
      </c>
      <c r="B46" s="52">
        <v>28</v>
      </c>
      <c r="C46" s="52">
        <v>920</v>
      </c>
      <c r="D46" s="7">
        <v>70499</v>
      </c>
      <c r="E46" s="20" t="s">
        <v>172</v>
      </c>
      <c r="F46" s="62" t="s">
        <v>297</v>
      </c>
      <c r="G46" s="225" t="s">
        <v>342</v>
      </c>
      <c r="H46" s="165"/>
      <c r="I46" s="165"/>
      <c r="J46" s="165"/>
      <c r="K46" s="165"/>
      <c r="L46" s="68" t="e">
        <f>ROUND(COM!H46,1)</f>
        <v>#REF!</v>
      </c>
      <c r="M46" s="68" t="e">
        <f>ROUND(COM!I46,1)</f>
        <v>#REF!</v>
      </c>
      <c r="N46" s="68" t="e">
        <f>ROUND(COM!J46,1)</f>
        <v>#REF!</v>
      </c>
      <c r="O46" s="68" t="e">
        <f>ROUND(COM!K46,1)</f>
        <v>#REF!</v>
      </c>
      <c r="P46" s="68" t="e">
        <f>ROUND(COM!L46,1)</f>
        <v>#REF!</v>
      </c>
      <c r="Q46" s="68" t="e">
        <f>ROUND(COM!M46,1)</f>
        <v>#REF!</v>
      </c>
      <c r="R46" s="68" t="e">
        <f>ROUND(COM!N46,1)</f>
        <v>#REF!</v>
      </c>
      <c r="S46" s="68" t="e">
        <f>ROUND(COM!O46,1)</f>
        <v>#REF!</v>
      </c>
      <c r="T46" s="68" t="e">
        <f>ROUND(COM!P46,1)</f>
        <v>#REF!</v>
      </c>
      <c r="U46" s="68" t="e">
        <f>ROUND(COM!Q46,1)</f>
        <v>#REF!</v>
      </c>
      <c r="V46" s="68" t="e">
        <f>ROUND(COM!R46,1)</f>
        <v>#REF!</v>
      </c>
      <c r="W46" s="68" t="e">
        <f>ROUND(COM!S46,1)</f>
        <v>#REF!</v>
      </c>
      <c r="X46" s="111" t="e">
        <f t="shared" si="1"/>
        <v>#REF!</v>
      </c>
    </row>
    <row r="47" spans="1:24" ht="18.75" x14ac:dyDescent="0.25">
      <c r="A47" s="4">
        <v>311</v>
      </c>
      <c r="B47" s="52">
        <v>28</v>
      </c>
      <c r="C47" s="52">
        <v>930</v>
      </c>
      <c r="D47" s="7">
        <v>70499</v>
      </c>
      <c r="E47" s="20" t="s">
        <v>172</v>
      </c>
      <c r="F47" s="62" t="s">
        <v>298</v>
      </c>
      <c r="G47" s="227"/>
      <c r="H47" s="166"/>
      <c r="I47" s="166"/>
      <c r="J47" s="166"/>
      <c r="K47" s="166"/>
      <c r="L47" s="68" t="e">
        <f>ROUND(COM!H47,1)</f>
        <v>#REF!</v>
      </c>
      <c r="M47" s="68" t="e">
        <f>ROUND(COM!I47,1)</f>
        <v>#REF!</v>
      </c>
      <c r="N47" s="68" t="e">
        <f>ROUND(COM!J47,1)</f>
        <v>#REF!</v>
      </c>
      <c r="O47" s="68" t="e">
        <f>ROUND(COM!K47,1)</f>
        <v>#REF!</v>
      </c>
      <c r="P47" s="68" t="e">
        <f>ROUND(COM!L47,1)</f>
        <v>#REF!</v>
      </c>
      <c r="Q47" s="68" t="e">
        <f>ROUND(COM!M47,1)</f>
        <v>#REF!</v>
      </c>
      <c r="R47" s="68" t="e">
        <f>ROUND(COM!N47,1)</f>
        <v>#REF!</v>
      </c>
      <c r="S47" s="68" t="e">
        <f>ROUND(COM!O47,1)</f>
        <v>#REF!</v>
      </c>
      <c r="T47" s="68" t="e">
        <f>ROUND(COM!P47,1)</f>
        <v>#REF!</v>
      </c>
      <c r="U47" s="68" t="e">
        <f>ROUND(COM!Q47,1)</f>
        <v>#REF!</v>
      </c>
      <c r="V47" s="68" t="e">
        <f>ROUND(COM!R47,1)</f>
        <v>#REF!</v>
      </c>
      <c r="W47" s="68" t="e">
        <f>ROUND(COM!S47,1)</f>
        <v>#REF!</v>
      </c>
      <c r="X47" s="111" t="e">
        <f t="shared" si="1"/>
        <v>#REF!</v>
      </c>
    </row>
    <row r="48" spans="1:24" ht="18.75" x14ac:dyDescent="0.25">
      <c r="A48" s="88">
        <v>311</v>
      </c>
      <c r="B48" s="89">
        <v>28</v>
      </c>
      <c r="C48" s="89">
        <v>910</v>
      </c>
      <c r="D48" s="90">
        <v>70499</v>
      </c>
      <c r="E48" s="91"/>
      <c r="F48" s="92" t="s">
        <v>390</v>
      </c>
      <c r="G48" s="92"/>
      <c r="H48" s="92"/>
      <c r="I48" s="92"/>
      <c r="J48" s="92"/>
      <c r="K48" s="92"/>
      <c r="L48" s="68" t="e">
        <f>ROUND(COM!H48,1)</f>
        <v>#REF!</v>
      </c>
      <c r="M48" s="68" t="e">
        <f>ROUND(COM!I48,1)</f>
        <v>#REF!</v>
      </c>
      <c r="N48" s="68" t="e">
        <f>ROUND(COM!J48,1)</f>
        <v>#REF!</v>
      </c>
      <c r="O48" s="68" t="e">
        <f>ROUND(COM!K48,1)</f>
        <v>#REF!</v>
      </c>
      <c r="P48" s="68" t="e">
        <f>ROUND(COM!L48,1)</f>
        <v>#REF!</v>
      </c>
      <c r="Q48" s="68" t="e">
        <f>ROUND(COM!M48,1)</f>
        <v>#REF!</v>
      </c>
      <c r="R48" s="68" t="e">
        <f>ROUND(COM!N48,1)</f>
        <v>#REF!</v>
      </c>
      <c r="S48" s="68" t="e">
        <f>ROUND(COM!O48,1)</f>
        <v>#REF!</v>
      </c>
      <c r="T48" s="68" t="e">
        <f>ROUND(COM!P48,1)</f>
        <v>#REF!</v>
      </c>
      <c r="U48" s="68" t="e">
        <f>ROUND(COM!Q48,1)</f>
        <v>#REF!</v>
      </c>
      <c r="V48" s="68" t="e">
        <f>ROUND(COM!R48,1)</f>
        <v>#REF!</v>
      </c>
      <c r="W48" s="68" t="e">
        <f>ROUND(COM!S48,1)</f>
        <v>#REF!</v>
      </c>
      <c r="X48" s="111"/>
    </row>
    <row r="49" spans="1:24" ht="37.5" x14ac:dyDescent="0.25">
      <c r="A49" s="88">
        <v>311</v>
      </c>
      <c r="B49" s="89">
        <v>28</v>
      </c>
      <c r="C49" s="89">
        <v>920</v>
      </c>
      <c r="D49" s="90">
        <v>70499</v>
      </c>
      <c r="E49" s="91" t="s">
        <v>173</v>
      </c>
      <c r="F49" s="92" t="s">
        <v>389</v>
      </c>
      <c r="G49" s="92"/>
      <c r="H49" s="92"/>
      <c r="I49" s="92"/>
      <c r="J49" s="92"/>
      <c r="K49" s="92"/>
      <c r="L49" s="68" t="e">
        <f>ROUND(COM!H49,1)</f>
        <v>#REF!</v>
      </c>
      <c r="M49" s="68" t="e">
        <f>ROUND(COM!I49,1)</f>
        <v>#REF!</v>
      </c>
      <c r="N49" s="68" t="e">
        <f>ROUND(COM!J49,1)</f>
        <v>#REF!</v>
      </c>
      <c r="O49" s="68" t="e">
        <f>ROUND(COM!K49,1)</f>
        <v>#REF!</v>
      </c>
      <c r="P49" s="68" t="e">
        <f>ROUND(COM!L49,1)</f>
        <v>#REF!</v>
      </c>
      <c r="Q49" s="68" t="e">
        <f>ROUND(COM!M49,1)</f>
        <v>#REF!</v>
      </c>
      <c r="R49" s="68" t="e">
        <f>ROUND(COM!N49,1)</f>
        <v>#REF!</v>
      </c>
      <c r="S49" s="68" t="e">
        <f>ROUND(COM!O49,1)</f>
        <v>#REF!</v>
      </c>
      <c r="T49" s="68" t="e">
        <f>ROUND(COM!P49,1)</f>
        <v>#REF!</v>
      </c>
      <c r="U49" s="68" t="e">
        <f>ROUND(COM!Q49,1)</f>
        <v>#REF!</v>
      </c>
      <c r="V49" s="68" t="e">
        <f>ROUND(COM!R49,1)</f>
        <v>#REF!</v>
      </c>
      <c r="W49" s="68" t="e">
        <f>ROUND(COM!S49,1)</f>
        <v>#REF!</v>
      </c>
      <c r="X49" s="111"/>
    </row>
    <row r="50" spans="1:24" ht="18.75" x14ac:dyDescent="0.25">
      <c r="A50" s="114">
        <v>311</v>
      </c>
      <c r="B50" s="115">
        <v>28</v>
      </c>
      <c r="C50" s="115">
        <v>910</v>
      </c>
      <c r="D50" s="116">
        <v>70499</v>
      </c>
      <c r="E50" s="117"/>
      <c r="F50" s="118" t="s">
        <v>401</v>
      </c>
      <c r="G50" s="118"/>
      <c r="H50" s="118"/>
      <c r="I50" s="118"/>
      <c r="J50" s="118"/>
      <c r="K50" s="118"/>
      <c r="L50" s="68" t="e">
        <f>ROUND(COM!H50,1)</f>
        <v>#REF!</v>
      </c>
      <c r="M50" s="68" t="e">
        <f>ROUND(COM!I50,1)</f>
        <v>#REF!</v>
      </c>
      <c r="N50" s="68" t="e">
        <f>ROUND(COM!J50,1)</f>
        <v>#REF!</v>
      </c>
      <c r="O50" s="68" t="e">
        <f>ROUND(COM!K50,1)</f>
        <v>#REF!</v>
      </c>
      <c r="P50" s="68" t="e">
        <f>ROUND(COM!L50,1)</f>
        <v>#REF!</v>
      </c>
      <c r="Q50" s="68" t="e">
        <f>ROUND(COM!M50,1)</f>
        <v>#REF!</v>
      </c>
      <c r="R50" s="68" t="e">
        <f>ROUND(COM!N50,1)</f>
        <v>#REF!</v>
      </c>
      <c r="S50" s="68" t="e">
        <f>ROUND(COM!O50,1)</f>
        <v>#REF!</v>
      </c>
      <c r="T50" s="68" t="e">
        <f>ROUND(COM!P50,1)</f>
        <v>#REF!</v>
      </c>
      <c r="U50" s="68" t="e">
        <f>ROUND(COM!Q50,1)</f>
        <v>#REF!</v>
      </c>
      <c r="V50" s="68" t="e">
        <f>ROUND(COM!R50,1)</f>
        <v>#REF!</v>
      </c>
      <c r="W50" s="68" t="e">
        <f>ROUND(COM!S50,1)</f>
        <v>#REF!</v>
      </c>
      <c r="X50" s="111"/>
    </row>
    <row r="51" spans="1:24" ht="18.75" x14ac:dyDescent="0.25">
      <c r="A51" s="114">
        <v>311</v>
      </c>
      <c r="B51" s="115">
        <v>28</v>
      </c>
      <c r="C51" s="115">
        <v>920</v>
      </c>
      <c r="D51" s="116">
        <v>70499</v>
      </c>
      <c r="E51" s="117" t="s">
        <v>173</v>
      </c>
      <c r="F51" s="118" t="s">
        <v>402</v>
      </c>
      <c r="G51" s="118"/>
      <c r="H51" s="118"/>
      <c r="I51" s="118"/>
      <c r="J51" s="118"/>
      <c r="K51" s="118"/>
      <c r="L51" s="68" t="e">
        <f>ROUND(COM!H51,1)</f>
        <v>#REF!</v>
      </c>
      <c r="M51" s="68" t="e">
        <f>ROUND(COM!I51,1)</f>
        <v>#REF!</v>
      </c>
      <c r="N51" s="68" t="e">
        <f>ROUND(COM!J51,1)</f>
        <v>#REF!</v>
      </c>
      <c r="O51" s="68" t="e">
        <f>ROUND(COM!K51,1)</f>
        <v>#REF!</v>
      </c>
      <c r="P51" s="68" t="e">
        <f>ROUND(COM!L51,1)</f>
        <v>#REF!</v>
      </c>
      <c r="Q51" s="68" t="e">
        <f>ROUND(COM!M51,1)</f>
        <v>#REF!</v>
      </c>
      <c r="R51" s="68" t="e">
        <f>ROUND(COM!N51,1)</f>
        <v>#REF!</v>
      </c>
      <c r="S51" s="68" t="e">
        <f>ROUND(COM!O51,1)</f>
        <v>#REF!</v>
      </c>
      <c r="T51" s="68" t="e">
        <f>ROUND(COM!P51,1)</f>
        <v>#REF!</v>
      </c>
      <c r="U51" s="68" t="e">
        <f>ROUND(COM!Q51,1)</f>
        <v>#REF!</v>
      </c>
      <c r="V51" s="68" t="e">
        <f>ROUND(COM!R51,1)</f>
        <v>#REF!</v>
      </c>
      <c r="W51" s="68" t="e">
        <f>ROUND(COM!S51,1)</f>
        <v>#REF!</v>
      </c>
      <c r="X51" s="111"/>
    </row>
    <row r="52" spans="1:24" ht="18.75" x14ac:dyDescent="0.25">
      <c r="A52" s="114">
        <v>311</v>
      </c>
      <c r="B52" s="115">
        <v>28</v>
      </c>
      <c r="C52" s="115">
        <v>930</v>
      </c>
      <c r="D52" s="116">
        <v>70499</v>
      </c>
      <c r="E52" s="117" t="s">
        <v>173</v>
      </c>
      <c r="F52" s="118" t="s">
        <v>403</v>
      </c>
      <c r="G52" s="118"/>
      <c r="H52" s="118"/>
      <c r="I52" s="118"/>
      <c r="J52" s="118"/>
      <c r="K52" s="118"/>
      <c r="L52" s="68" t="e">
        <f>ROUND(COM!H52,1)</f>
        <v>#REF!</v>
      </c>
      <c r="M52" s="68" t="e">
        <f>ROUND(COM!I52,1)</f>
        <v>#REF!</v>
      </c>
      <c r="N52" s="68" t="e">
        <f>ROUND(COM!J52,1)</f>
        <v>#REF!</v>
      </c>
      <c r="O52" s="68" t="e">
        <f>ROUND(COM!K52,1)</f>
        <v>#REF!</v>
      </c>
      <c r="P52" s="68" t="e">
        <f>ROUND(COM!L52,1)</f>
        <v>#REF!</v>
      </c>
      <c r="Q52" s="68" t="e">
        <f>ROUND(COM!M52,1)</f>
        <v>#REF!</v>
      </c>
      <c r="R52" s="68" t="e">
        <f>ROUND(COM!N52,1)</f>
        <v>#REF!</v>
      </c>
      <c r="S52" s="68" t="e">
        <f>ROUND(COM!O52,1)</f>
        <v>#REF!</v>
      </c>
      <c r="T52" s="68" t="e">
        <f>ROUND(COM!P52,1)</f>
        <v>#REF!</v>
      </c>
      <c r="U52" s="68" t="e">
        <f>ROUND(COM!Q52,1)</f>
        <v>#REF!</v>
      </c>
      <c r="V52" s="68" t="e">
        <f>ROUND(COM!R52,1)</f>
        <v>#REF!</v>
      </c>
      <c r="W52" s="68" t="e">
        <f>ROUND(COM!S52,1)</f>
        <v>#REF!</v>
      </c>
      <c r="X52" s="111"/>
    </row>
    <row r="53" spans="1:24" ht="18.75" x14ac:dyDescent="0.25">
      <c r="A53" s="88">
        <v>311</v>
      </c>
      <c r="B53" s="89">
        <v>28</v>
      </c>
      <c r="C53" s="89">
        <v>920</v>
      </c>
      <c r="D53" s="90">
        <v>70499</v>
      </c>
      <c r="E53" s="91" t="s">
        <v>164</v>
      </c>
      <c r="F53" s="108" t="s">
        <v>18</v>
      </c>
      <c r="G53" s="108"/>
      <c r="H53" s="108"/>
      <c r="I53" s="108"/>
      <c r="J53" s="108"/>
      <c r="K53" s="108"/>
      <c r="L53" s="68" t="e">
        <f>ROUND(COM!H53,1)</f>
        <v>#REF!</v>
      </c>
      <c r="M53" s="68" t="e">
        <f>ROUND(COM!I53,1)</f>
        <v>#REF!</v>
      </c>
      <c r="N53" s="68" t="e">
        <f>ROUND(COM!J53,1)</f>
        <v>#REF!</v>
      </c>
      <c r="O53" s="68" t="e">
        <f>ROUND(COM!K53,1)</f>
        <v>#REF!</v>
      </c>
      <c r="P53" s="68" t="e">
        <f>ROUND(COM!L53,1)</f>
        <v>#REF!</v>
      </c>
      <c r="Q53" s="68" t="e">
        <f>ROUND(COM!M53,1)</f>
        <v>#REF!</v>
      </c>
      <c r="R53" s="68" t="e">
        <f>ROUND(COM!N53,1)</f>
        <v>#REF!</v>
      </c>
      <c r="S53" s="68" t="e">
        <f>ROUND(COM!O53,1)</f>
        <v>#REF!</v>
      </c>
      <c r="T53" s="68" t="e">
        <f>ROUND(COM!P53,1)</f>
        <v>#REF!</v>
      </c>
      <c r="U53" s="68" t="e">
        <f>ROUND(COM!Q53,1)</f>
        <v>#REF!</v>
      </c>
      <c r="V53" s="68" t="e">
        <f>ROUND(COM!R53,1)</f>
        <v>#REF!</v>
      </c>
      <c r="W53" s="68" t="e">
        <f>ROUND(COM!S53,1)</f>
        <v>#REF!</v>
      </c>
      <c r="X53" s="111" t="e">
        <f>M53+O53+Q53+S53+U53+W53</f>
        <v>#REF!</v>
      </c>
    </row>
    <row r="54" spans="1:24" ht="18.75" x14ac:dyDescent="0.25">
      <c r="A54" s="88">
        <v>311</v>
      </c>
      <c r="B54" s="89">
        <v>28</v>
      </c>
      <c r="C54" s="89">
        <v>920</v>
      </c>
      <c r="D54" s="90">
        <v>70499</v>
      </c>
      <c r="E54" s="91" t="s">
        <v>164</v>
      </c>
      <c r="F54" s="108" t="s">
        <v>19</v>
      </c>
      <c r="G54" s="108"/>
      <c r="H54" s="108"/>
      <c r="I54" s="108"/>
      <c r="J54" s="108"/>
      <c r="K54" s="108"/>
      <c r="L54" s="68" t="e">
        <f>ROUND(COM!H54,1)</f>
        <v>#REF!</v>
      </c>
      <c r="M54" s="68" t="e">
        <f>ROUND(COM!I54,1)</f>
        <v>#REF!</v>
      </c>
      <c r="N54" s="68" t="e">
        <f>ROUND(COM!J54,1)</f>
        <v>#REF!</v>
      </c>
      <c r="O54" s="68" t="e">
        <f>ROUND(COM!K54,1)</f>
        <v>#REF!</v>
      </c>
      <c r="P54" s="68" t="e">
        <f>ROUND(COM!L54,1)</f>
        <v>#REF!</v>
      </c>
      <c r="Q54" s="68" t="e">
        <f>ROUND(COM!M54,1)</f>
        <v>#REF!</v>
      </c>
      <c r="R54" s="68" t="e">
        <f>ROUND(COM!N54,1)</f>
        <v>#REF!</v>
      </c>
      <c r="S54" s="68" t="e">
        <f>ROUND(COM!O54,1)</f>
        <v>#REF!</v>
      </c>
      <c r="T54" s="68" t="e">
        <f>ROUND(COM!P54,1)</f>
        <v>#REF!</v>
      </c>
      <c r="U54" s="68" t="e">
        <f>ROUND(COM!Q54,1)</f>
        <v>#REF!</v>
      </c>
      <c r="V54" s="68" t="e">
        <f>ROUND(COM!R54,1)</f>
        <v>#REF!</v>
      </c>
      <c r="W54" s="68" t="e">
        <f>ROUND(COM!S54,1)</f>
        <v>#REF!</v>
      </c>
      <c r="X54" s="111" t="e">
        <f>M54+O54+Q54+S54+U54+W54</f>
        <v>#REF!</v>
      </c>
    </row>
    <row r="55" spans="1:24" ht="18.75" x14ac:dyDescent="0.25">
      <c r="A55" s="88">
        <v>311</v>
      </c>
      <c r="B55" s="89">
        <v>28</v>
      </c>
      <c r="C55" s="89">
        <v>910</v>
      </c>
      <c r="D55" s="90">
        <v>70499</v>
      </c>
      <c r="E55" s="91"/>
      <c r="F55" s="108" t="s">
        <v>374</v>
      </c>
      <c r="G55" s="108"/>
      <c r="H55" s="108"/>
      <c r="I55" s="108"/>
      <c r="J55" s="108"/>
      <c r="K55" s="108"/>
      <c r="L55" s="68" t="e">
        <f>ROUND(COM!H55,1)</f>
        <v>#REF!</v>
      </c>
      <c r="M55" s="68" t="e">
        <f>ROUND(COM!I55,1)</f>
        <v>#REF!</v>
      </c>
      <c r="N55" s="68" t="e">
        <f>ROUND(COM!J55,1)</f>
        <v>#REF!</v>
      </c>
      <c r="O55" s="68" t="e">
        <f>ROUND(COM!K55,1)</f>
        <v>#REF!</v>
      </c>
      <c r="P55" s="68" t="e">
        <f>ROUND(COM!L55,1)</f>
        <v>#REF!</v>
      </c>
      <c r="Q55" s="68" t="e">
        <f>ROUND(COM!M55,1)</f>
        <v>#REF!</v>
      </c>
      <c r="R55" s="68" t="e">
        <f>ROUND(COM!N55,1)</f>
        <v>#REF!</v>
      </c>
      <c r="S55" s="68" t="e">
        <f>ROUND(COM!O55,1)</f>
        <v>#REF!</v>
      </c>
      <c r="T55" s="68" t="e">
        <f>ROUND(COM!P55,1)</f>
        <v>#REF!</v>
      </c>
      <c r="U55" s="68" t="e">
        <f>ROUND(COM!Q55,1)</f>
        <v>#REF!</v>
      </c>
      <c r="V55" s="68" t="e">
        <f>ROUND(COM!R55,1)</f>
        <v>#REF!</v>
      </c>
      <c r="W55" s="68" t="e">
        <f>ROUND(COM!S55,1)</f>
        <v>#REF!</v>
      </c>
      <c r="X55" s="111"/>
    </row>
    <row r="56" spans="1:24" ht="37.5" x14ac:dyDescent="0.25">
      <c r="A56" s="88">
        <v>321</v>
      </c>
      <c r="B56" s="89">
        <v>28</v>
      </c>
      <c r="C56" s="89">
        <v>930</v>
      </c>
      <c r="D56" s="90">
        <v>70499</v>
      </c>
      <c r="E56" s="91" t="s">
        <v>166</v>
      </c>
      <c r="F56" s="92" t="s">
        <v>375</v>
      </c>
      <c r="G56" s="126" t="s">
        <v>351</v>
      </c>
      <c r="H56" s="126"/>
      <c r="I56" s="126"/>
      <c r="J56" s="126"/>
      <c r="K56" s="126"/>
      <c r="L56" s="68" t="e">
        <f>ROUND(COM!H56,1)</f>
        <v>#REF!</v>
      </c>
      <c r="M56" s="68" t="e">
        <f>ROUND(COM!I56,1)</f>
        <v>#REF!</v>
      </c>
      <c r="N56" s="68" t="e">
        <f>ROUND(COM!J56,1)</f>
        <v>#REF!</v>
      </c>
      <c r="O56" s="68" t="e">
        <f>ROUND(COM!K56,1)</f>
        <v>#REF!</v>
      </c>
      <c r="P56" s="68" t="e">
        <f>ROUND(COM!L56,1)</f>
        <v>#REF!</v>
      </c>
      <c r="Q56" s="68" t="e">
        <f>ROUND(COM!M56,1)</f>
        <v>#REF!</v>
      </c>
      <c r="R56" s="68" t="e">
        <f>ROUND(COM!N56,1)</f>
        <v>#REF!</v>
      </c>
      <c r="S56" s="68" t="e">
        <f>ROUND(COM!O56,1)</f>
        <v>#REF!</v>
      </c>
      <c r="T56" s="68" t="e">
        <f>ROUND(COM!P56,1)</f>
        <v>#REF!</v>
      </c>
      <c r="U56" s="68" t="e">
        <f>ROUND(COM!Q56,1)</f>
        <v>#REF!</v>
      </c>
      <c r="V56" s="68" t="e">
        <f>ROUND(COM!R56,1)</f>
        <v>#REF!</v>
      </c>
      <c r="W56" s="68" t="e">
        <f>ROUND(COM!S56,1)</f>
        <v>#REF!</v>
      </c>
      <c r="X56" s="111" t="e">
        <f>M56+O56+Q56+S56+U56+W56</f>
        <v>#REF!</v>
      </c>
    </row>
    <row r="57" spans="1:24" ht="18.75" x14ac:dyDescent="0.25">
      <c r="A57" s="88">
        <v>311</v>
      </c>
      <c r="B57" s="89">
        <v>28</v>
      </c>
      <c r="C57" s="89">
        <v>910</v>
      </c>
      <c r="D57" s="90">
        <v>70499</v>
      </c>
      <c r="E57" s="91"/>
      <c r="F57" s="92" t="s">
        <v>376</v>
      </c>
      <c r="G57" s="128"/>
      <c r="H57" s="128"/>
      <c r="I57" s="128"/>
      <c r="J57" s="128"/>
      <c r="K57" s="128"/>
      <c r="L57" s="68" t="e">
        <f>ROUND(COM!H57,1)</f>
        <v>#REF!</v>
      </c>
      <c r="M57" s="68" t="e">
        <f>ROUND(COM!I57,1)</f>
        <v>#REF!</v>
      </c>
      <c r="N57" s="68" t="e">
        <f>ROUND(COM!J57,1)</f>
        <v>#REF!</v>
      </c>
      <c r="O57" s="68" t="e">
        <f>ROUND(COM!K57,1)</f>
        <v>#REF!</v>
      </c>
      <c r="P57" s="68" t="e">
        <f>ROUND(COM!L57,1)</f>
        <v>#REF!</v>
      </c>
      <c r="Q57" s="68" t="e">
        <f>ROUND(COM!M57,1)</f>
        <v>#REF!</v>
      </c>
      <c r="R57" s="68" t="e">
        <f>ROUND(COM!N57,1)</f>
        <v>#REF!</v>
      </c>
      <c r="S57" s="68" t="e">
        <f>ROUND(COM!O57,1)</f>
        <v>#REF!</v>
      </c>
      <c r="T57" s="68" t="e">
        <f>ROUND(COM!P57,1)</f>
        <v>#REF!</v>
      </c>
      <c r="U57" s="68" t="e">
        <f>ROUND(COM!Q57,1)</f>
        <v>#REF!</v>
      </c>
      <c r="V57" s="68" t="e">
        <f>ROUND(COM!R57,1)</f>
        <v>#REF!</v>
      </c>
      <c r="W57" s="68" t="e">
        <f>ROUND(COM!S57,1)</f>
        <v>#REF!</v>
      </c>
      <c r="X57" s="111"/>
    </row>
    <row r="58" spans="1:24" ht="37.5" x14ac:dyDescent="0.25">
      <c r="A58" s="88">
        <v>311</v>
      </c>
      <c r="B58" s="89">
        <v>28</v>
      </c>
      <c r="C58" s="89">
        <v>930</v>
      </c>
      <c r="D58" s="90">
        <v>70499</v>
      </c>
      <c r="E58" s="91" t="s">
        <v>174</v>
      </c>
      <c r="F58" s="92" t="s">
        <v>377</v>
      </c>
      <c r="G58" s="228" t="s">
        <v>352</v>
      </c>
      <c r="H58" s="171"/>
      <c r="I58" s="171"/>
      <c r="J58" s="171"/>
      <c r="K58" s="171"/>
      <c r="L58" s="68" t="e">
        <f>ROUND(COM!H58,1)</f>
        <v>#REF!</v>
      </c>
      <c r="M58" s="68" t="e">
        <f>ROUND(COM!I58,1)</f>
        <v>#REF!</v>
      </c>
      <c r="N58" s="68" t="e">
        <f>ROUND(COM!J58,1)</f>
        <v>#REF!</v>
      </c>
      <c r="O58" s="68" t="e">
        <f>ROUND(COM!K58,1)</f>
        <v>#REF!</v>
      </c>
      <c r="P58" s="68" t="e">
        <f>ROUND(COM!L58,1)</f>
        <v>#REF!</v>
      </c>
      <c r="Q58" s="68" t="e">
        <f>ROUND(COM!M58,1)</f>
        <v>#REF!</v>
      </c>
      <c r="R58" s="68" t="e">
        <f>ROUND(COM!N58,1)</f>
        <v>#REF!</v>
      </c>
      <c r="S58" s="68" t="e">
        <f>ROUND(COM!O58,1)</f>
        <v>#REF!</v>
      </c>
      <c r="T58" s="68" t="e">
        <f>ROUND(COM!P58,1)</f>
        <v>#REF!</v>
      </c>
      <c r="U58" s="68" t="e">
        <f>ROUND(COM!Q58,1)</f>
        <v>#REF!</v>
      </c>
      <c r="V58" s="68" t="e">
        <f>ROUND(COM!R58,1)</f>
        <v>#REF!</v>
      </c>
      <c r="W58" s="68" t="e">
        <f>ROUND(COM!S58,1)</f>
        <v>#REF!</v>
      </c>
      <c r="X58" s="111" t="e">
        <f>M58+O58+Q58+S58+U58+W58</f>
        <v>#REF!</v>
      </c>
    </row>
    <row r="59" spans="1:24" ht="37.5" x14ac:dyDescent="0.25">
      <c r="A59" s="88">
        <v>321</v>
      </c>
      <c r="B59" s="89">
        <v>28</v>
      </c>
      <c r="C59" s="89">
        <v>930</v>
      </c>
      <c r="D59" s="90">
        <v>70499</v>
      </c>
      <c r="E59" s="91" t="s">
        <v>174</v>
      </c>
      <c r="F59" s="92" t="s">
        <v>377</v>
      </c>
      <c r="G59" s="229"/>
      <c r="H59" s="172"/>
      <c r="I59" s="172"/>
      <c r="J59" s="172"/>
      <c r="K59" s="172"/>
      <c r="L59" s="68" t="e">
        <f>ROUND(COM!H59,1)</f>
        <v>#REF!</v>
      </c>
      <c r="M59" s="68" t="e">
        <f>ROUND(COM!I59,1)</f>
        <v>#REF!</v>
      </c>
      <c r="N59" s="68" t="e">
        <f>ROUND(COM!J59,1)</f>
        <v>#REF!</v>
      </c>
      <c r="O59" s="68" t="e">
        <f>ROUND(COM!K59,1)</f>
        <v>#REF!</v>
      </c>
      <c r="P59" s="68" t="e">
        <f>ROUND(COM!L59,1)</f>
        <v>#REF!</v>
      </c>
      <c r="Q59" s="68" t="e">
        <f>ROUND(COM!M59,1)</f>
        <v>#REF!</v>
      </c>
      <c r="R59" s="68" t="e">
        <f>ROUND(COM!N59,1)</f>
        <v>#REF!</v>
      </c>
      <c r="S59" s="68" t="e">
        <f>ROUND(COM!O59,1)</f>
        <v>#REF!</v>
      </c>
      <c r="T59" s="68" t="e">
        <f>ROUND(COM!P59,1)</f>
        <v>#REF!</v>
      </c>
      <c r="U59" s="68" t="e">
        <f>ROUND(COM!Q59,1)</f>
        <v>#REF!</v>
      </c>
      <c r="V59" s="68" t="e">
        <f>ROUND(COM!R59,1)</f>
        <v>#REF!</v>
      </c>
      <c r="W59" s="68" t="e">
        <f>ROUND(COM!S59,1)</f>
        <v>#REF!</v>
      </c>
      <c r="X59" s="111" t="e">
        <f>M59+O59+Q59+S59+U59+W59</f>
        <v>#REF!</v>
      </c>
    </row>
    <row r="60" spans="1:24" s="121" customFormat="1" ht="37.5" x14ac:dyDescent="0.25">
      <c r="A60" s="88">
        <v>311</v>
      </c>
      <c r="B60" s="89">
        <v>28</v>
      </c>
      <c r="C60" s="89">
        <v>910</v>
      </c>
      <c r="D60" s="90">
        <v>70499</v>
      </c>
      <c r="E60" s="91"/>
      <c r="F60" s="92" t="s">
        <v>386</v>
      </c>
      <c r="G60" s="130"/>
      <c r="H60" s="130"/>
      <c r="I60" s="130"/>
      <c r="J60" s="130"/>
      <c r="K60" s="130"/>
      <c r="L60" s="68" t="e">
        <f>ROUND(COM!H60,1)</f>
        <v>#REF!</v>
      </c>
      <c r="M60" s="68" t="e">
        <f>ROUND(COM!I60,1)</f>
        <v>#REF!</v>
      </c>
      <c r="N60" s="68" t="e">
        <f>ROUND(COM!J60,1)</f>
        <v>#REF!</v>
      </c>
      <c r="O60" s="68" t="e">
        <f>ROUND(COM!K60,1)</f>
        <v>#REF!</v>
      </c>
      <c r="P60" s="68" t="e">
        <f>ROUND(COM!L60,1)</f>
        <v>#REF!</v>
      </c>
      <c r="Q60" s="68" t="e">
        <f>ROUND(COM!M60,1)</f>
        <v>#REF!</v>
      </c>
      <c r="R60" s="68" t="e">
        <f>ROUND(COM!N60,1)</f>
        <v>#REF!</v>
      </c>
      <c r="S60" s="68" t="e">
        <f>ROUND(COM!O60,1)</f>
        <v>#REF!</v>
      </c>
      <c r="T60" s="68" t="e">
        <f>ROUND(COM!P60,1)</f>
        <v>#REF!</v>
      </c>
      <c r="U60" s="68" t="e">
        <f>ROUND(COM!Q60,1)</f>
        <v>#REF!</v>
      </c>
      <c r="V60" s="68" t="e">
        <f>ROUND(COM!R60,1)</f>
        <v>#REF!</v>
      </c>
      <c r="W60" s="68" t="e">
        <f>ROUND(COM!S60,1)</f>
        <v>#REF!</v>
      </c>
      <c r="X60" s="120"/>
    </row>
    <row r="61" spans="1:24" ht="37.5" x14ac:dyDescent="0.25">
      <c r="A61" s="88">
        <v>321</v>
      </c>
      <c r="B61" s="89">
        <v>28</v>
      </c>
      <c r="C61" s="89">
        <v>920</v>
      </c>
      <c r="D61" s="90">
        <v>70499</v>
      </c>
      <c r="E61" s="91" t="s">
        <v>173</v>
      </c>
      <c r="F61" s="92" t="s">
        <v>385</v>
      </c>
      <c r="G61" s="92"/>
      <c r="H61" s="92"/>
      <c r="I61" s="92"/>
      <c r="J61" s="92"/>
      <c r="K61" s="92"/>
      <c r="L61" s="68" t="e">
        <f>ROUND(COM!H61,1)</f>
        <v>#REF!</v>
      </c>
      <c r="M61" s="68" t="e">
        <f>ROUND(COM!I61,1)</f>
        <v>#REF!</v>
      </c>
      <c r="N61" s="68" t="e">
        <f>ROUND(COM!J61,1)</f>
        <v>#REF!</v>
      </c>
      <c r="O61" s="68" t="e">
        <f>ROUND(COM!K61,1)</f>
        <v>#REF!</v>
      </c>
      <c r="P61" s="68" t="e">
        <f>ROUND(COM!L61,1)</f>
        <v>#REF!</v>
      </c>
      <c r="Q61" s="68" t="e">
        <f>ROUND(COM!M61,1)</f>
        <v>#REF!</v>
      </c>
      <c r="R61" s="68" t="e">
        <f>ROUND(COM!N61,1)</f>
        <v>#REF!</v>
      </c>
      <c r="S61" s="68" t="e">
        <f>ROUND(COM!O61,1)</f>
        <v>#REF!</v>
      </c>
      <c r="T61" s="68" t="e">
        <f>ROUND(COM!P61,1)</f>
        <v>#REF!</v>
      </c>
      <c r="U61" s="68" t="e">
        <f>ROUND(COM!Q61,1)</f>
        <v>#REF!</v>
      </c>
      <c r="V61" s="68" t="e">
        <f>ROUND(COM!R61,1)</f>
        <v>#REF!</v>
      </c>
      <c r="W61" s="68" t="e">
        <f>ROUND(COM!S61,1)</f>
        <v>#REF!</v>
      </c>
      <c r="X61" s="111" t="e">
        <f t="shared" si="1"/>
        <v>#REF!</v>
      </c>
    </row>
    <row r="62" spans="1:24" ht="37.5" x14ac:dyDescent="0.25">
      <c r="A62" s="88">
        <v>321</v>
      </c>
      <c r="B62" s="89">
        <v>28</v>
      </c>
      <c r="C62" s="89">
        <v>930</v>
      </c>
      <c r="D62" s="90">
        <v>70499</v>
      </c>
      <c r="E62" s="91" t="s">
        <v>173</v>
      </c>
      <c r="F62" s="92" t="s">
        <v>384</v>
      </c>
      <c r="G62" s="92"/>
      <c r="H62" s="92"/>
      <c r="I62" s="92"/>
      <c r="J62" s="92"/>
      <c r="K62" s="92"/>
      <c r="L62" s="68" t="e">
        <f>ROUND(COM!H62,1)</f>
        <v>#REF!</v>
      </c>
      <c r="M62" s="68" t="e">
        <f>ROUND(COM!I62,1)</f>
        <v>#REF!</v>
      </c>
      <c r="N62" s="68" t="e">
        <f>ROUND(COM!J62,1)</f>
        <v>#REF!</v>
      </c>
      <c r="O62" s="68" t="e">
        <f>ROUND(COM!K62,1)</f>
        <v>#REF!</v>
      </c>
      <c r="P62" s="68" t="e">
        <f>ROUND(COM!L62,1)</f>
        <v>#REF!</v>
      </c>
      <c r="Q62" s="68" t="e">
        <f>ROUND(COM!M62,1)</f>
        <v>#REF!</v>
      </c>
      <c r="R62" s="68" t="e">
        <f>ROUND(COM!N62,1)</f>
        <v>#REF!</v>
      </c>
      <c r="S62" s="68" t="e">
        <f>ROUND(COM!O62,1)</f>
        <v>#REF!</v>
      </c>
      <c r="T62" s="68" t="e">
        <f>ROUND(COM!P62,1)</f>
        <v>#REF!</v>
      </c>
      <c r="U62" s="68" t="e">
        <f>ROUND(COM!Q62,1)</f>
        <v>#REF!</v>
      </c>
      <c r="V62" s="68" t="e">
        <f>ROUND(COM!R62,1)</f>
        <v>#REF!</v>
      </c>
      <c r="W62" s="68" t="e">
        <f>ROUND(COM!S62,1)</f>
        <v>#REF!</v>
      </c>
      <c r="X62" s="111" t="e">
        <f t="shared" si="1"/>
        <v>#REF!</v>
      </c>
    </row>
    <row r="63" spans="1:24" s="121" customFormat="1" ht="18.75" x14ac:dyDescent="0.25">
      <c r="A63" s="114">
        <v>321</v>
      </c>
      <c r="B63" s="115">
        <v>28</v>
      </c>
      <c r="C63" s="115">
        <v>930</v>
      </c>
      <c r="D63" s="116">
        <v>70499</v>
      </c>
      <c r="E63" s="117" t="s">
        <v>169</v>
      </c>
      <c r="F63" s="118" t="s">
        <v>404</v>
      </c>
      <c r="G63" s="118"/>
      <c r="H63" s="118"/>
      <c r="I63" s="118"/>
      <c r="J63" s="118"/>
      <c r="K63" s="118"/>
      <c r="L63" s="68" t="e">
        <f>ROUND(COM!H63,1)</f>
        <v>#REF!</v>
      </c>
      <c r="M63" s="68" t="e">
        <f>ROUND(COM!I63,1)</f>
        <v>#REF!</v>
      </c>
      <c r="N63" s="68" t="e">
        <f>ROUND(COM!J63,1)</f>
        <v>#REF!</v>
      </c>
      <c r="O63" s="68" t="e">
        <f>ROUND(COM!K63,1)</f>
        <v>#REF!</v>
      </c>
      <c r="P63" s="68" t="e">
        <f>ROUND(COM!L63,1)</f>
        <v>#REF!</v>
      </c>
      <c r="Q63" s="68" t="e">
        <f>ROUND(COM!M63,1)</f>
        <v>#REF!</v>
      </c>
      <c r="R63" s="68" t="e">
        <f>ROUND(COM!N63,1)</f>
        <v>#REF!</v>
      </c>
      <c r="S63" s="68" t="e">
        <f>ROUND(COM!O63,1)</f>
        <v>#REF!</v>
      </c>
      <c r="T63" s="68" t="e">
        <f>ROUND(COM!P63,1)</f>
        <v>#REF!</v>
      </c>
      <c r="U63" s="68" t="e">
        <f>ROUND(COM!Q63,1)</f>
        <v>#REF!</v>
      </c>
      <c r="V63" s="68" t="e">
        <f>ROUND(COM!R63,1)</f>
        <v>#REF!</v>
      </c>
      <c r="W63" s="68" t="e">
        <f>ROUND(COM!S63,1)</f>
        <v>#REF!</v>
      </c>
      <c r="X63" s="120"/>
    </row>
    <row r="64" spans="1:24" s="121" customFormat="1" ht="18.75" x14ac:dyDescent="0.25">
      <c r="A64" s="114"/>
      <c r="B64" s="115"/>
      <c r="C64" s="115"/>
      <c r="D64" s="116"/>
      <c r="E64" s="117"/>
      <c r="F64" s="118"/>
      <c r="G64" s="118"/>
      <c r="H64" s="118"/>
      <c r="I64" s="118"/>
      <c r="J64" s="118"/>
      <c r="K64" s="118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20"/>
    </row>
    <row r="65" spans="1:24" s="121" customFormat="1" ht="18.75" x14ac:dyDescent="0.25">
      <c r="A65" s="114"/>
      <c r="B65" s="115"/>
      <c r="C65" s="115"/>
      <c r="D65" s="116"/>
      <c r="E65" s="117"/>
      <c r="F65" s="118"/>
      <c r="G65" s="118"/>
      <c r="H65" s="118"/>
      <c r="I65" s="118"/>
      <c r="J65" s="118"/>
      <c r="K65" s="118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20"/>
    </row>
    <row r="66" spans="1:24" ht="18.75" x14ac:dyDescent="0.25">
      <c r="A66" s="4"/>
      <c r="B66" s="52"/>
      <c r="C66" s="52"/>
      <c r="D66" s="7"/>
      <c r="E66" s="117"/>
      <c r="F66" s="118"/>
      <c r="G66" s="38"/>
      <c r="H66" s="38"/>
      <c r="I66" s="38"/>
      <c r="J66" s="38"/>
      <c r="K66" s="3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111"/>
    </row>
    <row r="67" spans="1:24" ht="18.75" x14ac:dyDescent="0.25">
      <c r="A67" s="4"/>
      <c r="B67" s="52"/>
      <c r="C67" s="52"/>
      <c r="D67" s="7"/>
      <c r="E67" s="20"/>
      <c r="F67" s="38"/>
      <c r="G67" s="38"/>
      <c r="H67" s="38"/>
      <c r="I67" s="38"/>
      <c r="J67" s="38"/>
      <c r="K67" s="3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111">
        <f t="shared" si="1"/>
        <v>0</v>
      </c>
    </row>
    <row r="68" spans="1:24" ht="18.75" x14ac:dyDescent="0.25">
      <c r="A68" s="4"/>
      <c r="B68" s="52"/>
      <c r="C68" s="52"/>
      <c r="D68" s="7"/>
      <c r="E68" s="20"/>
      <c r="F68" s="38"/>
      <c r="G68" s="38"/>
      <c r="H68" s="38"/>
      <c r="I68" s="38"/>
      <c r="J68" s="38"/>
      <c r="K68" s="3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111">
        <f t="shared" si="1"/>
        <v>0</v>
      </c>
    </row>
    <row r="69" spans="1:24" ht="18.75" x14ac:dyDescent="0.25">
      <c r="A69" s="56"/>
      <c r="B69" s="50"/>
      <c r="C69" s="50"/>
      <c r="D69" s="50"/>
      <c r="E69" s="54"/>
      <c r="F69" s="36" t="s">
        <v>22</v>
      </c>
      <c r="G69" s="36"/>
      <c r="H69" s="36"/>
      <c r="I69" s="36"/>
      <c r="J69" s="36"/>
      <c r="K69" s="36"/>
      <c r="L69" s="99" t="e">
        <f>L70</f>
        <v>#REF!</v>
      </c>
      <c r="M69" s="99" t="e">
        <f t="shared" ref="M69:W69" si="5">M70</f>
        <v>#REF!</v>
      </c>
      <c r="N69" s="99" t="e">
        <f t="shared" si="5"/>
        <v>#REF!</v>
      </c>
      <c r="O69" s="99" t="e">
        <f t="shared" si="5"/>
        <v>#REF!</v>
      </c>
      <c r="P69" s="99" t="e">
        <f t="shared" si="5"/>
        <v>#REF!</v>
      </c>
      <c r="Q69" s="99" t="e">
        <f t="shared" si="5"/>
        <v>#REF!</v>
      </c>
      <c r="R69" s="99" t="e">
        <f t="shared" si="5"/>
        <v>#REF!</v>
      </c>
      <c r="S69" s="99" t="e">
        <f t="shared" si="5"/>
        <v>#REF!</v>
      </c>
      <c r="T69" s="99" t="e">
        <f t="shared" si="5"/>
        <v>#REF!</v>
      </c>
      <c r="U69" s="99" t="e">
        <f t="shared" si="5"/>
        <v>#REF!</v>
      </c>
      <c r="V69" s="99" t="e">
        <f t="shared" si="5"/>
        <v>#REF!</v>
      </c>
      <c r="W69" s="99" t="e">
        <f t="shared" si="5"/>
        <v>#REF!</v>
      </c>
      <c r="X69" s="111" t="e">
        <f t="shared" si="1"/>
        <v>#REF!</v>
      </c>
    </row>
    <row r="70" spans="1:24" ht="18.75" x14ac:dyDescent="0.25">
      <c r="A70" s="57"/>
      <c r="B70" s="51"/>
      <c r="C70" s="51"/>
      <c r="D70" s="51"/>
      <c r="E70" s="55"/>
      <c r="F70" s="37" t="s">
        <v>6</v>
      </c>
      <c r="G70" s="37"/>
      <c r="H70" s="37"/>
      <c r="I70" s="37"/>
      <c r="J70" s="37"/>
      <c r="K70" s="37"/>
      <c r="L70" s="100" t="e">
        <f>SUM(L71:L72)</f>
        <v>#REF!</v>
      </c>
      <c r="M70" s="100" t="e">
        <f>SUM(M71:M72)</f>
        <v>#REF!</v>
      </c>
      <c r="N70" s="100" t="e">
        <f t="shared" ref="N70:W70" si="6">SUM(N71:N72)</f>
        <v>#REF!</v>
      </c>
      <c r="O70" s="100" t="e">
        <f t="shared" si="6"/>
        <v>#REF!</v>
      </c>
      <c r="P70" s="100" t="e">
        <f t="shared" si="6"/>
        <v>#REF!</v>
      </c>
      <c r="Q70" s="100" t="e">
        <f t="shared" si="6"/>
        <v>#REF!</v>
      </c>
      <c r="R70" s="100" t="e">
        <f t="shared" si="6"/>
        <v>#REF!</v>
      </c>
      <c r="S70" s="100" t="e">
        <f t="shared" si="6"/>
        <v>#REF!</v>
      </c>
      <c r="T70" s="100" t="e">
        <f t="shared" si="6"/>
        <v>#REF!</v>
      </c>
      <c r="U70" s="100" t="e">
        <f t="shared" si="6"/>
        <v>#REF!</v>
      </c>
      <c r="V70" s="100" t="e">
        <f t="shared" si="6"/>
        <v>#REF!</v>
      </c>
      <c r="W70" s="100" t="e">
        <f t="shared" si="6"/>
        <v>#REF!</v>
      </c>
      <c r="X70" s="111" t="e">
        <f t="shared" si="1"/>
        <v>#REF!</v>
      </c>
    </row>
    <row r="71" spans="1:24" ht="37.5" x14ac:dyDescent="0.25">
      <c r="A71" s="88">
        <v>311</v>
      </c>
      <c r="B71" s="89">
        <v>25</v>
      </c>
      <c r="C71" s="89">
        <v>920</v>
      </c>
      <c r="D71" s="90">
        <v>70499</v>
      </c>
      <c r="E71" s="91" t="s">
        <v>172</v>
      </c>
      <c r="F71" s="109" t="s">
        <v>23</v>
      </c>
      <c r="G71" s="125"/>
      <c r="H71" s="125"/>
      <c r="I71" s="125"/>
      <c r="J71" s="125"/>
      <c r="K71" s="125"/>
      <c r="L71" s="68" t="e">
        <f>ROUND(COM!H71,1)</f>
        <v>#REF!</v>
      </c>
      <c r="M71" s="68" t="e">
        <f>ROUND(COM!I71,1)</f>
        <v>#REF!</v>
      </c>
      <c r="N71" s="68" t="e">
        <f>ROUND(COM!J71,1)</f>
        <v>#REF!</v>
      </c>
      <c r="O71" s="68" t="e">
        <f>ROUND(COM!K71,1)</f>
        <v>#REF!</v>
      </c>
      <c r="P71" s="68" t="e">
        <f>ROUND(COM!L71,1)</f>
        <v>#REF!</v>
      </c>
      <c r="Q71" s="68" t="e">
        <f>ROUND(COM!M71,1)</f>
        <v>#REF!</v>
      </c>
      <c r="R71" s="68" t="e">
        <f>ROUND(COM!N71,1)</f>
        <v>#REF!</v>
      </c>
      <c r="S71" s="68" t="e">
        <f>ROUND(COM!O71,1)</f>
        <v>#REF!</v>
      </c>
      <c r="T71" s="68" t="e">
        <f>ROUND(COM!P71,1)</f>
        <v>#REF!</v>
      </c>
      <c r="U71" s="68" t="e">
        <f>ROUND(COM!Q71,1)</f>
        <v>#REF!</v>
      </c>
      <c r="V71" s="68" t="e">
        <f>ROUND(COM!R71,1)</f>
        <v>#REF!</v>
      </c>
      <c r="W71" s="68" t="e">
        <f>ROUND(COM!S71,1)</f>
        <v>#REF!</v>
      </c>
      <c r="X71" s="111" t="e">
        <f t="shared" si="1"/>
        <v>#REF!</v>
      </c>
    </row>
    <row r="72" spans="1:24" ht="37.5" x14ac:dyDescent="0.25">
      <c r="A72" s="88">
        <v>311</v>
      </c>
      <c r="B72" s="89">
        <v>25</v>
      </c>
      <c r="C72" s="89">
        <v>930</v>
      </c>
      <c r="D72" s="90">
        <v>70499</v>
      </c>
      <c r="E72" s="91" t="s">
        <v>172</v>
      </c>
      <c r="F72" s="112" t="s">
        <v>24</v>
      </c>
      <c r="G72" s="126" t="s">
        <v>380</v>
      </c>
      <c r="H72" s="126"/>
      <c r="I72" s="126"/>
      <c r="J72" s="126"/>
      <c r="K72" s="126"/>
      <c r="L72" s="68" t="e">
        <f>ROUND(COM!H72,1)</f>
        <v>#REF!</v>
      </c>
      <c r="M72" s="68" t="e">
        <f>ROUND(COM!I72,1)</f>
        <v>#REF!</v>
      </c>
      <c r="N72" s="68" t="e">
        <f>ROUND(COM!J72,1)</f>
        <v>#REF!</v>
      </c>
      <c r="O72" s="68" t="e">
        <f>ROUND(COM!K72,1)</f>
        <v>#REF!</v>
      </c>
      <c r="P72" s="68" t="e">
        <f>ROUND(COM!L72,1)</f>
        <v>#REF!</v>
      </c>
      <c r="Q72" s="68" t="e">
        <f>ROUND(COM!M72,1)</f>
        <v>#REF!</v>
      </c>
      <c r="R72" s="68" t="e">
        <f>ROUND(COM!N72,1)</f>
        <v>#REF!</v>
      </c>
      <c r="S72" s="68" t="e">
        <f>ROUND(COM!O72,1)</f>
        <v>#REF!</v>
      </c>
      <c r="T72" s="68" t="e">
        <f>ROUND(COM!P72,1)</f>
        <v>#REF!</v>
      </c>
      <c r="U72" s="68" t="e">
        <f>ROUND(COM!Q72,1)</f>
        <v>#REF!</v>
      </c>
      <c r="V72" s="68" t="e">
        <f>ROUND(COM!R72,1)</f>
        <v>#REF!</v>
      </c>
      <c r="W72" s="68" t="e">
        <f>ROUND(COM!S72,1)</f>
        <v>#REF!</v>
      </c>
      <c r="X72" s="111" t="e">
        <f t="shared" si="1"/>
        <v>#REF!</v>
      </c>
    </row>
    <row r="73" spans="1:24" ht="18.75" x14ac:dyDescent="0.25">
      <c r="A73" s="4"/>
      <c r="B73" s="52"/>
      <c r="C73" s="52"/>
      <c r="D73" s="7"/>
      <c r="E73" s="20"/>
      <c r="F73" s="38"/>
      <c r="G73" s="38"/>
      <c r="H73" s="38"/>
      <c r="I73" s="38"/>
      <c r="J73" s="38"/>
      <c r="K73" s="3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111">
        <f t="shared" si="1"/>
        <v>0</v>
      </c>
    </row>
    <row r="74" spans="1:24" ht="18.75" x14ac:dyDescent="0.25">
      <c r="A74" s="4"/>
      <c r="B74" s="52"/>
      <c r="C74" s="52"/>
      <c r="D74" s="7"/>
      <c r="E74" s="20"/>
      <c r="F74" s="38"/>
      <c r="G74" s="38"/>
      <c r="H74" s="38"/>
      <c r="I74" s="38"/>
      <c r="J74" s="38"/>
      <c r="K74" s="3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111">
        <f t="shared" si="1"/>
        <v>0</v>
      </c>
    </row>
    <row r="75" spans="1:24" ht="18.75" x14ac:dyDescent="0.25">
      <c r="A75" s="4"/>
      <c r="B75" s="52"/>
      <c r="C75" s="52"/>
      <c r="D75" s="7"/>
      <c r="E75" s="20"/>
      <c r="F75" s="38"/>
      <c r="G75" s="38"/>
      <c r="H75" s="38"/>
      <c r="I75" s="38"/>
      <c r="J75" s="38"/>
      <c r="K75" s="3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111">
        <f t="shared" si="1"/>
        <v>0</v>
      </c>
    </row>
    <row r="76" spans="1:24" ht="18.75" x14ac:dyDescent="0.25">
      <c r="A76" s="4"/>
      <c r="B76" s="52"/>
      <c r="C76" s="52"/>
      <c r="D76" s="7"/>
      <c r="E76" s="20"/>
      <c r="F76" s="38"/>
      <c r="G76" s="38"/>
      <c r="H76" s="38"/>
      <c r="I76" s="38"/>
      <c r="J76" s="38"/>
      <c r="K76" s="3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111">
        <f t="shared" si="1"/>
        <v>0</v>
      </c>
    </row>
    <row r="77" spans="1:24" ht="18.75" x14ac:dyDescent="0.25">
      <c r="A77" s="4"/>
      <c r="B77" s="52"/>
      <c r="C77" s="52"/>
      <c r="D77" s="7"/>
      <c r="E77" s="20"/>
      <c r="F77" s="38"/>
      <c r="G77" s="38"/>
      <c r="H77" s="38"/>
      <c r="I77" s="38"/>
      <c r="J77" s="38"/>
      <c r="K77" s="3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111">
        <f t="shared" si="1"/>
        <v>0</v>
      </c>
    </row>
    <row r="78" spans="1:24" ht="18.75" x14ac:dyDescent="0.25">
      <c r="A78" s="56"/>
      <c r="B78" s="50"/>
      <c r="C78" s="50"/>
      <c r="D78" s="50"/>
      <c r="E78" s="54"/>
      <c r="F78" s="36" t="s">
        <v>25</v>
      </c>
      <c r="G78" s="36"/>
      <c r="H78" s="36"/>
      <c r="I78" s="36"/>
      <c r="J78" s="36"/>
      <c r="K78" s="36"/>
      <c r="L78" s="99" t="e">
        <f>L79</f>
        <v>#REF!</v>
      </c>
      <c r="M78" s="99" t="e">
        <f t="shared" ref="M78:W78" si="7">M79</f>
        <v>#REF!</v>
      </c>
      <c r="N78" s="99" t="e">
        <f t="shared" si="7"/>
        <v>#REF!</v>
      </c>
      <c r="O78" s="99" t="e">
        <f t="shared" si="7"/>
        <v>#REF!</v>
      </c>
      <c r="P78" s="99" t="e">
        <f t="shared" si="7"/>
        <v>#REF!</v>
      </c>
      <c r="Q78" s="99" t="e">
        <f t="shared" si="7"/>
        <v>#REF!</v>
      </c>
      <c r="R78" s="99" t="e">
        <f t="shared" si="7"/>
        <v>#REF!</v>
      </c>
      <c r="S78" s="99" t="e">
        <f t="shared" si="7"/>
        <v>#REF!</v>
      </c>
      <c r="T78" s="99" t="e">
        <f t="shared" si="7"/>
        <v>#REF!</v>
      </c>
      <c r="U78" s="99" t="e">
        <f t="shared" si="7"/>
        <v>#REF!</v>
      </c>
      <c r="V78" s="99" t="e">
        <f t="shared" si="7"/>
        <v>#REF!</v>
      </c>
      <c r="W78" s="99" t="e">
        <f t="shared" si="7"/>
        <v>#REF!</v>
      </c>
      <c r="X78" s="111" t="e">
        <f t="shared" si="1"/>
        <v>#REF!</v>
      </c>
    </row>
    <row r="79" spans="1:24" ht="18.75" x14ac:dyDescent="0.25">
      <c r="A79" s="57"/>
      <c r="B79" s="51"/>
      <c r="C79" s="51"/>
      <c r="D79" s="51"/>
      <c r="E79" s="55"/>
      <c r="F79" s="37" t="s">
        <v>6</v>
      </c>
      <c r="G79" s="37"/>
      <c r="H79" s="37"/>
      <c r="I79" s="37"/>
      <c r="J79" s="37"/>
      <c r="K79" s="37"/>
      <c r="L79" s="100" t="e">
        <f>SUM(L80:L94)</f>
        <v>#REF!</v>
      </c>
      <c r="M79" s="100" t="e">
        <f t="shared" ref="M79:W79" si="8">SUM(M80:M94)</f>
        <v>#REF!</v>
      </c>
      <c r="N79" s="100" t="e">
        <f t="shared" si="8"/>
        <v>#REF!</v>
      </c>
      <c r="O79" s="100" t="e">
        <f t="shared" si="8"/>
        <v>#REF!</v>
      </c>
      <c r="P79" s="100" t="e">
        <f t="shared" si="8"/>
        <v>#REF!</v>
      </c>
      <c r="Q79" s="100" t="e">
        <f t="shared" si="8"/>
        <v>#REF!</v>
      </c>
      <c r="R79" s="100" t="e">
        <f t="shared" si="8"/>
        <v>#REF!</v>
      </c>
      <c r="S79" s="100" t="e">
        <f t="shared" si="8"/>
        <v>#REF!</v>
      </c>
      <c r="T79" s="100" t="e">
        <f t="shared" si="8"/>
        <v>#REF!</v>
      </c>
      <c r="U79" s="100" t="e">
        <f t="shared" si="8"/>
        <v>#REF!</v>
      </c>
      <c r="V79" s="100" t="e">
        <f t="shared" si="8"/>
        <v>#REF!</v>
      </c>
      <c r="W79" s="100" t="e">
        <f t="shared" si="8"/>
        <v>#REF!</v>
      </c>
      <c r="X79" s="111" t="e">
        <f t="shared" si="1"/>
        <v>#REF!</v>
      </c>
    </row>
    <row r="80" spans="1:24" ht="18.75" x14ac:dyDescent="0.25">
      <c r="A80" s="4">
        <v>311</v>
      </c>
      <c r="B80" s="52">
        <v>34</v>
      </c>
      <c r="C80" s="52">
        <v>920</v>
      </c>
      <c r="D80" s="7">
        <v>70989</v>
      </c>
      <c r="E80" s="20" t="s">
        <v>172</v>
      </c>
      <c r="F80" s="75" t="s">
        <v>26</v>
      </c>
      <c r="G80" s="126"/>
      <c r="H80" s="126"/>
      <c r="I80" s="126"/>
      <c r="J80" s="126"/>
      <c r="K80" s="126"/>
      <c r="L80" s="68" t="e">
        <f>ROUND(COM!H80,1)</f>
        <v>#REF!</v>
      </c>
      <c r="M80" s="68" t="e">
        <f>ROUND(COM!I80,1)</f>
        <v>#REF!</v>
      </c>
      <c r="N80" s="68" t="e">
        <f>ROUND(COM!J80,1)</f>
        <v>#REF!</v>
      </c>
      <c r="O80" s="68" t="e">
        <f>ROUND(COM!K80,1)</f>
        <v>#REF!</v>
      </c>
      <c r="P80" s="68" t="e">
        <f>ROUND(COM!L80,1)</f>
        <v>#REF!</v>
      </c>
      <c r="Q80" s="68" t="e">
        <f>ROUND(COM!M80,1)</f>
        <v>#REF!</v>
      </c>
      <c r="R80" s="68" t="e">
        <f>ROUND(COM!N80,1)</f>
        <v>#REF!</v>
      </c>
      <c r="S80" s="68" t="e">
        <f>ROUND(COM!O80,1)</f>
        <v>#REF!</v>
      </c>
      <c r="T80" s="68" t="e">
        <f>ROUND(COM!P80,1)</f>
        <v>#REF!</v>
      </c>
      <c r="U80" s="68" t="e">
        <f>ROUND(COM!Q80,1)</f>
        <v>#REF!</v>
      </c>
      <c r="V80" s="68" t="e">
        <f>ROUND(COM!R80,1)</f>
        <v>#REF!</v>
      </c>
      <c r="W80" s="68" t="e">
        <f>ROUND(COM!S80,1)</f>
        <v>#REF!</v>
      </c>
      <c r="X80" s="111" t="e">
        <f t="shared" si="1"/>
        <v>#REF!</v>
      </c>
    </row>
    <row r="81" spans="1:24" ht="18.75" x14ac:dyDescent="0.25">
      <c r="A81" s="4">
        <v>311</v>
      </c>
      <c r="B81" s="52">
        <v>34</v>
      </c>
      <c r="C81" s="52">
        <v>930</v>
      </c>
      <c r="D81" s="7">
        <v>70989</v>
      </c>
      <c r="E81" s="20" t="s">
        <v>172</v>
      </c>
      <c r="F81" s="75" t="s">
        <v>27</v>
      </c>
      <c r="G81" s="126" t="s">
        <v>400</v>
      </c>
      <c r="H81" s="126"/>
      <c r="I81" s="126"/>
      <c r="J81" s="126"/>
      <c r="K81" s="126"/>
      <c r="L81" s="68" t="e">
        <f>ROUND(COM!H81,1)</f>
        <v>#REF!</v>
      </c>
      <c r="M81" s="68" t="e">
        <f>ROUND(COM!I81,1)</f>
        <v>#REF!</v>
      </c>
      <c r="N81" s="68" t="e">
        <f>ROUND(COM!J81,1)</f>
        <v>#REF!</v>
      </c>
      <c r="O81" s="68" t="e">
        <f>ROUND(COM!K81,1)</f>
        <v>#REF!</v>
      </c>
      <c r="P81" s="68" t="e">
        <f>ROUND(COM!L81,1)</f>
        <v>#REF!</v>
      </c>
      <c r="Q81" s="68" t="e">
        <f>ROUND(COM!M81,1)</f>
        <v>#REF!</v>
      </c>
      <c r="R81" s="68" t="e">
        <f>ROUND(COM!N81,1)</f>
        <v>#REF!</v>
      </c>
      <c r="S81" s="68" t="e">
        <f>ROUND(COM!O81,1)</f>
        <v>#REF!</v>
      </c>
      <c r="T81" s="68" t="e">
        <f>ROUND(COM!P81,1)</f>
        <v>#REF!</v>
      </c>
      <c r="U81" s="68" t="e">
        <f>ROUND(COM!Q81,1)</f>
        <v>#REF!</v>
      </c>
      <c r="V81" s="68" t="e">
        <f>ROUND(COM!R81,1)</f>
        <v>#REF!</v>
      </c>
      <c r="W81" s="68" t="e">
        <f>ROUND(COM!S81,1)</f>
        <v>#REF!</v>
      </c>
      <c r="X81" s="111" t="e">
        <f t="shared" si="1"/>
        <v>#REF!</v>
      </c>
    </row>
    <row r="82" spans="1:24" ht="18.75" x14ac:dyDescent="0.25">
      <c r="A82" s="4">
        <v>311</v>
      </c>
      <c r="B82" s="52">
        <v>34</v>
      </c>
      <c r="C82" s="52">
        <v>920</v>
      </c>
      <c r="D82" s="7">
        <v>70989</v>
      </c>
      <c r="E82" s="20" t="s">
        <v>172</v>
      </c>
      <c r="F82" s="75" t="s">
        <v>28</v>
      </c>
      <c r="G82" s="126"/>
      <c r="H82" s="126"/>
      <c r="I82" s="126"/>
      <c r="J82" s="126"/>
      <c r="K82" s="126"/>
      <c r="L82" s="68" t="e">
        <f>ROUND(COM!H82,1)</f>
        <v>#REF!</v>
      </c>
      <c r="M82" s="68" t="e">
        <f>ROUND(COM!I82,1)</f>
        <v>#REF!</v>
      </c>
      <c r="N82" s="68" t="e">
        <f>ROUND(COM!J82,1)</f>
        <v>#REF!</v>
      </c>
      <c r="O82" s="68" t="e">
        <f>ROUND(COM!K82,1)</f>
        <v>#REF!</v>
      </c>
      <c r="P82" s="68" t="e">
        <f>ROUND(COM!L82,1)</f>
        <v>#REF!</v>
      </c>
      <c r="Q82" s="68" t="e">
        <f>ROUND(COM!M82,1)</f>
        <v>#REF!</v>
      </c>
      <c r="R82" s="68" t="e">
        <f>ROUND(COM!N82,1)</f>
        <v>#REF!</v>
      </c>
      <c r="S82" s="68" t="e">
        <f>ROUND(COM!O82,1)</f>
        <v>#REF!</v>
      </c>
      <c r="T82" s="68" t="e">
        <f>ROUND(COM!P82,1)</f>
        <v>#REF!</v>
      </c>
      <c r="U82" s="68" t="e">
        <f>ROUND(COM!Q82,1)</f>
        <v>#REF!</v>
      </c>
      <c r="V82" s="68" t="e">
        <f>ROUND(COM!R82,1)</f>
        <v>#REF!</v>
      </c>
      <c r="W82" s="68" t="e">
        <f>ROUND(COM!S82,1)</f>
        <v>#REF!</v>
      </c>
      <c r="X82" s="111" t="e">
        <f t="shared" ref="X82:X147" si="9">M82+O82+Q82+S82+U82+W82</f>
        <v>#REF!</v>
      </c>
    </row>
    <row r="83" spans="1:24" ht="37.5" x14ac:dyDescent="0.25">
      <c r="A83" s="4">
        <v>311</v>
      </c>
      <c r="B83" s="52">
        <v>34</v>
      </c>
      <c r="C83" s="52">
        <v>910</v>
      </c>
      <c r="D83" s="7">
        <v>70989</v>
      </c>
      <c r="E83" s="20"/>
      <c r="F83" s="75" t="s">
        <v>29</v>
      </c>
      <c r="G83" s="126"/>
      <c r="H83" s="126"/>
      <c r="I83" s="126"/>
      <c r="J83" s="126"/>
      <c r="K83" s="126"/>
      <c r="L83" s="68" t="e">
        <f>ROUND(COM!H83,1)</f>
        <v>#REF!</v>
      </c>
      <c r="M83" s="68" t="e">
        <f>ROUND(COM!I83,1)</f>
        <v>#REF!</v>
      </c>
      <c r="N83" s="68" t="e">
        <f>ROUND(COM!J83,1)</f>
        <v>#REF!</v>
      </c>
      <c r="O83" s="68" t="e">
        <f>ROUND(COM!K83,1)</f>
        <v>#REF!</v>
      </c>
      <c r="P83" s="68" t="e">
        <f>ROUND(COM!L83,1)</f>
        <v>#REF!</v>
      </c>
      <c r="Q83" s="68" t="e">
        <f>ROUND(COM!M83,1)</f>
        <v>#REF!</v>
      </c>
      <c r="R83" s="68" t="e">
        <f>ROUND(COM!N83,1)</f>
        <v>#REF!</v>
      </c>
      <c r="S83" s="68" t="e">
        <f>ROUND(COM!O83,1)</f>
        <v>#REF!</v>
      </c>
      <c r="T83" s="68" t="e">
        <f>ROUND(COM!P83,1)</f>
        <v>#REF!</v>
      </c>
      <c r="U83" s="68" t="e">
        <f>ROUND(COM!Q83,1)</f>
        <v>#REF!</v>
      </c>
      <c r="V83" s="68" t="e">
        <f>ROUND(COM!R83,1)</f>
        <v>#REF!</v>
      </c>
      <c r="W83" s="68" t="e">
        <f>ROUND(COM!S83,1)</f>
        <v>#REF!</v>
      </c>
      <c r="X83" s="111" t="e">
        <f t="shared" si="9"/>
        <v>#REF!</v>
      </c>
    </row>
    <row r="84" spans="1:24" ht="37.5" x14ac:dyDescent="0.25">
      <c r="A84" s="4">
        <v>311</v>
      </c>
      <c r="B84" s="52">
        <v>34</v>
      </c>
      <c r="C84" s="52">
        <v>920</v>
      </c>
      <c r="D84" s="7">
        <v>70989</v>
      </c>
      <c r="E84" s="20" t="s">
        <v>173</v>
      </c>
      <c r="F84" s="75" t="s">
        <v>30</v>
      </c>
      <c r="G84" s="126" t="s">
        <v>331</v>
      </c>
      <c r="H84" s="126"/>
      <c r="I84" s="126"/>
      <c r="J84" s="126"/>
      <c r="K84" s="126"/>
      <c r="L84" s="68" t="e">
        <f>ROUND(COM!H84,1)</f>
        <v>#REF!</v>
      </c>
      <c r="M84" s="68" t="e">
        <f>ROUND(COM!I84,1)</f>
        <v>#REF!</v>
      </c>
      <c r="N84" s="68" t="e">
        <f>ROUND(COM!J84,1)</f>
        <v>#REF!</v>
      </c>
      <c r="O84" s="68" t="e">
        <f>ROUND(COM!K84,1)</f>
        <v>#REF!</v>
      </c>
      <c r="P84" s="68" t="e">
        <f>ROUND(COM!L84,1)</f>
        <v>#REF!</v>
      </c>
      <c r="Q84" s="68" t="e">
        <f>ROUND(COM!M84,1)</f>
        <v>#REF!</v>
      </c>
      <c r="R84" s="68" t="e">
        <f>ROUND(COM!N84,1)</f>
        <v>#REF!</v>
      </c>
      <c r="S84" s="68" t="e">
        <f>ROUND(COM!O84,1)</f>
        <v>#REF!</v>
      </c>
      <c r="T84" s="68" t="e">
        <f>ROUND(COM!P84,1)</f>
        <v>#REF!</v>
      </c>
      <c r="U84" s="68" t="e">
        <f>ROUND(COM!Q84,1)</f>
        <v>#REF!</v>
      </c>
      <c r="V84" s="68" t="e">
        <f>ROUND(COM!R84,1)</f>
        <v>#REF!</v>
      </c>
      <c r="W84" s="68" t="e">
        <f>ROUND(COM!S84,1)</f>
        <v>#REF!</v>
      </c>
      <c r="X84" s="111" t="e">
        <f t="shared" si="9"/>
        <v>#REF!</v>
      </c>
    </row>
    <row r="85" spans="1:24" ht="37.5" x14ac:dyDescent="0.25">
      <c r="A85" s="4">
        <v>311</v>
      </c>
      <c r="B85" s="52">
        <v>34</v>
      </c>
      <c r="C85" s="52">
        <v>930</v>
      </c>
      <c r="D85" s="7">
        <v>70989</v>
      </c>
      <c r="E85" s="20" t="s">
        <v>173</v>
      </c>
      <c r="F85" s="75" t="s">
        <v>31</v>
      </c>
      <c r="G85" s="126" t="s">
        <v>332</v>
      </c>
      <c r="H85" s="126"/>
      <c r="I85" s="126"/>
      <c r="J85" s="126"/>
      <c r="K85" s="126"/>
      <c r="L85" s="68" t="e">
        <f>ROUND(COM!H85,1)</f>
        <v>#REF!</v>
      </c>
      <c r="M85" s="68" t="e">
        <f>ROUND(COM!I85,1)</f>
        <v>#REF!</v>
      </c>
      <c r="N85" s="68" t="e">
        <f>ROUND(COM!J85,1)</f>
        <v>#REF!</v>
      </c>
      <c r="O85" s="68" t="e">
        <f>ROUND(COM!K85,1)</f>
        <v>#REF!</v>
      </c>
      <c r="P85" s="68" t="e">
        <f>ROUND(COM!L85,1)</f>
        <v>#REF!</v>
      </c>
      <c r="Q85" s="68" t="e">
        <f>ROUND(COM!M85,1)</f>
        <v>#REF!</v>
      </c>
      <c r="R85" s="68" t="e">
        <f>ROUND(COM!N85,1)</f>
        <v>#REF!</v>
      </c>
      <c r="S85" s="68" t="e">
        <f>ROUND(COM!O85,1)</f>
        <v>#REF!</v>
      </c>
      <c r="T85" s="68" t="e">
        <f>ROUND(COM!P85,1)</f>
        <v>#REF!</v>
      </c>
      <c r="U85" s="68" t="e">
        <f>ROUND(COM!Q85,1)</f>
        <v>#REF!</v>
      </c>
      <c r="V85" s="68" t="e">
        <f>ROUND(COM!R85,1)</f>
        <v>#REF!</v>
      </c>
      <c r="W85" s="68" t="e">
        <f>ROUND(COM!S85,1)</f>
        <v>#REF!</v>
      </c>
      <c r="X85" s="111" t="e">
        <f t="shared" si="9"/>
        <v>#REF!</v>
      </c>
    </row>
    <row r="86" spans="1:24" ht="18.75" x14ac:dyDescent="0.25">
      <c r="A86" s="4">
        <v>311</v>
      </c>
      <c r="B86" s="52">
        <v>34</v>
      </c>
      <c r="C86" s="52">
        <v>930</v>
      </c>
      <c r="D86" s="7">
        <v>70989</v>
      </c>
      <c r="E86" s="20" t="s">
        <v>172</v>
      </c>
      <c r="F86" s="75" t="s">
        <v>264</v>
      </c>
      <c r="G86" s="126" t="s">
        <v>399</v>
      </c>
      <c r="H86" s="126"/>
      <c r="I86" s="126"/>
      <c r="J86" s="126"/>
      <c r="K86" s="126"/>
      <c r="L86" s="68" t="e">
        <f>ROUND(COM!H86,1)</f>
        <v>#REF!</v>
      </c>
      <c r="M86" s="68" t="e">
        <f>ROUND(COM!I86,1)</f>
        <v>#REF!</v>
      </c>
      <c r="N86" s="68" t="e">
        <f>ROUND(COM!J86,1)</f>
        <v>#REF!</v>
      </c>
      <c r="O86" s="68" t="e">
        <f>ROUND(COM!K86,1)</f>
        <v>#REF!</v>
      </c>
      <c r="P86" s="68" t="e">
        <f>ROUND(COM!L86,1)</f>
        <v>#REF!</v>
      </c>
      <c r="Q86" s="68" t="e">
        <f>ROUND(COM!M86,1)</f>
        <v>#REF!</v>
      </c>
      <c r="R86" s="68" t="e">
        <f>ROUND(COM!N86,1)</f>
        <v>#REF!</v>
      </c>
      <c r="S86" s="68" t="e">
        <f>ROUND(COM!O86,1)</f>
        <v>#REF!</v>
      </c>
      <c r="T86" s="68" t="e">
        <f>ROUND(COM!P86,1)</f>
        <v>#REF!</v>
      </c>
      <c r="U86" s="68" t="e">
        <f>ROUND(COM!Q86,1)</f>
        <v>#REF!</v>
      </c>
      <c r="V86" s="68" t="e">
        <f>ROUND(COM!R86,1)</f>
        <v>#REF!</v>
      </c>
      <c r="W86" s="68" t="e">
        <f>ROUND(COM!S86,1)</f>
        <v>#REF!</v>
      </c>
      <c r="X86" s="111" t="e">
        <f t="shared" si="9"/>
        <v>#REF!</v>
      </c>
    </row>
    <row r="87" spans="1:24" ht="56.25" x14ac:dyDescent="0.25">
      <c r="A87" s="154">
        <v>311</v>
      </c>
      <c r="B87" s="155">
        <v>34</v>
      </c>
      <c r="C87" s="155">
        <v>920</v>
      </c>
      <c r="D87" s="156">
        <v>70989</v>
      </c>
      <c r="E87" s="157" t="s">
        <v>419</v>
      </c>
      <c r="F87" s="151" t="s">
        <v>425</v>
      </c>
      <c r="G87" s="38"/>
      <c r="H87" s="38"/>
      <c r="I87" s="38"/>
      <c r="J87" s="38"/>
      <c r="K87" s="38"/>
      <c r="L87" s="68" t="e">
        <f>ROUND(COM!H87,1)</f>
        <v>#REF!</v>
      </c>
      <c r="M87" s="68" t="e">
        <f>ROUND(COM!I87,1)</f>
        <v>#REF!</v>
      </c>
      <c r="N87" s="68" t="e">
        <f>ROUND(COM!J87,1)</f>
        <v>#REF!</v>
      </c>
      <c r="O87" s="68" t="e">
        <f>ROUND(COM!K87,1)</f>
        <v>#REF!</v>
      </c>
      <c r="P87" s="68" t="e">
        <f>ROUND(COM!L87,1)</f>
        <v>#REF!</v>
      </c>
      <c r="Q87" s="68" t="e">
        <f>ROUND(COM!M87,1)</f>
        <v>#REF!</v>
      </c>
      <c r="R87" s="68" t="e">
        <f>ROUND(COM!N87,1)</f>
        <v>#REF!</v>
      </c>
      <c r="S87" s="68" t="e">
        <f>ROUND(COM!O87,1)</f>
        <v>#REF!</v>
      </c>
      <c r="T87" s="68" t="e">
        <f>ROUND(COM!P87,1)</f>
        <v>#REF!</v>
      </c>
      <c r="U87" s="68" t="e">
        <f>ROUND(COM!Q87,1)</f>
        <v>#REF!</v>
      </c>
      <c r="V87" s="68" t="e">
        <f>ROUND(COM!R87,1)</f>
        <v>#REF!</v>
      </c>
      <c r="W87" s="68" t="e">
        <f>ROUND(COM!S87,1)</f>
        <v>#REF!</v>
      </c>
      <c r="X87" s="111" t="e">
        <f>M87+O87+Q87+S87+U87+W87</f>
        <v>#REF!</v>
      </c>
    </row>
    <row r="88" spans="1:24" ht="56.25" x14ac:dyDescent="0.25">
      <c r="A88" s="154">
        <v>311</v>
      </c>
      <c r="B88" s="155">
        <v>34</v>
      </c>
      <c r="C88" s="155">
        <v>920</v>
      </c>
      <c r="D88" s="156">
        <v>70989</v>
      </c>
      <c r="E88" s="157" t="s">
        <v>174</v>
      </c>
      <c r="F88" s="151" t="s">
        <v>424</v>
      </c>
      <c r="G88" s="38"/>
      <c r="H88" s="38"/>
      <c r="I88" s="38"/>
      <c r="J88" s="38"/>
      <c r="K88" s="38"/>
      <c r="L88" s="68" t="e">
        <f>ROUND(COM!H88,1)</f>
        <v>#REF!</v>
      </c>
      <c r="M88" s="68" t="e">
        <f>ROUND(COM!I88,1)</f>
        <v>#REF!</v>
      </c>
      <c r="N88" s="68" t="e">
        <f>ROUND(COM!J88,1)</f>
        <v>#REF!</v>
      </c>
      <c r="O88" s="68" t="e">
        <f>ROUND(COM!K88,1)</f>
        <v>#REF!</v>
      </c>
      <c r="P88" s="68" t="e">
        <f>ROUND(COM!L88,1)</f>
        <v>#REF!</v>
      </c>
      <c r="Q88" s="68" t="e">
        <f>ROUND(COM!M88,1)</f>
        <v>#REF!</v>
      </c>
      <c r="R88" s="68" t="e">
        <f>ROUND(COM!N88,1)</f>
        <v>#REF!</v>
      </c>
      <c r="S88" s="68" t="e">
        <f>ROUND(COM!O88,1)</f>
        <v>#REF!</v>
      </c>
      <c r="T88" s="68" t="e">
        <f>ROUND(COM!P88,1)</f>
        <v>#REF!</v>
      </c>
      <c r="U88" s="68" t="e">
        <f>ROUND(COM!Q88,1)</f>
        <v>#REF!</v>
      </c>
      <c r="V88" s="68" t="e">
        <f>ROUND(COM!R88,1)</f>
        <v>#REF!</v>
      </c>
      <c r="W88" s="68" t="e">
        <f>ROUND(COM!S88,1)</f>
        <v>#REF!</v>
      </c>
      <c r="X88" s="111"/>
    </row>
    <row r="89" spans="1:24" ht="56.25" x14ac:dyDescent="0.25">
      <c r="A89" s="154">
        <v>311</v>
      </c>
      <c r="B89" s="155">
        <v>34</v>
      </c>
      <c r="C89" s="155">
        <v>930</v>
      </c>
      <c r="D89" s="156">
        <v>70989</v>
      </c>
      <c r="E89" s="157" t="s">
        <v>174</v>
      </c>
      <c r="F89" s="151" t="s">
        <v>423</v>
      </c>
      <c r="G89" s="38"/>
      <c r="H89" s="38"/>
      <c r="I89" s="38"/>
      <c r="J89" s="38"/>
      <c r="K89" s="38"/>
      <c r="L89" s="68" t="e">
        <f>ROUND(COM!H89,1)</f>
        <v>#REF!</v>
      </c>
      <c r="M89" s="68" t="e">
        <f>ROUND(COM!I89,1)</f>
        <v>#REF!</v>
      </c>
      <c r="N89" s="68" t="e">
        <f>ROUND(COM!J89,1)</f>
        <v>#REF!</v>
      </c>
      <c r="O89" s="68" t="e">
        <f>ROUND(COM!K89,1)</f>
        <v>#REF!</v>
      </c>
      <c r="P89" s="68" t="e">
        <f>ROUND(COM!L89,1)</f>
        <v>#REF!</v>
      </c>
      <c r="Q89" s="68" t="e">
        <f>ROUND(COM!M89,1)</f>
        <v>#REF!</v>
      </c>
      <c r="R89" s="68" t="e">
        <f>ROUND(COM!N89,1)</f>
        <v>#REF!</v>
      </c>
      <c r="S89" s="68" t="e">
        <f>ROUND(COM!O89,1)</f>
        <v>#REF!</v>
      </c>
      <c r="T89" s="68" t="e">
        <f>ROUND(COM!P89,1)</f>
        <v>#REF!</v>
      </c>
      <c r="U89" s="68" t="e">
        <f>ROUND(COM!Q89,1)</f>
        <v>#REF!</v>
      </c>
      <c r="V89" s="68" t="e">
        <f>ROUND(COM!R89,1)</f>
        <v>#REF!</v>
      </c>
      <c r="W89" s="68" t="e">
        <f>ROUND(COM!S89,1)</f>
        <v>#REF!</v>
      </c>
      <c r="X89" s="111" t="e">
        <f t="shared" si="9"/>
        <v>#REF!</v>
      </c>
    </row>
    <row r="90" spans="1:24" ht="37.5" x14ac:dyDescent="0.25">
      <c r="A90" s="154">
        <v>311</v>
      </c>
      <c r="B90" s="155">
        <v>34</v>
      </c>
      <c r="C90" s="155">
        <v>920</v>
      </c>
      <c r="D90" s="156">
        <v>70989</v>
      </c>
      <c r="E90" s="157" t="s">
        <v>420</v>
      </c>
      <c r="F90" s="151" t="s">
        <v>414</v>
      </c>
      <c r="L90" s="68" t="e">
        <f>ROUND(COM!H90,1)</f>
        <v>#REF!</v>
      </c>
      <c r="M90" s="68" t="e">
        <f>ROUND(COM!I90,1)</f>
        <v>#REF!</v>
      </c>
      <c r="N90" s="68" t="e">
        <f>ROUND(COM!J90,1)</f>
        <v>#REF!</v>
      </c>
      <c r="O90" s="68" t="e">
        <f>ROUND(COM!K90,1)</f>
        <v>#REF!</v>
      </c>
      <c r="P90" s="68" t="e">
        <f>ROUND(COM!L90,1)</f>
        <v>#REF!</v>
      </c>
      <c r="Q90" s="68" t="e">
        <f>ROUND(COM!M90,1)</f>
        <v>#REF!</v>
      </c>
      <c r="R90" s="68" t="e">
        <f>ROUND(COM!N90,1)</f>
        <v>#REF!</v>
      </c>
      <c r="S90" s="68" t="e">
        <f>ROUND(COM!O90,1)</f>
        <v>#REF!</v>
      </c>
      <c r="T90" s="68" t="e">
        <f>ROUND(COM!P90,1)</f>
        <v>#REF!</v>
      </c>
      <c r="U90" s="68" t="e">
        <f>ROUND(COM!Q90,1)</f>
        <v>#REF!</v>
      </c>
      <c r="V90" s="68" t="e">
        <f>ROUND(COM!R90,1)</f>
        <v>#REF!</v>
      </c>
      <c r="W90" s="68" t="e">
        <f>ROUND(COM!S90,1)</f>
        <v>#REF!</v>
      </c>
    </row>
    <row r="91" spans="1:24" ht="18.75" x14ac:dyDescent="0.25">
      <c r="A91" s="154">
        <v>311</v>
      </c>
      <c r="B91" s="155">
        <v>34</v>
      </c>
      <c r="C91" s="155">
        <v>920</v>
      </c>
      <c r="D91" s="156">
        <v>70989</v>
      </c>
      <c r="E91" s="157" t="s">
        <v>172</v>
      </c>
      <c r="F91" s="151" t="s">
        <v>421</v>
      </c>
      <c r="G91" s="38"/>
      <c r="H91" s="38"/>
      <c r="I91" s="38"/>
      <c r="J91" s="38"/>
      <c r="K91" s="38"/>
      <c r="L91" s="68" t="e">
        <f>ROUND(COM!H91,1)</f>
        <v>#REF!</v>
      </c>
      <c r="M91" s="68" t="e">
        <f>ROUND(COM!I91,1)</f>
        <v>#REF!</v>
      </c>
      <c r="N91" s="68" t="e">
        <f>ROUND(COM!J91,1)</f>
        <v>#REF!</v>
      </c>
      <c r="O91" s="68" t="e">
        <f>ROUND(COM!K91,1)</f>
        <v>#REF!</v>
      </c>
      <c r="P91" s="68" t="e">
        <f>ROUND(COM!L91,1)</f>
        <v>#REF!</v>
      </c>
      <c r="Q91" s="68" t="e">
        <f>ROUND(COM!M91,1)</f>
        <v>#REF!</v>
      </c>
      <c r="R91" s="68" t="e">
        <f>ROUND(COM!N91,1)</f>
        <v>#REF!</v>
      </c>
      <c r="S91" s="68" t="e">
        <f>ROUND(COM!O91,1)</f>
        <v>#REF!</v>
      </c>
      <c r="T91" s="68" t="e">
        <f>ROUND(COM!P91,1)</f>
        <v>#REF!</v>
      </c>
      <c r="U91" s="68" t="e">
        <f>ROUND(COM!Q91,1)</f>
        <v>#REF!</v>
      </c>
      <c r="V91" s="68" t="e">
        <f>ROUND(COM!R91,1)</f>
        <v>#REF!</v>
      </c>
      <c r="W91" s="68" t="e">
        <f>ROUND(COM!S91,1)</f>
        <v>#REF!</v>
      </c>
      <c r="X91" s="111" t="e">
        <f t="shared" si="9"/>
        <v>#REF!</v>
      </c>
    </row>
    <row r="92" spans="1:24" ht="18.75" x14ac:dyDescent="0.25">
      <c r="G92" s="38"/>
      <c r="H92" s="38"/>
      <c r="I92" s="38"/>
      <c r="J92" s="38"/>
      <c r="K92" s="3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111"/>
    </row>
    <row r="93" spans="1:24" ht="18.75" x14ac:dyDescent="0.25">
      <c r="A93" s="4"/>
      <c r="B93" s="52"/>
      <c r="C93" s="52"/>
      <c r="D93" s="7"/>
      <c r="E93" s="20"/>
      <c r="F93" s="38"/>
      <c r="G93" s="38"/>
      <c r="H93" s="38"/>
      <c r="I93" s="38"/>
      <c r="J93" s="38"/>
      <c r="K93" s="3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111">
        <f t="shared" si="9"/>
        <v>0</v>
      </c>
    </row>
    <row r="94" spans="1:24" ht="18.75" x14ac:dyDescent="0.25">
      <c r="A94" s="4"/>
      <c r="B94" s="52"/>
      <c r="C94" s="52"/>
      <c r="D94" s="7"/>
      <c r="E94" s="20"/>
      <c r="F94" s="38"/>
      <c r="G94" s="38"/>
      <c r="H94" s="38"/>
      <c r="I94" s="38"/>
      <c r="J94" s="38"/>
      <c r="K94" s="3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111">
        <f t="shared" si="9"/>
        <v>0</v>
      </c>
    </row>
    <row r="95" spans="1:24" s="58" customFormat="1" ht="18.75" x14ac:dyDescent="0.25">
      <c r="A95" s="56"/>
      <c r="B95" s="50"/>
      <c r="C95" s="50"/>
      <c r="D95" s="50"/>
      <c r="E95" s="54"/>
      <c r="F95" s="36" t="s">
        <v>32</v>
      </c>
      <c r="G95" s="36"/>
      <c r="H95" s="36"/>
      <c r="I95" s="36"/>
      <c r="J95" s="36"/>
      <c r="K95" s="36"/>
      <c r="L95" s="99" t="e">
        <f>L96</f>
        <v>#REF!</v>
      </c>
      <c r="M95" s="99" t="e">
        <f t="shared" ref="M95:W95" si="10">M96</f>
        <v>#REF!</v>
      </c>
      <c r="N95" s="99" t="e">
        <f t="shared" si="10"/>
        <v>#REF!</v>
      </c>
      <c r="O95" s="99" t="e">
        <f t="shared" si="10"/>
        <v>#REF!</v>
      </c>
      <c r="P95" s="99" t="e">
        <f t="shared" si="10"/>
        <v>#REF!</v>
      </c>
      <c r="Q95" s="99" t="e">
        <f t="shared" si="10"/>
        <v>#REF!</v>
      </c>
      <c r="R95" s="99" t="e">
        <f t="shared" si="10"/>
        <v>#REF!</v>
      </c>
      <c r="S95" s="99" t="e">
        <f t="shared" si="10"/>
        <v>#REF!</v>
      </c>
      <c r="T95" s="99" t="e">
        <f t="shared" si="10"/>
        <v>#REF!</v>
      </c>
      <c r="U95" s="99" t="e">
        <f t="shared" si="10"/>
        <v>#REF!</v>
      </c>
      <c r="V95" s="99" t="e">
        <f t="shared" si="10"/>
        <v>#REF!</v>
      </c>
      <c r="W95" s="99" t="e">
        <f t="shared" si="10"/>
        <v>#REF!</v>
      </c>
      <c r="X95" s="111" t="e">
        <f t="shared" si="9"/>
        <v>#REF!</v>
      </c>
    </row>
    <row r="96" spans="1:24" s="58" customFormat="1" ht="18.75" x14ac:dyDescent="0.25">
      <c r="A96" s="57"/>
      <c r="B96" s="51"/>
      <c r="C96" s="51"/>
      <c r="D96" s="51"/>
      <c r="E96" s="55"/>
      <c r="F96" s="37" t="s">
        <v>6</v>
      </c>
      <c r="G96" s="37"/>
      <c r="H96" s="37"/>
      <c r="I96" s="37"/>
      <c r="J96" s="37"/>
      <c r="K96" s="37"/>
      <c r="L96" s="100" t="e">
        <f>SUM(L97:L126)</f>
        <v>#REF!</v>
      </c>
      <c r="M96" s="100" t="e">
        <f>SUM(M97:M126)</f>
        <v>#REF!</v>
      </c>
      <c r="N96" s="100" t="e">
        <f>SUM(N97:N126)</f>
        <v>#REF!</v>
      </c>
      <c r="O96" s="100" t="e">
        <f t="shared" ref="O96:W96" si="11">SUM(O97:O126)</f>
        <v>#REF!</v>
      </c>
      <c r="P96" s="100" t="e">
        <f t="shared" si="11"/>
        <v>#REF!</v>
      </c>
      <c r="Q96" s="100" t="e">
        <f t="shared" si="11"/>
        <v>#REF!</v>
      </c>
      <c r="R96" s="100" t="e">
        <f t="shared" si="11"/>
        <v>#REF!</v>
      </c>
      <c r="S96" s="100" t="e">
        <f t="shared" si="11"/>
        <v>#REF!</v>
      </c>
      <c r="T96" s="100" t="e">
        <f t="shared" si="11"/>
        <v>#REF!</v>
      </c>
      <c r="U96" s="100" t="e">
        <f t="shared" si="11"/>
        <v>#REF!</v>
      </c>
      <c r="V96" s="100" t="e">
        <f t="shared" si="11"/>
        <v>#REF!</v>
      </c>
      <c r="W96" s="100" t="e">
        <f t="shared" si="11"/>
        <v>#REF!</v>
      </c>
      <c r="X96" s="111" t="e">
        <f t="shared" si="9"/>
        <v>#REF!</v>
      </c>
    </row>
    <row r="97" spans="1:24" ht="37.5" x14ac:dyDescent="0.25">
      <c r="A97" s="61">
        <v>311</v>
      </c>
      <c r="B97" s="61">
        <v>37</v>
      </c>
      <c r="C97" s="61">
        <v>920</v>
      </c>
      <c r="D97" s="7">
        <v>70769</v>
      </c>
      <c r="E97" s="20" t="s">
        <v>164</v>
      </c>
      <c r="F97" s="112" t="s">
        <v>33</v>
      </c>
      <c r="G97" s="38"/>
      <c r="H97" s="38"/>
      <c r="I97" s="38"/>
      <c r="J97" s="38"/>
      <c r="K97" s="38"/>
      <c r="L97" s="68" t="e">
        <f>ROUND(COM!H97,1)</f>
        <v>#REF!</v>
      </c>
      <c r="M97" s="68" t="e">
        <f>ROUND(COM!I97,1)</f>
        <v>#REF!</v>
      </c>
      <c r="N97" s="68" t="e">
        <f>ROUND(COM!J97,1)</f>
        <v>#REF!</v>
      </c>
      <c r="O97" s="68" t="e">
        <f>ROUND(COM!K97,1)</f>
        <v>#REF!</v>
      </c>
      <c r="P97" s="68" t="e">
        <f>ROUND(COM!L97,1)</f>
        <v>#REF!</v>
      </c>
      <c r="Q97" s="68" t="e">
        <f>ROUND(COM!M97,1)</f>
        <v>#REF!</v>
      </c>
      <c r="R97" s="68" t="e">
        <f>ROUND(COM!N97,1)</f>
        <v>#REF!</v>
      </c>
      <c r="S97" s="68" t="e">
        <f>ROUND(COM!O97,1)</f>
        <v>#REF!</v>
      </c>
      <c r="T97" s="68" t="e">
        <f>ROUND(COM!P97,1)</f>
        <v>#REF!</v>
      </c>
      <c r="U97" s="68" t="e">
        <f>ROUND(COM!Q97,1)</f>
        <v>#REF!</v>
      </c>
      <c r="V97" s="68" t="e">
        <f>ROUND(COM!R97,1)</f>
        <v>#REF!</v>
      </c>
      <c r="W97" s="68" t="e">
        <f>ROUND(COM!S97,1)</f>
        <v>#REF!</v>
      </c>
      <c r="X97" s="111" t="e">
        <f t="shared" si="9"/>
        <v>#REF!</v>
      </c>
    </row>
    <row r="98" spans="1:24" ht="18.75" x14ac:dyDescent="0.25">
      <c r="A98" s="61">
        <v>311</v>
      </c>
      <c r="B98" s="61">
        <v>37</v>
      </c>
      <c r="C98" s="61">
        <v>910</v>
      </c>
      <c r="D98" s="7">
        <v>70769</v>
      </c>
      <c r="E98" s="20"/>
      <c r="F98" s="112" t="s">
        <v>34</v>
      </c>
      <c r="G98" s="38"/>
      <c r="H98" s="38"/>
      <c r="I98" s="38"/>
      <c r="J98" s="38"/>
      <c r="K98" s="38"/>
      <c r="L98" s="68" t="e">
        <f>ROUND(COM!H98,1)</f>
        <v>#REF!</v>
      </c>
      <c r="M98" s="68" t="e">
        <f>ROUND(COM!I98,1)</f>
        <v>#REF!</v>
      </c>
      <c r="N98" s="68" t="e">
        <f>ROUND(COM!J98,1)</f>
        <v>#REF!</v>
      </c>
      <c r="O98" s="68" t="e">
        <f>ROUND(COM!K98,1)</f>
        <v>#REF!</v>
      </c>
      <c r="P98" s="68" t="e">
        <f>ROUND(COM!L98,1)</f>
        <v>#REF!</v>
      </c>
      <c r="Q98" s="68" t="e">
        <f>ROUND(COM!M98,1)</f>
        <v>#REF!</v>
      </c>
      <c r="R98" s="68" t="e">
        <f>ROUND(COM!N98,1)</f>
        <v>#REF!</v>
      </c>
      <c r="S98" s="68" t="e">
        <f>ROUND(COM!O98,1)</f>
        <v>#REF!</v>
      </c>
      <c r="T98" s="68" t="e">
        <f>ROUND(COM!P98,1)</f>
        <v>#REF!</v>
      </c>
      <c r="U98" s="68" t="e">
        <f>ROUND(COM!Q98,1)</f>
        <v>#REF!</v>
      </c>
      <c r="V98" s="68" t="e">
        <f>ROUND(COM!R98,1)</f>
        <v>#REF!</v>
      </c>
      <c r="W98" s="68" t="e">
        <f>ROUND(COM!S98,1)</f>
        <v>#REF!</v>
      </c>
      <c r="X98" s="111" t="e">
        <f t="shared" si="9"/>
        <v>#REF!</v>
      </c>
    </row>
    <row r="99" spans="1:24" ht="56.25" x14ac:dyDescent="0.25">
      <c r="A99" s="4">
        <v>311</v>
      </c>
      <c r="B99" s="52">
        <v>37</v>
      </c>
      <c r="C99" s="52">
        <v>920</v>
      </c>
      <c r="D99" s="7">
        <v>70769</v>
      </c>
      <c r="E99" s="20" t="s">
        <v>164</v>
      </c>
      <c r="F99" s="76" t="s">
        <v>35</v>
      </c>
      <c r="G99" s="126" t="s">
        <v>335</v>
      </c>
      <c r="H99" s="126"/>
      <c r="I99" s="126"/>
      <c r="J99" s="126"/>
      <c r="K99" s="126"/>
      <c r="L99" s="68" t="e">
        <f>ROUND(COM!H99,1)</f>
        <v>#REF!</v>
      </c>
      <c r="M99" s="68" t="e">
        <f>ROUND(COM!I99,1)</f>
        <v>#REF!</v>
      </c>
      <c r="N99" s="68" t="e">
        <f>ROUND(COM!J99,1)</f>
        <v>#REF!</v>
      </c>
      <c r="O99" s="68" t="e">
        <f>ROUND(COM!K99,1)</f>
        <v>#REF!</v>
      </c>
      <c r="P99" s="68" t="e">
        <f>ROUND(COM!L99,1)</f>
        <v>#REF!</v>
      </c>
      <c r="Q99" s="68" t="e">
        <f>ROUND(COM!M99,1)</f>
        <v>#REF!</v>
      </c>
      <c r="R99" s="68" t="e">
        <f>ROUND(COM!N99,1)</f>
        <v>#REF!</v>
      </c>
      <c r="S99" s="68" t="e">
        <f>ROUND(COM!O99,1)</f>
        <v>#REF!</v>
      </c>
      <c r="T99" s="68" t="e">
        <f>ROUND(COM!P99,1)</f>
        <v>#REF!</v>
      </c>
      <c r="U99" s="68" t="e">
        <f>ROUND(COM!Q99,1)</f>
        <v>#REF!</v>
      </c>
      <c r="V99" s="68" t="e">
        <f>ROUND(COM!R99,1)</f>
        <v>#REF!</v>
      </c>
      <c r="W99" s="68" t="e">
        <f>ROUND(COM!S99,1)</f>
        <v>#REF!</v>
      </c>
      <c r="X99" s="111" t="e">
        <f t="shared" si="9"/>
        <v>#REF!</v>
      </c>
    </row>
    <row r="100" spans="1:24" ht="18.75" x14ac:dyDescent="0.25">
      <c r="A100" s="4">
        <v>311</v>
      </c>
      <c r="B100" s="52">
        <v>37</v>
      </c>
      <c r="C100" s="52">
        <v>910</v>
      </c>
      <c r="D100" s="7">
        <v>70769</v>
      </c>
      <c r="E100" s="20"/>
      <c r="F100" s="112" t="s">
        <v>36</v>
      </c>
      <c r="G100" s="38"/>
      <c r="H100" s="38"/>
      <c r="I100" s="38"/>
      <c r="J100" s="38"/>
      <c r="K100" s="38"/>
      <c r="L100" s="68" t="e">
        <f>ROUND(COM!H100,1)</f>
        <v>#REF!</v>
      </c>
      <c r="M100" s="68" t="e">
        <f>ROUND(COM!I100,1)</f>
        <v>#REF!</v>
      </c>
      <c r="N100" s="68" t="e">
        <f>ROUND(COM!J100,1)</f>
        <v>#REF!</v>
      </c>
      <c r="O100" s="68" t="e">
        <f>ROUND(COM!K100,1)</f>
        <v>#REF!</v>
      </c>
      <c r="P100" s="68" t="e">
        <f>ROUND(COM!L100,1)</f>
        <v>#REF!</v>
      </c>
      <c r="Q100" s="68" t="e">
        <f>ROUND(COM!M100,1)</f>
        <v>#REF!</v>
      </c>
      <c r="R100" s="68" t="e">
        <f>ROUND(COM!N100,1)</f>
        <v>#REF!</v>
      </c>
      <c r="S100" s="68" t="e">
        <f>ROUND(COM!O100,1)</f>
        <v>#REF!</v>
      </c>
      <c r="T100" s="68" t="e">
        <f>ROUND(COM!P100,1)</f>
        <v>#REF!</v>
      </c>
      <c r="U100" s="68" t="e">
        <f>ROUND(COM!Q100,1)</f>
        <v>#REF!</v>
      </c>
      <c r="V100" s="68" t="e">
        <f>ROUND(COM!R100,1)</f>
        <v>#REF!</v>
      </c>
      <c r="W100" s="68" t="e">
        <f>ROUND(COM!S100,1)</f>
        <v>#REF!</v>
      </c>
      <c r="X100" s="111" t="e">
        <f t="shared" si="9"/>
        <v>#REF!</v>
      </c>
    </row>
    <row r="101" spans="1:24" ht="18.75" x14ac:dyDescent="0.25">
      <c r="A101" s="4">
        <v>311</v>
      </c>
      <c r="B101" s="52">
        <v>37</v>
      </c>
      <c r="C101" s="52">
        <v>920</v>
      </c>
      <c r="D101" s="7">
        <v>70769</v>
      </c>
      <c r="E101" s="20" t="s">
        <v>164</v>
      </c>
      <c r="F101" s="112" t="s">
        <v>37</v>
      </c>
      <c r="G101" s="38"/>
      <c r="H101" s="38"/>
      <c r="I101" s="38"/>
      <c r="J101" s="38"/>
      <c r="K101" s="38"/>
      <c r="L101" s="68" t="e">
        <f>ROUND(COM!H101,1)</f>
        <v>#REF!</v>
      </c>
      <c r="M101" s="68" t="e">
        <f>ROUND(COM!I101,1)</f>
        <v>#REF!</v>
      </c>
      <c r="N101" s="68" t="e">
        <f>ROUND(COM!J101,1)</f>
        <v>#REF!</v>
      </c>
      <c r="O101" s="68" t="e">
        <f>ROUND(COM!K101,1)</f>
        <v>#REF!</v>
      </c>
      <c r="P101" s="68" t="e">
        <f>ROUND(COM!L101,1)</f>
        <v>#REF!</v>
      </c>
      <c r="Q101" s="68" t="e">
        <f>ROUND(COM!M101,1)</f>
        <v>#REF!</v>
      </c>
      <c r="R101" s="68" t="e">
        <f>ROUND(COM!N101,1)</f>
        <v>#REF!</v>
      </c>
      <c r="S101" s="68" t="e">
        <f>ROUND(COM!O101,1)</f>
        <v>#REF!</v>
      </c>
      <c r="T101" s="68" t="e">
        <f>ROUND(COM!P101,1)</f>
        <v>#REF!</v>
      </c>
      <c r="U101" s="68" t="e">
        <f>ROUND(COM!Q101,1)</f>
        <v>#REF!</v>
      </c>
      <c r="V101" s="68" t="e">
        <f>ROUND(COM!R101,1)</f>
        <v>#REF!</v>
      </c>
      <c r="W101" s="68" t="e">
        <f>ROUND(COM!S101,1)</f>
        <v>#REF!</v>
      </c>
      <c r="X101" s="111" t="e">
        <f t="shared" si="9"/>
        <v>#REF!</v>
      </c>
    </row>
    <row r="102" spans="1:24" ht="18.75" x14ac:dyDescent="0.25">
      <c r="A102" s="4">
        <v>311</v>
      </c>
      <c r="B102" s="52">
        <v>37</v>
      </c>
      <c r="C102" s="52">
        <v>910</v>
      </c>
      <c r="D102" s="7">
        <v>70769</v>
      </c>
      <c r="E102" s="20"/>
      <c r="F102" s="112" t="s">
        <v>38</v>
      </c>
      <c r="G102" s="112"/>
      <c r="H102" s="112"/>
      <c r="I102" s="112"/>
      <c r="J102" s="112"/>
      <c r="K102" s="112"/>
      <c r="L102" s="68" t="e">
        <f>ROUND(COM!H102,1)</f>
        <v>#REF!</v>
      </c>
      <c r="M102" s="68" t="e">
        <f>ROUND(COM!I102,1)</f>
        <v>#REF!</v>
      </c>
      <c r="N102" s="68" t="e">
        <f>ROUND(COM!J102,1)</f>
        <v>#REF!</v>
      </c>
      <c r="O102" s="68" t="e">
        <f>ROUND(COM!K102,1)</f>
        <v>#REF!</v>
      </c>
      <c r="P102" s="68" t="e">
        <f>ROUND(COM!L102,1)</f>
        <v>#REF!</v>
      </c>
      <c r="Q102" s="68" t="e">
        <f>ROUND(COM!M102,1)</f>
        <v>#REF!</v>
      </c>
      <c r="R102" s="68" t="e">
        <f>ROUND(COM!N102,1)</f>
        <v>#REF!</v>
      </c>
      <c r="S102" s="68" t="e">
        <f>ROUND(COM!O102,1)</f>
        <v>#REF!</v>
      </c>
      <c r="T102" s="68" t="e">
        <f>ROUND(COM!P102,1)</f>
        <v>#REF!</v>
      </c>
      <c r="U102" s="68" t="e">
        <f>ROUND(COM!Q102,1)</f>
        <v>#REF!</v>
      </c>
      <c r="V102" s="68" t="e">
        <f>ROUND(COM!R102,1)</f>
        <v>#REF!</v>
      </c>
      <c r="W102" s="68" t="e">
        <f>ROUND(COM!S102,1)</f>
        <v>#REF!</v>
      </c>
      <c r="X102" s="111" t="e">
        <f t="shared" si="9"/>
        <v>#REF!</v>
      </c>
    </row>
    <row r="103" spans="1:24" ht="56.25" x14ac:dyDescent="0.25">
      <c r="A103" s="4">
        <v>311</v>
      </c>
      <c r="B103" s="52">
        <v>37</v>
      </c>
      <c r="C103" s="52">
        <v>920</v>
      </c>
      <c r="D103" s="7">
        <v>70769</v>
      </c>
      <c r="E103" s="20" t="s">
        <v>164</v>
      </c>
      <c r="F103" s="75" t="s">
        <v>39</v>
      </c>
      <c r="G103" s="126" t="s">
        <v>336</v>
      </c>
      <c r="H103" s="126"/>
      <c r="I103" s="126"/>
      <c r="J103" s="126"/>
      <c r="K103" s="126"/>
      <c r="L103" s="68" t="e">
        <f>ROUND(COM!H103,1)</f>
        <v>#REF!</v>
      </c>
      <c r="M103" s="68" t="e">
        <f>ROUND(COM!I103,1)</f>
        <v>#REF!</v>
      </c>
      <c r="N103" s="68" t="e">
        <f>ROUND(COM!J103,1)</f>
        <v>#REF!</v>
      </c>
      <c r="O103" s="68" t="e">
        <f>ROUND(COM!K103,1)</f>
        <v>#REF!</v>
      </c>
      <c r="P103" s="68" t="e">
        <f>ROUND(COM!L103,1)</f>
        <v>#REF!</v>
      </c>
      <c r="Q103" s="68" t="e">
        <f>ROUND(COM!M103,1)</f>
        <v>#REF!</v>
      </c>
      <c r="R103" s="68" t="e">
        <f>ROUND(COM!N103,1)</f>
        <v>#REF!</v>
      </c>
      <c r="S103" s="68" t="e">
        <f>ROUND(COM!O103,1)</f>
        <v>#REF!</v>
      </c>
      <c r="T103" s="68" t="e">
        <f>ROUND(COM!P103,1)</f>
        <v>#REF!</v>
      </c>
      <c r="U103" s="68" t="e">
        <f>ROUND(COM!Q103,1)</f>
        <v>#REF!</v>
      </c>
      <c r="V103" s="68" t="e">
        <f>ROUND(COM!R103,1)</f>
        <v>#REF!</v>
      </c>
      <c r="W103" s="68" t="e">
        <f>ROUND(COM!S103,1)</f>
        <v>#REF!</v>
      </c>
      <c r="X103" s="111" t="e">
        <f t="shared" si="9"/>
        <v>#REF!</v>
      </c>
    </row>
    <row r="104" spans="1:24" ht="56.25" x14ac:dyDescent="0.25">
      <c r="A104" s="4">
        <v>311</v>
      </c>
      <c r="B104" s="52">
        <v>37</v>
      </c>
      <c r="C104" s="52">
        <v>930</v>
      </c>
      <c r="D104" s="7">
        <v>70769</v>
      </c>
      <c r="E104" s="20" t="s">
        <v>166</v>
      </c>
      <c r="F104" s="76" t="s">
        <v>40</v>
      </c>
      <c r="G104" s="132" t="s">
        <v>289</v>
      </c>
      <c r="H104" s="132"/>
      <c r="I104" s="132"/>
      <c r="J104" s="132"/>
      <c r="K104" s="132"/>
      <c r="L104" s="68" t="e">
        <f>ROUND(COM!H104,1)</f>
        <v>#REF!</v>
      </c>
      <c r="M104" s="68" t="e">
        <f>ROUND(COM!I104,1)</f>
        <v>#REF!</v>
      </c>
      <c r="N104" s="68" t="e">
        <f>ROUND(COM!J104,1)</f>
        <v>#REF!</v>
      </c>
      <c r="O104" s="68" t="e">
        <f>ROUND(COM!K104,1)</f>
        <v>#REF!</v>
      </c>
      <c r="P104" s="68" t="e">
        <f>ROUND(COM!L104,1)</f>
        <v>#REF!</v>
      </c>
      <c r="Q104" s="68" t="e">
        <f>ROUND(COM!M104,1)</f>
        <v>#REF!</v>
      </c>
      <c r="R104" s="68" t="e">
        <f>ROUND(COM!N104,1)</f>
        <v>#REF!</v>
      </c>
      <c r="S104" s="68" t="e">
        <f>ROUND(COM!O104,1)</f>
        <v>#REF!</v>
      </c>
      <c r="T104" s="68" t="e">
        <f>ROUND(COM!P104,1)</f>
        <v>#REF!</v>
      </c>
      <c r="U104" s="68" t="e">
        <f>ROUND(COM!Q104,1)</f>
        <v>#REF!</v>
      </c>
      <c r="V104" s="68" t="e">
        <f>ROUND(COM!R104,1)</f>
        <v>#REF!</v>
      </c>
      <c r="W104" s="68" t="e">
        <f>ROUND(COM!S104,1)</f>
        <v>#REF!</v>
      </c>
      <c r="X104" s="111" t="e">
        <f t="shared" si="9"/>
        <v>#REF!</v>
      </c>
    </row>
    <row r="105" spans="1:24" ht="37.5" x14ac:dyDescent="0.25">
      <c r="A105" s="4">
        <v>311</v>
      </c>
      <c r="B105" s="52">
        <v>37</v>
      </c>
      <c r="C105" s="52">
        <v>910</v>
      </c>
      <c r="D105" s="7">
        <v>70769</v>
      </c>
      <c r="E105" s="20"/>
      <c r="F105" s="112" t="s">
        <v>41</v>
      </c>
      <c r="G105" s="38"/>
      <c r="H105" s="38"/>
      <c r="I105" s="38"/>
      <c r="J105" s="38"/>
      <c r="K105" s="38"/>
      <c r="L105" s="68" t="e">
        <f>ROUND(COM!H105,1)</f>
        <v>#REF!</v>
      </c>
      <c r="M105" s="68" t="e">
        <f>ROUND(COM!I105,1)</f>
        <v>#REF!</v>
      </c>
      <c r="N105" s="68" t="e">
        <f>ROUND(COM!J105,1)</f>
        <v>#REF!</v>
      </c>
      <c r="O105" s="68" t="e">
        <f>ROUND(COM!K105,1)</f>
        <v>#REF!</v>
      </c>
      <c r="P105" s="68" t="e">
        <f>ROUND(COM!L105,1)</f>
        <v>#REF!</v>
      </c>
      <c r="Q105" s="68" t="e">
        <f>ROUND(COM!M105,1)</f>
        <v>#REF!</v>
      </c>
      <c r="R105" s="68" t="e">
        <f>ROUND(COM!N105,1)</f>
        <v>#REF!</v>
      </c>
      <c r="S105" s="68" t="e">
        <f>ROUND(COM!O105,1)</f>
        <v>#REF!</v>
      </c>
      <c r="T105" s="68" t="e">
        <f>ROUND(COM!P105,1)</f>
        <v>#REF!</v>
      </c>
      <c r="U105" s="68" t="e">
        <f>ROUND(COM!Q105,1)</f>
        <v>#REF!</v>
      </c>
      <c r="V105" s="68" t="e">
        <f>ROUND(COM!R105,1)</f>
        <v>#REF!</v>
      </c>
      <c r="W105" s="68" t="e">
        <f>ROUND(COM!S105,1)</f>
        <v>#REF!</v>
      </c>
      <c r="X105" s="111" t="e">
        <f t="shared" si="9"/>
        <v>#REF!</v>
      </c>
    </row>
    <row r="106" spans="1:24" ht="37.5" x14ac:dyDescent="0.25">
      <c r="A106" s="4">
        <v>311</v>
      </c>
      <c r="B106" s="52">
        <v>37</v>
      </c>
      <c r="C106" s="52">
        <v>930</v>
      </c>
      <c r="D106" s="7">
        <v>70769</v>
      </c>
      <c r="E106" s="20" t="s">
        <v>165</v>
      </c>
      <c r="F106" s="112" t="s">
        <v>42</v>
      </c>
      <c r="G106" s="38"/>
      <c r="H106" s="38"/>
      <c r="I106" s="38"/>
      <c r="J106" s="38"/>
      <c r="K106" s="38"/>
      <c r="L106" s="68" t="e">
        <f>ROUND(COM!H106,1)</f>
        <v>#REF!</v>
      </c>
      <c r="M106" s="68" t="e">
        <f>ROUND(COM!I106,1)</f>
        <v>#REF!</v>
      </c>
      <c r="N106" s="68" t="e">
        <f>ROUND(COM!J106,1)</f>
        <v>#REF!</v>
      </c>
      <c r="O106" s="68" t="e">
        <f>ROUND(COM!K106,1)</f>
        <v>#REF!</v>
      </c>
      <c r="P106" s="68" t="e">
        <f>ROUND(COM!L106,1)</f>
        <v>#REF!</v>
      </c>
      <c r="Q106" s="68" t="e">
        <f>ROUND(COM!M106,1)</f>
        <v>#REF!</v>
      </c>
      <c r="R106" s="68" t="e">
        <f>ROUND(COM!N106,1)</f>
        <v>#REF!</v>
      </c>
      <c r="S106" s="68" t="e">
        <f>ROUND(COM!O106,1)</f>
        <v>#REF!</v>
      </c>
      <c r="T106" s="68" t="e">
        <f>ROUND(COM!P106,1)</f>
        <v>#REF!</v>
      </c>
      <c r="U106" s="68" t="e">
        <f>ROUND(COM!Q106,1)</f>
        <v>#REF!</v>
      </c>
      <c r="V106" s="68" t="e">
        <f>ROUND(COM!R106,1)</f>
        <v>#REF!</v>
      </c>
      <c r="W106" s="68" t="e">
        <f>ROUND(COM!S106,1)</f>
        <v>#REF!</v>
      </c>
      <c r="X106" s="111" t="e">
        <f t="shared" si="9"/>
        <v>#REF!</v>
      </c>
    </row>
    <row r="107" spans="1:24" ht="56.25" x14ac:dyDescent="0.25">
      <c r="A107" s="4">
        <v>311</v>
      </c>
      <c r="B107" s="52">
        <v>37</v>
      </c>
      <c r="C107" s="52">
        <v>920</v>
      </c>
      <c r="D107" s="7">
        <v>70769</v>
      </c>
      <c r="E107" s="20" t="s">
        <v>164</v>
      </c>
      <c r="F107" s="76" t="s">
        <v>43</v>
      </c>
      <c r="G107" s="132" t="s">
        <v>337</v>
      </c>
      <c r="H107" s="132"/>
      <c r="I107" s="132"/>
      <c r="J107" s="132"/>
      <c r="K107" s="132"/>
      <c r="L107" s="68" t="e">
        <f>ROUND(COM!H107,1)</f>
        <v>#REF!</v>
      </c>
      <c r="M107" s="68" t="e">
        <f>ROUND(COM!I107,1)</f>
        <v>#REF!</v>
      </c>
      <c r="N107" s="68" t="e">
        <f>ROUND(COM!J107,1)</f>
        <v>#REF!</v>
      </c>
      <c r="O107" s="68" t="e">
        <f>ROUND(COM!K107,1)</f>
        <v>#REF!</v>
      </c>
      <c r="P107" s="68" t="e">
        <f>ROUND(COM!L107,1)</f>
        <v>#REF!</v>
      </c>
      <c r="Q107" s="68" t="e">
        <f>ROUND(COM!M107,1)</f>
        <v>#REF!</v>
      </c>
      <c r="R107" s="68" t="e">
        <f>ROUND(COM!N107,1)</f>
        <v>#REF!</v>
      </c>
      <c r="S107" s="68" t="e">
        <f>ROUND(COM!O107,1)</f>
        <v>#REF!</v>
      </c>
      <c r="T107" s="68" t="e">
        <f>ROUND(COM!P107,1)</f>
        <v>#REF!</v>
      </c>
      <c r="U107" s="68" t="e">
        <f>ROUND(COM!Q107,1)</f>
        <v>#REF!</v>
      </c>
      <c r="V107" s="68" t="e">
        <f>ROUND(COM!R107,1)</f>
        <v>#REF!</v>
      </c>
      <c r="W107" s="68" t="e">
        <f>ROUND(COM!S107,1)</f>
        <v>#REF!</v>
      </c>
      <c r="X107" s="111" t="e">
        <f t="shared" si="9"/>
        <v>#REF!</v>
      </c>
    </row>
    <row r="108" spans="1:24" ht="37.5" x14ac:dyDescent="0.25">
      <c r="A108" s="4">
        <v>311</v>
      </c>
      <c r="B108" s="52">
        <v>37</v>
      </c>
      <c r="C108" s="52">
        <v>920</v>
      </c>
      <c r="D108" s="7">
        <v>70769</v>
      </c>
      <c r="E108" s="20" t="s">
        <v>164</v>
      </c>
      <c r="F108" s="76" t="s">
        <v>44</v>
      </c>
      <c r="G108" s="132" t="s">
        <v>338</v>
      </c>
      <c r="H108" s="132"/>
      <c r="I108" s="132"/>
      <c r="J108" s="132"/>
      <c r="K108" s="132"/>
      <c r="L108" s="68" t="e">
        <f>ROUND(COM!H108,1)</f>
        <v>#REF!</v>
      </c>
      <c r="M108" s="68" t="e">
        <f>ROUND(COM!I108,1)</f>
        <v>#REF!</v>
      </c>
      <c r="N108" s="68" t="e">
        <f>ROUND(COM!J108,1)</f>
        <v>#REF!</v>
      </c>
      <c r="O108" s="68" t="e">
        <f>ROUND(COM!K108,1)</f>
        <v>#REF!</v>
      </c>
      <c r="P108" s="68" t="e">
        <f>ROUND(COM!L108,1)</f>
        <v>#REF!</v>
      </c>
      <c r="Q108" s="68" t="e">
        <f>ROUND(COM!M108,1)</f>
        <v>#REF!</v>
      </c>
      <c r="R108" s="68" t="e">
        <f>ROUND(COM!N108,1)</f>
        <v>#REF!</v>
      </c>
      <c r="S108" s="68" t="e">
        <f>ROUND(COM!O108,1)</f>
        <v>#REF!</v>
      </c>
      <c r="T108" s="68" t="e">
        <f>ROUND(COM!P108,1)</f>
        <v>#REF!</v>
      </c>
      <c r="U108" s="68" t="e">
        <f>ROUND(COM!Q108,1)</f>
        <v>#REF!</v>
      </c>
      <c r="V108" s="68" t="e">
        <f>ROUND(COM!R108,1)</f>
        <v>#REF!</v>
      </c>
      <c r="W108" s="68" t="e">
        <f>ROUND(COM!S108,1)</f>
        <v>#REF!</v>
      </c>
      <c r="X108" s="111" t="e">
        <f t="shared" si="9"/>
        <v>#REF!</v>
      </c>
    </row>
    <row r="109" spans="1:24" ht="37.5" x14ac:dyDescent="0.25">
      <c r="A109" s="4">
        <v>311</v>
      </c>
      <c r="B109" s="52">
        <v>37</v>
      </c>
      <c r="C109" s="52">
        <v>920</v>
      </c>
      <c r="D109" s="7">
        <v>70769</v>
      </c>
      <c r="E109" s="20" t="s">
        <v>172</v>
      </c>
      <c r="F109" s="41" t="s">
        <v>45</v>
      </c>
      <c r="G109" s="41"/>
      <c r="H109" s="41"/>
      <c r="I109" s="41"/>
      <c r="J109" s="41"/>
      <c r="K109" s="41"/>
      <c r="L109" s="68" t="e">
        <f>ROUND(COM!H109,1)</f>
        <v>#REF!</v>
      </c>
      <c r="M109" s="68" t="e">
        <f>ROUND(COM!I109,1)</f>
        <v>#REF!</v>
      </c>
      <c r="N109" s="68" t="e">
        <f>ROUND(COM!J109,1)</f>
        <v>#REF!</v>
      </c>
      <c r="O109" s="68" t="e">
        <f>ROUND(COM!K109,1)</f>
        <v>#REF!</v>
      </c>
      <c r="P109" s="68" t="e">
        <f>ROUND(COM!L109,1)</f>
        <v>#REF!</v>
      </c>
      <c r="Q109" s="68" t="e">
        <f>ROUND(COM!M109,1)</f>
        <v>#REF!</v>
      </c>
      <c r="R109" s="68" t="e">
        <f>ROUND(COM!N109,1)</f>
        <v>#REF!</v>
      </c>
      <c r="S109" s="68" t="e">
        <f>ROUND(COM!O109,1)</f>
        <v>#REF!</v>
      </c>
      <c r="T109" s="68" t="e">
        <f>ROUND(COM!P109,1)</f>
        <v>#REF!</v>
      </c>
      <c r="U109" s="68" t="e">
        <f>ROUND(COM!Q109,1)</f>
        <v>#REF!</v>
      </c>
      <c r="V109" s="68" t="e">
        <f>ROUND(COM!R109,1)</f>
        <v>#REF!</v>
      </c>
      <c r="W109" s="68" t="e">
        <f>ROUND(COM!S109,1)</f>
        <v>#REF!</v>
      </c>
      <c r="X109" s="111" t="e">
        <f t="shared" si="9"/>
        <v>#REF!</v>
      </c>
    </row>
    <row r="110" spans="1:24" ht="37.5" x14ac:dyDescent="0.25">
      <c r="A110" s="4">
        <v>311</v>
      </c>
      <c r="B110" s="52">
        <v>37</v>
      </c>
      <c r="C110" s="52">
        <v>930</v>
      </c>
      <c r="D110" s="7">
        <v>70769</v>
      </c>
      <c r="E110" s="20" t="s">
        <v>172</v>
      </c>
      <c r="F110" s="41" t="s">
        <v>46</v>
      </c>
      <c r="G110" s="41"/>
      <c r="H110" s="41"/>
      <c r="I110" s="41"/>
      <c r="J110" s="41"/>
      <c r="K110" s="41"/>
      <c r="L110" s="68" t="e">
        <f>ROUND(COM!H110,1)</f>
        <v>#REF!</v>
      </c>
      <c r="M110" s="68" t="e">
        <f>ROUND(COM!I110,1)</f>
        <v>#REF!</v>
      </c>
      <c r="N110" s="68" t="e">
        <f>ROUND(COM!J110,1)</f>
        <v>#REF!</v>
      </c>
      <c r="O110" s="68" t="e">
        <f>ROUND(COM!K110,1)</f>
        <v>#REF!</v>
      </c>
      <c r="P110" s="68" t="e">
        <f>ROUND(COM!L110,1)</f>
        <v>#REF!</v>
      </c>
      <c r="Q110" s="68" t="e">
        <f>ROUND(COM!M110,1)</f>
        <v>#REF!</v>
      </c>
      <c r="R110" s="68" t="e">
        <f>ROUND(COM!N110,1)</f>
        <v>#REF!</v>
      </c>
      <c r="S110" s="68" t="e">
        <f>ROUND(COM!O110,1)</f>
        <v>#REF!</v>
      </c>
      <c r="T110" s="68" t="e">
        <f>ROUND(COM!P110,1)</f>
        <v>#REF!</v>
      </c>
      <c r="U110" s="68" t="e">
        <f>ROUND(COM!Q110,1)</f>
        <v>#REF!</v>
      </c>
      <c r="V110" s="68" t="e">
        <f>ROUND(COM!R110,1)</f>
        <v>#REF!</v>
      </c>
      <c r="W110" s="68" t="e">
        <f>ROUND(COM!S110,1)</f>
        <v>#REF!</v>
      </c>
      <c r="X110" s="111" t="e">
        <f t="shared" si="9"/>
        <v>#REF!</v>
      </c>
    </row>
    <row r="111" spans="1:24" ht="18.75" x14ac:dyDescent="0.25">
      <c r="A111" s="4">
        <v>311</v>
      </c>
      <c r="B111" s="52">
        <v>37</v>
      </c>
      <c r="C111" s="52">
        <v>920</v>
      </c>
      <c r="D111" s="7">
        <v>70769</v>
      </c>
      <c r="E111" s="20" t="s">
        <v>173</v>
      </c>
      <c r="F111" s="38" t="s">
        <v>47</v>
      </c>
      <c r="G111" s="38"/>
      <c r="H111" s="38"/>
      <c r="I111" s="38"/>
      <c r="J111" s="38"/>
      <c r="K111" s="38"/>
      <c r="L111" s="68" t="e">
        <f>ROUND(COM!H111,1)</f>
        <v>#REF!</v>
      </c>
      <c r="M111" s="68" t="e">
        <f>ROUND(COM!I111,1)</f>
        <v>#REF!</v>
      </c>
      <c r="N111" s="68" t="e">
        <f>ROUND(COM!J111,1)</f>
        <v>#REF!</v>
      </c>
      <c r="O111" s="68" t="e">
        <f>ROUND(COM!K111,1)</f>
        <v>#REF!</v>
      </c>
      <c r="P111" s="68" t="e">
        <f>ROUND(COM!L111,1)</f>
        <v>#REF!</v>
      </c>
      <c r="Q111" s="68" t="e">
        <f>ROUND(COM!M111,1)</f>
        <v>#REF!</v>
      </c>
      <c r="R111" s="68" t="e">
        <f>ROUND(COM!N111,1)</f>
        <v>#REF!</v>
      </c>
      <c r="S111" s="68" t="e">
        <f>ROUND(COM!O111,1)</f>
        <v>#REF!</v>
      </c>
      <c r="T111" s="68" t="e">
        <f>ROUND(COM!P111,1)</f>
        <v>#REF!</v>
      </c>
      <c r="U111" s="68" t="e">
        <f>ROUND(COM!Q111,1)</f>
        <v>#REF!</v>
      </c>
      <c r="V111" s="68" t="e">
        <f>ROUND(COM!R111,1)</f>
        <v>#REF!</v>
      </c>
      <c r="W111" s="68" t="e">
        <f>ROUND(COM!S111,1)</f>
        <v>#REF!</v>
      </c>
      <c r="X111" s="111" t="e">
        <f t="shared" si="9"/>
        <v>#REF!</v>
      </c>
    </row>
    <row r="112" spans="1:24" ht="37.5" x14ac:dyDescent="0.25">
      <c r="A112" s="4">
        <v>311</v>
      </c>
      <c r="B112" s="52">
        <v>37</v>
      </c>
      <c r="C112" s="52">
        <v>930</v>
      </c>
      <c r="D112" s="7">
        <v>70769</v>
      </c>
      <c r="E112" s="20" t="s">
        <v>173</v>
      </c>
      <c r="F112" s="38" t="s">
        <v>48</v>
      </c>
      <c r="G112" s="38"/>
      <c r="H112" s="38"/>
      <c r="I112" s="38"/>
      <c r="J112" s="38"/>
      <c r="K112" s="38"/>
      <c r="L112" s="68" t="e">
        <f>ROUND(COM!H112,1)</f>
        <v>#REF!</v>
      </c>
      <c r="M112" s="68" t="e">
        <f>ROUND(COM!I112,1)</f>
        <v>#REF!</v>
      </c>
      <c r="N112" s="68" t="e">
        <f>ROUND(COM!J112,1)</f>
        <v>#REF!</v>
      </c>
      <c r="O112" s="68" t="e">
        <f>ROUND(COM!K112,1)</f>
        <v>#REF!</v>
      </c>
      <c r="P112" s="68" t="e">
        <f>ROUND(COM!L112,1)</f>
        <v>#REF!</v>
      </c>
      <c r="Q112" s="68" t="e">
        <f>ROUND(COM!M112,1)</f>
        <v>#REF!</v>
      </c>
      <c r="R112" s="68" t="e">
        <f>ROUND(COM!N112,1)</f>
        <v>#REF!</v>
      </c>
      <c r="S112" s="68" t="e">
        <f>ROUND(COM!O112,1)</f>
        <v>#REF!</v>
      </c>
      <c r="T112" s="68" t="e">
        <f>ROUND(COM!P112,1)</f>
        <v>#REF!</v>
      </c>
      <c r="U112" s="68" t="e">
        <f>ROUND(COM!Q112,1)</f>
        <v>#REF!</v>
      </c>
      <c r="V112" s="68" t="e">
        <f>ROUND(COM!R112,1)</f>
        <v>#REF!</v>
      </c>
      <c r="W112" s="68" t="e">
        <f>ROUND(COM!S112,1)</f>
        <v>#REF!</v>
      </c>
      <c r="X112" s="111" t="e">
        <f t="shared" si="9"/>
        <v>#REF!</v>
      </c>
    </row>
    <row r="113" spans="1:24" ht="37.5" x14ac:dyDescent="0.25">
      <c r="A113" s="4">
        <v>311</v>
      </c>
      <c r="B113" s="52">
        <v>37</v>
      </c>
      <c r="C113" s="52">
        <v>910</v>
      </c>
      <c r="D113" s="7">
        <v>70769</v>
      </c>
      <c r="E113" s="20"/>
      <c r="F113" s="112" t="s">
        <v>49</v>
      </c>
      <c r="G113" s="38"/>
      <c r="H113" s="38"/>
      <c r="I113" s="38"/>
      <c r="J113" s="38"/>
      <c r="K113" s="38"/>
      <c r="L113" s="68" t="e">
        <f>ROUND(COM!H113,1)</f>
        <v>#REF!</v>
      </c>
      <c r="M113" s="68" t="e">
        <f>ROUND(COM!I113,1)</f>
        <v>#REF!</v>
      </c>
      <c r="N113" s="68" t="e">
        <f>ROUND(COM!J113,1)</f>
        <v>#REF!</v>
      </c>
      <c r="O113" s="68" t="e">
        <f>ROUND(COM!K113,1)</f>
        <v>#REF!</v>
      </c>
      <c r="P113" s="68" t="e">
        <f>ROUND(COM!L113,1)</f>
        <v>#REF!</v>
      </c>
      <c r="Q113" s="68" t="e">
        <f>ROUND(COM!M113,1)</f>
        <v>#REF!</v>
      </c>
      <c r="R113" s="68" t="e">
        <f>ROUND(COM!N113,1)</f>
        <v>#REF!</v>
      </c>
      <c r="S113" s="68" t="e">
        <f>ROUND(COM!O113,1)</f>
        <v>#REF!</v>
      </c>
      <c r="T113" s="68" t="e">
        <f>ROUND(COM!P113,1)</f>
        <v>#REF!</v>
      </c>
      <c r="U113" s="68" t="e">
        <f>ROUND(COM!Q113,1)</f>
        <v>#REF!</v>
      </c>
      <c r="V113" s="68" t="e">
        <f>ROUND(COM!R113,1)</f>
        <v>#REF!</v>
      </c>
      <c r="W113" s="68" t="e">
        <f>ROUND(COM!S113,1)</f>
        <v>#REF!</v>
      </c>
      <c r="X113" s="111" t="e">
        <f t="shared" si="9"/>
        <v>#REF!</v>
      </c>
    </row>
    <row r="114" spans="1:24" ht="37.5" x14ac:dyDescent="0.25">
      <c r="A114" s="4">
        <v>311</v>
      </c>
      <c r="B114" s="52">
        <v>37</v>
      </c>
      <c r="C114" s="52">
        <v>930</v>
      </c>
      <c r="D114" s="7">
        <v>70769</v>
      </c>
      <c r="E114" s="20" t="s">
        <v>169</v>
      </c>
      <c r="F114" s="112" t="s">
        <v>50</v>
      </c>
      <c r="G114" s="38"/>
      <c r="H114" s="38"/>
      <c r="I114" s="38"/>
      <c r="J114" s="38"/>
      <c r="K114" s="38"/>
      <c r="L114" s="68" t="e">
        <f>ROUND(COM!H114,1)</f>
        <v>#REF!</v>
      </c>
      <c r="M114" s="68" t="e">
        <f>ROUND(COM!I114,1)</f>
        <v>#REF!</v>
      </c>
      <c r="N114" s="68" t="e">
        <f>ROUND(COM!J114,1)</f>
        <v>#REF!</v>
      </c>
      <c r="O114" s="68" t="e">
        <f>ROUND(COM!K114,1)</f>
        <v>#REF!</v>
      </c>
      <c r="P114" s="68" t="e">
        <f>ROUND(COM!L114,1)</f>
        <v>#REF!</v>
      </c>
      <c r="Q114" s="68" t="e">
        <f>ROUND(COM!M114,1)</f>
        <v>#REF!</v>
      </c>
      <c r="R114" s="68" t="e">
        <f>ROUND(COM!N114,1)</f>
        <v>#REF!</v>
      </c>
      <c r="S114" s="68" t="e">
        <f>ROUND(COM!O114,1)</f>
        <v>#REF!</v>
      </c>
      <c r="T114" s="68" t="e">
        <f>ROUND(COM!P114,1)</f>
        <v>#REF!</v>
      </c>
      <c r="U114" s="68" t="e">
        <f>ROUND(COM!Q114,1)</f>
        <v>#REF!</v>
      </c>
      <c r="V114" s="68" t="e">
        <f>ROUND(COM!R114,1)</f>
        <v>#REF!</v>
      </c>
      <c r="W114" s="68" t="e">
        <f>ROUND(COM!S114,1)</f>
        <v>#REF!</v>
      </c>
      <c r="X114" s="111" t="e">
        <f t="shared" si="9"/>
        <v>#REF!</v>
      </c>
    </row>
    <row r="115" spans="1:24" ht="37.5" x14ac:dyDescent="0.25">
      <c r="A115" s="4">
        <v>311</v>
      </c>
      <c r="B115" s="52">
        <v>37</v>
      </c>
      <c r="C115" s="52">
        <v>910</v>
      </c>
      <c r="D115" s="7">
        <v>70769</v>
      </c>
      <c r="E115" s="7"/>
      <c r="F115" s="85" t="s">
        <v>51</v>
      </c>
      <c r="G115" s="133"/>
      <c r="H115" s="133"/>
      <c r="I115" s="133"/>
      <c r="J115" s="133"/>
      <c r="K115" s="133"/>
      <c r="L115" s="68" t="e">
        <f>ROUND(COM!H115,1)</f>
        <v>#REF!</v>
      </c>
      <c r="M115" s="68" t="e">
        <f>ROUND(COM!I115,1)</f>
        <v>#REF!</v>
      </c>
      <c r="N115" s="68" t="e">
        <f>ROUND(COM!J115,1)</f>
        <v>#REF!</v>
      </c>
      <c r="O115" s="68" t="e">
        <f>ROUND(COM!K115,1)</f>
        <v>#REF!</v>
      </c>
      <c r="P115" s="68" t="e">
        <f>ROUND(COM!L115,1)</f>
        <v>#REF!</v>
      </c>
      <c r="Q115" s="68" t="e">
        <f>ROUND(COM!M115,1)</f>
        <v>#REF!</v>
      </c>
      <c r="R115" s="68" t="e">
        <f>ROUND(COM!N115,1)</f>
        <v>#REF!</v>
      </c>
      <c r="S115" s="68" t="e">
        <f>ROUND(COM!O115,1)</f>
        <v>#REF!</v>
      </c>
      <c r="T115" s="68" t="e">
        <f>ROUND(COM!P115,1)</f>
        <v>#REF!</v>
      </c>
      <c r="U115" s="68" t="e">
        <f>ROUND(COM!Q115,1)</f>
        <v>#REF!</v>
      </c>
      <c r="V115" s="68" t="e">
        <f>ROUND(COM!R115,1)</f>
        <v>#REF!</v>
      </c>
      <c r="W115" s="68" t="e">
        <f>ROUND(COM!S115,1)</f>
        <v>#REF!</v>
      </c>
      <c r="X115" s="111" t="e">
        <f t="shared" si="9"/>
        <v>#REF!</v>
      </c>
    </row>
    <row r="116" spans="1:24" ht="37.5" x14ac:dyDescent="0.25">
      <c r="A116" s="4">
        <v>311</v>
      </c>
      <c r="B116" s="52">
        <v>37</v>
      </c>
      <c r="C116" s="52">
        <v>920</v>
      </c>
      <c r="D116" s="7">
        <v>70769</v>
      </c>
      <c r="E116" s="7" t="s">
        <v>173</v>
      </c>
      <c r="F116" s="85" t="s">
        <v>52</v>
      </c>
      <c r="G116" s="133" t="s">
        <v>333</v>
      </c>
      <c r="H116" s="133"/>
      <c r="I116" s="133"/>
      <c r="J116" s="133"/>
      <c r="K116" s="133"/>
      <c r="L116" s="68" t="e">
        <f>ROUND(COM!H116,1)</f>
        <v>#REF!</v>
      </c>
      <c r="M116" s="68" t="e">
        <f>ROUND(COM!I116,1)</f>
        <v>#REF!</v>
      </c>
      <c r="N116" s="68" t="e">
        <f>ROUND(COM!J116,1)</f>
        <v>#REF!</v>
      </c>
      <c r="O116" s="68" t="e">
        <f>ROUND(COM!K116,1)</f>
        <v>#REF!</v>
      </c>
      <c r="P116" s="68" t="e">
        <f>ROUND(COM!L116,1)</f>
        <v>#REF!</v>
      </c>
      <c r="Q116" s="68" t="e">
        <f>ROUND(COM!M116,1)</f>
        <v>#REF!</v>
      </c>
      <c r="R116" s="68" t="e">
        <f>ROUND(COM!N116,1)</f>
        <v>#REF!</v>
      </c>
      <c r="S116" s="68" t="e">
        <f>ROUND(COM!O116,1)</f>
        <v>#REF!</v>
      </c>
      <c r="T116" s="68" t="e">
        <f>ROUND(COM!P116,1)</f>
        <v>#REF!</v>
      </c>
      <c r="U116" s="68" t="e">
        <f>ROUND(COM!Q116,1)</f>
        <v>#REF!</v>
      </c>
      <c r="V116" s="68" t="e">
        <f>ROUND(COM!R116,1)</f>
        <v>#REF!</v>
      </c>
      <c r="W116" s="68" t="e">
        <f>ROUND(COM!S116,1)</f>
        <v>#REF!</v>
      </c>
      <c r="X116" s="111" t="e">
        <f t="shared" si="9"/>
        <v>#REF!</v>
      </c>
    </row>
    <row r="117" spans="1:24" ht="37.5" x14ac:dyDescent="0.25">
      <c r="A117" s="4">
        <v>311</v>
      </c>
      <c r="B117" s="52">
        <v>37</v>
      </c>
      <c r="C117" s="52">
        <v>930</v>
      </c>
      <c r="D117" s="7">
        <v>70769</v>
      </c>
      <c r="E117" s="7" t="s">
        <v>173</v>
      </c>
      <c r="F117" s="85" t="s">
        <v>53</v>
      </c>
      <c r="G117" s="133" t="s">
        <v>330</v>
      </c>
      <c r="H117" s="133"/>
      <c r="I117" s="133"/>
      <c r="J117" s="133"/>
      <c r="K117" s="133"/>
      <c r="L117" s="68" t="e">
        <f>ROUND(COM!H117,1)</f>
        <v>#REF!</v>
      </c>
      <c r="M117" s="68" t="e">
        <f>ROUND(COM!I117,1)</f>
        <v>#REF!</v>
      </c>
      <c r="N117" s="68" t="e">
        <f>ROUND(COM!J117,1)</f>
        <v>#REF!</v>
      </c>
      <c r="O117" s="68" t="e">
        <f>ROUND(COM!K117,1)</f>
        <v>#REF!</v>
      </c>
      <c r="P117" s="68" t="e">
        <f>ROUND(COM!L117,1)</f>
        <v>#REF!</v>
      </c>
      <c r="Q117" s="68" t="e">
        <f>ROUND(COM!M117,1)</f>
        <v>#REF!</v>
      </c>
      <c r="R117" s="68" t="e">
        <f>ROUND(COM!N117,1)</f>
        <v>#REF!</v>
      </c>
      <c r="S117" s="68" t="e">
        <f>ROUND(COM!O117,1)</f>
        <v>#REF!</v>
      </c>
      <c r="T117" s="68" t="e">
        <f>ROUND(COM!P117,1)</f>
        <v>#REF!</v>
      </c>
      <c r="U117" s="68" t="e">
        <f>ROUND(COM!Q117,1)</f>
        <v>#REF!</v>
      </c>
      <c r="V117" s="68" t="e">
        <f>ROUND(COM!R117,1)</f>
        <v>#REF!</v>
      </c>
      <c r="W117" s="68" t="e">
        <f>ROUND(COM!S117,1)</f>
        <v>#REF!</v>
      </c>
      <c r="X117" s="111" t="e">
        <f t="shared" si="9"/>
        <v>#REF!</v>
      </c>
    </row>
    <row r="118" spans="1:24" ht="37.5" x14ac:dyDescent="0.25">
      <c r="A118" s="4">
        <v>311</v>
      </c>
      <c r="B118" s="52">
        <v>37</v>
      </c>
      <c r="C118" s="52">
        <v>930</v>
      </c>
      <c r="D118" s="7">
        <v>70769</v>
      </c>
      <c r="E118" s="20" t="s">
        <v>172</v>
      </c>
      <c r="F118" s="144" t="s">
        <v>418</v>
      </c>
      <c r="G118" s="143"/>
      <c r="H118" s="143"/>
      <c r="I118" s="143"/>
      <c r="J118" s="143"/>
      <c r="K118" s="143"/>
      <c r="L118" s="68" t="e">
        <f>ROUND(COM!H118,1)</f>
        <v>#REF!</v>
      </c>
      <c r="M118" s="68" t="e">
        <f>ROUND(COM!I118,1)</f>
        <v>#REF!</v>
      </c>
      <c r="N118" s="68" t="e">
        <f>ROUND(COM!J118,1)</f>
        <v>#REF!</v>
      </c>
      <c r="O118" s="68" t="e">
        <f>ROUND(COM!K118,1)</f>
        <v>#REF!</v>
      </c>
      <c r="P118" s="68" t="e">
        <f>ROUND(COM!L118,1)</f>
        <v>#REF!</v>
      </c>
      <c r="Q118" s="68" t="e">
        <f>ROUND(COM!M118,1)</f>
        <v>#REF!</v>
      </c>
      <c r="R118" s="68" t="e">
        <f>ROUND(COM!N118,1)</f>
        <v>#REF!</v>
      </c>
      <c r="S118" s="68" t="e">
        <f>ROUND(COM!O118,1)</f>
        <v>#REF!</v>
      </c>
      <c r="T118" s="68" t="e">
        <f>ROUND(COM!P118,1)</f>
        <v>#REF!</v>
      </c>
      <c r="U118" s="68" t="e">
        <f>ROUND(COM!Q118,1)</f>
        <v>#REF!</v>
      </c>
      <c r="V118" s="68" t="e">
        <f>ROUND(COM!R118,1)</f>
        <v>#REF!</v>
      </c>
      <c r="W118" s="68" t="e">
        <f>ROUND(COM!S118,1)</f>
        <v>#REF!</v>
      </c>
      <c r="X118" s="111" t="e">
        <f t="shared" si="9"/>
        <v>#REF!</v>
      </c>
    </row>
    <row r="119" spans="1:24" ht="37.5" x14ac:dyDescent="0.25">
      <c r="A119" s="154">
        <v>311</v>
      </c>
      <c r="B119" s="155">
        <v>37</v>
      </c>
      <c r="C119" s="155">
        <v>930</v>
      </c>
      <c r="D119" s="156">
        <v>70769</v>
      </c>
      <c r="E119" s="157" t="s">
        <v>169</v>
      </c>
      <c r="F119" s="158" t="s">
        <v>411</v>
      </c>
      <c r="G119" s="42"/>
      <c r="H119" s="42"/>
      <c r="I119" s="42"/>
      <c r="J119" s="42"/>
      <c r="K119" s="42"/>
      <c r="L119" s="68" t="e">
        <f>ROUND(COM!H119,1)</f>
        <v>#REF!</v>
      </c>
      <c r="M119" s="68" t="e">
        <f>ROUND(COM!I119,1)</f>
        <v>#REF!</v>
      </c>
      <c r="N119" s="68" t="e">
        <f>ROUND(COM!J119,1)</f>
        <v>#REF!</v>
      </c>
      <c r="O119" s="68" t="e">
        <f>ROUND(COM!K119,1)</f>
        <v>#REF!</v>
      </c>
      <c r="P119" s="68" t="e">
        <f>ROUND(COM!L119,1)</f>
        <v>#REF!</v>
      </c>
      <c r="Q119" s="68" t="e">
        <f>ROUND(COM!M119,1)</f>
        <v>#REF!</v>
      </c>
      <c r="R119" s="68" t="e">
        <f>ROUND(COM!N119,1)</f>
        <v>#REF!</v>
      </c>
      <c r="S119" s="68" t="e">
        <f>ROUND(COM!O119,1)</f>
        <v>#REF!</v>
      </c>
      <c r="T119" s="68" t="e">
        <f>ROUND(COM!P119,1)</f>
        <v>#REF!</v>
      </c>
      <c r="U119" s="68" t="e">
        <f>ROUND(COM!Q119,1)</f>
        <v>#REF!</v>
      </c>
      <c r="V119" s="68" t="e">
        <f>ROUND(COM!R119,1)</f>
        <v>#REF!</v>
      </c>
      <c r="W119" s="68" t="e">
        <f>ROUND(COM!S119,1)</f>
        <v>#REF!</v>
      </c>
      <c r="X119" s="111" t="e">
        <f t="shared" si="9"/>
        <v>#REF!</v>
      </c>
    </row>
    <row r="120" spans="1:24" ht="37.5" x14ac:dyDescent="0.25">
      <c r="A120" s="154">
        <v>311</v>
      </c>
      <c r="B120" s="155">
        <v>37</v>
      </c>
      <c r="C120" s="155">
        <v>930</v>
      </c>
      <c r="D120" s="156">
        <v>70769</v>
      </c>
      <c r="E120" s="157" t="s">
        <v>169</v>
      </c>
      <c r="F120" s="158" t="s">
        <v>412</v>
      </c>
      <c r="G120" s="42"/>
      <c r="H120" s="42"/>
      <c r="I120" s="42"/>
      <c r="J120" s="42"/>
      <c r="K120" s="42"/>
      <c r="L120" s="68" t="e">
        <f>ROUND(COM!H120,1)</f>
        <v>#REF!</v>
      </c>
      <c r="M120" s="68" t="e">
        <f>ROUND(COM!I120,1)</f>
        <v>#REF!</v>
      </c>
      <c r="N120" s="68" t="e">
        <f>ROUND(COM!J120,1)</f>
        <v>#REF!</v>
      </c>
      <c r="O120" s="68" t="e">
        <f>ROUND(COM!K120,1)</f>
        <v>#REF!</v>
      </c>
      <c r="P120" s="68" t="e">
        <f>ROUND(COM!L120,1)</f>
        <v>#REF!</v>
      </c>
      <c r="Q120" s="68" t="e">
        <f>ROUND(COM!M120,1)</f>
        <v>#REF!</v>
      </c>
      <c r="R120" s="68" t="e">
        <f>ROUND(COM!N120,1)</f>
        <v>#REF!</v>
      </c>
      <c r="S120" s="68" t="e">
        <f>ROUND(COM!O120,1)</f>
        <v>#REF!</v>
      </c>
      <c r="T120" s="68" t="e">
        <f>ROUND(COM!P120,1)</f>
        <v>#REF!</v>
      </c>
      <c r="U120" s="68" t="e">
        <f>ROUND(COM!Q120,1)</f>
        <v>#REF!</v>
      </c>
      <c r="V120" s="68" t="e">
        <f>ROUND(COM!R120,1)</f>
        <v>#REF!</v>
      </c>
      <c r="W120" s="68" t="e">
        <f>ROUND(COM!S120,1)</f>
        <v>#REF!</v>
      </c>
      <c r="X120" s="111" t="e">
        <f t="shared" si="9"/>
        <v>#REF!</v>
      </c>
    </row>
    <row r="121" spans="1:24" ht="37.5" x14ac:dyDescent="0.25">
      <c r="A121" s="154">
        <v>311</v>
      </c>
      <c r="B121" s="155">
        <v>37</v>
      </c>
      <c r="C121" s="155">
        <v>930</v>
      </c>
      <c r="D121" s="156">
        <v>70769</v>
      </c>
      <c r="E121" s="157" t="s">
        <v>169</v>
      </c>
      <c r="F121" s="158" t="s">
        <v>413</v>
      </c>
      <c r="G121" s="42"/>
      <c r="H121" s="42"/>
      <c r="I121" s="42"/>
      <c r="J121" s="42"/>
      <c r="K121" s="42"/>
      <c r="L121" s="68" t="e">
        <f>ROUND(COM!H121,1)</f>
        <v>#REF!</v>
      </c>
      <c r="M121" s="68" t="e">
        <f>ROUND(COM!I121,1)</f>
        <v>#REF!</v>
      </c>
      <c r="N121" s="68" t="e">
        <f>ROUND(COM!J121,1)</f>
        <v>#REF!</v>
      </c>
      <c r="O121" s="68" t="e">
        <f>ROUND(COM!K121,1)</f>
        <v>#REF!</v>
      </c>
      <c r="P121" s="68" t="e">
        <f>ROUND(COM!L121,1)</f>
        <v>#REF!</v>
      </c>
      <c r="Q121" s="68" t="e">
        <f>ROUND(COM!M121,1)</f>
        <v>#REF!</v>
      </c>
      <c r="R121" s="68" t="e">
        <f>ROUND(COM!N121,1)</f>
        <v>#REF!</v>
      </c>
      <c r="S121" s="68" t="e">
        <f>ROUND(COM!O121,1)</f>
        <v>#REF!</v>
      </c>
      <c r="T121" s="68" t="e">
        <f>ROUND(COM!P121,1)</f>
        <v>#REF!</v>
      </c>
      <c r="U121" s="68" t="e">
        <f>ROUND(COM!Q121,1)</f>
        <v>#REF!</v>
      </c>
      <c r="V121" s="68" t="e">
        <f>ROUND(COM!R121,1)</f>
        <v>#REF!</v>
      </c>
      <c r="W121" s="68" t="e">
        <f>ROUND(COM!S121,1)</f>
        <v>#REF!</v>
      </c>
      <c r="X121" s="111" t="e">
        <f t="shared" si="9"/>
        <v>#REF!</v>
      </c>
    </row>
    <row r="122" spans="1:24" ht="37.5" x14ac:dyDescent="0.25">
      <c r="A122" s="154">
        <v>311</v>
      </c>
      <c r="B122" s="155">
        <v>37</v>
      </c>
      <c r="C122" s="155">
        <v>930</v>
      </c>
      <c r="D122" s="156">
        <v>70769</v>
      </c>
      <c r="E122" s="157" t="s">
        <v>172</v>
      </c>
      <c r="F122" s="158" t="s">
        <v>422</v>
      </c>
      <c r="G122" s="42"/>
      <c r="H122" s="42"/>
      <c r="I122" s="42"/>
      <c r="J122" s="42"/>
      <c r="K122" s="42"/>
      <c r="L122" s="68" t="e">
        <f>ROUND(COM!H122,1)</f>
        <v>#REF!</v>
      </c>
      <c r="M122" s="68" t="e">
        <f>ROUND(COM!I122,1)</f>
        <v>#REF!</v>
      </c>
      <c r="N122" s="68" t="e">
        <f>ROUND(COM!J122,1)</f>
        <v>#REF!</v>
      </c>
      <c r="O122" s="68" t="e">
        <f>ROUND(COM!K122,1)</f>
        <v>#REF!</v>
      </c>
      <c r="P122" s="68" t="e">
        <f>ROUND(COM!L122,1)</f>
        <v>#REF!</v>
      </c>
      <c r="Q122" s="68" t="e">
        <f>ROUND(COM!M122,1)</f>
        <v>#REF!</v>
      </c>
      <c r="R122" s="68" t="e">
        <f>ROUND(COM!N122,1)</f>
        <v>#REF!</v>
      </c>
      <c r="S122" s="68" t="e">
        <f>ROUND(COM!O122,1)</f>
        <v>#REF!</v>
      </c>
      <c r="T122" s="68" t="e">
        <f>ROUND(COM!P122,1)</f>
        <v>#REF!</v>
      </c>
      <c r="U122" s="68" t="e">
        <f>ROUND(COM!Q122,1)</f>
        <v>#REF!</v>
      </c>
      <c r="V122" s="68" t="e">
        <f>ROUND(COM!R122,1)</f>
        <v>#REF!</v>
      </c>
      <c r="W122" s="68" t="e">
        <f>ROUND(COM!S122,1)</f>
        <v>#REF!</v>
      </c>
      <c r="X122" s="111" t="e">
        <f t="shared" si="9"/>
        <v>#REF!</v>
      </c>
    </row>
    <row r="123" spans="1:24" ht="18.75" x14ac:dyDescent="0.25">
      <c r="A123" s="4"/>
      <c r="B123" s="52"/>
      <c r="C123" s="52"/>
      <c r="D123" s="7"/>
      <c r="E123" s="20"/>
      <c r="F123" s="42"/>
      <c r="G123" s="42"/>
      <c r="H123" s="42"/>
      <c r="I123" s="42"/>
      <c r="J123" s="42"/>
      <c r="K123" s="42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111">
        <f t="shared" si="9"/>
        <v>0</v>
      </c>
    </row>
    <row r="124" spans="1:24" ht="18.75" x14ac:dyDescent="0.25">
      <c r="A124" s="4"/>
      <c r="B124" s="52"/>
      <c r="C124" s="52"/>
      <c r="D124" s="7"/>
      <c r="E124" s="20"/>
      <c r="F124" s="42"/>
      <c r="G124" s="42"/>
      <c r="H124" s="42"/>
      <c r="I124" s="42"/>
      <c r="J124" s="42"/>
      <c r="K124" s="42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111">
        <f t="shared" si="9"/>
        <v>0</v>
      </c>
    </row>
    <row r="125" spans="1:24" ht="18.75" x14ac:dyDescent="0.25">
      <c r="A125" s="4"/>
      <c r="B125" s="52"/>
      <c r="C125" s="52"/>
      <c r="D125" s="7"/>
      <c r="E125" s="20"/>
      <c r="F125" s="42"/>
      <c r="G125" s="42"/>
      <c r="H125" s="42"/>
      <c r="I125" s="42"/>
      <c r="J125" s="42"/>
      <c r="K125" s="42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111">
        <f t="shared" si="9"/>
        <v>0</v>
      </c>
    </row>
    <row r="126" spans="1:24" ht="18.75" x14ac:dyDescent="0.25">
      <c r="A126" s="4"/>
      <c r="B126" s="52"/>
      <c r="C126" s="52"/>
      <c r="D126" s="7"/>
      <c r="E126" s="20"/>
      <c r="F126" s="42"/>
      <c r="G126" s="42"/>
      <c r="H126" s="42"/>
      <c r="I126" s="42"/>
      <c r="J126" s="42"/>
      <c r="K126" s="42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111">
        <f t="shared" si="9"/>
        <v>0</v>
      </c>
    </row>
    <row r="127" spans="1:24" s="47" customFormat="1" ht="18.75" x14ac:dyDescent="0.25">
      <c r="A127" s="56"/>
      <c r="B127" s="50"/>
      <c r="C127" s="50"/>
      <c r="D127" s="50"/>
      <c r="E127" s="54"/>
      <c r="F127" s="36" t="s">
        <v>54</v>
      </c>
      <c r="G127" s="36"/>
      <c r="H127" s="36"/>
      <c r="I127" s="36"/>
      <c r="J127" s="36"/>
      <c r="K127" s="36"/>
      <c r="L127" s="99" t="e">
        <f>L128</f>
        <v>#REF!</v>
      </c>
      <c r="M127" s="99" t="e">
        <f t="shared" ref="M127:W127" si="12">M128</f>
        <v>#REF!</v>
      </c>
      <c r="N127" s="99" t="e">
        <f t="shared" si="12"/>
        <v>#REF!</v>
      </c>
      <c r="O127" s="99" t="e">
        <f t="shared" si="12"/>
        <v>#REF!</v>
      </c>
      <c r="P127" s="99" t="e">
        <f t="shared" si="12"/>
        <v>#REF!</v>
      </c>
      <c r="Q127" s="99" t="e">
        <f t="shared" si="12"/>
        <v>#REF!</v>
      </c>
      <c r="R127" s="99" t="e">
        <f t="shared" si="12"/>
        <v>#REF!</v>
      </c>
      <c r="S127" s="99" t="e">
        <f t="shared" si="12"/>
        <v>#REF!</v>
      </c>
      <c r="T127" s="99" t="e">
        <f t="shared" si="12"/>
        <v>#REF!</v>
      </c>
      <c r="U127" s="99" t="e">
        <f t="shared" si="12"/>
        <v>#REF!</v>
      </c>
      <c r="V127" s="99" t="e">
        <f t="shared" si="12"/>
        <v>#REF!</v>
      </c>
      <c r="W127" s="99" t="e">
        <f t="shared" si="12"/>
        <v>#REF!</v>
      </c>
      <c r="X127" s="111" t="e">
        <f t="shared" si="9"/>
        <v>#REF!</v>
      </c>
    </row>
    <row r="128" spans="1:24" s="47" customFormat="1" ht="18.75" x14ac:dyDescent="0.25">
      <c r="A128" s="57"/>
      <c r="B128" s="51"/>
      <c r="C128" s="51"/>
      <c r="D128" s="51"/>
      <c r="E128" s="55"/>
      <c r="F128" s="37" t="s">
        <v>6</v>
      </c>
      <c r="G128" s="37"/>
      <c r="H128" s="37"/>
      <c r="I128" s="37"/>
      <c r="J128" s="37"/>
      <c r="K128" s="37"/>
      <c r="L128" s="100" t="e">
        <f>SUM(L129:L135)</f>
        <v>#REF!</v>
      </c>
      <c r="M128" s="100" t="e">
        <f t="shared" ref="M128:W128" si="13">SUM(M129:M135)</f>
        <v>#REF!</v>
      </c>
      <c r="N128" s="100" t="e">
        <f t="shared" si="13"/>
        <v>#REF!</v>
      </c>
      <c r="O128" s="100" t="e">
        <f t="shared" si="13"/>
        <v>#REF!</v>
      </c>
      <c r="P128" s="100" t="e">
        <f t="shared" si="13"/>
        <v>#REF!</v>
      </c>
      <c r="Q128" s="100" t="e">
        <f t="shared" si="13"/>
        <v>#REF!</v>
      </c>
      <c r="R128" s="100" t="e">
        <f t="shared" si="13"/>
        <v>#REF!</v>
      </c>
      <c r="S128" s="100" t="e">
        <f t="shared" si="13"/>
        <v>#REF!</v>
      </c>
      <c r="T128" s="100" t="e">
        <f t="shared" si="13"/>
        <v>#REF!</v>
      </c>
      <c r="U128" s="100" t="e">
        <f t="shared" si="13"/>
        <v>#REF!</v>
      </c>
      <c r="V128" s="100" t="e">
        <f t="shared" si="13"/>
        <v>#REF!</v>
      </c>
      <c r="W128" s="100" t="e">
        <f t="shared" si="13"/>
        <v>#REF!</v>
      </c>
      <c r="X128" s="111" t="e">
        <f t="shared" si="9"/>
        <v>#REF!</v>
      </c>
    </row>
    <row r="129" spans="1:26" ht="37.5" customHeight="1" x14ac:dyDescent="0.25">
      <c r="A129" s="4">
        <v>311</v>
      </c>
      <c r="B129" s="52">
        <v>38</v>
      </c>
      <c r="C129" s="52">
        <v>930</v>
      </c>
      <c r="D129" s="7">
        <v>70499</v>
      </c>
      <c r="E129" s="20" t="s">
        <v>172</v>
      </c>
      <c r="F129" s="75" t="s">
        <v>55</v>
      </c>
      <c r="G129" s="131" t="s">
        <v>398</v>
      </c>
      <c r="H129" s="131"/>
      <c r="I129" s="131"/>
      <c r="J129" s="131"/>
      <c r="K129" s="131"/>
      <c r="L129" s="68" t="e">
        <f>ROUND(COM!H129,1)</f>
        <v>#REF!</v>
      </c>
      <c r="M129" s="68" t="e">
        <f>ROUND(COM!I129,1)</f>
        <v>#REF!</v>
      </c>
      <c r="N129" s="68" t="e">
        <f>ROUND(COM!J129,1)</f>
        <v>#REF!</v>
      </c>
      <c r="O129" s="68" t="e">
        <f>ROUND(COM!K129,1)</f>
        <v>#REF!</v>
      </c>
      <c r="P129" s="68" t="e">
        <f>ROUND(COM!L129,1)</f>
        <v>#REF!</v>
      </c>
      <c r="Q129" s="68" t="e">
        <f>ROUND(COM!M129,1)</f>
        <v>#REF!</v>
      </c>
      <c r="R129" s="68" t="e">
        <f>ROUND(COM!N129,1)</f>
        <v>#REF!</v>
      </c>
      <c r="S129" s="68" t="e">
        <f>ROUND(COM!O129,1)</f>
        <v>#REF!</v>
      </c>
      <c r="T129" s="68" t="e">
        <f>ROUND(COM!P129,1)</f>
        <v>#REF!</v>
      </c>
      <c r="U129" s="68" t="e">
        <f>ROUND(COM!Q129,1)</f>
        <v>#REF!</v>
      </c>
      <c r="V129" s="68" t="e">
        <f>ROUND(COM!R129,1)</f>
        <v>#REF!</v>
      </c>
      <c r="W129" s="68" t="e">
        <f>ROUND(COM!S129,1)</f>
        <v>#REF!</v>
      </c>
      <c r="X129" s="111" t="e">
        <f t="shared" si="9"/>
        <v>#REF!</v>
      </c>
      <c r="Z129" s="105" t="e">
        <f>X129+19492.2</f>
        <v>#REF!</v>
      </c>
    </row>
    <row r="130" spans="1:26" ht="37.5" customHeight="1" x14ac:dyDescent="0.25">
      <c r="A130" s="4">
        <v>311</v>
      </c>
      <c r="B130" s="52">
        <v>38</v>
      </c>
      <c r="C130" s="52">
        <v>920</v>
      </c>
      <c r="D130" s="7">
        <v>70499</v>
      </c>
      <c r="E130" s="20" t="s">
        <v>172</v>
      </c>
      <c r="F130" s="38" t="s">
        <v>56</v>
      </c>
      <c r="G130" s="38"/>
      <c r="H130" s="38"/>
      <c r="I130" s="38"/>
      <c r="J130" s="38"/>
      <c r="K130" s="38"/>
      <c r="L130" s="68" t="e">
        <f>ROUND(COM!H130,1)</f>
        <v>#REF!</v>
      </c>
      <c r="M130" s="68" t="e">
        <f>ROUND(COM!I130,1)</f>
        <v>#REF!</v>
      </c>
      <c r="N130" s="68" t="e">
        <f>ROUND(COM!J130,1)</f>
        <v>#REF!</v>
      </c>
      <c r="O130" s="68" t="e">
        <f>ROUND(COM!K130,1)</f>
        <v>#REF!</v>
      </c>
      <c r="P130" s="68" t="e">
        <f>ROUND(COM!L130,1)</f>
        <v>#REF!</v>
      </c>
      <c r="Q130" s="68" t="e">
        <f>ROUND(COM!M130,1)</f>
        <v>#REF!</v>
      </c>
      <c r="R130" s="68" t="e">
        <f>ROUND(COM!N130,1)</f>
        <v>#REF!</v>
      </c>
      <c r="S130" s="68" t="e">
        <f>ROUND(COM!O130,1)</f>
        <v>#REF!</v>
      </c>
      <c r="T130" s="68" t="e">
        <f>ROUND(COM!P130,1)</f>
        <v>#REF!</v>
      </c>
      <c r="U130" s="68" t="e">
        <f>ROUND(COM!Q130,1)</f>
        <v>#REF!</v>
      </c>
      <c r="V130" s="68" t="e">
        <f>ROUND(COM!R130,1)</f>
        <v>#REF!</v>
      </c>
      <c r="W130" s="68" t="e">
        <f>ROUND(COM!S130,1)</f>
        <v>#REF!</v>
      </c>
      <c r="X130" s="111" t="e">
        <f t="shared" si="9"/>
        <v>#REF!</v>
      </c>
    </row>
    <row r="131" spans="1:26" ht="18.75" x14ac:dyDescent="0.25">
      <c r="A131" s="4"/>
      <c r="B131" s="52"/>
      <c r="C131" s="52"/>
      <c r="D131" s="7"/>
      <c r="E131" s="20"/>
      <c r="F131" s="38"/>
      <c r="G131" s="38"/>
      <c r="H131" s="38"/>
      <c r="I131" s="38"/>
      <c r="J131" s="38"/>
      <c r="K131" s="3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111">
        <f t="shared" si="9"/>
        <v>0</v>
      </c>
    </row>
    <row r="132" spans="1:26" ht="18.75" x14ac:dyDescent="0.25">
      <c r="A132" s="4"/>
      <c r="B132" s="52"/>
      <c r="C132" s="52"/>
      <c r="D132" s="7"/>
      <c r="E132" s="20"/>
      <c r="F132" s="38"/>
      <c r="G132" s="38"/>
      <c r="H132" s="38"/>
      <c r="I132" s="38"/>
      <c r="J132" s="38"/>
      <c r="K132" s="3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111">
        <f t="shared" si="9"/>
        <v>0</v>
      </c>
    </row>
    <row r="133" spans="1:26" ht="18.75" x14ac:dyDescent="0.25">
      <c r="A133" s="4"/>
      <c r="B133" s="52"/>
      <c r="C133" s="52"/>
      <c r="D133" s="7"/>
      <c r="E133" s="20"/>
      <c r="F133" s="38"/>
      <c r="G133" s="38"/>
      <c r="H133" s="38"/>
      <c r="I133" s="38"/>
      <c r="J133" s="38"/>
      <c r="K133" s="3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111">
        <f t="shared" si="9"/>
        <v>0</v>
      </c>
    </row>
    <row r="134" spans="1:26" ht="18.75" x14ac:dyDescent="0.25">
      <c r="A134" s="4"/>
      <c r="B134" s="52"/>
      <c r="C134" s="52"/>
      <c r="D134" s="7"/>
      <c r="E134" s="20"/>
      <c r="F134" s="38"/>
      <c r="G134" s="38"/>
      <c r="H134" s="38"/>
      <c r="I134" s="38"/>
      <c r="J134" s="38"/>
      <c r="K134" s="3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111">
        <f t="shared" si="9"/>
        <v>0</v>
      </c>
    </row>
    <row r="135" spans="1:26" ht="18.75" x14ac:dyDescent="0.25">
      <c r="A135" s="4"/>
      <c r="B135" s="52"/>
      <c r="C135" s="52"/>
      <c r="D135" s="7"/>
      <c r="E135" s="20"/>
      <c r="F135" s="38"/>
      <c r="G135" s="38"/>
      <c r="H135" s="38"/>
      <c r="I135" s="38"/>
      <c r="J135" s="38"/>
      <c r="K135" s="3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111">
        <f t="shared" si="9"/>
        <v>0</v>
      </c>
    </row>
    <row r="136" spans="1:26" s="47" customFormat="1" ht="37.5" x14ac:dyDescent="0.25">
      <c r="A136" s="56"/>
      <c r="B136" s="50"/>
      <c r="C136" s="50"/>
      <c r="D136" s="50"/>
      <c r="E136" s="54"/>
      <c r="F136" s="40" t="s">
        <v>266</v>
      </c>
      <c r="G136" s="36"/>
      <c r="H136" s="36"/>
      <c r="I136" s="36"/>
      <c r="J136" s="36"/>
      <c r="K136" s="36"/>
      <c r="L136" s="99" t="e">
        <f>L137</f>
        <v>#REF!</v>
      </c>
      <c r="M136" s="99" t="e">
        <f t="shared" ref="M136:W136" si="14">M137</f>
        <v>#REF!</v>
      </c>
      <c r="N136" s="99" t="e">
        <f t="shared" si="14"/>
        <v>#REF!</v>
      </c>
      <c r="O136" s="99" t="e">
        <f t="shared" si="14"/>
        <v>#REF!</v>
      </c>
      <c r="P136" s="99" t="e">
        <f t="shared" si="14"/>
        <v>#REF!</v>
      </c>
      <c r="Q136" s="99" t="e">
        <f t="shared" si="14"/>
        <v>#REF!</v>
      </c>
      <c r="R136" s="99" t="e">
        <f t="shared" si="14"/>
        <v>#REF!</v>
      </c>
      <c r="S136" s="99" t="e">
        <f t="shared" si="14"/>
        <v>#REF!</v>
      </c>
      <c r="T136" s="99" t="e">
        <f t="shared" si="14"/>
        <v>#REF!</v>
      </c>
      <c r="U136" s="99" t="e">
        <f t="shared" si="14"/>
        <v>#REF!</v>
      </c>
      <c r="V136" s="99" t="e">
        <f t="shared" si="14"/>
        <v>#REF!</v>
      </c>
      <c r="W136" s="99" t="e">
        <f t="shared" si="14"/>
        <v>#REF!</v>
      </c>
      <c r="X136" s="111" t="e">
        <f t="shared" si="9"/>
        <v>#REF!</v>
      </c>
    </row>
    <row r="137" spans="1:26" s="47" customFormat="1" ht="18.75" x14ac:dyDescent="0.25">
      <c r="A137" s="57"/>
      <c r="B137" s="51"/>
      <c r="C137" s="51"/>
      <c r="D137" s="51"/>
      <c r="E137" s="55"/>
      <c r="F137" s="37" t="s">
        <v>6</v>
      </c>
      <c r="G137" s="37"/>
      <c r="H137" s="37"/>
      <c r="I137" s="37"/>
      <c r="J137" s="37"/>
      <c r="K137" s="37"/>
      <c r="L137" s="100" t="e">
        <f>SUM(L138:L159)</f>
        <v>#REF!</v>
      </c>
      <c r="M137" s="100" t="e">
        <f t="shared" ref="M137:W137" si="15">SUM(M138:M159)</f>
        <v>#REF!</v>
      </c>
      <c r="N137" s="100" t="e">
        <f t="shared" si="15"/>
        <v>#REF!</v>
      </c>
      <c r="O137" s="100" t="e">
        <f t="shared" si="15"/>
        <v>#REF!</v>
      </c>
      <c r="P137" s="100" t="e">
        <f t="shared" si="15"/>
        <v>#REF!</v>
      </c>
      <c r="Q137" s="100" t="e">
        <f t="shared" si="15"/>
        <v>#REF!</v>
      </c>
      <c r="R137" s="100" t="e">
        <f t="shared" si="15"/>
        <v>#REF!</v>
      </c>
      <c r="S137" s="100" t="e">
        <f t="shared" si="15"/>
        <v>#REF!</v>
      </c>
      <c r="T137" s="100" t="e">
        <f t="shared" si="15"/>
        <v>#REF!</v>
      </c>
      <c r="U137" s="100" t="e">
        <f t="shared" si="15"/>
        <v>#REF!</v>
      </c>
      <c r="V137" s="100" t="e">
        <f t="shared" si="15"/>
        <v>#REF!</v>
      </c>
      <c r="W137" s="100" t="e">
        <f t="shared" si="15"/>
        <v>#REF!</v>
      </c>
      <c r="X137" s="111" t="e">
        <f t="shared" si="9"/>
        <v>#REF!</v>
      </c>
    </row>
    <row r="138" spans="1:26" ht="37.5" x14ac:dyDescent="0.25">
      <c r="A138" s="88">
        <v>311</v>
      </c>
      <c r="B138" s="89">
        <v>41</v>
      </c>
      <c r="C138" s="89">
        <v>920</v>
      </c>
      <c r="D138" s="90">
        <v>70499</v>
      </c>
      <c r="E138" s="91" t="s">
        <v>172</v>
      </c>
      <c r="F138" s="92" t="s">
        <v>8</v>
      </c>
      <c r="G138" s="92"/>
      <c r="H138" s="92"/>
      <c r="I138" s="92"/>
      <c r="J138" s="92"/>
      <c r="K138" s="92"/>
      <c r="L138" s="68" t="e">
        <f>ROUND(COM!H138,1)</f>
        <v>#REF!</v>
      </c>
      <c r="M138" s="68" t="e">
        <f>ROUND(COM!I138,1)</f>
        <v>#REF!</v>
      </c>
      <c r="N138" s="68" t="e">
        <f>ROUND(COM!J138,1)</f>
        <v>#REF!</v>
      </c>
      <c r="O138" s="68" t="e">
        <f>ROUND(COM!K138,1)</f>
        <v>#REF!</v>
      </c>
      <c r="P138" s="68" t="e">
        <f>ROUND(COM!L138,1)</f>
        <v>#REF!</v>
      </c>
      <c r="Q138" s="68" t="e">
        <f>ROUND(COM!M138,1)</f>
        <v>#REF!</v>
      </c>
      <c r="R138" s="68" t="e">
        <f>ROUND(COM!N138,1)</f>
        <v>#REF!</v>
      </c>
      <c r="S138" s="68" t="e">
        <f>ROUND(COM!O138,1)</f>
        <v>#REF!</v>
      </c>
      <c r="T138" s="68" t="e">
        <f>ROUND(COM!P138,1)</f>
        <v>#REF!</v>
      </c>
      <c r="U138" s="68" t="e">
        <f>ROUND(COM!Q138,1)</f>
        <v>#REF!</v>
      </c>
      <c r="V138" s="68" t="e">
        <f>ROUND(COM!R138,1)</f>
        <v>#REF!</v>
      </c>
      <c r="W138" s="68" t="e">
        <f>ROUND(COM!S138,1)</f>
        <v>#REF!</v>
      </c>
      <c r="X138" s="111" t="e">
        <f t="shared" si="9"/>
        <v>#REF!</v>
      </c>
    </row>
    <row r="139" spans="1:26" ht="37.5" x14ac:dyDescent="0.25">
      <c r="A139" s="88">
        <v>321</v>
      </c>
      <c r="B139" s="89">
        <v>41</v>
      </c>
      <c r="C139" s="89">
        <v>920</v>
      </c>
      <c r="D139" s="90">
        <v>70499</v>
      </c>
      <c r="E139" s="91" t="s">
        <v>172</v>
      </c>
      <c r="F139" s="92" t="s">
        <v>8</v>
      </c>
      <c r="G139" s="92"/>
      <c r="H139" s="92"/>
      <c r="I139" s="92"/>
      <c r="J139" s="92"/>
      <c r="K139" s="92"/>
      <c r="L139" s="68" t="e">
        <f>ROUND(COM!H139,1)</f>
        <v>#REF!</v>
      </c>
      <c r="M139" s="68" t="e">
        <f>ROUND(COM!I139,1)</f>
        <v>#REF!</v>
      </c>
      <c r="N139" s="68" t="e">
        <f>ROUND(COM!J139,1)</f>
        <v>#REF!</v>
      </c>
      <c r="O139" s="68" t="e">
        <f>ROUND(COM!K139,1)</f>
        <v>#REF!</v>
      </c>
      <c r="P139" s="68" t="e">
        <f>ROUND(COM!L139,1)</f>
        <v>#REF!</v>
      </c>
      <c r="Q139" s="68" t="e">
        <f>ROUND(COM!M139,1)</f>
        <v>#REF!</v>
      </c>
      <c r="R139" s="68" t="e">
        <f>ROUND(COM!N139,1)</f>
        <v>#REF!</v>
      </c>
      <c r="S139" s="68" t="e">
        <f>ROUND(COM!O139,1)</f>
        <v>#REF!</v>
      </c>
      <c r="T139" s="68" t="e">
        <f>ROUND(COM!P139,1)</f>
        <v>#REF!</v>
      </c>
      <c r="U139" s="68" t="e">
        <f>ROUND(COM!Q139,1)</f>
        <v>#REF!</v>
      </c>
      <c r="V139" s="68" t="e">
        <f>ROUND(COM!R139,1)</f>
        <v>#REF!</v>
      </c>
      <c r="W139" s="68" t="e">
        <f>ROUND(COM!S139,1)</f>
        <v>#REF!</v>
      </c>
      <c r="X139" s="111" t="e">
        <f t="shared" si="9"/>
        <v>#REF!</v>
      </c>
    </row>
    <row r="140" spans="1:26" ht="37.5" x14ac:dyDescent="0.25">
      <c r="A140" s="88">
        <v>311</v>
      </c>
      <c r="B140" s="89">
        <v>41</v>
      </c>
      <c r="C140" s="89">
        <v>930</v>
      </c>
      <c r="D140" s="90">
        <v>70499</v>
      </c>
      <c r="E140" s="91" t="s">
        <v>172</v>
      </c>
      <c r="F140" s="92" t="s">
        <v>9</v>
      </c>
      <c r="G140" s="228" t="s">
        <v>354</v>
      </c>
      <c r="H140" s="171"/>
      <c r="I140" s="171"/>
      <c r="J140" s="171"/>
      <c r="K140" s="171"/>
      <c r="L140" s="68" t="e">
        <f>ROUND(COM!H140,1)</f>
        <v>#REF!</v>
      </c>
      <c r="M140" s="68" t="e">
        <f>ROUND(COM!I140,1)</f>
        <v>#REF!</v>
      </c>
      <c r="N140" s="68" t="e">
        <f>ROUND(COM!J140,1)</f>
        <v>#REF!</v>
      </c>
      <c r="O140" s="68" t="e">
        <f>ROUND(COM!K140,1)</f>
        <v>#REF!</v>
      </c>
      <c r="P140" s="68" t="e">
        <f>ROUND(COM!L140,1)</f>
        <v>#REF!</v>
      </c>
      <c r="Q140" s="68" t="e">
        <f>ROUND(COM!M140,1)</f>
        <v>#REF!</v>
      </c>
      <c r="R140" s="68" t="e">
        <f>ROUND(COM!N140,1)</f>
        <v>#REF!</v>
      </c>
      <c r="S140" s="68" t="e">
        <f>ROUND(COM!O140,1)</f>
        <v>#REF!</v>
      </c>
      <c r="T140" s="68" t="e">
        <f>ROUND(COM!P140,1)</f>
        <v>#REF!</v>
      </c>
      <c r="U140" s="68" t="e">
        <f>ROUND(COM!Q140,1)</f>
        <v>#REF!</v>
      </c>
      <c r="V140" s="68" t="e">
        <f>ROUND(COM!R140,1)</f>
        <v>#REF!</v>
      </c>
      <c r="W140" s="68" t="e">
        <f>ROUND(COM!S140,1)</f>
        <v>#REF!</v>
      </c>
      <c r="X140" s="111" t="e">
        <f t="shared" si="9"/>
        <v>#REF!</v>
      </c>
    </row>
    <row r="141" spans="1:26" ht="37.5" x14ac:dyDescent="0.25">
      <c r="A141" s="88">
        <v>321</v>
      </c>
      <c r="B141" s="89">
        <v>41</v>
      </c>
      <c r="C141" s="89">
        <v>930</v>
      </c>
      <c r="D141" s="90">
        <v>70499</v>
      </c>
      <c r="E141" s="91" t="s">
        <v>172</v>
      </c>
      <c r="F141" s="92" t="s">
        <v>9</v>
      </c>
      <c r="G141" s="229"/>
      <c r="H141" s="172"/>
      <c r="I141" s="172"/>
      <c r="J141" s="172"/>
      <c r="K141" s="172"/>
      <c r="L141" s="68" t="e">
        <f>ROUND(COM!H141,1)</f>
        <v>#REF!</v>
      </c>
      <c r="M141" s="68" t="e">
        <f>ROUND(COM!I141,1)</f>
        <v>#REF!</v>
      </c>
      <c r="N141" s="68" t="e">
        <f>ROUND(COM!J141,1)</f>
        <v>#REF!</v>
      </c>
      <c r="O141" s="68" t="e">
        <f>ROUND(COM!K141,1)</f>
        <v>#REF!</v>
      </c>
      <c r="P141" s="68" t="e">
        <f>ROUND(COM!L141,1)</f>
        <v>#REF!</v>
      </c>
      <c r="Q141" s="68" t="e">
        <f>ROUND(COM!M141,1)</f>
        <v>#REF!</v>
      </c>
      <c r="R141" s="68" t="e">
        <f>ROUND(COM!N141,1)</f>
        <v>#REF!</v>
      </c>
      <c r="S141" s="68" t="e">
        <f>ROUND(COM!O141,1)</f>
        <v>#REF!</v>
      </c>
      <c r="T141" s="68" t="e">
        <f>ROUND(COM!P141,1)</f>
        <v>#REF!</v>
      </c>
      <c r="U141" s="68" t="e">
        <f>ROUND(COM!Q141,1)</f>
        <v>#REF!</v>
      </c>
      <c r="V141" s="68" t="e">
        <f>ROUND(COM!R141,1)</f>
        <v>#REF!</v>
      </c>
      <c r="W141" s="68" t="e">
        <f>ROUND(COM!S141,1)</f>
        <v>#REF!</v>
      </c>
      <c r="X141" s="111" t="e">
        <f t="shared" si="9"/>
        <v>#REF!</v>
      </c>
    </row>
    <row r="142" spans="1:26" ht="37.5" x14ac:dyDescent="0.25">
      <c r="A142" s="4">
        <v>311</v>
      </c>
      <c r="B142" s="52">
        <v>41</v>
      </c>
      <c r="C142" s="52">
        <v>920</v>
      </c>
      <c r="D142" s="7">
        <v>70499</v>
      </c>
      <c r="E142" s="20" t="s">
        <v>166</v>
      </c>
      <c r="F142" s="112" t="s">
        <v>57</v>
      </c>
      <c r="G142" s="38"/>
      <c r="H142" s="38"/>
      <c r="I142" s="38"/>
      <c r="J142" s="38"/>
      <c r="K142" s="38"/>
      <c r="L142" s="68" t="e">
        <f>ROUND(COM!H142,1)</f>
        <v>#REF!</v>
      </c>
      <c r="M142" s="68" t="e">
        <f>ROUND(COM!I142,1)</f>
        <v>#REF!</v>
      </c>
      <c r="N142" s="68" t="e">
        <f>ROUND(COM!J142,1)</f>
        <v>#REF!</v>
      </c>
      <c r="O142" s="68" t="e">
        <f>ROUND(COM!K142,1)</f>
        <v>#REF!</v>
      </c>
      <c r="P142" s="68" t="e">
        <f>ROUND(COM!L142,1)</f>
        <v>#REF!</v>
      </c>
      <c r="Q142" s="68" t="e">
        <f>ROUND(COM!M142,1)</f>
        <v>#REF!</v>
      </c>
      <c r="R142" s="68" t="e">
        <f>ROUND(COM!N142,1)</f>
        <v>#REF!</v>
      </c>
      <c r="S142" s="68" t="e">
        <f>ROUND(COM!O142,1)</f>
        <v>#REF!</v>
      </c>
      <c r="T142" s="68" t="e">
        <f>ROUND(COM!P142,1)</f>
        <v>#REF!</v>
      </c>
      <c r="U142" s="68" t="e">
        <f>ROUND(COM!Q142,1)</f>
        <v>#REF!</v>
      </c>
      <c r="V142" s="68" t="e">
        <f>ROUND(COM!R142,1)</f>
        <v>#REF!</v>
      </c>
      <c r="W142" s="68" t="e">
        <f>ROUND(COM!S142,1)</f>
        <v>#REF!</v>
      </c>
      <c r="X142" s="111" t="e">
        <f t="shared" si="9"/>
        <v>#REF!</v>
      </c>
    </row>
    <row r="143" spans="1:26" ht="37.5" x14ac:dyDescent="0.25">
      <c r="A143" s="88">
        <v>311</v>
      </c>
      <c r="B143" s="89">
        <v>41</v>
      </c>
      <c r="C143" s="89">
        <v>910</v>
      </c>
      <c r="D143" s="90">
        <v>70499</v>
      </c>
      <c r="E143" s="91"/>
      <c r="F143" s="92" t="s">
        <v>160</v>
      </c>
      <c r="G143" s="92"/>
      <c r="H143" s="92"/>
      <c r="I143" s="92"/>
      <c r="J143" s="92"/>
      <c r="K143" s="92"/>
      <c r="L143" s="68" t="e">
        <f>ROUND(COM!H143,1)</f>
        <v>#REF!</v>
      </c>
      <c r="M143" s="68" t="e">
        <f>ROUND(COM!I143,1)</f>
        <v>#REF!</v>
      </c>
      <c r="N143" s="68" t="e">
        <f>ROUND(COM!J143,1)</f>
        <v>#REF!</v>
      </c>
      <c r="O143" s="68" t="e">
        <f>ROUND(COM!K143,1)</f>
        <v>#REF!</v>
      </c>
      <c r="P143" s="68" t="e">
        <f>ROUND(COM!L143,1)</f>
        <v>#REF!</v>
      </c>
      <c r="Q143" s="68" t="e">
        <f>ROUND(COM!M143,1)</f>
        <v>#REF!</v>
      </c>
      <c r="R143" s="68" t="e">
        <f>ROUND(COM!N143,1)</f>
        <v>#REF!</v>
      </c>
      <c r="S143" s="68" t="e">
        <f>ROUND(COM!O143,1)</f>
        <v>#REF!</v>
      </c>
      <c r="T143" s="68" t="e">
        <f>ROUND(COM!P143,1)</f>
        <v>#REF!</v>
      </c>
      <c r="U143" s="68" t="e">
        <f>ROUND(COM!Q143,1)</f>
        <v>#REF!</v>
      </c>
      <c r="V143" s="68" t="e">
        <f>ROUND(COM!R143,1)</f>
        <v>#REF!</v>
      </c>
      <c r="W143" s="68" t="e">
        <f>ROUND(COM!S143,1)</f>
        <v>#REF!</v>
      </c>
      <c r="X143" s="111" t="e">
        <f t="shared" si="9"/>
        <v>#REF!</v>
      </c>
    </row>
    <row r="144" spans="1:26" ht="37.5" x14ac:dyDescent="0.25">
      <c r="A144" s="88">
        <v>311</v>
      </c>
      <c r="B144" s="89">
        <v>41</v>
      </c>
      <c r="C144" s="89">
        <v>920</v>
      </c>
      <c r="D144" s="90">
        <v>70499</v>
      </c>
      <c r="E144" s="91" t="s">
        <v>173</v>
      </c>
      <c r="F144" s="112" t="s">
        <v>161</v>
      </c>
      <c r="G144" s="92"/>
      <c r="H144" s="92"/>
      <c r="I144" s="92"/>
      <c r="J144" s="92"/>
      <c r="K144" s="92"/>
      <c r="L144" s="68" t="e">
        <f>ROUND(COM!H144,1)</f>
        <v>#REF!</v>
      </c>
      <c r="M144" s="68" t="e">
        <f>ROUND(COM!I144,1)</f>
        <v>#REF!</v>
      </c>
      <c r="N144" s="68" t="e">
        <f>ROUND(COM!J144,1)</f>
        <v>#REF!</v>
      </c>
      <c r="O144" s="68" t="e">
        <f>ROUND(COM!K144,1)</f>
        <v>#REF!</v>
      </c>
      <c r="P144" s="68" t="e">
        <f>ROUND(COM!L144,1)</f>
        <v>#REF!</v>
      </c>
      <c r="Q144" s="68" t="e">
        <f>ROUND(COM!M144,1)</f>
        <v>#REF!</v>
      </c>
      <c r="R144" s="68" t="e">
        <f>ROUND(COM!N144,1)</f>
        <v>#REF!</v>
      </c>
      <c r="S144" s="68" t="e">
        <f>ROUND(COM!O144,1)</f>
        <v>#REF!</v>
      </c>
      <c r="T144" s="68" t="e">
        <f>ROUND(COM!P144,1)</f>
        <v>#REF!</v>
      </c>
      <c r="U144" s="68" t="e">
        <f>ROUND(COM!Q144,1)</f>
        <v>#REF!</v>
      </c>
      <c r="V144" s="68" t="e">
        <f>ROUND(COM!R144,1)</f>
        <v>#REF!</v>
      </c>
      <c r="W144" s="68" t="e">
        <f>ROUND(COM!S144,1)</f>
        <v>#REF!</v>
      </c>
      <c r="X144" s="113" t="e">
        <f t="shared" si="9"/>
        <v>#REF!</v>
      </c>
      <c r="Y144" s="105" t="e">
        <f>4000-X144</f>
        <v>#REF!</v>
      </c>
    </row>
    <row r="145" spans="1:24" ht="37.5" x14ac:dyDescent="0.25">
      <c r="A145" s="88">
        <v>321</v>
      </c>
      <c r="B145" s="89">
        <v>41</v>
      </c>
      <c r="C145" s="89">
        <v>920</v>
      </c>
      <c r="D145" s="90">
        <v>70499</v>
      </c>
      <c r="E145" s="91" t="s">
        <v>173</v>
      </c>
      <c r="F145" s="112" t="s">
        <v>161</v>
      </c>
      <c r="G145" s="92"/>
      <c r="H145" s="92"/>
      <c r="I145" s="92"/>
      <c r="J145" s="92"/>
      <c r="K145" s="92"/>
      <c r="L145" s="68" t="e">
        <f>ROUND(COM!H145,1)</f>
        <v>#REF!</v>
      </c>
      <c r="M145" s="68" t="e">
        <f>ROUND(COM!I145,1)</f>
        <v>#REF!</v>
      </c>
      <c r="N145" s="68" t="e">
        <f>ROUND(COM!J145,1)</f>
        <v>#REF!</v>
      </c>
      <c r="O145" s="68" t="e">
        <f>ROUND(COM!K145,1)</f>
        <v>#REF!</v>
      </c>
      <c r="P145" s="68" t="e">
        <f>ROUND(COM!L145,1)</f>
        <v>#REF!</v>
      </c>
      <c r="Q145" s="68" t="e">
        <f>ROUND(COM!M145,1)</f>
        <v>#REF!</v>
      </c>
      <c r="R145" s="68" t="e">
        <f>ROUND(COM!N145,1)</f>
        <v>#REF!</v>
      </c>
      <c r="S145" s="68" t="e">
        <f>ROUND(COM!O145,1)</f>
        <v>#REF!</v>
      </c>
      <c r="T145" s="68" t="e">
        <f>ROUND(COM!P145,1)</f>
        <v>#REF!</v>
      </c>
      <c r="U145" s="68" t="e">
        <f>ROUND(COM!Q145,1)</f>
        <v>#REF!</v>
      </c>
      <c r="V145" s="68" t="e">
        <f>ROUND(COM!R145,1)</f>
        <v>#REF!</v>
      </c>
      <c r="W145" s="68" t="e">
        <f>ROUND(COM!S145,1)</f>
        <v>#REF!</v>
      </c>
      <c r="X145" s="113" t="e">
        <f t="shared" si="9"/>
        <v>#REF!</v>
      </c>
    </row>
    <row r="146" spans="1:24" ht="37.5" x14ac:dyDescent="0.25">
      <c r="A146" s="88">
        <v>321</v>
      </c>
      <c r="B146" s="89">
        <v>41</v>
      </c>
      <c r="C146" s="89">
        <v>930</v>
      </c>
      <c r="D146" s="90">
        <v>70499</v>
      </c>
      <c r="E146" s="91" t="s">
        <v>173</v>
      </c>
      <c r="F146" s="112" t="s">
        <v>162</v>
      </c>
      <c r="G146" s="172" t="s">
        <v>394</v>
      </c>
      <c r="H146" s="172"/>
      <c r="I146" s="172"/>
      <c r="J146" s="172"/>
      <c r="K146" s="172"/>
      <c r="L146" s="68" t="e">
        <f>ROUND(COM!H146,1)</f>
        <v>#REF!</v>
      </c>
      <c r="M146" s="68" t="e">
        <f>ROUND(COM!I146,1)</f>
        <v>#REF!</v>
      </c>
      <c r="N146" s="68" t="e">
        <f>ROUND(COM!J146,1)</f>
        <v>#REF!</v>
      </c>
      <c r="O146" s="68" t="e">
        <f>ROUND(COM!K146,1)</f>
        <v>#REF!</v>
      </c>
      <c r="P146" s="68" t="e">
        <f>ROUND(COM!L146,1)</f>
        <v>#REF!</v>
      </c>
      <c r="Q146" s="68" t="e">
        <f>ROUND(COM!M146,1)</f>
        <v>#REF!</v>
      </c>
      <c r="R146" s="68" t="e">
        <f>ROUND(COM!N146,1)</f>
        <v>#REF!</v>
      </c>
      <c r="S146" s="68" t="e">
        <f>ROUND(COM!O146,1)</f>
        <v>#REF!</v>
      </c>
      <c r="T146" s="68" t="e">
        <f>ROUND(COM!P146,1)</f>
        <v>#REF!</v>
      </c>
      <c r="U146" s="68" t="e">
        <f>ROUND(COM!Q146,1)</f>
        <v>#REF!</v>
      </c>
      <c r="V146" s="68" t="e">
        <f>ROUND(COM!R146,1)</f>
        <v>#REF!</v>
      </c>
      <c r="W146" s="68" t="e">
        <f>ROUND(COM!S146,1)</f>
        <v>#REF!</v>
      </c>
      <c r="X146" s="113" t="e">
        <f t="shared" si="9"/>
        <v>#REF!</v>
      </c>
    </row>
    <row r="147" spans="1:24" ht="37.5" x14ac:dyDescent="0.25">
      <c r="A147" s="88">
        <v>311</v>
      </c>
      <c r="B147" s="89">
        <v>41</v>
      </c>
      <c r="C147" s="89">
        <v>920</v>
      </c>
      <c r="D147" s="90">
        <v>70499</v>
      </c>
      <c r="E147" s="122" t="s">
        <v>172</v>
      </c>
      <c r="F147" s="92" t="s">
        <v>379</v>
      </c>
      <c r="G147" s="130"/>
      <c r="H147" s="130"/>
      <c r="I147" s="130"/>
      <c r="J147" s="130"/>
      <c r="K147" s="130"/>
      <c r="L147" s="68" t="e">
        <f>ROUND(COM!H147,1)</f>
        <v>#REF!</v>
      </c>
      <c r="M147" s="68" t="e">
        <f>ROUND(COM!I147,1)</f>
        <v>#REF!</v>
      </c>
      <c r="N147" s="68" t="e">
        <f>ROUND(COM!J147,1)</f>
        <v>#REF!</v>
      </c>
      <c r="O147" s="68" t="e">
        <f>ROUND(COM!K147,1)</f>
        <v>#REF!</v>
      </c>
      <c r="P147" s="68" t="e">
        <f>ROUND(COM!L147,1)</f>
        <v>#REF!</v>
      </c>
      <c r="Q147" s="68" t="e">
        <f>ROUND(COM!M147,1)</f>
        <v>#REF!</v>
      </c>
      <c r="R147" s="68" t="e">
        <f>ROUND(COM!N147,1)</f>
        <v>#REF!</v>
      </c>
      <c r="S147" s="68" t="e">
        <f>ROUND(COM!O147,1)</f>
        <v>#REF!</v>
      </c>
      <c r="T147" s="68" t="e">
        <f>ROUND(COM!P147,1)</f>
        <v>#REF!</v>
      </c>
      <c r="U147" s="68" t="e">
        <f>ROUND(COM!Q147,1)</f>
        <v>#REF!</v>
      </c>
      <c r="V147" s="68" t="e">
        <f>ROUND(COM!R147,1)</f>
        <v>#REF!</v>
      </c>
      <c r="W147" s="68" t="e">
        <f>ROUND(COM!S147,1)</f>
        <v>#REF!</v>
      </c>
      <c r="X147" s="113" t="e">
        <f t="shared" si="9"/>
        <v>#REF!</v>
      </c>
    </row>
    <row r="148" spans="1:24" ht="37.5" x14ac:dyDescent="0.25">
      <c r="A148" s="88">
        <v>311</v>
      </c>
      <c r="B148" s="89">
        <v>41</v>
      </c>
      <c r="C148" s="89">
        <v>930</v>
      </c>
      <c r="D148" s="90">
        <v>70499</v>
      </c>
      <c r="E148" s="122" t="s">
        <v>172</v>
      </c>
      <c r="F148" s="92" t="s">
        <v>359</v>
      </c>
      <c r="G148" s="126" t="s">
        <v>356</v>
      </c>
      <c r="H148" s="126"/>
      <c r="I148" s="126"/>
      <c r="J148" s="126"/>
      <c r="K148" s="126"/>
      <c r="L148" s="68" t="e">
        <f>ROUND(COM!H148,1)</f>
        <v>#REF!</v>
      </c>
      <c r="M148" s="68" t="e">
        <f>ROUND(COM!I148,1)</f>
        <v>#REF!</v>
      </c>
      <c r="N148" s="68" t="e">
        <f>ROUND(COM!J148,1)</f>
        <v>#REF!</v>
      </c>
      <c r="O148" s="68" t="e">
        <f>ROUND(COM!K148,1)</f>
        <v>#REF!</v>
      </c>
      <c r="P148" s="68" t="e">
        <f>ROUND(COM!L148,1)</f>
        <v>#REF!</v>
      </c>
      <c r="Q148" s="68" t="e">
        <f>ROUND(COM!M148,1)</f>
        <v>#REF!</v>
      </c>
      <c r="R148" s="68" t="e">
        <f>ROUND(COM!N148,1)</f>
        <v>#REF!</v>
      </c>
      <c r="S148" s="68" t="e">
        <f>ROUND(COM!O148,1)</f>
        <v>#REF!</v>
      </c>
      <c r="T148" s="68" t="e">
        <f>ROUND(COM!P148,1)</f>
        <v>#REF!</v>
      </c>
      <c r="U148" s="68" t="e">
        <f>ROUND(COM!Q148,1)</f>
        <v>#REF!</v>
      </c>
      <c r="V148" s="68" t="e">
        <f>ROUND(COM!R148,1)</f>
        <v>#REF!</v>
      </c>
      <c r="W148" s="68" t="e">
        <f>ROUND(COM!S148,1)</f>
        <v>#REF!</v>
      </c>
      <c r="X148" s="111" t="e">
        <f t="shared" ref="X148:X211" si="16">M148+O148+Q148+S148+U148+W148</f>
        <v>#REF!</v>
      </c>
    </row>
    <row r="149" spans="1:24" ht="37.5" x14ac:dyDescent="0.25">
      <c r="A149" s="114">
        <v>311</v>
      </c>
      <c r="B149" s="115">
        <v>41</v>
      </c>
      <c r="C149" s="115">
        <v>910</v>
      </c>
      <c r="D149" s="116">
        <v>70499</v>
      </c>
      <c r="E149" s="123"/>
      <c r="F149" s="112" t="s">
        <v>373</v>
      </c>
      <c r="G149" s="73"/>
      <c r="H149" s="73"/>
      <c r="I149" s="73"/>
      <c r="J149" s="73"/>
      <c r="K149" s="73"/>
      <c r="L149" s="68" t="e">
        <f>ROUND(COM!H149,1)</f>
        <v>#REF!</v>
      </c>
      <c r="M149" s="68" t="e">
        <f>ROUND(COM!I149,1)</f>
        <v>#REF!</v>
      </c>
      <c r="N149" s="68" t="e">
        <f>ROUND(COM!J149,1)</f>
        <v>#REF!</v>
      </c>
      <c r="O149" s="68" t="e">
        <f>ROUND(COM!K149,1)</f>
        <v>#REF!</v>
      </c>
      <c r="P149" s="68" t="e">
        <f>ROUND(COM!L149,1)</f>
        <v>#REF!</v>
      </c>
      <c r="Q149" s="68" t="e">
        <f>ROUND(COM!M149,1)</f>
        <v>#REF!</v>
      </c>
      <c r="R149" s="68" t="e">
        <f>ROUND(COM!N149,1)</f>
        <v>#REF!</v>
      </c>
      <c r="S149" s="68" t="e">
        <f>ROUND(COM!O149,1)</f>
        <v>#REF!</v>
      </c>
      <c r="T149" s="68" t="e">
        <f>ROUND(COM!P149,1)</f>
        <v>#REF!</v>
      </c>
      <c r="U149" s="68" t="e">
        <f>ROUND(COM!Q149,1)</f>
        <v>#REF!</v>
      </c>
      <c r="V149" s="68" t="e">
        <f>ROUND(COM!R149,1)</f>
        <v>#REF!</v>
      </c>
      <c r="W149" s="68" t="e">
        <f>ROUND(COM!S149,1)</f>
        <v>#REF!</v>
      </c>
      <c r="X149" s="111" t="e">
        <f>L149+N149+P149+R149+T149+V149</f>
        <v>#REF!</v>
      </c>
    </row>
    <row r="150" spans="1:24" ht="37.5" x14ac:dyDescent="0.25">
      <c r="A150" s="4">
        <v>311</v>
      </c>
      <c r="B150" s="52">
        <v>41</v>
      </c>
      <c r="C150" s="52">
        <v>920</v>
      </c>
      <c r="D150" s="7">
        <v>70499</v>
      </c>
      <c r="E150" s="48" t="s">
        <v>174</v>
      </c>
      <c r="F150" s="112" t="s">
        <v>391</v>
      </c>
      <c r="G150" s="129"/>
      <c r="H150" s="129"/>
      <c r="I150" s="129"/>
      <c r="J150" s="129"/>
      <c r="K150" s="129"/>
      <c r="L150" s="68" t="e">
        <f>ROUND(COM!H150,1)</f>
        <v>#REF!</v>
      </c>
      <c r="M150" s="68" t="e">
        <f>ROUND(COM!I150,1)</f>
        <v>#REF!</v>
      </c>
      <c r="N150" s="68" t="e">
        <f>ROUND(COM!J150,1)</f>
        <v>#REF!</v>
      </c>
      <c r="O150" s="68" t="e">
        <f>ROUND(COM!K150,1)</f>
        <v>#REF!</v>
      </c>
      <c r="P150" s="68" t="e">
        <f>ROUND(COM!L150,1)</f>
        <v>#REF!</v>
      </c>
      <c r="Q150" s="68" t="e">
        <f>ROUND(COM!M150,1)</f>
        <v>#REF!</v>
      </c>
      <c r="R150" s="68" t="e">
        <f>ROUND(COM!N150,1)</f>
        <v>#REF!</v>
      </c>
      <c r="S150" s="68" t="e">
        <f>ROUND(COM!O150,1)</f>
        <v>#REF!</v>
      </c>
      <c r="T150" s="68" t="e">
        <f>ROUND(COM!P150,1)</f>
        <v>#REF!</v>
      </c>
      <c r="U150" s="68" t="e">
        <f>ROUND(COM!Q150,1)</f>
        <v>#REF!</v>
      </c>
      <c r="V150" s="68" t="e">
        <f>ROUND(COM!R150,1)</f>
        <v>#REF!</v>
      </c>
      <c r="W150" s="68" t="e">
        <f>ROUND(COM!S150,1)</f>
        <v>#REF!</v>
      </c>
      <c r="X150" s="111" t="e">
        <f t="shared" si="16"/>
        <v>#REF!</v>
      </c>
    </row>
    <row r="151" spans="1:24" ht="37.5" x14ac:dyDescent="0.25">
      <c r="A151" s="4">
        <v>311</v>
      </c>
      <c r="B151" s="52">
        <v>41</v>
      </c>
      <c r="C151" s="52">
        <v>930</v>
      </c>
      <c r="D151" s="7">
        <v>70499</v>
      </c>
      <c r="E151" s="48" t="s">
        <v>174</v>
      </c>
      <c r="F151" s="112" t="s">
        <v>392</v>
      </c>
      <c r="G151" s="225" t="s">
        <v>393</v>
      </c>
      <c r="H151" s="165"/>
      <c r="I151" s="165"/>
      <c r="J151" s="165"/>
      <c r="K151" s="165"/>
      <c r="L151" s="68" t="e">
        <f>ROUND(COM!H151,1)</f>
        <v>#REF!</v>
      </c>
      <c r="M151" s="68" t="e">
        <f>ROUND(COM!I151,1)</f>
        <v>#REF!</v>
      </c>
      <c r="N151" s="68" t="e">
        <f>ROUND(COM!J151,1)</f>
        <v>#REF!</v>
      </c>
      <c r="O151" s="68" t="e">
        <f>ROUND(COM!K151,1)</f>
        <v>#REF!</v>
      </c>
      <c r="P151" s="68" t="e">
        <f>ROUND(COM!L151,1)</f>
        <v>#REF!</v>
      </c>
      <c r="Q151" s="68" t="e">
        <f>ROUND(COM!M151,1)</f>
        <v>#REF!</v>
      </c>
      <c r="R151" s="68" t="e">
        <f>ROUND(COM!N151,1)</f>
        <v>#REF!</v>
      </c>
      <c r="S151" s="68" t="e">
        <f>ROUND(COM!O151,1)</f>
        <v>#REF!</v>
      </c>
      <c r="T151" s="68" t="e">
        <f>ROUND(COM!P151,1)</f>
        <v>#REF!</v>
      </c>
      <c r="U151" s="68" t="e">
        <f>ROUND(COM!Q151,1)</f>
        <v>#REF!</v>
      </c>
      <c r="V151" s="68" t="e">
        <f>ROUND(COM!R151,1)</f>
        <v>#REF!</v>
      </c>
      <c r="W151" s="68" t="e">
        <f>ROUND(COM!S151,1)</f>
        <v>#REF!</v>
      </c>
      <c r="X151" s="111" t="e">
        <f t="shared" si="16"/>
        <v>#REF!</v>
      </c>
    </row>
    <row r="152" spans="1:24" ht="37.5" x14ac:dyDescent="0.25">
      <c r="A152" s="4">
        <v>321</v>
      </c>
      <c r="B152" s="52">
        <v>41</v>
      </c>
      <c r="C152" s="52">
        <v>930</v>
      </c>
      <c r="D152" s="7">
        <v>70499</v>
      </c>
      <c r="E152" s="48" t="s">
        <v>174</v>
      </c>
      <c r="F152" s="112" t="s">
        <v>392</v>
      </c>
      <c r="G152" s="227"/>
      <c r="H152" s="166"/>
      <c r="I152" s="166"/>
      <c r="J152" s="166"/>
      <c r="K152" s="166"/>
      <c r="L152" s="68" t="e">
        <f>ROUND(COM!H152,1)</f>
        <v>#REF!</v>
      </c>
      <c r="M152" s="68" t="e">
        <f>ROUND(COM!I152,1)</f>
        <v>#REF!</v>
      </c>
      <c r="N152" s="68" t="e">
        <f>ROUND(COM!J152,1)</f>
        <v>#REF!</v>
      </c>
      <c r="O152" s="68" t="e">
        <f>ROUND(COM!K152,1)</f>
        <v>#REF!</v>
      </c>
      <c r="P152" s="68" t="e">
        <f>ROUND(COM!L152,1)</f>
        <v>#REF!</v>
      </c>
      <c r="Q152" s="68" t="e">
        <f>ROUND(COM!M152,1)</f>
        <v>#REF!</v>
      </c>
      <c r="R152" s="68" t="e">
        <f>ROUND(COM!N152,1)</f>
        <v>#REF!</v>
      </c>
      <c r="S152" s="68" t="e">
        <f>ROUND(COM!O152,1)</f>
        <v>#REF!</v>
      </c>
      <c r="T152" s="68" t="e">
        <f>ROUND(COM!P152,1)</f>
        <v>#REF!</v>
      </c>
      <c r="U152" s="68" t="e">
        <f>ROUND(COM!Q152,1)</f>
        <v>#REF!</v>
      </c>
      <c r="V152" s="68" t="e">
        <f>ROUND(COM!R152,1)</f>
        <v>#REF!</v>
      </c>
      <c r="W152" s="68" t="e">
        <f>ROUND(COM!S152,1)</f>
        <v>#REF!</v>
      </c>
      <c r="X152" s="111" t="e">
        <f t="shared" si="16"/>
        <v>#REF!</v>
      </c>
    </row>
    <row r="153" spans="1:24" ht="75" x14ac:dyDescent="0.25">
      <c r="A153" s="88">
        <v>311</v>
      </c>
      <c r="B153" s="89">
        <v>41</v>
      </c>
      <c r="C153" s="89">
        <v>920</v>
      </c>
      <c r="D153" s="90">
        <v>70499</v>
      </c>
      <c r="E153" s="122" t="s">
        <v>172</v>
      </c>
      <c r="F153" s="92" t="s">
        <v>387</v>
      </c>
      <c r="G153" s="92"/>
      <c r="H153" s="92"/>
      <c r="I153" s="92"/>
      <c r="J153" s="92"/>
      <c r="K153" s="92"/>
      <c r="L153" s="68" t="e">
        <f>ROUND(COM!H153,1)</f>
        <v>#REF!</v>
      </c>
      <c r="M153" s="68" t="e">
        <f>ROUND(COM!I153,1)</f>
        <v>#REF!</v>
      </c>
      <c r="N153" s="68" t="e">
        <f>ROUND(COM!J153,1)</f>
        <v>#REF!</v>
      </c>
      <c r="O153" s="68" t="e">
        <f>ROUND(COM!K153,1)</f>
        <v>#REF!</v>
      </c>
      <c r="P153" s="68" t="e">
        <f>ROUND(COM!L153,1)</f>
        <v>#REF!</v>
      </c>
      <c r="Q153" s="68" t="e">
        <f>ROUND(COM!M153,1)</f>
        <v>#REF!</v>
      </c>
      <c r="R153" s="68" t="e">
        <f>ROUND(COM!N153,1)</f>
        <v>#REF!</v>
      </c>
      <c r="S153" s="68" t="e">
        <f>ROUND(COM!O153,1)</f>
        <v>#REF!</v>
      </c>
      <c r="T153" s="68" t="e">
        <f>ROUND(COM!P153,1)</f>
        <v>#REF!</v>
      </c>
      <c r="U153" s="68" t="e">
        <f>ROUND(COM!Q153,1)</f>
        <v>#REF!</v>
      </c>
      <c r="V153" s="68" t="e">
        <f>ROUND(COM!R153,1)</f>
        <v>#REF!</v>
      </c>
      <c r="W153" s="68" t="e">
        <f>ROUND(COM!S153,1)</f>
        <v>#REF!</v>
      </c>
      <c r="X153" s="111" t="e">
        <f t="shared" si="16"/>
        <v>#REF!</v>
      </c>
    </row>
    <row r="154" spans="1:24" ht="75" x14ac:dyDescent="0.25">
      <c r="A154" s="88">
        <v>311</v>
      </c>
      <c r="B154" s="89">
        <v>41</v>
      </c>
      <c r="C154" s="89">
        <v>930</v>
      </c>
      <c r="D154" s="90">
        <v>70499</v>
      </c>
      <c r="E154" s="122" t="s">
        <v>172</v>
      </c>
      <c r="F154" s="92" t="s">
        <v>388</v>
      </c>
      <c r="G154" s="92"/>
      <c r="H154" s="92"/>
      <c r="I154" s="92"/>
      <c r="J154" s="92"/>
      <c r="K154" s="92"/>
      <c r="L154" s="68" t="e">
        <f>ROUND(COM!H154,1)</f>
        <v>#REF!</v>
      </c>
      <c r="M154" s="68" t="e">
        <f>ROUND(COM!I154,1)</f>
        <v>#REF!</v>
      </c>
      <c r="N154" s="68" t="e">
        <f>ROUND(COM!J154,1)</f>
        <v>#REF!</v>
      </c>
      <c r="O154" s="68" t="e">
        <f>ROUND(COM!K154,1)</f>
        <v>#REF!</v>
      </c>
      <c r="P154" s="68" t="e">
        <f>ROUND(COM!L154,1)</f>
        <v>#REF!</v>
      </c>
      <c r="Q154" s="68" t="e">
        <f>ROUND(COM!M154,1)</f>
        <v>#REF!</v>
      </c>
      <c r="R154" s="68" t="e">
        <f>ROUND(COM!N154,1)</f>
        <v>#REF!</v>
      </c>
      <c r="S154" s="68" t="e">
        <f>ROUND(COM!O154,1)</f>
        <v>#REF!</v>
      </c>
      <c r="T154" s="68" t="e">
        <f>ROUND(COM!P154,1)</f>
        <v>#REF!</v>
      </c>
      <c r="U154" s="68" t="e">
        <f>ROUND(COM!Q154,1)</f>
        <v>#REF!</v>
      </c>
      <c r="V154" s="68" t="e">
        <f>ROUND(COM!R154,1)</f>
        <v>#REF!</v>
      </c>
      <c r="W154" s="68" t="e">
        <f>ROUND(COM!S154,1)</f>
        <v>#REF!</v>
      </c>
      <c r="X154" s="111" t="e">
        <f t="shared" si="16"/>
        <v>#REF!</v>
      </c>
    </row>
    <row r="155" spans="1:24" ht="18.75" x14ac:dyDescent="0.25">
      <c r="A155" s="4"/>
      <c r="B155" s="52"/>
      <c r="C155" s="52"/>
      <c r="D155" s="7"/>
      <c r="E155" s="20"/>
      <c r="F155" s="38"/>
      <c r="G155" s="38"/>
      <c r="H155" s="38"/>
      <c r="I155" s="38"/>
      <c r="J155" s="38"/>
      <c r="K155" s="3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111">
        <f t="shared" si="16"/>
        <v>0</v>
      </c>
    </row>
    <row r="156" spans="1:24" ht="18.75" x14ac:dyDescent="0.25">
      <c r="A156" s="4"/>
      <c r="B156" s="52"/>
      <c r="C156" s="52"/>
      <c r="D156" s="7"/>
      <c r="E156" s="20"/>
      <c r="F156" s="38"/>
      <c r="G156" s="38"/>
      <c r="H156" s="38"/>
      <c r="I156" s="38"/>
      <c r="J156" s="38"/>
      <c r="K156" s="3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111">
        <f t="shared" si="16"/>
        <v>0</v>
      </c>
    </row>
    <row r="157" spans="1:24" ht="18.75" x14ac:dyDescent="0.25">
      <c r="A157" s="4"/>
      <c r="B157" s="52"/>
      <c r="C157" s="52"/>
      <c r="D157" s="7"/>
      <c r="E157" s="20"/>
      <c r="F157" s="38"/>
      <c r="G157" s="38"/>
      <c r="H157" s="38"/>
      <c r="I157" s="38"/>
      <c r="J157" s="38"/>
      <c r="K157" s="3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111">
        <f t="shared" si="16"/>
        <v>0</v>
      </c>
    </row>
    <row r="158" spans="1:24" ht="18.75" x14ac:dyDescent="0.25">
      <c r="A158" s="4"/>
      <c r="B158" s="52"/>
      <c r="C158" s="52"/>
      <c r="D158" s="7"/>
      <c r="E158" s="20"/>
      <c r="F158" s="38"/>
      <c r="G158" s="38"/>
      <c r="H158" s="38"/>
      <c r="I158" s="38"/>
      <c r="J158" s="38"/>
      <c r="K158" s="3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111">
        <f t="shared" si="16"/>
        <v>0</v>
      </c>
    </row>
    <row r="159" spans="1:24" ht="18.75" x14ac:dyDescent="0.25">
      <c r="A159" s="4"/>
      <c r="B159" s="52"/>
      <c r="C159" s="52"/>
      <c r="D159" s="7"/>
      <c r="E159" s="20"/>
      <c r="F159" s="38"/>
      <c r="G159" s="38"/>
      <c r="H159" s="38"/>
      <c r="I159" s="38"/>
      <c r="J159" s="38"/>
      <c r="K159" s="3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111">
        <f t="shared" si="16"/>
        <v>0</v>
      </c>
    </row>
    <row r="160" spans="1:24" s="47" customFormat="1" ht="37.5" x14ac:dyDescent="0.25">
      <c r="A160" s="56"/>
      <c r="B160" s="50"/>
      <c r="C160" s="50"/>
      <c r="D160" s="50"/>
      <c r="E160" s="54"/>
      <c r="F160" s="40" t="s">
        <v>226</v>
      </c>
      <c r="G160" s="40"/>
      <c r="H160" s="40"/>
      <c r="I160" s="40"/>
      <c r="J160" s="40"/>
      <c r="K160" s="40"/>
      <c r="L160" s="99" t="e">
        <f>L161</f>
        <v>#REF!</v>
      </c>
      <c r="M160" s="99" t="e">
        <f>M161</f>
        <v>#REF!</v>
      </c>
      <c r="N160" s="99" t="e">
        <f t="shared" ref="N160:W160" si="17">N161</f>
        <v>#REF!</v>
      </c>
      <c r="O160" s="99" t="e">
        <f t="shared" si="17"/>
        <v>#REF!</v>
      </c>
      <c r="P160" s="99" t="e">
        <f t="shared" si="17"/>
        <v>#REF!</v>
      </c>
      <c r="Q160" s="99" t="e">
        <f t="shared" si="17"/>
        <v>#REF!</v>
      </c>
      <c r="R160" s="99" t="e">
        <f t="shared" si="17"/>
        <v>#REF!</v>
      </c>
      <c r="S160" s="99" t="e">
        <f t="shared" si="17"/>
        <v>#REF!</v>
      </c>
      <c r="T160" s="99" t="e">
        <f t="shared" si="17"/>
        <v>#REF!</v>
      </c>
      <c r="U160" s="99" t="e">
        <f t="shared" si="17"/>
        <v>#REF!</v>
      </c>
      <c r="V160" s="99" t="e">
        <f t="shared" si="17"/>
        <v>#REF!</v>
      </c>
      <c r="W160" s="99" t="e">
        <f t="shared" si="17"/>
        <v>#REF!</v>
      </c>
      <c r="X160" s="111" t="e">
        <f t="shared" si="16"/>
        <v>#REF!</v>
      </c>
    </row>
    <row r="161" spans="1:24" s="47" customFormat="1" ht="18.75" x14ac:dyDescent="0.25">
      <c r="A161" s="57"/>
      <c r="B161" s="51"/>
      <c r="C161" s="51"/>
      <c r="D161" s="51"/>
      <c r="E161" s="55"/>
      <c r="F161" s="37" t="s">
        <v>6</v>
      </c>
      <c r="G161" s="37"/>
      <c r="H161" s="37"/>
      <c r="I161" s="37"/>
      <c r="J161" s="37"/>
      <c r="K161" s="37"/>
      <c r="L161" s="100" t="e">
        <f>SUM(L162:L253)</f>
        <v>#REF!</v>
      </c>
      <c r="M161" s="100" t="e">
        <f t="shared" ref="M161:W161" si="18">SUM(M162:M253)</f>
        <v>#REF!</v>
      </c>
      <c r="N161" s="100" t="e">
        <f t="shared" si="18"/>
        <v>#REF!</v>
      </c>
      <c r="O161" s="100" t="e">
        <f t="shared" si="18"/>
        <v>#REF!</v>
      </c>
      <c r="P161" s="100" t="e">
        <f t="shared" si="18"/>
        <v>#REF!</v>
      </c>
      <c r="Q161" s="100" t="e">
        <f t="shared" si="18"/>
        <v>#REF!</v>
      </c>
      <c r="R161" s="100" t="e">
        <f t="shared" si="18"/>
        <v>#REF!</v>
      </c>
      <c r="S161" s="100" t="e">
        <f t="shared" si="18"/>
        <v>#REF!</v>
      </c>
      <c r="T161" s="100" t="e">
        <f t="shared" si="18"/>
        <v>#REF!</v>
      </c>
      <c r="U161" s="100" t="e">
        <f t="shared" si="18"/>
        <v>#REF!</v>
      </c>
      <c r="V161" s="100" t="e">
        <f t="shared" si="18"/>
        <v>#REF!</v>
      </c>
      <c r="W161" s="100" t="e">
        <f t="shared" si="18"/>
        <v>#REF!</v>
      </c>
      <c r="X161" s="111" t="e">
        <f t="shared" si="16"/>
        <v>#REF!</v>
      </c>
    </row>
    <row r="162" spans="1:24" s="121" customFormat="1" ht="18.75" x14ac:dyDescent="0.25">
      <c r="A162" s="49">
        <v>311</v>
      </c>
      <c r="B162" s="52">
        <v>41</v>
      </c>
      <c r="C162" s="52">
        <v>920</v>
      </c>
      <c r="D162" s="53">
        <v>70499</v>
      </c>
      <c r="E162" s="48" t="s">
        <v>172</v>
      </c>
      <c r="F162" s="151" t="s">
        <v>58</v>
      </c>
      <c r="G162" s="150"/>
      <c r="H162" s="150"/>
      <c r="I162" s="150"/>
      <c r="J162" s="150"/>
      <c r="K162" s="150"/>
      <c r="L162" s="68" t="e">
        <f>ROUND(COM!H162,1)</f>
        <v>#REF!</v>
      </c>
      <c r="M162" s="68" t="e">
        <f>ROUND(COM!I162,1)</f>
        <v>#REF!</v>
      </c>
      <c r="N162" s="68" t="e">
        <f>ROUND(COM!J162,1)</f>
        <v>#REF!</v>
      </c>
      <c r="O162" s="68" t="e">
        <f>ROUND(COM!K162,1)</f>
        <v>#REF!</v>
      </c>
      <c r="P162" s="68" t="e">
        <f>ROUND(COM!L162,1)</f>
        <v>#REF!</v>
      </c>
      <c r="Q162" s="68" t="e">
        <f>ROUND(COM!M162,1)</f>
        <v>#REF!</v>
      </c>
      <c r="R162" s="68" t="e">
        <f>ROUND(COM!N162,1)</f>
        <v>#REF!</v>
      </c>
      <c r="S162" s="68" t="e">
        <f>ROUND(COM!O162,1)</f>
        <v>#REF!</v>
      </c>
      <c r="T162" s="68" t="e">
        <f>ROUND(COM!P162,1)</f>
        <v>#REF!</v>
      </c>
      <c r="U162" s="68" t="e">
        <f>ROUND(COM!Q162,1)</f>
        <v>#REF!</v>
      </c>
      <c r="V162" s="68" t="e">
        <f>ROUND(COM!R162,1)</f>
        <v>#REF!</v>
      </c>
      <c r="W162" s="68" t="e">
        <f>ROUND(COM!S162,1)</f>
        <v>#REF!</v>
      </c>
      <c r="X162" s="120"/>
    </row>
    <row r="163" spans="1:24" ht="37.5" x14ac:dyDescent="0.25">
      <c r="A163" s="49">
        <v>311</v>
      </c>
      <c r="B163" s="52">
        <v>41</v>
      </c>
      <c r="C163" s="52">
        <v>920</v>
      </c>
      <c r="D163" s="53">
        <v>70499</v>
      </c>
      <c r="E163" s="48" t="s">
        <v>172</v>
      </c>
      <c r="F163" s="62" t="s">
        <v>224</v>
      </c>
      <c r="G163" s="225" t="s">
        <v>290</v>
      </c>
      <c r="H163" s="165"/>
      <c r="I163" s="165"/>
      <c r="J163" s="165"/>
      <c r="K163" s="165"/>
      <c r="L163" s="68" t="e">
        <f>ROUND(COM!H163,1)</f>
        <v>#REF!</v>
      </c>
      <c r="M163" s="68" t="e">
        <f>ROUND(COM!I163,1)</f>
        <v>#REF!</v>
      </c>
      <c r="N163" s="68" t="e">
        <f>ROUND(COM!J163,1)</f>
        <v>#REF!</v>
      </c>
      <c r="O163" s="68" t="e">
        <f>ROUND(COM!K163,1)</f>
        <v>#REF!</v>
      </c>
      <c r="P163" s="68" t="e">
        <f>ROUND(COM!L163,1)</f>
        <v>#REF!</v>
      </c>
      <c r="Q163" s="68" t="e">
        <f>ROUND(COM!M163,1)</f>
        <v>#REF!</v>
      </c>
      <c r="R163" s="68" t="e">
        <f>ROUND(COM!N163,1)</f>
        <v>#REF!</v>
      </c>
      <c r="S163" s="68" t="e">
        <f>ROUND(COM!O163,1)</f>
        <v>#REF!</v>
      </c>
      <c r="T163" s="68" t="e">
        <f>ROUND(COM!P163,1)</f>
        <v>#REF!</v>
      </c>
      <c r="U163" s="68" t="e">
        <f>ROUND(COM!Q163,1)</f>
        <v>#REF!</v>
      </c>
      <c r="V163" s="68" t="e">
        <f>ROUND(COM!R163,1)</f>
        <v>#REF!</v>
      </c>
      <c r="W163" s="68" t="e">
        <f>ROUND(COM!S163,1)</f>
        <v>#REF!</v>
      </c>
      <c r="X163" s="111" t="e">
        <f t="shared" si="16"/>
        <v>#REF!</v>
      </c>
    </row>
    <row r="164" spans="1:24" ht="37.5" x14ac:dyDescent="0.25">
      <c r="A164" s="49">
        <v>311</v>
      </c>
      <c r="B164" s="52">
        <v>41</v>
      </c>
      <c r="C164" s="52">
        <v>930</v>
      </c>
      <c r="D164" s="53">
        <v>70499</v>
      </c>
      <c r="E164" s="48" t="s">
        <v>172</v>
      </c>
      <c r="F164" s="62" t="s">
        <v>225</v>
      </c>
      <c r="G164" s="227"/>
      <c r="H164" s="166"/>
      <c r="I164" s="166"/>
      <c r="J164" s="166"/>
      <c r="K164" s="166"/>
      <c r="L164" s="68" t="e">
        <f>ROUND(COM!H164,1)</f>
        <v>#REF!</v>
      </c>
      <c r="M164" s="68" t="e">
        <f>ROUND(COM!I164,1)</f>
        <v>#REF!</v>
      </c>
      <c r="N164" s="68" t="e">
        <f>ROUND(COM!J164,1)</f>
        <v>#REF!</v>
      </c>
      <c r="O164" s="68" t="e">
        <f>ROUND(COM!K164,1)</f>
        <v>#REF!</v>
      </c>
      <c r="P164" s="68" t="e">
        <f>ROUND(COM!L164,1)</f>
        <v>#REF!</v>
      </c>
      <c r="Q164" s="68" t="e">
        <f>ROUND(COM!M164,1)</f>
        <v>#REF!</v>
      </c>
      <c r="R164" s="68" t="e">
        <f>ROUND(COM!N164,1)</f>
        <v>#REF!</v>
      </c>
      <c r="S164" s="68" t="e">
        <f>ROUND(COM!O164,1)</f>
        <v>#REF!</v>
      </c>
      <c r="T164" s="68" t="e">
        <f>ROUND(COM!P164,1)</f>
        <v>#REF!</v>
      </c>
      <c r="U164" s="68" t="e">
        <f>ROUND(COM!Q164,1)</f>
        <v>#REF!</v>
      </c>
      <c r="V164" s="68" t="e">
        <f>ROUND(COM!R164,1)</f>
        <v>#REF!</v>
      </c>
      <c r="W164" s="68" t="e">
        <f>ROUND(COM!S164,1)</f>
        <v>#REF!</v>
      </c>
      <c r="X164" s="111" t="e">
        <f t="shared" si="16"/>
        <v>#REF!</v>
      </c>
    </row>
    <row r="165" spans="1:24" ht="37.5" x14ac:dyDescent="0.25">
      <c r="A165" s="49">
        <v>311</v>
      </c>
      <c r="B165" s="52">
        <v>41</v>
      </c>
      <c r="C165" s="52">
        <v>910</v>
      </c>
      <c r="D165" s="53">
        <v>70499</v>
      </c>
      <c r="E165" s="48"/>
      <c r="F165" s="62" t="s">
        <v>59</v>
      </c>
      <c r="G165" s="225" t="s">
        <v>323</v>
      </c>
      <c r="H165" s="165"/>
      <c r="I165" s="165"/>
      <c r="J165" s="165"/>
      <c r="K165" s="165"/>
      <c r="L165" s="68" t="e">
        <f>ROUND(COM!H165,1)</f>
        <v>#REF!</v>
      </c>
      <c r="M165" s="68" t="e">
        <f>ROUND(COM!I165,1)</f>
        <v>#REF!</v>
      </c>
      <c r="N165" s="68" t="e">
        <f>ROUND(COM!J165,1)</f>
        <v>#REF!</v>
      </c>
      <c r="O165" s="68" t="e">
        <f>ROUND(COM!K165,1)</f>
        <v>#REF!</v>
      </c>
      <c r="P165" s="68" t="e">
        <f>ROUND(COM!L165,1)</f>
        <v>#REF!</v>
      </c>
      <c r="Q165" s="68" t="e">
        <f>ROUND(COM!M165,1)</f>
        <v>#REF!</v>
      </c>
      <c r="R165" s="68" t="e">
        <f>ROUND(COM!N165,1)</f>
        <v>#REF!</v>
      </c>
      <c r="S165" s="68" t="e">
        <f>ROUND(COM!O165,1)</f>
        <v>#REF!</v>
      </c>
      <c r="T165" s="68" t="e">
        <f>ROUND(COM!P165,1)</f>
        <v>#REF!</v>
      </c>
      <c r="U165" s="68" t="e">
        <f>ROUND(COM!Q165,1)</f>
        <v>#REF!</v>
      </c>
      <c r="V165" s="68" t="e">
        <f>ROUND(COM!R165,1)</f>
        <v>#REF!</v>
      </c>
      <c r="W165" s="68" t="e">
        <f>ROUND(COM!S165,1)</f>
        <v>#REF!</v>
      </c>
      <c r="X165" s="111" t="e">
        <f t="shared" si="16"/>
        <v>#REF!</v>
      </c>
    </row>
    <row r="166" spans="1:24" ht="37.5" x14ac:dyDescent="0.25">
      <c r="A166" s="49">
        <v>311</v>
      </c>
      <c r="B166" s="52">
        <v>41</v>
      </c>
      <c r="C166" s="52">
        <v>930</v>
      </c>
      <c r="D166" s="53">
        <v>70499</v>
      </c>
      <c r="E166" s="48" t="s">
        <v>174</v>
      </c>
      <c r="F166" s="62" t="s">
        <v>60</v>
      </c>
      <c r="G166" s="226"/>
      <c r="H166" s="167"/>
      <c r="I166" s="167"/>
      <c r="J166" s="167"/>
      <c r="K166" s="167"/>
      <c r="L166" s="68" t="e">
        <f>ROUND(COM!H166,1)</f>
        <v>#REF!</v>
      </c>
      <c r="M166" s="68" t="e">
        <f>ROUND(COM!I166,1)</f>
        <v>#REF!</v>
      </c>
      <c r="N166" s="68" t="e">
        <f>ROUND(COM!J166,1)</f>
        <v>#REF!</v>
      </c>
      <c r="O166" s="68" t="e">
        <f>ROUND(COM!K166,1)</f>
        <v>#REF!</v>
      </c>
      <c r="P166" s="68" t="e">
        <f>ROUND(COM!L166,1)</f>
        <v>#REF!</v>
      </c>
      <c r="Q166" s="68" t="e">
        <f>ROUND(COM!M166,1)</f>
        <v>#REF!</v>
      </c>
      <c r="R166" s="68" t="e">
        <f>ROUND(COM!N166,1)</f>
        <v>#REF!</v>
      </c>
      <c r="S166" s="68" t="e">
        <f>ROUND(COM!O166,1)</f>
        <v>#REF!</v>
      </c>
      <c r="T166" s="68" t="e">
        <f>ROUND(COM!P166,1)</f>
        <v>#REF!</v>
      </c>
      <c r="U166" s="68" t="e">
        <f>ROUND(COM!Q166,1)</f>
        <v>#REF!</v>
      </c>
      <c r="V166" s="68" t="e">
        <f>ROUND(COM!R166,1)</f>
        <v>#REF!</v>
      </c>
      <c r="W166" s="68" t="e">
        <f>ROUND(COM!S166,1)</f>
        <v>#REF!</v>
      </c>
      <c r="X166" s="111" t="e">
        <f t="shared" si="16"/>
        <v>#REF!</v>
      </c>
    </row>
    <row r="167" spans="1:24" ht="37.5" x14ac:dyDescent="0.25">
      <c r="A167" s="49">
        <v>311</v>
      </c>
      <c r="B167" s="52">
        <v>41</v>
      </c>
      <c r="C167" s="52">
        <v>930</v>
      </c>
      <c r="D167" s="53">
        <v>70499</v>
      </c>
      <c r="E167" s="48" t="s">
        <v>166</v>
      </c>
      <c r="F167" s="74" t="s">
        <v>61</v>
      </c>
      <c r="G167" s="227"/>
      <c r="H167" s="166"/>
      <c r="I167" s="166"/>
      <c r="J167" s="166"/>
      <c r="K167" s="166"/>
      <c r="L167" s="68" t="e">
        <f>ROUND(COM!H167,1)</f>
        <v>#REF!</v>
      </c>
      <c r="M167" s="68" t="e">
        <f>ROUND(COM!I167,1)</f>
        <v>#REF!</v>
      </c>
      <c r="N167" s="68" t="e">
        <f>ROUND(COM!J167,1)</f>
        <v>#REF!</v>
      </c>
      <c r="O167" s="68" t="e">
        <f>ROUND(COM!K167,1)</f>
        <v>#REF!</v>
      </c>
      <c r="P167" s="68" t="e">
        <f>ROUND(COM!L167,1)</f>
        <v>#REF!</v>
      </c>
      <c r="Q167" s="68" t="e">
        <f>ROUND(COM!M167,1)</f>
        <v>#REF!</v>
      </c>
      <c r="R167" s="68" t="e">
        <f>ROUND(COM!N167,1)</f>
        <v>#REF!</v>
      </c>
      <c r="S167" s="68" t="e">
        <f>ROUND(COM!O167,1)</f>
        <v>#REF!</v>
      </c>
      <c r="T167" s="68" t="e">
        <f>ROUND(COM!P167,1)</f>
        <v>#REF!</v>
      </c>
      <c r="U167" s="68" t="e">
        <f>ROUND(COM!Q167,1)</f>
        <v>#REF!</v>
      </c>
      <c r="V167" s="68" t="e">
        <f>ROUND(COM!R167,1)</f>
        <v>#REF!</v>
      </c>
      <c r="W167" s="68" t="e">
        <f>ROUND(COM!S167,1)</f>
        <v>#REF!</v>
      </c>
      <c r="X167" s="111" t="e">
        <f t="shared" si="16"/>
        <v>#REF!</v>
      </c>
    </row>
    <row r="168" spans="1:24" ht="37.5" x14ac:dyDescent="0.25">
      <c r="A168" s="49">
        <v>311</v>
      </c>
      <c r="B168" s="52">
        <v>41</v>
      </c>
      <c r="C168" s="52">
        <v>910</v>
      </c>
      <c r="D168" s="53">
        <v>70499</v>
      </c>
      <c r="E168" s="48"/>
      <c r="F168" s="62" t="s">
        <v>62</v>
      </c>
      <c r="G168" s="225" t="s">
        <v>300</v>
      </c>
      <c r="H168" s="165"/>
      <c r="I168" s="165"/>
      <c r="J168" s="165"/>
      <c r="K168" s="165"/>
      <c r="L168" s="68" t="e">
        <f>ROUND(COM!H168,1)</f>
        <v>#REF!</v>
      </c>
      <c r="M168" s="68" t="e">
        <f>ROUND(COM!I168,1)</f>
        <v>#REF!</v>
      </c>
      <c r="N168" s="68" t="e">
        <f>ROUND(COM!J168,1)</f>
        <v>#REF!</v>
      </c>
      <c r="O168" s="68" t="e">
        <f>ROUND(COM!K168,1)</f>
        <v>#REF!</v>
      </c>
      <c r="P168" s="68" t="e">
        <f>ROUND(COM!L168,1)</f>
        <v>#REF!</v>
      </c>
      <c r="Q168" s="68" t="e">
        <f>ROUND(COM!M168,1)</f>
        <v>#REF!</v>
      </c>
      <c r="R168" s="68" t="e">
        <f>ROUND(COM!N168,1)</f>
        <v>#REF!</v>
      </c>
      <c r="S168" s="68" t="e">
        <f>ROUND(COM!O168,1)</f>
        <v>#REF!</v>
      </c>
      <c r="T168" s="68" t="e">
        <f>ROUND(COM!P168,1)</f>
        <v>#REF!</v>
      </c>
      <c r="U168" s="68" t="e">
        <f>ROUND(COM!Q168,1)</f>
        <v>#REF!</v>
      </c>
      <c r="V168" s="68" t="e">
        <f>ROUND(COM!R168,1)</f>
        <v>#REF!</v>
      </c>
      <c r="W168" s="68" t="e">
        <f>ROUND(COM!S168,1)</f>
        <v>#REF!</v>
      </c>
      <c r="X168" s="111" t="e">
        <f t="shared" si="16"/>
        <v>#REF!</v>
      </c>
    </row>
    <row r="169" spans="1:24" ht="37.5" x14ac:dyDescent="0.25">
      <c r="A169" s="49">
        <v>311</v>
      </c>
      <c r="B169" s="52">
        <v>41</v>
      </c>
      <c r="C169" s="52">
        <v>920</v>
      </c>
      <c r="D169" s="53">
        <v>70499</v>
      </c>
      <c r="E169" s="48" t="s">
        <v>173</v>
      </c>
      <c r="F169" s="62" t="s">
        <v>63</v>
      </c>
      <c r="G169" s="226"/>
      <c r="H169" s="167"/>
      <c r="I169" s="167"/>
      <c r="J169" s="167"/>
      <c r="K169" s="167"/>
      <c r="L169" s="68" t="e">
        <f>ROUND(COM!H169,1)</f>
        <v>#REF!</v>
      </c>
      <c r="M169" s="68" t="e">
        <f>ROUND(COM!I169,1)</f>
        <v>#REF!</v>
      </c>
      <c r="N169" s="68" t="e">
        <f>ROUND(COM!J169,1)</f>
        <v>#REF!</v>
      </c>
      <c r="O169" s="68" t="e">
        <f>ROUND(COM!K169,1)</f>
        <v>#REF!</v>
      </c>
      <c r="P169" s="68" t="e">
        <f>ROUND(COM!L169,1)</f>
        <v>#REF!</v>
      </c>
      <c r="Q169" s="68" t="e">
        <f>ROUND(COM!M169,1)</f>
        <v>#REF!</v>
      </c>
      <c r="R169" s="68" t="e">
        <f>ROUND(COM!N169,1)</f>
        <v>#REF!</v>
      </c>
      <c r="S169" s="68" t="e">
        <f>ROUND(COM!O169,1)</f>
        <v>#REF!</v>
      </c>
      <c r="T169" s="68" t="e">
        <f>ROUND(COM!P169,1)</f>
        <v>#REF!</v>
      </c>
      <c r="U169" s="68" t="e">
        <f>ROUND(COM!Q169,1)</f>
        <v>#REF!</v>
      </c>
      <c r="V169" s="68" t="e">
        <f>ROUND(COM!R169,1)</f>
        <v>#REF!</v>
      </c>
      <c r="W169" s="68" t="e">
        <f>ROUND(COM!S169,1)</f>
        <v>#REF!</v>
      </c>
      <c r="X169" s="111" t="e">
        <f t="shared" si="16"/>
        <v>#REF!</v>
      </c>
    </row>
    <row r="170" spans="1:24" ht="37.5" x14ac:dyDescent="0.25">
      <c r="A170" s="49">
        <v>311</v>
      </c>
      <c r="B170" s="52">
        <v>41</v>
      </c>
      <c r="C170" s="52">
        <v>930</v>
      </c>
      <c r="D170" s="53">
        <v>70499</v>
      </c>
      <c r="E170" s="48" t="s">
        <v>173</v>
      </c>
      <c r="F170" s="62" t="s">
        <v>64</v>
      </c>
      <c r="G170" s="227"/>
      <c r="H170" s="166"/>
      <c r="I170" s="166"/>
      <c r="J170" s="166"/>
      <c r="K170" s="166"/>
      <c r="L170" s="68" t="e">
        <f>ROUND(COM!H170,1)</f>
        <v>#REF!</v>
      </c>
      <c r="M170" s="68" t="e">
        <f>ROUND(COM!I170,1)</f>
        <v>#REF!</v>
      </c>
      <c r="N170" s="68" t="e">
        <f>ROUND(COM!J170,1)</f>
        <v>#REF!</v>
      </c>
      <c r="O170" s="68" t="e">
        <f>ROUND(COM!K170,1)</f>
        <v>#REF!</v>
      </c>
      <c r="P170" s="68" t="e">
        <f>ROUND(COM!L170,1)</f>
        <v>#REF!</v>
      </c>
      <c r="Q170" s="68" t="e">
        <f>ROUND(COM!M170,1)</f>
        <v>#REF!</v>
      </c>
      <c r="R170" s="68" t="e">
        <f>ROUND(COM!N170,1)</f>
        <v>#REF!</v>
      </c>
      <c r="S170" s="68" t="e">
        <f>ROUND(COM!O170,1)</f>
        <v>#REF!</v>
      </c>
      <c r="T170" s="68" t="e">
        <f>ROUND(COM!P170,1)</f>
        <v>#REF!</v>
      </c>
      <c r="U170" s="68" t="e">
        <f>ROUND(COM!Q170,1)</f>
        <v>#REF!</v>
      </c>
      <c r="V170" s="68" t="e">
        <f>ROUND(COM!R170,1)</f>
        <v>#REF!</v>
      </c>
      <c r="W170" s="68" t="e">
        <f>ROUND(COM!S170,1)</f>
        <v>#REF!</v>
      </c>
      <c r="X170" s="111" t="e">
        <f t="shared" si="16"/>
        <v>#REF!</v>
      </c>
    </row>
    <row r="171" spans="1:24" ht="37.5" x14ac:dyDescent="0.25">
      <c r="A171" s="49">
        <v>311</v>
      </c>
      <c r="B171" s="52">
        <v>41</v>
      </c>
      <c r="C171" s="52">
        <v>920</v>
      </c>
      <c r="D171" s="53">
        <v>70499</v>
      </c>
      <c r="E171" s="48" t="s">
        <v>176</v>
      </c>
      <c r="F171" s="62" t="s">
        <v>209</v>
      </c>
      <c r="G171" s="225" t="s">
        <v>272</v>
      </c>
      <c r="H171" s="165"/>
      <c r="I171" s="165"/>
      <c r="J171" s="165"/>
      <c r="K171" s="165"/>
      <c r="L171" s="68" t="e">
        <f>ROUND(COM!H171,1)</f>
        <v>#REF!</v>
      </c>
      <c r="M171" s="68" t="e">
        <f>ROUND(COM!I171,1)</f>
        <v>#REF!</v>
      </c>
      <c r="N171" s="68" t="e">
        <f>ROUND(COM!J171,1)</f>
        <v>#REF!</v>
      </c>
      <c r="O171" s="68" t="e">
        <f>ROUND(COM!K171,1)</f>
        <v>#REF!</v>
      </c>
      <c r="P171" s="68" t="e">
        <f>ROUND(COM!L171,1)</f>
        <v>#REF!</v>
      </c>
      <c r="Q171" s="68" t="e">
        <f>ROUND(COM!M171,1)</f>
        <v>#REF!</v>
      </c>
      <c r="R171" s="68" t="e">
        <f>ROUND(COM!N171,1)</f>
        <v>#REF!</v>
      </c>
      <c r="S171" s="68" t="e">
        <f>ROUND(COM!O171,1)</f>
        <v>#REF!</v>
      </c>
      <c r="T171" s="68" t="e">
        <f>ROUND(COM!P171,1)</f>
        <v>#REF!</v>
      </c>
      <c r="U171" s="68" t="e">
        <f>ROUND(COM!Q171,1)</f>
        <v>#REF!</v>
      </c>
      <c r="V171" s="68" t="e">
        <f>ROUND(COM!R171,1)</f>
        <v>#REF!</v>
      </c>
      <c r="W171" s="68" t="e">
        <f>ROUND(COM!S171,1)</f>
        <v>#REF!</v>
      </c>
      <c r="X171" s="111" t="e">
        <f t="shared" si="16"/>
        <v>#REF!</v>
      </c>
    </row>
    <row r="172" spans="1:24" ht="37.5" x14ac:dyDescent="0.25">
      <c r="A172" s="49">
        <v>311</v>
      </c>
      <c r="B172" s="52">
        <v>41</v>
      </c>
      <c r="C172" s="52">
        <v>930</v>
      </c>
      <c r="D172" s="53">
        <v>70499</v>
      </c>
      <c r="E172" s="48" t="s">
        <v>176</v>
      </c>
      <c r="F172" s="62" t="s">
        <v>218</v>
      </c>
      <c r="G172" s="227"/>
      <c r="H172" s="166"/>
      <c r="I172" s="166"/>
      <c r="J172" s="166"/>
      <c r="K172" s="166"/>
      <c r="L172" s="68" t="e">
        <f>ROUND(COM!H172,1)</f>
        <v>#REF!</v>
      </c>
      <c r="M172" s="68" t="e">
        <f>ROUND(COM!I172,1)</f>
        <v>#REF!</v>
      </c>
      <c r="N172" s="68" t="e">
        <f>ROUND(COM!J172,1)</f>
        <v>#REF!</v>
      </c>
      <c r="O172" s="68" t="e">
        <f>ROUND(COM!K172,1)</f>
        <v>#REF!</v>
      </c>
      <c r="P172" s="68" t="e">
        <f>ROUND(COM!L172,1)</f>
        <v>#REF!</v>
      </c>
      <c r="Q172" s="68" t="e">
        <f>ROUND(COM!M172,1)</f>
        <v>#REF!</v>
      </c>
      <c r="R172" s="68" t="e">
        <f>ROUND(COM!N172,1)</f>
        <v>#REF!</v>
      </c>
      <c r="S172" s="68" t="e">
        <f>ROUND(COM!O172,1)</f>
        <v>#REF!</v>
      </c>
      <c r="T172" s="68" t="e">
        <f>ROUND(COM!P172,1)</f>
        <v>#REF!</v>
      </c>
      <c r="U172" s="68" t="e">
        <f>ROUND(COM!Q172,1)</f>
        <v>#REF!</v>
      </c>
      <c r="V172" s="68" t="e">
        <f>ROUND(COM!R172,1)</f>
        <v>#REF!</v>
      </c>
      <c r="W172" s="68" t="e">
        <f>ROUND(COM!S172,1)</f>
        <v>#REF!</v>
      </c>
      <c r="X172" s="111" t="e">
        <f t="shared" si="16"/>
        <v>#REF!</v>
      </c>
    </row>
    <row r="173" spans="1:24" ht="37.5" x14ac:dyDescent="0.25">
      <c r="A173" s="49">
        <v>311</v>
      </c>
      <c r="B173" s="52">
        <v>41</v>
      </c>
      <c r="C173" s="52">
        <v>910</v>
      </c>
      <c r="D173" s="53">
        <v>70499</v>
      </c>
      <c r="E173" s="48"/>
      <c r="F173" s="62" t="s">
        <v>221</v>
      </c>
      <c r="G173" s="225" t="s">
        <v>320</v>
      </c>
      <c r="H173" s="165"/>
      <c r="I173" s="165"/>
      <c r="J173" s="165"/>
      <c r="K173" s="165"/>
      <c r="L173" s="68" t="e">
        <f>ROUND(COM!H173,1)</f>
        <v>#REF!</v>
      </c>
      <c r="M173" s="68" t="e">
        <f>ROUND(COM!I173,1)</f>
        <v>#REF!</v>
      </c>
      <c r="N173" s="68" t="e">
        <f>ROUND(COM!J173,1)</f>
        <v>#REF!</v>
      </c>
      <c r="O173" s="68" t="e">
        <f>ROUND(COM!K173,1)</f>
        <v>#REF!</v>
      </c>
      <c r="P173" s="68" t="e">
        <f>ROUND(COM!L173,1)</f>
        <v>#REF!</v>
      </c>
      <c r="Q173" s="68" t="e">
        <f>ROUND(COM!M173,1)</f>
        <v>#REF!</v>
      </c>
      <c r="R173" s="68" t="e">
        <f>ROUND(COM!N173,1)</f>
        <v>#REF!</v>
      </c>
      <c r="S173" s="68" t="e">
        <f>ROUND(COM!O173,1)</f>
        <v>#REF!</v>
      </c>
      <c r="T173" s="68" t="e">
        <f>ROUND(COM!P173,1)</f>
        <v>#REF!</v>
      </c>
      <c r="U173" s="68" t="e">
        <f>ROUND(COM!Q173,1)</f>
        <v>#REF!</v>
      </c>
      <c r="V173" s="68" t="e">
        <f>ROUND(COM!R173,1)</f>
        <v>#REF!</v>
      </c>
      <c r="W173" s="68" t="e">
        <f>ROUND(COM!S173,1)</f>
        <v>#REF!</v>
      </c>
      <c r="X173" s="111" t="e">
        <f t="shared" si="16"/>
        <v>#REF!</v>
      </c>
    </row>
    <row r="174" spans="1:24" ht="56.25" x14ac:dyDescent="0.25">
      <c r="A174" s="49">
        <v>311</v>
      </c>
      <c r="B174" s="52">
        <v>41</v>
      </c>
      <c r="C174" s="52">
        <v>920</v>
      </c>
      <c r="D174" s="53">
        <v>70499</v>
      </c>
      <c r="E174" s="48" t="s">
        <v>173</v>
      </c>
      <c r="F174" s="62" t="s">
        <v>222</v>
      </c>
      <c r="G174" s="227"/>
      <c r="H174" s="166"/>
      <c r="I174" s="166"/>
      <c r="J174" s="166"/>
      <c r="K174" s="166"/>
      <c r="L174" s="68" t="e">
        <f>ROUND(COM!H174,1)</f>
        <v>#REF!</v>
      </c>
      <c r="M174" s="68" t="e">
        <f>ROUND(COM!I174,1)</f>
        <v>#REF!</v>
      </c>
      <c r="N174" s="68" t="e">
        <f>ROUND(COM!J174,1)</f>
        <v>#REF!</v>
      </c>
      <c r="O174" s="68" t="e">
        <f>ROUND(COM!K174,1)</f>
        <v>#REF!</v>
      </c>
      <c r="P174" s="68" t="e">
        <f>ROUND(COM!L174,1)</f>
        <v>#REF!</v>
      </c>
      <c r="Q174" s="68" t="e">
        <f>ROUND(COM!M174,1)</f>
        <v>#REF!</v>
      </c>
      <c r="R174" s="68" t="e">
        <f>ROUND(COM!N174,1)</f>
        <v>#REF!</v>
      </c>
      <c r="S174" s="68" t="e">
        <f>ROUND(COM!O174,1)</f>
        <v>#REF!</v>
      </c>
      <c r="T174" s="68" t="e">
        <f>ROUND(COM!P174,1)</f>
        <v>#REF!</v>
      </c>
      <c r="U174" s="68" t="e">
        <f>ROUND(COM!Q174,1)</f>
        <v>#REF!</v>
      </c>
      <c r="V174" s="68" t="e">
        <f>ROUND(COM!R174,1)</f>
        <v>#REF!</v>
      </c>
      <c r="W174" s="68" t="e">
        <f>ROUND(COM!S174,1)</f>
        <v>#REF!</v>
      </c>
      <c r="X174" s="111" t="e">
        <f t="shared" si="16"/>
        <v>#REF!</v>
      </c>
    </row>
    <row r="175" spans="1:24" ht="37.5" x14ac:dyDescent="0.25">
      <c r="A175" s="49">
        <v>311</v>
      </c>
      <c r="B175" s="52">
        <v>41</v>
      </c>
      <c r="C175" s="52">
        <v>920</v>
      </c>
      <c r="D175" s="53">
        <v>70499</v>
      </c>
      <c r="E175" s="48" t="s">
        <v>178</v>
      </c>
      <c r="F175" s="62" t="s">
        <v>325</v>
      </c>
      <c r="G175" s="225" t="s">
        <v>272</v>
      </c>
      <c r="H175" s="165"/>
      <c r="I175" s="165"/>
      <c r="J175" s="165"/>
      <c r="K175" s="165"/>
      <c r="L175" s="68" t="e">
        <f>ROUND(COM!H175,1)</f>
        <v>#REF!</v>
      </c>
      <c r="M175" s="68" t="e">
        <f>ROUND(COM!I175,1)</f>
        <v>#REF!</v>
      </c>
      <c r="N175" s="68" t="e">
        <f>ROUND(COM!J175,1)</f>
        <v>#REF!</v>
      </c>
      <c r="O175" s="68" t="e">
        <f>ROUND(COM!K175,1)</f>
        <v>#REF!</v>
      </c>
      <c r="P175" s="68" t="e">
        <f>ROUND(COM!L175,1)</f>
        <v>#REF!</v>
      </c>
      <c r="Q175" s="68" t="e">
        <f>ROUND(COM!M175,1)</f>
        <v>#REF!</v>
      </c>
      <c r="R175" s="68" t="e">
        <f>ROUND(COM!N175,1)</f>
        <v>#REF!</v>
      </c>
      <c r="S175" s="68" t="e">
        <f>ROUND(COM!O175,1)</f>
        <v>#REF!</v>
      </c>
      <c r="T175" s="68" t="e">
        <f>ROUND(COM!P175,1)</f>
        <v>#REF!</v>
      </c>
      <c r="U175" s="68" t="e">
        <f>ROUND(COM!Q175,1)</f>
        <v>#REF!</v>
      </c>
      <c r="V175" s="68" t="e">
        <f>ROUND(COM!R175,1)</f>
        <v>#REF!</v>
      </c>
      <c r="W175" s="68" t="e">
        <f>ROUND(COM!S175,1)</f>
        <v>#REF!</v>
      </c>
      <c r="X175" s="111" t="e">
        <f t="shared" si="16"/>
        <v>#REF!</v>
      </c>
    </row>
    <row r="176" spans="1:24" ht="37.5" x14ac:dyDescent="0.25">
      <c r="A176" s="49">
        <v>311</v>
      </c>
      <c r="B176" s="52">
        <v>41</v>
      </c>
      <c r="C176" s="52">
        <v>930</v>
      </c>
      <c r="D176" s="53">
        <v>70499</v>
      </c>
      <c r="E176" s="48" t="s">
        <v>176</v>
      </c>
      <c r="F176" s="62" t="s">
        <v>326</v>
      </c>
      <c r="G176" s="227"/>
      <c r="H176" s="166"/>
      <c r="I176" s="166"/>
      <c r="J176" s="166"/>
      <c r="K176" s="166"/>
      <c r="L176" s="68" t="e">
        <f>ROUND(COM!H176,1)</f>
        <v>#REF!</v>
      </c>
      <c r="M176" s="68" t="e">
        <f>ROUND(COM!I176,1)</f>
        <v>#REF!</v>
      </c>
      <c r="N176" s="68" t="e">
        <f>ROUND(COM!J176,1)</f>
        <v>#REF!</v>
      </c>
      <c r="O176" s="68" t="e">
        <f>ROUND(COM!K176,1)</f>
        <v>#REF!</v>
      </c>
      <c r="P176" s="68" t="e">
        <f>ROUND(COM!L176,1)</f>
        <v>#REF!</v>
      </c>
      <c r="Q176" s="68" t="e">
        <f>ROUND(COM!M176,1)</f>
        <v>#REF!</v>
      </c>
      <c r="R176" s="68" t="e">
        <f>ROUND(COM!N176,1)</f>
        <v>#REF!</v>
      </c>
      <c r="S176" s="68" t="e">
        <f>ROUND(COM!O176,1)</f>
        <v>#REF!</v>
      </c>
      <c r="T176" s="68" t="e">
        <f>ROUND(COM!P176,1)</f>
        <v>#REF!</v>
      </c>
      <c r="U176" s="68" t="e">
        <f>ROUND(COM!Q176,1)</f>
        <v>#REF!</v>
      </c>
      <c r="V176" s="68" t="e">
        <f>ROUND(COM!R176,1)</f>
        <v>#REF!</v>
      </c>
      <c r="W176" s="68" t="e">
        <f>ROUND(COM!S176,1)</f>
        <v>#REF!</v>
      </c>
      <c r="X176" s="111" t="e">
        <f t="shared" si="16"/>
        <v>#REF!</v>
      </c>
    </row>
    <row r="177" spans="1:24" ht="37.5" x14ac:dyDescent="0.25">
      <c r="A177" s="49">
        <v>311</v>
      </c>
      <c r="B177" s="52">
        <v>41</v>
      </c>
      <c r="C177" s="52">
        <v>920</v>
      </c>
      <c r="D177" s="53">
        <v>70499</v>
      </c>
      <c r="E177" s="48" t="s">
        <v>178</v>
      </c>
      <c r="F177" s="62" t="s">
        <v>327</v>
      </c>
      <c r="G177" s="225" t="s">
        <v>329</v>
      </c>
      <c r="H177" s="165"/>
      <c r="I177" s="165"/>
      <c r="J177" s="165"/>
      <c r="K177" s="165"/>
      <c r="L177" s="68" t="e">
        <f>ROUND(COM!H177,1)</f>
        <v>#REF!</v>
      </c>
      <c r="M177" s="68" t="e">
        <f>ROUND(COM!I177,1)</f>
        <v>#REF!</v>
      </c>
      <c r="N177" s="68" t="e">
        <f>ROUND(COM!J177,1)</f>
        <v>#REF!</v>
      </c>
      <c r="O177" s="68" t="e">
        <f>ROUND(COM!K177,1)</f>
        <v>#REF!</v>
      </c>
      <c r="P177" s="68" t="e">
        <f>ROUND(COM!L177,1)</f>
        <v>#REF!</v>
      </c>
      <c r="Q177" s="68" t="e">
        <f>ROUND(COM!M177,1)</f>
        <v>#REF!</v>
      </c>
      <c r="R177" s="68" t="e">
        <f>ROUND(COM!N177,1)</f>
        <v>#REF!</v>
      </c>
      <c r="S177" s="68" t="e">
        <f>ROUND(COM!O177,1)</f>
        <v>#REF!</v>
      </c>
      <c r="T177" s="68" t="e">
        <f>ROUND(COM!P177,1)</f>
        <v>#REF!</v>
      </c>
      <c r="U177" s="68" t="e">
        <f>ROUND(COM!Q177,1)</f>
        <v>#REF!</v>
      </c>
      <c r="V177" s="68" t="e">
        <f>ROUND(COM!R177,1)</f>
        <v>#REF!</v>
      </c>
      <c r="W177" s="68" t="e">
        <f>ROUND(COM!S177,1)</f>
        <v>#REF!</v>
      </c>
      <c r="X177" s="111" t="e">
        <f t="shared" si="16"/>
        <v>#REF!</v>
      </c>
    </row>
    <row r="178" spans="1:24" ht="37.5" x14ac:dyDescent="0.25">
      <c r="A178" s="49">
        <v>311</v>
      </c>
      <c r="B178" s="52">
        <v>41</v>
      </c>
      <c r="C178" s="52">
        <v>930</v>
      </c>
      <c r="D178" s="53">
        <v>70499</v>
      </c>
      <c r="E178" s="48" t="s">
        <v>176</v>
      </c>
      <c r="F178" s="62" t="s">
        <v>328</v>
      </c>
      <c r="G178" s="227"/>
      <c r="H178" s="166"/>
      <c r="I178" s="166"/>
      <c r="J178" s="166"/>
      <c r="K178" s="166"/>
      <c r="L178" s="68" t="e">
        <f>ROUND(COM!H178,1)</f>
        <v>#REF!</v>
      </c>
      <c r="M178" s="68" t="e">
        <f>ROUND(COM!I178,1)</f>
        <v>#REF!</v>
      </c>
      <c r="N178" s="68" t="e">
        <f>ROUND(COM!J178,1)</f>
        <v>#REF!</v>
      </c>
      <c r="O178" s="68" t="e">
        <f>ROUND(COM!K178,1)</f>
        <v>#REF!</v>
      </c>
      <c r="P178" s="68" t="e">
        <f>ROUND(COM!L178,1)</f>
        <v>#REF!</v>
      </c>
      <c r="Q178" s="68" t="e">
        <f>ROUND(COM!M178,1)</f>
        <v>#REF!</v>
      </c>
      <c r="R178" s="68" t="e">
        <f>ROUND(COM!N178,1)</f>
        <v>#REF!</v>
      </c>
      <c r="S178" s="68" t="e">
        <f>ROUND(COM!O178,1)</f>
        <v>#REF!</v>
      </c>
      <c r="T178" s="68" t="e">
        <f>ROUND(COM!P178,1)</f>
        <v>#REF!</v>
      </c>
      <c r="U178" s="68" t="e">
        <f>ROUND(COM!Q178,1)</f>
        <v>#REF!</v>
      </c>
      <c r="V178" s="68" t="e">
        <f>ROUND(COM!R178,1)</f>
        <v>#REF!</v>
      </c>
      <c r="W178" s="68" t="e">
        <f>ROUND(COM!S178,1)</f>
        <v>#REF!</v>
      </c>
      <c r="X178" s="111" t="e">
        <f t="shared" si="16"/>
        <v>#REF!</v>
      </c>
    </row>
    <row r="179" spans="1:24" ht="37.5" x14ac:dyDescent="0.25">
      <c r="A179" s="49">
        <v>311</v>
      </c>
      <c r="B179" s="52">
        <v>41</v>
      </c>
      <c r="C179" s="52">
        <v>910</v>
      </c>
      <c r="D179" s="53">
        <v>70499</v>
      </c>
      <c r="E179" s="48" t="s">
        <v>173</v>
      </c>
      <c r="F179" s="62" t="s">
        <v>339</v>
      </c>
      <c r="G179" s="225" t="s">
        <v>300</v>
      </c>
      <c r="H179" s="165"/>
      <c r="I179" s="165"/>
      <c r="J179" s="165"/>
      <c r="K179" s="165"/>
      <c r="L179" s="68" t="e">
        <f>ROUND(COM!H179,1)</f>
        <v>#REF!</v>
      </c>
      <c r="M179" s="68" t="e">
        <f>ROUND(COM!I179,1)</f>
        <v>#REF!</v>
      </c>
      <c r="N179" s="68" t="e">
        <f>ROUND(COM!J179,1)</f>
        <v>#REF!</v>
      </c>
      <c r="O179" s="68" t="e">
        <f>ROUND(COM!K179,1)</f>
        <v>#REF!</v>
      </c>
      <c r="P179" s="68" t="e">
        <f>ROUND(COM!L179,1)</f>
        <v>#REF!</v>
      </c>
      <c r="Q179" s="68" t="e">
        <f>ROUND(COM!M179,1)</f>
        <v>#REF!</v>
      </c>
      <c r="R179" s="68" t="e">
        <f>ROUND(COM!N179,1)</f>
        <v>#REF!</v>
      </c>
      <c r="S179" s="68" t="e">
        <f>ROUND(COM!O179,1)</f>
        <v>#REF!</v>
      </c>
      <c r="T179" s="68" t="e">
        <f>ROUND(COM!P179,1)</f>
        <v>#REF!</v>
      </c>
      <c r="U179" s="68" t="e">
        <f>ROUND(COM!Q179,1)</f>
        <v>#REF!</v>
      </c>
      <c r="V179" s="68" t="e">
        <f>ROUND(COM!R179,1)</f>
        <v>#REF!</v>
      </c>
      <c r="W179" s="68" t="e">
        <f>ROUND(COM!S179,1)</f>
        <v>#REF!</v>
      </c>
      <c r="X179" s="111" t="e">
        <f t="shared" si="16"/>
        <v>#REF!</v>
      </c>
    </row>
    <row r="180" spans="1:24" ht="56.25" x14ac:dyDescent="0.25">
      <c r="A180" s="49">
        <v>311</v>
      </c>
      <c r="B180" s="52">
        <v>41</v>
      </c>
      <c r="C180" s="52">
        <v>920</v>
      </c>
      <c r="D180" s="53">
        <v>70499</v>
      </c>
      <c r="E180" s="48" t="s">
        <v>173</v>
      </c>
      <c r="F180" s="62" t="s">
        <v>340</v>
      </c>
      <c r="G180" s="226"/>
      <c r="H180" s="167"/>
      <c r="I180" s="167"/>
      <c r="J180" s="167"/>
      <c r="K180" s="167"/>
      <c r="L180" s="68" t="e">
        <f>ROUND(COM!H180,1)</f>
        <v>#REF!</v>
      </c>
      <c r="M180" s="68" t="e">
        <f>ROUND(COM!I180,1)</f>
        <v>#REF!</v>
      </c>
      <c r="N180" s="68" t="e">
        <f>ROUND(COM!J180,1)</f>
        <v>#REF!</v>
      </c>
      <c r="O180" s="68" t="e">
        <f>ROUND(COM!K180,1)</f>
        <v>#REF!</v>
      </c>
      <c r="P180" s="68" t="e">
        <f>ROUND(COM!L180,1)</f>
        <v>#REF!</v>
      </c>
      <c r="Q180" s="68" t="e">
        <f>ROUND(COM!M180,1)</f>
        <v>#REF!</v>
      </c>
      <c r="R180" s="68" t="e">
        <f>ROUND(COM!N180,1)</f>
        <v>#REF!</v>
      </c>
      <c r="S180" s="68" t="e">
        <f>ROUND(COM!O180,1)</f>
        <v>#REF!</v>
      </c>
      <c r="T180" s="68" t="e">
        <f>ROUND(COM!P180,1)</f>
        <v>#REF!</v>
      </c>
      <c r="U180" s="68" t="e">
        <f>ROUND(COM!Q180,1)</f>
        <v>#REF!</v>
      </c>
      <c r="V180" s="68" t="e">
        <f>ROUND(COM!R180,1)</f>
        <v>#REF!</v>
      </c>
      <c r="W180" s="68" t="e">
        <f>ROUND(COM!S180,1)</f>
        <v>#REF!</v>
      </c>
      <c r="X180" s="111" t="e">
        <f t="shared" si="16"/>
        <v>#REF!</v>
      </c>
    </row>
    <row r="181" spans="1:24" ht="56.25" x14ac:dyDescent="0.25">
      <c r="A181" s="49">
        <v>311</v>
      </c>
      <c r="B181" s="52">
        <v>41</v>
      </c>
      <c r="C181" s="52">
        <v>930</v>
      </c>
      <c r="D181" s="53">
        <v>70499</v>
      </c>
      <c r="E181" s="48" t="s">
        <v>173</v>
      </c>
      <c r="F181" s="62" t="s">
        <v>341</v>
      </c>
      <c r="G181" s="227"/>
      <c r="H181" s="166"/>
      <c r="I181" s="166"/>
      <c r="J181" s="166"/>
      <c r="K181" s="166"/>
      <c r="L181" s="68" t="e">
        <f>ROUND(COM!H181,1)</f>
        <v>#REF!</v>
      </c>
      <c r="M181" s="68" t="e">
        <f>ROUND(COM!I181,1)</f>
        <v>#REF!</v>
      </c>
      <c r="N181" s="68" t="e">
        <f>ROUND(COM!J181,1)</f>
        <v>#REF!</v>
      </c>
      <c r="O181" s="68" t="e">
        <f>ROUND(COM!K181,1)</f>
        <v>#REF!</v>
      </c>
      <c r="P181" s="68" t="e">
        <f>ROUND(COM!L181,1)</f>
        <v>#REF!</v>
      </c>
      <c r="Q181" s="68" t="e">
        <f>ROUND(COM!M181,1)</f>
        <v>#REF!</v>
      </c>
      <c r="R181" s="68" t="e">
        <f>ROUND(COM!N181,1)</f>
        <v>#REF!</v>
      </c>
      <c r="S181" s="68" t="e">
        <f>ROUND(COM!O181,1)</f>
        <v>#REF!</v>
      </c>
      <c r="T181" s="68" t="e">
        <f>ROUND(COM!P181,1)</f>
        <v>#REF!</v>
      </c>
      <c r="U181" s="68" t="e">
        <f>ROUND(COM!Q181,1)</f>
        <v>#REF!</v>
      </c>
      <c r="V181" s="68" t="e">
        <f>ROUND(COM!R181,1)</f>
        <v>#REF!</v>
      </c>
      <c r="W181" s="68" t="e">
        <f>ROUND(COM!S181,1)</f>
        <v>#REF!</v>
      </c>
      <c r="X181" s="111" t="e">
        <f t="shared" si="16"/>
        <v>#REF!</v>
      </c>
    </row>
    <row r="182" spans="1:24" ht="37.5" x14ac:dyDescent="0.25">
      <c r="A182" s="4">
        <v>311</v>
      </c>
      <c r="B182" s="52">
        <v>41</v>
      </c>
      <c r="C182" s="52">
        <v>920</v>
      </c>
      <c r="D182" s="7">
        <v>70499</v>
      </c>
      <c r="E182" s="20" t="s">
        <v>170</v>
      </c>
      <c r="F182" s="38" t="s">
        <v>78</v>
      </c>
      <c r="G182" s="38"/>
      <c r="H182" s="38"/>
      <c r="I182" s="38"/>
      <c r="J182" s="38"/>
      <c r="K182" s="38"/>
      <c r="L182" s="68" t="e">
        <f>ROUND(COM!H182,1)</f>
        <v>#REF!</v>
      </c>
      <c r="M182" s="68" t="e">
        <f>ROUND(COM!I182,1)</f>
        <v>#REF!</v>
      </c>
      <c r="N182" s="68" t="e">
        <f>ROUND(COM!J182,1)</f>
        <v>#REF!</v>
      </c>
      <c r="O182" s="68" t="e">
        <f>ROUND(COM!K182,1)</f>
        <v>#REF!</v>
      </c>
      <c r="P182" s="68" t="e">
        <f>ROUND(COM!L182,1)</f>
        <v>#REF!</v>
      </c>
      <c r="Q182" s="68" t="e">
        <f>ROUND(COM!M182,1)</f>
        <v>#REF!</v>
      </c>
      <c r="R182" s="68" t="e">
        <f>ROUND(COM!N182,1)</f>
        <v>#REF!</v>
      </c>
      <c r="S182" s="68" t="e">
        <f>ROUND(COM!O182,1)</f>
        <v>#REF!</v>
      </c>
      <c r="T182" s="68" t="e">
        <f>ROUND(COM!P182,1)</f>
        <v>#REF!</v>
      </c>
      <c r="U182" s="68" t="e">
        <f>ROUND(COM!Q182,1)</f>
        <v>#REF!</v>
      </c>
      <c r="V182" s="68" t="e">
        <f>ROUND(COM!R182,1)</f>
        <v>#REF!</v>
      </c>
      <c r="W182" s="68" t="e">
        <f>ROUND(COM!S182,1)</f>
        <v>#REF!</v>
      </c>
      <c r="X182" s="111" t="e">
        <f t="shared" si="16"/>
        <v>#REF!</v>
      </c>
    </row>
    <row r="183" spans="1:24" ht="37.5" x14ac:dyDescent="0.25">
      <c r="A183" s="4">
        <v>321</v>
      </c>
      <c r="B183" s="52">
        <v>41</v>
      </c>
      <c r="C183" s="52">
        <v>930</v>
      </c>
      <c r="D183" s="7">
        <v>70499</v>
      </c>
      <c r="E183" s="20" t="s">
        <v>176</v>
      </c>
      <c r="F183" s="38" t="s">
        <v>79</v>
      </c>
      <c r="G183" s="38"/>
      <c r="H183" s="38"/>
      <c r="I183" s="38"/>
      <c r="J183" s="38"/>
      <c r="K183" s="38"/>
      <c r="L183" s="68" t="e">
        <f>ROUND(COM!H183,1)</f>
        <v>#REF!</v>
      </c>
      <c r="M183" s="68" t="e">
        <f>ROUND(COM!I183,1)</f>
        <v>#REF!</v>
      </c>
      <c r="N183" s="68" t="e">
        <f>ROUND(COM!J183,1)</f>
        <v>#REF!</v>
      </c>
      <c r="O183" s="68" t="e">
        <f>ROUND(COM!K183,1)</f>
        <v>#REF!</v>
      </c>
      <c r="P183" s="68" t="e">
        <f>ROUND(COM!L183,1)</f>
        <v>#REF!</v>
      </c>
      <c r="Q183" s="68" t="e">
        <f>ROUND(COM!M183,1)</f>
        <v>#REF!</v>
      </c>
      <c r="R183" s="68" t="e">
        <f>ROUND(COM!N183,1)</f>
        <v>#REF!</v>
      </c>
      <c r="S183" s="68" t="e">
        <f>ROUND(COM!O183,1)</f>
        <v>#REF!</v>
      </c>
      <c r="T183" s="68" t="e">
        <f>ROUND(COM!P183,1)</f>
        <v>#REF!</v>
      </c>
      <c r="U183" s="68" t="e">
        <f>ROUND(COM!Q183,1)</f>
        <v>#REF!</v>
      </c>
      <c r="V183" s="68" t="e">
        <f>ROUND(COM!R183,1)</f>
        <v>#REF!</v>
      </c>
      <c r="W183" s="68" t="e">
        <f>ROUND(COM!S183,1)</f>
        <v>#REF!</v>
      </c>
      <c r="X183" s="111" t="e">
        <f t="shared" si="16"/>
        <v>#REF!</v>
      </c>
    </row>
    <row r="184" spans="1:24" ht="37.5" x14ac:dyDescent="0.25">
      <c r="A184" s="4">
        <v>311</v>
      </c>
      <c r="B184" s="52">
        <v>41</v>
      </c>
      <c r="C184" s="52">
        <v>920</v>
      </c>
      <c r="D184" s="7">
        <v>70499</v>
      </c>
      <c r="E184" s="20" t="s">
        <v>178</v>
      </c>
      <c r="F184" s="86" t="s">
        <v>80</v>
      </c>
      <c r="G184" s="225" t="s">
        <v>361</v>
      </c>
      <c r="H184" s="165"/>
      <c r="I184" s="165"/>
      <c r="J184" s="165"/>
      <c r="K184" s="165"/>
      <c r="L184" s="68" t="e">
        <f>ROUND(COM!H184,1)</f>
        <v>#REF!</v>
      </c>
      <c r="M184" s="68" t="e">
        <f>ROUND(COM!I184,1)</f>
        <v>#REF!</v>
      </c>
      <c r="N184" s="68" t="e">
        <f>ROUND(COM!J184,1)</f>
        <v>#REF!</v>
      </c>
      <c r="O184" s="68" t="e">
        <f>ROUND(COM!K184,1)</f>
        <v>#REF!</v>
      </c>
      <c r="P184" s="68" t="e">
        <f>ROUND(COM!L184,1)</f>
        <v>#REF!</v>
      </c>
      <c r="Q184" s="68" t="e">
        <f>ROUND(COM!M184,1)</f>
        <v>#REF!</v>
      </c>
      <c r="R184" s="68" t="e">
        <f>ROUND(COM!N184,1)</f>
        <v>#REF!</v>
      </c>
      <c r="S184" s="68" t="e">
        <f>ROUND(COM!O184,1)</f>
        <v>#REF!</v>
      </c>
      <c r="T184" s="68" t="e">
        <f>ROUND(COM!P184,1)</f>
        <v>#REF!</v>
      </c>
      <c r="U184" s="68" t="e">
        <f>ROUND(COM!Q184,1)</f>
        <v>#REF!</v>
      </c>
      <c r="V184" s="68" t="e">
        <f>ROUND(COM!R184,1)</f>
        <v>#REF!</v>
      </c>
      <c r="W184" s="68" t="e">
        <f>ROUND(COM!S184,1)</f>
        <v>#REF!</v>
      </c>
      <c r="X184" s="111" t="e">
        <f t="shared" si="16"/>
        <v>#REF!</v>
      </c>
    </row>
    <row r="185" spans="1:24" ht="37.5" x14ac:dyDescent="0.25">
      <c r="A185" s="4">
        <v>321</v>
      </c>
      <c r="B185" s="52">
        <v>41</v>
      </c>
      <c r="C185" s="52">
        <v>930</v>
      </c>
      <c r="D185" s="7">
        <v>70499</v>
      </c>
      <c r="E185" s="20" t="s">
        <v>171</v>
      </c>
      <c r="F185" s="86" t="s">
        <v>81</v>
      </c>
      <c r="G185" s="226"/>
      <c r="H185" s="167"/>
      <c r="I185" s="167"/>
      <c r="J185" s="167"/>
      <c r="K185" s="167"/>
      <c r="L185" s="68" t="e">
        <f>ROUND(COM!H185,1)</f>
        <v>#REF!</v>
      </c>
      <c r="M185" s="68" t="e">
        <f>ROUND(COM!I185,1)</f>
        <v>#REF!</v>
      </c>
      <c r="N185" s="68" t="e">
        <f>ROUND(COM!J185,1)</f>
        <v>#REF!</v>
      </c>
      <c r="O185" s="68" t="e">
        <f>ROUND(COM!K185,1)</f>
        <v>#REF!</v>
      </c>
      <c r="P185" s="68" t="e">
        <f>ROUND(COM!L185,1)</f>
        <v>#REF!</v>
      </c>
      <c r="Q185" s="68" t="e">
        <f>ROUND(COM!M185,1)</f>
        <v>#REF!</v>
      </c>
      <c r="R185" s="68" t="e">
        <f>ROUND(COM!N185,1)</f>
        <v>#REF!</v>
      </c>
      <c r="S185" s="68" t="e">
        <f>ROUND(COM!O185,1)</f>
        <v>#REF!</v>
      </c>
      <c r="T185" s="68" t="e">
        <f>ROUND(COM!P185,1)</f>
        <v>#REF!</v>
      </c>
      <c r="U185" s="68" t="e">
        <f>ROUND(COM!Q185,1)</f>
        <v>#REF!</v>
      </c>
      <c r="V185" s="68" t="e">
        <f>ROUND(COM!R185,1)</f>
        <v>#REF!</v>
      </c>
      <c r="W185" s="68" t="e">
        <f>ROUND(COM!S185,1)</f>
        <v>#REF!</v>
      </c>
      <c r="X185" s="111" t="e">
        <f t="shared" si="16"/>
        <v>#REF!</v>
      </c>
    </row>
    <row r="186" spans="1:24" ht="37.5" x14ac:dyDescent="0.25">
      <c r="A186" s="4">
        <v>321</v>
      </c>
      <c r="B186" s="52">
        <v>41</v>
      </c>
      <c r="C186" s="52">
        <v>930</v>
      </c>
      <c r="D186" s="7">
        <v>70499</v>
      </c>
      <c r="E186" s="20" t="s">
        <v>176</v>
      </c>
      <c r="F186" s="86" t="s">
        <v>220</v>
      </c>
      <c r="G186" s="227"/>
      <c r="H186" s="166"/>
      <c r="I186" s="166"/>
      <c r="J186" s="166"/>
      <c r="K186" s="166"/>
      <c r="L186" s="68" t="e">
        <f>ROUND(COM!H186,1)</f>
        <v>#REF!</v>
      </c>
      <c r="M186" s="68" t="e">
        <f>ROUND(COM!I186,1)</f>
        <v>#REF!</v>
      </c>
      <c r="N186" s="68" t="e">
        <f>ROUND(COM!J186,1)</f>
        <v>#REF!</v>
      </c>
      <c r="O186" s="68" t="e">
        <f>ROUND(COM!K186,1)</f>
        <v>#REF!</v>
      </c>
      <c r="P186" s="68" t="e">
        <f>ROUND(COM!L186,1)</f>
        <v>#REF!</v>
      </c>
      <c r="Q186" s="68" t="e">
        <f>ROUND(COM!M186,1)</f>
        <v>#REF!</v>
      </c>
      <c r="R186" s="68" t="e">
        <f>ROUND(COM!N186,1)</f>
        <v>#REF!</v>
      </c>
      <c r="S186" s="68" t="e">
        <f>ROUND(COM!O186,1)</f>
        <v>#REF!</v>
      </c>
      <c r="T186" s="68" t="e">
        <f>ROUND(COM!P186,1)</f>
        <v>#REF!</v>
      </c>
      <c r="U186" s="68" t="e">
        <f>ROUND(COM!Q186,1)</f>
        <v>#REF!</v>
      </c>
      <c r="V186" s="68" t="e">
        <f>ROUND(COM!R186,1)</f>
        <v>#REF!</v>
      </c>
      <c r="W186" s="68" t="e">
        <f>ROUND(COM!S186,1)</f>
        <v>#REF!</v>
      </c>
      <c r="X186" s="111" t="e">
        <f t="shared" si="16"/>
        <v>#REF!</v>
      </c>
    </row>
    <row r="187" spans="1:24" ht="37.5" x14ac:dyDescent="0.25">
      <c r="A187" s="4">
        <v>311</v>
      </c>
      <c r="B187" s="52">
        <v>41</v>
      </c>
      <c r="C187" s="52">
        <v>920</v>
      </c>
      <c r="D187" s="7">
        <v>70499</v>
      </c>
      <c r="E187" s="20" t="s">
        <v>178</v>
      </c>
      <c r="F187" s="86" t="s">
        <v>82</v>
      </c>
      <c r="G187" s="225" t="s">
        <v>362</v>
      </c>
      <c r="H187" s="165"/>
      <c r="I187" s="165"/>
      <c r="J187" s="165"/>
      <c r="K187" s="165"/>
      <c r="L187" s="68" t="e">
        <f>ROUND(COM!H187,1)</f>
        <v>#REF!</v>
      </c>
      <c r="M187" s="68" t="e">
        <f>ROUND(COM!I187,1)</f>
        <v>#REF!</v>
      </c>
      <c r="N187" s="68" t="e">
        <f>ROUND(COM!J187,1)</f>
        <v>#REF!</v>
      </c>
      <c r="O187" s="68" t="e">
        <f>ROUND(COM!K187,1)</f>
        <v>#REF!</v>
      </c>
      <c r="P187" s="68" t="e">
        <f>ROUND(COM!L187,1)</f>
        <v>#REF!</v>
      </c>
      <c r="Q187" s="68" t="e">
        <f>ROUND(COM!M187,1)</f>
        <v>#REF!</v>
      </c>
      <c r="R187" s="68" t="e">
        <f>ROUND(COM!N187,1)</f>
        <v>#REF!</v>
      </c>
      <c r="S187" s="68" t="e">
        <f>ROUND(COM!O187,1)</f>
        <v>#REF!</v>
      </c>
      <c r="T187" s="68" t="e">
        <f>ROUND(COM!P187,1)</f>
        <v>#REF!</v>
      </c>
      <c r="U187" s="68" t="e">
        <f>ROUND(COM!Q187,1)</f>
        <v>#REF!</v>
      </c>
      <c r="V187" s="68" t="e">
        <f>ROUND(COM!R187,1)</f>
        <v>#REF!</v>
      </c>
      <c r="W187" s="68" t="e">
        <f>ROUND(COM!S187,1)</f>
        <v>#REF!</v>
      </c>
      <c r="X187" s="111" t="e">
        <f t="shared" si="16"/>
        <v>#REF!</v>
      </c>
    </row>
    <row r="188" spans="1:24" ht="37.5" x14ac:dyDescent="0.25">
      <c r="A188" s="4">
        <v>321</v>
      </c>
      <c r="B188" s="52">
        <v>41</v>
      </c>
      <c r="C188" s="52">
        <v>930</v>
      </c>
      <c r="D188" s="7">
        <v>70499</v>
      </c>
      <c r="E188" s="20" t="s">
        <v>176</v>
      </c>
      <c r="F188" s="86" t="s">
        <v>83</v>
      </c>
      <c r="G188" s="226"/>
      <c r="H188" s="167"/>
      <c r="I188" s="167"/>
      <c r="J188" s="167"/>
      <c r="K188" s="167"/>
      <c r="L188" s="68" t="e">
        <f>ROUND(COM!H188,1)</f>
        <v>#REF!</v>
      </c>
      <c r="M188" s="68" t="e">
        <f>ROUND(COM!I188,1)</f>
        <v>#REF!</v>
      </c>
      <c r="N188" s="68" t="e">
        <f>ROUND(COM!J188,1)</f>
        <v>#REF!</v>
      </c>
      <c r="O188" s="68" t="e">
        <f>ROUND(COM!K188,1)</f>
        <v>#REF!</v>
      </c>
      <c r="P188" s="68" t="e">
        <f>ROUND(COM!L188,1)</f>
        <v>#REF!</v>
      </c>
      <c r="Q188" s="68" t="e">
        <f>ROUND(COM!M188,1)</f>
        <v>#REF!</v>
      </c>
      <c r="R188" s="68" t="e">
        <f>ROUND(COM!N188,1)</f>
        <v>#REF!</v>
      </c>
      <c r="S188" s="68" t="e">
        <f>ROUND(COM!O188,1)</f>
        <v>#REF!</v>
      </c>
      <c r="T188" s="68" t="e">
        <f>ROUND(COM!P188,1)</f>
        <v>#REF!</v>
      </c>
      <c r="U188" s="68" t="e">
        <f>ROUND(COM!Q188,1)</f>
        <v>#REF!</v>
      </c>
      <c r="V188" s="68" t="e">
        <f>ROUND(COM!R188,1)</f>
        <v>#REF!</v>
      </c>
      <c r="W188" s="68" t="e">
        <f>ROUND(COM!S188,1)</f>
        <v>#REF!</v>
      </c>
      <c r="X188" s="111" t="e">
        <f t="shared" si="16"/>
        <v>#REF!</v>
      </c>
    </row>
    <row r="189" spans="1:24" ht="37.5" x14ac:dyDescent="0.25">
      <c r="A189" s="4">
        <v>321</v>
      </c>
      <c r="B189" s="52">
        <v>41</v>
      </c>
      <c r="C189" s="52">
        <v>930</v>
      </c>
      <c r="D189" s="7">
        <v>70499</v>
      </c>
      <c r="E189" s="20" t="s">
        <v>171</v>
      </c>
      <c r="F189" s="86" t="s">
        <v>84</v>
      </c>
      <c r="G189" s="227"/>
      <c r="H189" s="166"/>
      <c r="I189" s="166"/>
      <c r="J189" s="166"/>
      <c r="K189" s="166"/>
      <c r="L189" s="68" t="e">
        <f>ROUND(COM!H189,1)</f>
        <v>#REF!</v>
      </c>
      <c r="M189" s="68" t="e">
        <f>ROUND(COM!I189,1)</f>
        <v>#REF!</v>
      </c>
      <c r="N189" s="68" t="e">
        <f>ROUND(COM!J189,1)</f>
        <v>#REF!</v>
      </c>
      <c r="O189" s="68" t="e">
        <f>ROUND(COM!K189,1)</f>
        <v>#REF!</v>
      </c>
      <c r="P189" s="68" t="e">
        <f>ROUND(COM!L189,1)</f>
        <v>#REF!</v>
      </c>
      <c r="Q189" s="68" t="e">
        <f>ROUND(COM!M189,1)</f>
        <v>#REF!</v>
      </c>
      <c r="R189" s="68" t="e">
        <f>ROUND(COM!N189,1)</f>
        <v>#REF!</v>
      </c>
      <c r="S189" s="68" t="e">
        <f>ROUND(COM!O189,1)</f>
        <v>#REF!</v>
      </c>
      <c r="T189" s="68" t="e">
        <f>ROUND(COM!P189,1)</f>
        <v>#REF!</v>
      </c>
      <c r="U189" s="68" t="e">
        <f>ROUND(COM!Q189,1)</f>
        <v>#REF!</v>
      </c>
      <c r="V189" s="68" t="e">
        <f>ROUND(COM!R189,1)</f>
        <v>#REF!</v>
      </c>
      <c r="W189" s="68" t="e">
        <f>ROUND(COM!S189,1)</f>
        <v>#REF!</v>
      </c>
      <c r="X189" s="111" t="e">
        <f t="shared" si="16"/>
        <v>#REF!</v>
      </c>
    </row>
    <row r="190" spans="1:24" ht="37.5" x14ac:dyDescent="0.25">
      <c r="A190" s="4">
        <v>311</v>
      </c>
      <c r="B190" s="52">
        <v>41</v>
      </c>
      <c r="C190" s="52">
        <v>920</v>
      </c>
      <c r="D190" s="7">
        <v>70499</v>
      </c>
      <c r="E190" s="20" t="s">
        <v>178</v>
      </c>
      <c r="F190" s="86" t="s">
        <v>85</v>
      </c>
      <c r="G190" s="225" t="s">
        <v>363</v>
      </c>
      <c r="H190" s="165"/>
      <c r="I190" s="165"/>
      <c r="J190" s="165"/>
      <c r="K190" s="165"/>
      <c r="L190" s="68" t="e">
        <f>ROUND(COM!H190,1)</f>
        <v>#REF!</v>
      </c>
      <c r="M190" s="68" t="e">
        <f>ROUND(COM!I190,1)</f>
        <v>#REF!</v>
      </c>
      <c r="N190" s="68" t="e">
        <f>ROUND(COM!J190,1)</f>
        <v>#REF!</v>
      </c>
      <c r="O190" s="68" t="e">
        <f>ROUND(COM!K190,1)</f>
        <v>#REF!</v>
      </c>
      <c r="P190" s="68" t="e">
        <f>ROUND(COM!L190,1)</f>
        <v>#REF!</v>
      </c>
      <c r="Q190" s="68" t="e">
        <f>ROUND(COM!M190,1)</f>
        <v>#REF!</v>
      </c>
      <c r="R190" s="68" t="e">
        <f>ROUND(COM!N190,1)</f>
        <v>#REF!</v>
      </c>
      <c r="S190" s="68" t="e">
        <f>ROUND(COM!O190,1)</f>
        <v>#REF!</v>
      </c>
      <c r="T190" s="68" t="e">
        <f>ROUND(COM!P190,1)</f>
        <v>#REF!</v>
      </c>
      <c r="U190" s="68" t="e">
        <f>ROUND(COM!Q190,1)</f>
        <v>#REF!</v>
      </c>
      <c r="V190" s="68" t="e">
        <f>ROUND(COM!R190,1)</f>
        <v>#REF!</v>
      </c>
      <c r="W190" s="68" t="e">
        <f>ROUND(COM!S190,1)</f>
        <v>#REF!</v>
      </c>
      <c r="X190" s="111" t="e">
        <f t="shared" si="16"/>
        <v>#REF!</v>
      </c>
    </row>
    <row r="191" spans="1:24" ht="37.5" x14ac:dyDescent="0.25">
      <c r="A191" s="4">
        <v>321</v>
      </c>
      <c r="B191" s="52">
        <v>41</v>
      </c>
      <c r="C191" s="52">
        <v>930</v>
      </c>
      <c r="D191" s="7">
        <v>70499</v>
      </c>
      <c r="E191" s="20" t="s">
        <v>176</v>
      </c>
      <c r="F191" s="86" t="s">
        <v>86</v>
      </c>
      <c r="G191" s="226"/>
      <c r="H191" s="167"/>
      <c r="I191" s="167"/>
      <c r="J191" s="167"/>
      <c r="K191" s="167"/>
      <c r="L191" s="68" t="e">
        <f>ROUND(COM!H191,1)</f>
        <v>#REF!</v>
      </c>
      <c r="M191" s="68" t="e">
        <f>ROUND(COM!I191,1)</f>
        <v>#REF!</v>
      </c>
      <c r="N191" s="68" t="e">
        <f>ROUND(COM!J191,1)</f>
        <v>#REF!</v>
      </c>
      <c r="O191" s="68" t="e">
        <f>ROUND(COM!K191,1)</f>
        <v>#REF!</v>
      </c>
      <c r="P191" s="68" t="e">
        <f>ROUND(COM!L191,1)</f>
        <v>#REF!</v>
      </c>
      <c r="Q191" s="68" t="e">
        <f>ROUND(COM!M191,1)</f>
        <v>#REF!</v>
      </c>
      <c r="R191" s="68" t="e">
        <f>ROUND(COM!N191,1)</f>
        <v>#REF!</v>
      </c>
      <c r="S191" s="68" t="e">
        <f>ROUND(COM!O191,1)</f>
        <v>#REF!</v>
      </c>
      <c r="T191" s="68" t="e">
        <f>ROUND(COM!P191,1)</f>
        <v>#REF!</v>
      </c>
      <c r="U191" s="68" t="e">
        <f>ROUND(COM!Q191,1)</f>
        <v>#REF!</v>
      </c>
      <c r="V191" s="68" t="e">
        <f>ROUND(COM!R191,1)</f>
        <v>#REF!</v>
      </c>
      <c r="W191" s="68" t="e">
        <f>ROUND(COM!S191,1)</f>
        <v>#REF!</v>
      </c>
      <c r="X191" s="111" t="e">
        <f t="shared" si="16"/>
        <v>#REF!</v>
      </c>
    </row>
    <row r="192" spans="1:24" ht="37.5" x14ac:dyDescent="0.25">
      <c r="A192" s="4">
        <v>321</v>
      </c>
      <c r="B192" s="52">
        <v>41</v>
      </c>
      <c r="C192" s="52">
        <v>930</v>
      </c>
      <c r="D192" s="7">
        <v>70499</v>
      </c>
      <c r="E192" s="20" t="s">
        <v>171</v>
      </c>
      <c r="F192" s="86" t="s">
        <v>219</v>
      </c>
      <c r="G192" s="227"/>
      <c r="H192" s="166"/>
      <c r="I192" s="166"/>
      <c r="J192" s="166"/>
      <c r="K192" s="166"/>
      <c r="L192" s="68" t="e">
        <f>ROUND(COM!H192,1)</f>
        <v>#REF!</v>
      </c>
      <c r="M192" s="68" t="e">
        <f>ROUND(COM!I192,1)</f>
        <v>#REF!</v>
      </c>
      <c r="N192" s="68" t="e">
        <f>ROUND(COM!J192,1)</f>
        <v>#REF!</v>
      </c>
      <c r="O192" s="68" t="e">
        <f>ROUND(COM!K192,1)</f>
        <v>#REF!</v>
      </c>
      <c r="P192" s="68" t="e">
        <f>ROUND(COM!L192,1)</f>
        <v>#REF!</v>
      </c>
      <c r="Q192" s="68" t="e">
        <f>ROUND(COM!M192,1)</f>
        <v>#REF!</v>
      </c>
      <c r="R192" s="68" t="e">
        <f>ROUND(COM!N192,1)</f>
        <v>#REF!</v>
      </c>
      <c r="S192" s="68" t="e">
        <f>ROUND(COM!O192,1)</f>
        <v>#REF!</v>
      </c>
      <c r="T192" s="68" t="e">
        <f>ROUND(COM!P192,1)</f>
        <v>#REF!</v>
      </c>
      <c r="U192" s="68" t="e">
        <f>ROUND(COM!Q192,1)</f>
        <v>#REF!</v>
      </c>
      <c r="V192" s="68" t="e">
        <f>ROUND(COM!R192,1)</f>
        <v>#REF!</v>
      </c>
      <c r="W192" s="68" t="e">
        <f>ROUND(COM!S192,1)</f>
        <v>#REF!</v>
      </c>
      <c r="X192" s="111" t="e">
        <f t="shared" si="16"/>
        <v>#REF!</v>
      </c>
    </row>
    <row r="193" spans="1:24" ht="37.5" x14ac:dyDescent="0.25">
      <c r="A193" s="4">
        <v>311</v>
      </c>
      <c r="B193" s="52">
        <v>41</v>
      </c>
      <c r="C193" s="52">
        <v>920</v>
      </c>
      <c r="D193" s="7">
        <v>70499</v>
      </c>
      <c r="E193" s="20" t="s">
        <v>178</v>
      </c>
      <c r="F193" s="86" t="s">
        <v>87</v>
      </c>
      <c r="G193" s="225" t="s">
        <v>372</v>
      </c>
      <c r="H193" s="165"/>
      <c r="I193" s="165"/>
      <c r="J193" s="165"/>
      <c r="K193" s="165"/>
      <c r="L193" s="68" t="e">
        <f>ROUND(COM!H193,1)</f>
        <v>#REF!</v>
      </c>
      <c r="M193" s="68" t="e">
        <f>ROUND(COM!I193,1)</f>
        <v>#REF!</v>
      </c>
      <c r="N193" s="68" t="e">
        <f>ROUND(COM!J193,1)</f>
        <v>#REF!</v>
      </c>
      <c r="O193" s="68" t="e">
        <f>ROUND(COM!K193,1)</f>
        <v>#REF!</v>
      </c>
      <c r="P193" s="68" t="e">
        <f>ROUND(COM!L193,1)</f>
        <v>#REF!</v>
      </c>
      <c r="Q193" s="68" t="e">
        <f>ROUND(COM!M193,1)</f>
        <v>#REF!</v>
      </c>
      <c r="R193" s="68" t="e">
        <f>ROUND(COM!N193,1)</f>
        <v>#REF!</v>
      </c>
      <c r="S193" s="68" t="e">
        <f>ROUND(COM!O193,1)</f>
        <v>#REF!</v>
      </c>
      <c r="T193" s="68" t="e">
        <f>ROUND(COM!P193,1)</f>
        <v>#REF!</v>
      </c>
      <c r="U193" s="68" t="e">
        <f>ROUND(COM!Q193,1)</f>
        <v>#REF!</v>
      </c>
      <c r="V193" s="68" t="e">
        <f>ROUND(COM!R193,1)</f>
        <v>#REF!</v>
      </c>
      <c r="W193" s="68" t="e">
        <f>ROUND(COM!S193,1)</f>
        <v>#REF!</v>
      </c>
      <c r="X193" s="111" t="e">
        <f t="shared" si="16"/>
        <v>#REF!</v>
      </c>
    </row>
    <row r="194" spans="1:24" ht="37.5" x14ac:dyDescent="0.25">
      <c r="A194" s="4">
        <v>321</v>
      </c>
      <c r="B194" s="52">
        <v>41</v>
      </c>
      <c r="C194" s="52">
        <v>930</v>
      </c>
      <c r="D194" s="7">
        <v>70499</v>
      </c>
      <c r="E194" s="20" t="s">
        <v>176</v>
      </c>
      <c r="F194" s="86" t="s">
        <v>88</v>
      </c>
      <c r="G194" s="227"/>
      <c r="H194" s="166"/>
      <c r="I194" s="166"/>
      <c r="J194" s="166"/>
      <c r="K194" s="166"/>
      <c r="L194" s="68" t="e">
        <f>ROUND(COM!H194,1)</f>
        <v>#REF!</v>
      </c>
      <c r="M194" s="68" t="e">
        <f>ROUND(COM!I194,1)</f>
        <v>#REF!</v>
      </c>
      <c r="N194" s="68" t="e">
        <f>ROUND(COM!J194,1)</f>
        <v>#REF!</v>
      </c>
      <c r="O194" s="68" t="e">
        <f>ROUND(COM!K194,1)</f>
        <v>#REF!</v>
      </c>
      <c r="P194" s="68" t="e">
        <f>ROUND(COM!L194,1)</f>
        <v>#REF!</v>
      </c>
      <c r="Q194" s="68" t="e">
        <f>ROUND(COM!M194,1)</f>
        <v>#REF!</v>
      </c>
      <c r="R194" s="68" t="e">
        <f>ROUND(COM!N194,1)</f>
        <v>#REF!</v>
      </c>
      <c r="S194" s="68" t="e">
        <f>ROUND(COM!O194,1)</f>
        <v>#REF!</v>
      </c>
      <c r="T194" s="68" t="e">
        <f>ROUND(COM!P194,1)</f>
        <v>#REF!</v>
      </c>
      <c r="U194" s="68" t="e">
        <f>ROUND(COM!Q194,1)</f>
        <v>#REF!</v>
      </c>
      <c r="V194" s="68" t="e">
        <f>ROUND(COM!R194,1)</f>
        <v>#REF!</v>
      </c>
      <c r="W194" s="68" t="e">
        <f>ROUND(COM!S194,1)</f>
        <v>#REF!</v>
      </c>
      <c r="X194" s="111" t="e">
        <f t="shared" si="16"/>
        <v>#REF!</v>
      </c>
    </row>
    <row r="195" spans="1:24" ht="37.5" x14ac:dyDescent="0.25">
      <c r="A195" s="4">
        <v>311</v>
      </c>
      <c r="B195" s="52">
        <v>41</v>
      </c>
      <c r="C195" s="52">
        <v>920</v>
      </c>
      <c r="D195" s="7">
        <v>70499</v>
      </c>
      <c r="E195" s="20" t="s">
        <v>178</v>
      </c>
      <c r="F195" s="86" t="s">
        <v>89</v>
      </c>
      <c r="G195" s="225" t="s">
        <v>365</v>
      </c>
      <c r="H195" s="165"/>
      <c r="I195" s="165"/>
      <c r="J195" s="165"/>
      <c r="K195" s="165"/>
      <c r="L195" s="68" t="e">
        <f>ROUND(COM!H195,1)</f>
        <v>#REF!</v>
      </c>
      <c r="M195" s="68" t="e">
        <f>ROUND(COM!I195,1)</f>
        <v>#REF!</v>
      </c>
      <c r="N195" s="68" t="e">
        <f>ROUND(COM!J195,1)</f>
        <v>#REF!</v>
      </c>
      <c r="O195" s="68" t="e">
        <f>ROUND(COM!K195,1)</f>
        <v>#REF!</v>
      </c>
      <c r="P195" s="68" t="e">
        <f>ROUND(COM!L195,1)</f>
        <v>#REF!</v>
      </c>
      <c r="Q195" s="68" t="e">
        <f>ROUND(COM!M195,1)</f>
        <v>#REF!</v>
      </c>
      <c r="R195" s="68" t="e">
        <f>ROUND(COM!N195,1)</f>
        <v>#REF!</v>
      </c>
      <c r="S195" s="68" t="e">
        <f>ROUND(COM!O195,1)</f>
        <v>#REF!</v>
      </c>
      <c r="T195" s="68" t="e">
        <f>ROUND(COM!P195,1)</f>
        <v>#REF!</v>
      </c>
      <c r="U195" s="68" t="e">
        <f>ROUND(COM!Q195,1)</f>
        <v>#REF!</v>
      </c>
      <c r="V195" s="68" t="e">
        <f>ROUND(COM!R195,1)</f>
        <v>#REF!</v>
      </c>
      <c r="W195" s="68" t="e">
        <f>ROUND(COM!S195,1)</f>
        <v>#REF!</v>
      </c>
      <c r="X195" s="111" t="e">
        <f t="shared" si="16"/>
        <v>#REF!</v>
      </c>
    </row>
    <row r="196" spans="1:24" ht="37.5" x14ac:dyDescent="0.25">
      <c r="A196" s="4">
        <v>321</v>
      </c>
      <c r="B196" s="52">
        <v>41</v>
      </c>
      <c r="C196" s="52">
        <v>930</v>
      </c>
      <c r="D196" s="7">
        <v>70499</v>
      </c>
      <c r="E196" s="20" t="s">
        <v>176</v>
      </c>
      <c r="F196" s="86" t="s">
        <v>90</v>
      </c>
      <c r="G196" s="227"/>
      <c r="H196" s="166"/>
      <c r="I196" s="166"/>
      <c r="J196" s="166"/>
      <c r="K196" s="166"/>
      <c r="L196" s="68" t="e">
        <f>ROUND(COM!H196,1)</f>
        <v>#REF!</v>
      </c>
      <c r="M196" s="68" t="e">
        <f>ROUND(COM!I196,1)</f>
        <v>#REF!</v>
      </c>
      <c r="N196" s="68" t="e">
        <f>ROUND(COM!J196,1)</f>
        <v>#REF!</v>
      </c>
      <c r="O196" s="68" t="e">
        <f>ROUND(COM!K196,1)</f>
        <v>#REF!</v>
      </c>
      <c r="P196" s="68" t="e">
        <f>ROUND(COM!L196,1)</f>
        <v>#REF!</v>
      </c>
      <c r="Q196" s="68" t="e">
        <f>ROUND(COM!M196,1)</f>
        <v>#REF!</v>
      </c>
      <c r="R196" s="68" t="e">
        <f>ROUND(COM!N196,1)</f>
        <v>#REF!</v>
      </c>
      <c r="S196" s="68" t="e">
        <f>ROUND(COM!O196,1)</f>
        <v>#REF!</v>
      </c>
      <c r="T196" s="68" t="e">
        <f>ROUND(COM!P196,1)</f>
        <v>#REF!</v>
      </c>
      <c r="U196" s="68" t="e">
        <f>ROUND(COM!Q196,1)</f>
        <v>#REF!</v>
      </c>
      <c r="V196" s="68" t="e">
        <f>ROUND(COM!R196,1)</f>
        <v>#REF!</v>
      </c>
      <c r="W196" s="68" t="e">
        <f>ROUND(COM!S196,1)</f>
        <v>#REF!</v>
      </c>
      <c r="X196" s="111" t="e">
        <f t="shared" si="16"/>
        <v>#REF!</v>
      </c>
    </row>
    <row r="197" spans="1:24" ht="37.5" x14ac:dyDescent="0.25">
      <c r="A197" s="4">
        <v>311</v>
      </c>
      <c r="B197" s="52">
        <v>41</v>
      </c>
      <c r="C197" s="52">
        <v>920</v>
      </c>
      <c r="D197" s="7">
        <v>70499</v>
      </c>
      <c r="E197" s="20" t="s">
        <v>170</v>
      </c>
      <c r="F197" s="86" t="s">
        <v>91</v>
      </c>
      <c r="G197" s="225" t="s">
        <v>371</v>
      </c>
      <c r="H197" s="165"/>
      <c r="I197" s="165"/>
      <c r="J197" s="165"/>
      <c r="K197" s="165"/>
      <c r="L197" s="68" t="e">
        <f>ROUND(COM!H197,1)</f>
        <v>#REF!</v>
      </c>
      <c r="M197" s="68" t="e">
        <f>ROUND(COM!I197,1)</f>
        <v>#REF!</v>
      </c>
      <c r="N197" s="68" t="e">
        <f>ROUND(COM!J197,1)</f>
        <v>#REF!</v>
      </c>
      <c r="O197" s="68" t="e">
        <f>ROUND(COM!K197,1)</f>
        <v>#REF!</v>
      </c>
      <c r="P197" s="68" t="e">
        <f>ROUND(COM!L197,1)</f>
        <v>#REF!</v>
      </c>
      <c r="Q197" s="68" t="e">
        <f>ROUND(COM!M197,1)</f>
        <v>#REF!</v>
      </c>
      <c r="R197" s="68" t="e">
        <f>ROUND(COM!N197,1)</f>
        <v>#REF!</v>
      </c>
      <c r="S197" s="68" t="e">
        <f>ROUND(COM!O197,1)</f>
        <v>#REF!</v>
      </c>
      <c r="T197" s="68" t="e">
        <f>ROUND(COM!P197,1)</f>
        <v>#REF!</v>
      </c>
      <c r="U197" s="68" t="e">
        <f>ROUND(COM!Q197,1)</f>
        <v>#REF!</v>
      </c>
      <c r="V197" s="68" t="e">
        <f>ROUND(COM!R197,1)</f>
        <v>#REF!</v>
      </c>
      <c r="W197" s="68" t="e">
        <f>ROUND(COM!S197,1)</f>
        <v>#REF!</v>
      </c>
      <c r="X197" s="111" t="e">
        <f t="shared" si="16"/>
        <v>#REF!</v>
      </c>
    </row>
    <row r="198" spans="1:24" ht="18.75" x14ac:dyDescent="0.25">
      <c r="A198" s="4">
        <v>321</v>
      </c>
      <c r="B198" s="52">
        <v>41</v>
      </c>
      <c r="C198" s="52">
        <v>930</v>
      </c>
      <c r="D198" s="7">
        <v>70499</v>
      </c>
      <c r="E198" s="20" t="s">
        <v>176</v>
      </c>
      <c r="F198" s="86" t="s">
        <v>92</v>
      </c>
      <c r="G198" s="227"/>
      <c r="H198" s="166"/>
      <c r="I198" s="166"/>
      <c r="J198" s="166"/>
      <c r="K198" s="166"/>
      <c r="L198" s="68" t="e">
        <f>ROUND(COM!H198,1)</f>
        <v>#REF!</v>
      </c>
      <c r="M198" s="68" t="e">
        <f>ROUND(COM!I198,1)</f>
        <v>#REF!</v>
      </c>
      <c r="N198" s="68" t="e">
        <f>ROUND(COM!J198,1)</f>
        <v>#REF!</v>
      </c>
      <c r="O198" s="68" t="e">
        <f>ROUND(COM!K198,1)</f>
        <v>#REF!</v>
      </c>
      <c r="P198" s="68" t="e">
        <f>ROUND(COM!L198,1)</f>
        <v>#REF!</v>
      </c>
      <c r="Q198" s="68" t="e">
        <f>ROUND(COM!M198,1)</f>
        <v>#REF!</v>
      </c>
      <c r="R198" s="68" t="e">
        <f>ROUND(COM!N198,1)</f>
        <v>#REF!</v>
      </c>
      <c r="S198" s="68" t="e">
        <f>ROUND(COM!O198,1)</f>
        <v>#REF!</v>
      </c>
      <c r="T198" s="68" t="e">
        <f>ROUND(COM!P198,1)</f>
        <v>#REF!</v>
      </c>
      <c r="U198" s="68" t="e">
        <f>ROUND(COM!Q198,1)</f>
        <v>#REF!</v>
      </c>
      <c r="V198" s="68" t="e">
        <f>ROUND(COM!R198,1)</f>
        <v>#REF!</v>
      </c>
      <c r="W198" s="68" t="e">
        <f>ROUND(COM!S198,1)</f>
        <v>#REF!</v>
      </c>
      <c r="X198" s="111" t="e">
        <f t="shared" si="16"/>
        <v>#REF!</v>
      </c>
    </row>
    <row r="199" spans="1:24" ht="37.5" x14ac:dyDescent="0.25">
      <c r="A199" s="4">
        <v>311</v>
      </c>
      <c r="B199" s="52">
        <v>41</v>
      </c>
      <c r="C199" s="52">
        <v>920</v>
      </c>
      <c r="D199" s="7">
        <v>70499</v>
      </c>
      <c r="E199" s="20" t="s">
        <v>176</v>
      </c>
      <c r="F199" s="86" t="s">
        <v>93</v>
      </c>
      <c r="G199" s="38"/>
      <c r="H199" s="38"/>
      <c r="I199" s="38"/>
      <c r="J199" s="38"/>
      <c r="K199" s="38"/>
      <c r="L199" s="68" t="e">
        <f>ROUND(COM!H199,1)</f>
        <v>#REF!</v>
      </c>
      <c r="M199" s="68" t="e">
        <f>ROUND(COM!I199,1)</f>
        <v>#REF!</v>
      </c>
      <c r="N199" s="68" t="e">
        <f>ROUND(COM!J199,1)</f>
        <v>#REF!</v>
      </c>
      <c r="O199" s="68" t="e">
        <f>ROUND(COM!K199,1)</f>
        <v>#REF!</v>
      </c>
      <c r="P199" s="68" t="e">
        <f>ROUND(COM!L199,1)</f>
        <v>#REF!</v>
      </c>
      <c r="Q199" s="68" t="e">
        <f>ROUND(COM!M199,1)</f>
        <v>#REF!</v>
      </c>
      <c r="R199" s="68" t="e">
        <f>ROUND(COM!N199,1)</f>
        <v>#REF!</v>
      </c>
      <c r="S199" s="68" t="e">
        <f>ROUND(COM!O199,1)</f>
        <v>#REF!</v>
      </c>
      <c r="T199" s="68" t="e">
        <f>ROUND(COM!P199,1)</f>
        <v>#REF!</v>
      </c>
      <c r="U199" s="68" t="e">
        <f>ROUND(COM!Q199,1)</f>
        <v>#REF!</v>
      </c>
      <c r="V199" s="68" t="e">
        <f>ROUND(COM!R199,1)</f>
        <v>#REF!</v>
      </c>
      <c r="W199" s="68" t="e">
        <f>ROUND(COM!S199,1)</f>
        <v>#REF!</v>
      </c>
      <c r="X199" s="111" t="e">
        <f t="shared" si="16"/>
        <v>#REF!</v>
      </c>
    </row>
    <row r="200" spans="1:24" ht="37.5" x14ac:dyDescent="0.25">
      <c r="A200" s="4">
        <v>321</v>
      </c>
      <c r="B200" s="52">
        <v>41</v>
      </c>
      <c r="C200" s="52">
        <v>930</v>
      </c>
      <c r="D200" s="7">
        <v>70499</v>
      </c>
      <c r="E200" s="20" t="s">
        <v>176</v>
      </c>
      <c r="F200" s="86" t="s">
        <v>94</v>
      </c>
      <c r="G200" s="38"/>
      <c r="H200" s="38"/>
      <c r="I200" s="38"/>
      <c r="J200" s="38"/>
      <c r="K200" s="38"/>
      <c r="L200" s="68" t="e">
        <f>ROUND(COM!H200,1)</f>
        <v>#REF!</v>
      </c>
      <c r="M200" s="68" t="e">
        <f>ROUND(COM!I200,1)</f>
        <v>#REF!</v>
      </c>
      <c r="N200" s="68" t="e">
        <f>ROUND(COM!J200,1)</f>
        <v>#REF!</v>
      </c>
      <c r="O200" s="68" t="e">
        <f>ROUND(COM!K200,1)</f>
        <v>#REF!</v>
      </c>
      <c r="P200" s="68" t="e">
        <f>ROUND(COM!L200,1)</f>
        <v>#REF!</v>
      </c>
      <c r="Q200" s="68" t="e">
        <f>ROUND(COM!M200,1)</f>
        <v>#REF!</v>
      </c>
      <c r="R200" s="68" t="e">
        <f>ROUND(COM!N200,1)</f>
        <v>#REF!</v>
      </c>
      <c r="S200" s="68" t="e">
        <f>ROUND(COM!O200,1)</f>
        <v>#REF!</v>
      </c>
      <c r="T200" s="68" t="e">
        <f>ROUND(COM!P200,1)</f>
        <v>#REF!</v>
      </c>
      <c r="U200" s="68" t="e">
        <f>ROUND(COM!Q200,1)</f>
        <v>#REF!</v>
      </c>
      <c r="V200" s="68" t="e">
        <f>ROUND(COM!R200,1)</f>
        <v>#REF!</v>
      </c>
      <c r="W200" s="68" t="e">
        <f>ROUND(COM!S200,1)</f>
        <v>#REF!</v>
      </c>
      <c r="X200" s="111" t="e">
        <f t="shared" si="16"/>
        <v>#REF!</v>
      </c>
    </row>
    <row r="201" spans="1:24" ht="18.75" x14ac:dyDescent="0.25">
      <c r="A201" s="4">
        <v>311</v>
      </c>
      <c r="B201" s="52">
        <v>41</v>
      </c>
      <c r="C201" s="52">
        <v>920</v>
      </c>
      <c r="D201" s="7">
        <v>70499</v>
      </c>
      <c r="E201" s="20" t="s">
        <v>178</v>
      </c>
      <c r="F201" s="86" t="s">
        <v>95</v>
      </c>
      <c r="G201" s="38"/>
      <c r="H201" s="38"/>
      <c r="I201" s="38"/>
      <c r="J201" s="38"/>
      <c r="K201" s="38"/>
      <c r="L201" s="68" t="e">
        <f>ROUND(COM!H201,1)</f>
        <v>#REF!</v>
      </c>
      <c r="M201" s="68" t="e">
        <f>ROUND(COM!I201,1)</f>
        <v>#REF!</v>
      </c>
      <c r="N201" s="68" t="e">
        <f>ROUND(COM!J201,1)</f>
        <v>#REF!</v>
      </c>
      <c r="O201" s="68" t="e">
        <f>ROUND(COM!K201,1)</f>
        <v>#REF!</v>
      </c>
      <c r="P201" s="68" t="e">
        <f>ROUND(COM!L201,1)</f>
        <v>#REF!</v>
      </c>
      <c r="Q201" s="68" t="e">
        <f>ROUND(COM!M201,1)</f>
        <v>#REF!</v>
      </c>
      <c r="R201" s="68" t="e">
        <f>ROUND(COM!N201,1)</f>
        <v>#REF!</v>
      </c>
      <c r="S201" s="68" t="e">
        <f>ROUND(COM!O201,1)</f>
        <v>#REF!</v>
      </c>
      <c r="T201" s="68" t="e">
        <f>ROUND(COM!P201,1)</f>
        <v>#REF!</v>
      </c>
      <c r="U201" s="68" t="e">
        <f>ROUND(COM!Q201,1)</f>
        <v>#REF!</v>
      </c>
      <c r="V201" s="68" t="e">
        <f>ROUND(COM!R201,1)</f>
        <v>#REF!</v>
      </c>
      <c r="W201" s="68" t="e">
        <f>ROUND(COM!S201,1)</f>
        <v>#REF!</v>
      </c>
      <c r="X201" s="111" t="e">
        <f t="shared" si="16"/>
        <v>#REF!</v>
      </c>
    </row>
    <row r="202" spans="1:24" ht="18.75" x14ac:dyDescent="0.25">
      <c r="A202" s="4">
        <v>321</v>
      </c>
      <c r="B202" s="52">
        <v>41</v>
      </c>
      <c r="C202" s="52">
        <v>930</v>
      </c>
      <c r="D202" s="7">
        <v>70499</v>
      </c>
      <c r="E202" s="20" t="s">
        <v>176</v>
      </c>
      <c r="F202" s="86" t="s">
        <v>96</v>
      </c>
      <c r="G202" s="38"/>
      <c r="H202" s="38"/>
      <c r="I202" s="38"/>
      <c r="J202" s="38"/>
      <c r="K202" s="38"/>
      <c r="L202" s="68" t="e">
        <f>ROUND(COM!H202,1)</f>
        <v>#REF!</v>
      </c>
      <c r="M202" s="68" t="e">
        <f>ROUND(COM!I202,1)</f>
        <v>#REF!</v>
      </c>
      <c r="N202" s="68" t="e">
        <f>ROUND(COM!J202,1)</f>
        <v>#REF!</v>
      </c>
      <c r="O202" s="68" t="e">
        <f>ROUND(COM!K202,1)</f>
        <v>#REF!</v>
      </c>
      <c r="P202" s="68" t="e">
        <f>ROUND(COM!L202,1)</f>
        <v>#REF!</v>
      </c>
      <c r="Q202" s="68" t="e">
        <f>ROUND(COM!M202,1)</f>
        <v>#REF!</v>
      </c>
      <c r="R202" s="68" t="e">
        <f>ROUND(COM!N202,1)</f>
        <v>#REF!</v>
      </c>
      <c r="S202" s="68" t="e">
        <f>ROUND(COM!O202,1)</f>
        <v>#REF!</v>
      </c>
      <c r="T202" s="68" t="e">
        <f>ROUND(COM!P202,1)</f>
        <v>#REF!</v>
      </c>
      <c r="U202" s="68" t="e">
        <f>ROUND(COM!Q202,1)</f>
        <v>#REF!</v>
      </c>
      <c r="V202" s="68" t="e">
        <f>ROUND(COM!R202,1)</f>
        <v>#REF!</v>
      </c>
      <c r="W202" s="68" t="e">
        <f>ROUND(COM!S202,1)</f>
        <v>#REF!</v>
      </c>
      <c r="X202" s="111" t="e">
        <f t="shared" si="16"/>
        <v>#REF!</v>
      </c>
    </row>
    <row r="203" spans="1:24" ht="18.75" x14ac:dyDescent="0.25">
      <c r="A203" s="4">
        <v>311</v>
      </c>
      <c r="B203" s="52">
        <v>41</v>
      </c>
      <c r="C203" s="52">
        <v>920</v>
      </c>
      <c r="D203" s="7">
        <v>70499</v>
      </c>
      <c r="E203" s="20" t="s">
        <v>178</v>
      </c>
      <c r="F203" s="86" t="s">
        <v>216</v>
      </c>
      <c r="G203" s="233" t="s">
        <v>370</v>
      </c>
      <c r="H203" s="173"/>
      <c r="I203" s="173"/>
      <c r="J203" s="173"/>
      <c r="K203" s="173"/>
      <c r="L203" s="68" t="e">
        <f>ROUND(COM!H203,1)</f>
        <v>#REF!</v>
      </c>
      <c r="M203" s="68" t="e">
        <f>ROUND(COM!I203,1)</f>
        <v>#REF!</v>
      </c>
      <c r="N203" s="68" t="e">
        <f>ROUND(COM!J203,1)</f>
        <v>#REF!</v>
      </c>
      <c r="O203" s="68" t="e">
        <f>ROUND(COM!K203,1)</f>
        <v>#REF!</v>
      </c>
      <c r="P203" s="68" t="e">
        <f>ROUND(COM!L203,1)</f>
        <v>#REF!</v>
      </c>
      <c r="Q203" s="68" t="e">
        <f>ROUND(COM!M203,1)</f>
        <v>#REF!</v>
      </c>
      <c r="R203" s="68" t="e">
        <f>ROUND(COM!N203,1)</f>
        <v>#REF!</v>
      </c>
      <c r="S203" s="68" t="e">
        <f>ROUND(COM!O203,1)</f>
        <v>#REF!</v>
      </c>
      <c r="T203" s="68" t="e">
        <f>ROUND(COM!P203,1)</f>
        <v>#REF!</v>
      </c>
      <c r="U203" s="68" t="e">
        <f>ROUND(COM!Q203,1)</f>
        <v>#REF!</v>
      </c>
      <c r="V203" s="68" t="e">
        <f>ROUND(COM!R203,1)</f>
        <v>#REF!</v>
      </c>
      <c r="W203" s="68" t="e">
        <f>ROUND(COM!S203,1)</f>
        <v>#REF!</v>
      </c>
      <c r="X203" s="111" t="e">
        <f t="shared" si="16"/>
        <v>#REF!</v>
      </c>
    </row>
    <row r="204" spans="1:24" ht="18.75" x14ac:dyDescent="0.25">
      <c r="A204" s="4">
        <v>321</v>
      </c>
      <c r="B204" s="52">
        <v>41</v>
      </c>
      <c r="C204" s="52">
        <v>930</v>
      </c>
      <c r="D204" s="7">
        <v>70499</v>
      </c>
      <c r="E204" s="20" t="s">
        <v>176</v>
      </c>
      <c r="F204" s="86" t="s">
        <v>210</v>
      </c>
      <c r="G204" s="234"/>
      <c r="H204" s="174"/>
      <c r="I204" s="174"/>
      <c r="J204" s="174"/>
      <c r="K204" s="174"/>
      <c r="L204" s="68" t="e">
        <f>ROUND(COM!H204,1)</f>
        <v>#REF!</v>
      </c>
      <c r="M204" s="68" t="e">
        <f>ROUND(COM!I204,1)</f>
        <v>#REF!</v>
      </c>
      <c r="N204" s="68" t="e">
        <f>ROUND(COM!J204,1)</f>
        <v>#REF!</v>
      </c>
      <c r="O204" s="68" t="e">
        <f>ROUND(COM!K204,1)</f>
        <v>#REF!</v>
      </c>
      <c r="P204" s="68" t="e">
        <f>ROUND(COM!L204,1)</f>
        <v>#REF!</v>
      </c>
      <c r="Q204" s="68" t="e">
        <f>ROUND(COM!M204,1)</f>
        <v>#REF!</v>
      </c>
      <c r="R204" s="68" t="e">
        <f>ROUND(COM!N204,1)</f>
        <v>#REF!</v>
      </c>
      <c r="S204" s="68" t="e">
        <f>ROUND(COM!O204,1)</f>
        <v>#REF!</v>
      </c>
      <c r="T204" s="68" t="e">
        <f>ROUND(COM!P204,1)</f>
        <v>#REF!</v>
      </c>
      <c r="U204" s="68" t="e">
        <f>ROUND(COM!Q204,1)</f>
        <v>#REF!</v>
      </c>
      <c r="V204" s="68" t="e">
        <f>ROUND(COM!R204,1)</f>
        <v>#REF!</v>
      </c>
      <c r="W204" s="68" t="e">
        <f>ROUND(COM!S204,1)</f>
        <v>#REF!</v>
      </c>
      <c r="X204" s="111" t="e">
        <f t="shared" si="16"/>
        <v>#REF!</v>
      </c>
    </row>
    <row r="205" spans="1:24" ht="18.75" x14ac:dyDescent="0.25">
      <c r="A205" s="4">
        <v>311</v>
      </c>
      <c r="B205" s="52">
        <v>41</v>
      </c>
      <c r="C205" s="52">
        <v>920</v>
      </c>
      <c r="D205" s="7">
        <v>70499</v>
      </c>
      <c r="E205" s="20" t="s">
        <v>178</v>
      </c>
      <c r="F205" s="86" t="s">
        <v>217</v>
      </c>
      <c r="G205" s="38"/>
      <c r="H205" s="38"/>
      <c r="I205" s="38"/>
      <c r="J205" s="38"/>
      <c r="K205" s="38"/>
      <c r="L205" s="68" t="e">
        <f>ROUND(COM!H205,1)</f>
        <v>#REF!</v>
      </c>
      <c r="M205" s="68" t="e">
        <f>ROUND(COM!I205,1)</f>
        <v>#REF!</v>
      </c>
      <c r="N205" s="68" t="e">
        <f>ROUND(COM!J205,1)</f>
        <v>#REF!</v>
      </c>
      <c r="O205" s="68" t="e">
        <f>ROUND(COM!K205,1)</f>
        <v>#REF!</v>
      </c>
      <c r="P205" s="68" t="e">
        <f>ROUND(COM!L205,1)</f>
        <v>#REF!</v>
      </c>
      <c r="Q205" s="68" t="e">
        <f>ROUND(COM!M205,1)</f>
        <v>#REF!</v>
      </c>
      <c r="R205" s="68" t="e">
        <f>ROUND(COM!N205,1)</f>
        <v>#REF!</v>
      </c>
      <c r="S205" s="68" t="e">
        <f>ROUND(COM!O205,1)</f>
        <v>#REF!</v>
      </c>
      <c r="T205" s="68" t="e">
        <f>ROUND(COM!P205,1)</f>
        <v>#REF!</v>
      </c>
      <c r="U205" s="68" t="e">
        <f>ROUND(COM!Q205,1)</f>
        <v>#REF!</v>
      </c>
      <c r="V205" s="68" t="e">
        <f>ROUND(COM!R205,1)</f>
        <v>#REF!</v>
      </c>
      <c r="W205" s="68" t="e">
        <f>ROUND(COM!S205,1)</f>
        <v>#REF!</v>
      </c>
      <c r="X205" s="111" t="e">
        <f t="shared" si="16"/>
        <v>#REF!</v>
      </c>
    </row>
    <row r="206" spans="1:24" ht="37.5" x14ac:dyDescent="0.25">
      <c r="A206" s="4">
        <v>321</v>
      </c>
      <c r="B206" s="52">
        <v>41</v>
      </c>
      <c r="C206" s="52">
        <v>930</v>
      </c>
      <c r="D206" s="7">
        <v>70499</v>
      </c>
      <c r="E206" s="20" t="s">
        <v>176</v>
      </c>
      <c r="F206" s="86" t="s">
        <v>211</v>
      </c>
      <c r="G206" s="38"/>
      <c r="H206" s="38"/>
      <c r="I206" s="38"/>
      <c r="J206" s="38"/>
      <c r="K206" s="38"/>
      <c r="L206" s="68" t="e">
        <f>ROUND(COM!H206,1)</f>
        <v>#REF!</v>
      </c>
      <c r="M206" s="68" t="e">
        <f>ROUND(COM!I206,1)</f>
        <v>#REF!</v>
      </c>
      <c r="N206" s="68" t="e">
        <f>ROUND(COM!J206,1)</f>
        <v>#REF!</v>
      </c>
      <c r="O206" s="68" t="e">
        <f>ROUND(COM!K206,1)</f>
        <v>#REF!</v>
      </c>
      <c r="P206" s="68" t="e">
        <f>ROUND(COM!L206,1)</f>
        <v>#REF!</v>
      </c>
      <c r="Q206" s="68" t="e">
        <f>ROUND(COM!M206,1)</f>
        <v>#REF!</v>
      </c>
      <c r="R206" s="68" t="e">
        <f>ROUND(COM!N206,1)</f>
        <v>#REF!</v>
      </c>
      <c r="S206" s="68" t="e">
        <f>ROUND(COM!O206,1)</f>
        <v>#REF!</v>
      </c>
      <c r="T206" s="68" t="e">
        <f>ROUND(COM!P206,1)</f>
        <v>#REF!</v>
      </c>
      <c r="U206" s="68" t="e">
        <f>ROUND(COM!Q206,1)</f>
        <v>#REF!</v>
      </c>
      <c r="V206" s="68" t="e">
        <f>ROUND(COM!R206,1)</f>
        <v>#REF!</v>
      </c>
      <c r="W206" s="68" t="e">
        <f>ROUND(COM!S206,1)</f>
        <v>#REF!</v>
      </c>
      <c r="X206" s="111" t="e">
        <f t="shared" si="16"/>
        <v>#REF!</v>
      </c>
    </row>
    <row r="207" spans="1:24" ht="18.75" x14ac:dyDescent="0.25">
      <c r="A207" s="4">
        <v>311</v>
      </c>
      <c r="B207" s="52">
        <v>41</v>
      </c>
      <c r="C207" s="52">
        <v>920</v>
      </c>
      <c r="D207" s="7">
        <v>70499</v>
      </c>
      <c r="E207" s="20" t="s">
        <v>178</v>
      </c>
      <c r="F207" s="86" t="s">
        <v>212</v>
      </c>
      <c r="G207" s="225" t="s">
        <v>369</v>
      </c>
      <c r="H207" s="165"/>
      <c r="I207" s="165"/>
      <c r="J207" s="165"/>
      <c r="K207" s="165"/>
      <c r="L207" s="68" t="e">
        <f>ROUND(COM!H207,1)</f>
        <v>#REF!</v>
      </c>
      <c r="M207" s="68" t="e">
        <f>ROUND(COM!I207,1)</f>
        <v>#REF!</v>
      </c>
      <c r="N207" s="68" t="e">
        <f>ROUND(COM!J207,1)</f>
        <v>#REF!</v>
      </c>
      <c r="O207" s="68" t="e">
        <f>ROUND(COM!K207,1)</f>
        <v>#REF!</v>
      </c>
      <c r="P207" s="68" t="e">
        <f>ROUND(COM!L207,1)</f>
        <v>#REF!</v>
      </c>
      <c r="Q207" s="68" t="e">
        <f>ROUND(COM!M207,1)</f>
        <v>#REF!</v>
      </c>
      <c r="R207" s="68" t="e">
        <f>ROUND(COM!N207,1)</f>
        <v>#REF!</v>
      </c>
      <c r="S207" s="68" t="e">
        <f>ROUND(COM!O207,1)</f>
        <v>#REF!</v>
      </c>
      <c r="T207" s="68" t="e">
        <f>ROUND(COM!P207,1)</f>
        <v>#REF!</v>
      </c>
      <c r="U207" s="68" t="e">
        <f>ROUND(COM!Q207,1)</f>
        <v>#REF!</v>
      </c>
      <c r="V207" s="68" t="e">
        <f>ROUND(COM!R207,1)</f>
        <v>#REF!</v>
      </c>
      <c r="W207" s="68" t="e">
        <f>ROUND(COM!S207,1)</f>
        <v>#REF!</v>
      </c>
      <c r="X207" s="111" t="e">
        <f t="shared" si="16"/>
        <v>#REF!</v>
      </c>
    </row>
    <row r="208" spans="1:24" ht="37.5" x14ac:dyDescent="0.25">
      <c r="A208" s="4">
        <v>321</v>
      </c>
      <c r="B208" s="52">
        <v>41</v>
      </c>
      <c r="C208" s="52">
        <v>930</v>
      </c>
      <c r="D208" s="7">
        <v>70499</v>
      </c>
      <c r="E208" s="20" t="s">
        <v>176</v>
      </c>
      <c r="F208" s="86" t="s">
        <v>213</v>
      </c>
      <c r="G208" s="227"/>
      <c r="H208" s="166"/>
      <c r="I208" s="166"/>
      <c r="J208" s="166"/>
      <c r="K208" s="166"/>
      <c r="L208" s="68" t="e">
        <f>ROUND(COM!H208,1)</f>
        <v>#REF!</v>
      </c>
      <c r="M208" s="68" t="e">
        <f>ROUND(COM!I208,1)</f>
        <v>#REF!</v>
      </c>
      <c r="N208" s="68" t="e">
        <f>ROUND(COM!J208,1)</f>
        <v>#REF!</v>
      </c>
      <c r="O208" s="68" t="e">
        <f>ROUND(COM!K208,1)</f>
        <v>#REF!</v>
      </c>
      <c r="P208" s="68" t="e">
        <f>ROUND(COM!L208,1)</f>
        <v>#REF!</v>
      </c>
      <c r="Q208" s="68" t="e">
        <f>ROUND(COM!M208,1)</f>
        <v>#REF!</v>
      </c>
      <c r="R208" s="68" t="e">
        <f>ROUND(COM!N208,1)</f>
        <v>#REF!</v>
      </c>
      <c r="S208" s="68" t="e">
        <f>ROUND(COM!O208,1)</f>
        <v>#REF!</v>
      </c>
      <c r="T208" s="68" t="e">
        <f>ROUND(COM!P208,1)</f>
        <v>#REF!</v>
      </c>
      <c r="U208" s="68" t="e">
        <f>ROUND(COM!Q208,1)</f>
        <v>#REF!</v>
      </c>
      <c r="V208" s="68" t="e">
        <f>ROUND(COM!R208,1)</f>
        <v>#REF!</v>
      </c>
      <c r="W208" s="68" t="e">
        <f>ROUND(COM!S208,1)</f>
        <v>#REF!</v>
      </c>
      <c r="X208" s="111" t="e">
        <f t="shared" si="16"/>
        <v>#REF!</v>
      </c>
    </row>
    <row r="209" spans="1:24" ht="18.75" x14ac:dyDescent="0.25">
      <c r="A209" s="4">
        <v>311</v>
      </c>
      <c r="B209" s="52">
        <v>41</v>
      </c>
      <c r="C209" s="52">
        <v>920</v>
      </c>
      <c r="D209" s="7">
        <v>70499</v>
      </c>
      <c r="E209" s="20" t="s">
        <v>178</v>
      </c>
      <c r="F209" s="86" t="s">
        <v>214</v>
      </c>
      <c r="G209" s="225" t="s">
        <v>368</v>
      </c>
      <c r="H209" s="165"/>
      <c r="I209" s="165"/>
      <c r="J209" s="165"/>
      <c r="K209" s="165"/>
      <c r="L209" s="68" t="e">
        <f>ROUND(COM!H209,1)</f>
        <v>#REF!</v>
      </c>
      <c r="M209" s="68" t="e">
        <f>ROUND(COM!I209,1)</f>
        <v>#REF!</v>
      </c>
      <c r="N209" s="68" t="e">
        <f>ROUND(COM!J209,1)</f>
        <v>#REF!</v>
      </c>
      <c r="O209" s="68" t="e">
        <f>ROUND(COM!K209,1)</f>
        <v>#REF!</v>
      </c>
      <c r="P209" s="68" t="e">
        <f>ROUND(COM!L209,1)</f>
        <v>#REF!</v>
      </c>
      <c r="Q209" s="68" t="e">
        <f>ROUND(COM!M209,1)</f>
        <v>#REF!</v>
      </c>
      <c r="R209" s="68" t="e">
        <f>ROUND(COM!N209,1)</f>
        <v>#REF!</v>
      </c>
      <c r="S209" s="68" t="e">
        <f>ROUND(COM!O209,1)</f>
        <v>#REF!</v>
      </c>
      <c r="T209" s="68" t="e">
        <f>ROUND(COM!P209,1)</f>
        <v>#REF!</v>
      </c>
      <c r="U209" s="68" t="e">
        <f>ROUND(COM!Q209,1)</f>
        <v>#REF!</v>
      </c>
      <c r="V209" s="68" t="e">
        <f>ROUND(COM!R209,1)</f>
        <v>#REF!</v>
      </c>
      <c r="W209" s="68" t="e">
        <f>ROUND(COM!S209,1)</f>
        <v>#REF!</v>
      </c>
      <c r="X209" s="111" t="e">
        <f t="shared" si="16"/>
        <v>#REF!</v>
      </c>
    </row>
    <row r="210" spans="1:24" ht="18.75" x14ac:dyDescent="0.25">
      <c r="A210" s="4">
        <v>321</v>
      </c>
      <c r="B210" s="52">
        <v>41</v>
      </c>
      <c r="C210" s="52">
        <v>930</v>
      </c>
      <c r="D210" s="7">
        <v>70499</v>
      </c>
      <c r="E210" s="20" t="s">
        <v>176</v>
      </c>
      <c r="F210" s="86" t="s">
        <v>215</v>
      </c>
      <c r="G210" s="227"/>
      <c r="H210" s="166"/>
      <c r="I210" s="166"/>
      <c r="J210" s="166"/>
      <c r="K210" s="166"/>
      <c r="L210" s="68" t="e">
        <f>ROUND(COM!H210,1)</f>
        <v>#REF!</v>
      </c>
      <c r="M210" s="68" t="e">
        <f>ROUND(COM!I210,1)</f>
        <v>#REF!</v>
      </c>
      <c r="N210" s="68" t="e">
        <f>ROUND(COM!J210,1)</f>
        <v>#REF!</v>
      </c>
      <c r="O210" s="68" t="e">
        <f>ROUND(COM!K210,1)</f>
        <v>#REF!</v>
      </c>
      <c r="P210" s="68" t="e">
        <f>ROUND(COM!L210,1)</f>
        <v>#REF!</v>
      </c>
      <c r="Q210" s="68" t="e">
        <f>ROUND(COM!M210,1)</f>
        <v>#REF!</v>
      </c>
      <c r="R210" s="68" t="e">
        <f>ROUND(COM!N210,1)</f>
        <v>#REF!</v>
      </c>
      <c r="S210" s="68" t="e">
        <f>ROUND(COM!O210,1)</f>
        <v>#REF!</v>
      </c>
      <c r="T210" s="68" t="e">
        <f>ROUND(COM!P210,1)</f>
        <v>#REF!</v>
      </c>
      <c r="U210" s="68" t="e">
        <f>ROUND(COM!Q210,1)</f>
        <v>#REF!</v>
      </c>
      <c r="V210" s="68" t="e">
        <f>ROUND(COM!R210,1)</f>
        <v>#REF!</v>
      </c>
      <c r="W210" s="68" t="e">
        <f>ROUND(COM!S210,1)</f>
        <v>#REF!</v>
      </c>
      <c r="X210" s="111" t="e">
        <f t="shared" si="16"/>
        <v>#REF!</v>
      </c>
    </row>
    <row r="211" spans="1:24" ht="37.5" x14ac:dyDescent="0.25">
      <c r="A211" s="4">
        <v>311</v>
      </c>
      <c r="B211" s="52">
        <v>41</v>
      </c>
      <c r="C211" s="52">
        <v>920</v>
      </c>
      <c r="D211" s="7">
        <v>70499</v>
      </c>
      <c r="E211" s="20" t="s">
        <v>176</v>
      </c>
      <c r="F211" s="86" t="s">
        <v>201</v>
      </c>
      <c r="G211" s="225" t="s">
        <v>367</v>
      </c>
      <c r="H211" s="165"/>
      <c r="I211" s="165"/>
      <c r="J211" s="165"/>
      <c r="K211" s="165"/>
      <c r="L211" s="68" t="e">
        <f>ROUND(COM!H211,1)</f>
        <v>#REF!</v>
      </c>
      <c r="M211" s="68" t="e">
        <f>ROUND(COM!I211,1)</f>
        <v>#REF!</v>
      </c>
      <c r="N211" s="68" t="e">
        <f>ROUND(COM!J211,1)</f>
        <v>#REF!</v>
      </c>
      <c r="O211" s="68" t="e">
        <f>ROUND(COM!K211,1)</f>
        <v>#REF!</v>
      </c>
      <c r="P211" s="68" t="e">
        <f>ROUND(COM!L211,1)</f>
        <v>#REF!</v>
      </c>
      <c r="Q211" s="68" t="e">
        <f>ROUND(COM!M211,1)</f>
        <v>#REF!</v>
      </c>
      <c r="R211" s="68" t="e">
        <f>ROUND(COM!N211,1)</f>
        <v>#REF!</v>
      </c>
      <c r="S211" s="68" t="e">
        <f>ROUND(COM!O211,1)</f>
        <v>#REF!</v>
      </c>
      <c r="T211" s="68" t="e">
        <f>ROUND(COM!P211,1)</f>
        <v>#REF!</v>
      </c>
      <c r="U211" s="68" t="e">
        <f>ROUND(COM!Q211,1)</f>
        <v>#REF!</v>
      </c>
      <c r="V211" s="68" t="e">
        <f>ROUND(COM!R211,1)</f>
        <v>#REF!</v>
      </c>
      <c r="W211" s="68" t="e">
        <f>ROUND(COM!S211,1)</f>
        <v>#REF!</v>
      </c>
      <c r="X211" s="111" t="e">
        <f t="shared" si="16"/>
        <v>#REF!</v>
      </c>
    </row>
    <row r="212" spans="1:24" ht="37.5" x14ac:dyDescent="0.25">
      <c r="A212" s="4">
        <v>321</v>
      </c>
      <c r="B212" s="52">
        <v>41</v>
      </c>
      <c r="C212" s="52">
        <v>930</v>
      </c>
      <c r="D212" s="7">
        <v>70499</v>
      </c>
      <c r="E212" s="20" t="s">
        <v>176</v>
      </c>
      <c r="F212" s="86" t="s">
        <v>200</v>
      </c>
      <c r="G212" s="227"/>
      <c r="H212" s="166"/>
      <c r="I212" s="166"/>
      <c r="J212" s="166"/>
      <c r="K212" s="166"/>
      <c r="L212" s="68" t="e">
        <f>ROUND(COM!H212,1)</f>
        <v>#REF!</v>
      </c>
      <c r="M212" s="68" t="e">
        <f>ROUND(COM!I212,1)</f>
        <v>#REF!</v>
      </c>
      <c r="N212" s="68" t="e">
        <f>ROUND(COM!J212,1)</f>
        <v>#REF!</v>
      </c>
      <c r="O212" s="68" t="e">
        <f>ROUND(COM!K212,1)</f>
        <v>#REF!</v>
      </c>
      <c r="P212" s="68" t="e">
        <f>ROUND(COM!L212,1)</f>
        <v>#REF!</v>
      </c>
      <c r="Q212" s="68" t="e">
        <f>ROUND(COM!M212,1)</f>
        <v>#REF!</v>
      </c>
      <c r="R212" s="68" t="e">
        <f>ROUND(COM!N212,1)</f>
        <v>#REF!</v>
      </c>
      <c r="S212" s="68" t="e">
        <f>ROUND(COM!O212,1)</f>
        <v>#REF!</v>
      </c>
      <c r="T212" s="68" t="e">
        <f>ROUND(COM!P212,1)</f>
        <v>#REF!</v>
      </c>
      <c r="U212" s="68" t="e">
        <f>ROUND(COM!Q212,1)</f>
        <v>#REF!</v>
      </c>
      <c r="V212" s="68" t="e">
        <f>ROUND(COM!R212,1)</f>
        <v>#REF!</v>
      </c>
      <c r="W212" s="68" t="e">
        <f>ROUND(COM!S212,1)</f>
        <v>#REF!</v>
      </c>
      <c r="X212" s="111" t="e">
        <f t="shared" ref="X212:X275" si="19">M212+O212+Q212+S212+U212+W212</f>
        <v>#REF!</v>
      </c>
    </row>
    <row r="213" spans="1:24" ht="37.5" x14ac:dyDescent="0.25">
      <c r="A213" s="4">
        <v>311</v>
      </c>
      <c r="B213" s="52">
        <v>41</v>
      </c>
      <c r="C213" s="52">
        <v>920</v>
      </c>
      <c r="D213" s="7">
        <v>70499</v>
      </c>
      <c r="E213" s="20" t="s">
        <v>176</v>
      </c>
      <c r="F213" s="86" t="s">
        <v>202</v>
      </c>
      <c r="G213" s="38"/>
      <c r="H213" s="38"/>
      <c r="I213" s="38"/>
      <c r="J213" s="38"/>
      <c r="K213" s="38"/>
      <c r="L213" s="68" t="e">
        <f>ROUND(COM!H213,1)</f>
        <v>#REF!</v>
      </c>
      <c r="M213" s="68" t="e">
        <f>ROUND(COM!I213,1)</f>
        <v>#REF!</v>
      </c>
      <c r="N213" s="68" t="e">
        <f>ROUND(COM!J213,1)</f>
        <v>#REF!</v>
      </c>
      <c r="O213" s="68" t="e">
        <f>ROUND(COM!K213,1)</f>
        <v>#REF!</v>
      </c>
      <c r="P213" s="68" t="e">
        <f>ROUND(COM!L213,1)</f>
        <v>#REF!</v>
      </c>
      <c r="Q213" s="68" t="e">
        <f>ROUND(COM!M213,1)</f>
        <v>#REF!</v>
      </c>
      <c r="R213" s="68" t="e">
        <f>ROUND(COM!N213,1)</f>
        <v>#REF!</v>
      </c>
      <c r="S213" s="68" t="e">
        <f>ROUND(COM!O213,1)</f>
        <v>#REF!</v>
      </c>
      <c r="T213" s="68" t="e">
        <f>ROUND(COM!P213,1)</f>
        <v>#REF!</v>
      </c>
      <c r="U213" s="68" t="e">
        <f>ROUND(COM!Q213,1)</f>
        <v>#REF!</v>
      </c>
      <c r="V213" s="68" t="e">
        <f>ROUND(COM!R213,1)</f>
        <v>#REF!</v>
      </c>
      <c r="W213" s="68" t="e">
        <f>ROUND(COM!S213,1)</f>
        <v>#REF!</v>
      </c>
      <c r="X213" s="111" t="e">
        <f t="shared" si="19"/>
        <v>#REF!</v>
      </c>
    </row>
    <row r="214" spans="1:24" ht="37.5" x14ac:dyDescent="0.25">
      <c r="A214" s="4">
        <v>321</v>
      </c>
      <c r="B214" s="52">
        <v>41</v>
      </c>
      <c r="C214" s="52">
        <v>930</v>
      </c>
      <c r="D214" s="7">
        <v>70499</v>
      </c>
      <c r="E214" s="20" t="s">
        <v>176</v>
      </c>
      <c r="F214" s="86" t="s">
        <v>203</v>
      </c>
      <c r="G214" s="38"/>
      <c r="H214" s="38"/>
      <c r="I214" s="38"/>
      <c r="J214" s="38"/>
      <c r="K214" s="38"/>
      <c r="L214" s="68" t="e">
        <f>ROUND(COM!H214,1)</f>
        <v>#REF!</v>
      </c>
      <c r="M214" s="68" t="e">
        <f>ROUND(COM!I214,1)</f>
        <v>#REF!</v>
      </c>
      <c r="N214" s="68" t="e">
        <f>ROUND(COM!J214,1)</f>
        <v>#REF!</v>
      </c>
      <c r="O214" s="68" t="e">
        <f>ROUND(COM!K214,1)</f>
        <v>#REF!</v>
      </c>
      <c r="P214" s="68" t="e">
        <f>ROUND(COM!L214,1)</f>
        <v>#REF!</v>
      </c>
      <c r="Q214" s="68" t="e">
        <f>ROUND(COM!M214,1)</f>
        <v>#REF!</v>
      </c>
      <c r="R214" s="68" t="e">
        <f>ROUND(COM!N214,1)</f>
        <v>#REF!</v>
      </c>
      <c r="S214" s="68" t="e">
        <f>ROUND(COM!O214,1)</f>
        <v>#REF!</v>
      </c>
      <c r="T214" s="68" t="e">
        <f>ROUND(COM!P214,1)</f>
        <v>#REF!</v>
      </c>
      <c r="U214" s="68" t="e">
        <f>ROUND(COM!Q214,1)</f>
        <v>#REF!</v>
      </c>
      <c r="V214" s="68" t="e">
        <f>ROUND(COM!R214,1)</f>
        <v>#REF!</v>
      </c>
      <c r="W214" s="68" t="e">
        <f>ROUND(COM!S214,1)</f>
        <v>#REF!</v>
      </c>
      <c r="X214" s="111" t="e">
        <f t="shared" si="19"/>
        <v>#REF!</v>
      </c>
    </row>
    <row r="215" spans="1:24" ht="37.5" x14ac:dyDescent="0.25">
      <c r="A215" s="4">
        <v>311</v>
      </c>
      <c r="B215" s="52">
        <v>41</v>
      </c>
      <c r="C215" s="52">
        <v>920</v>
      </c>
      <c r="D215" s="7">
        <v>70499</v>
      </c>
      <c r="E215" s="20" t="s">
        <v>176</v>
      </c>
      <c r="F215" s="86" t="s">
        <v>204</v>
      </c>
      <c r="G215" s="38"/>
      <c r="H215" s="38"/>
      <c r="I215" s="38"/>
      <c r="J215" s="38"/>
      <c r="K215" s="38"/>
      <c r="L215" s="68" t="e">
        <f>ROUND(COM!H215,1)</f>
        <v>#REF!</v>
      </c>
      <c r="M215" s="68" t="e">
        <f>ROUND(COM!I215,1)</f>
        <v>#REF!</v>
      </c>
      <c r="N215" s="68" t="e">
        <f>ROUND(COM!J215,1)</f>
        <v>#REF!</v>
      </c>
      <c r="O215" s="68" t="e">
        <f>ROUND(COM!K215,1)</f>
        <v>#REF!</v>
      </c>
      <c r="P215" s="68" t="e">
        <f>ROUND(COM!L215,1)</f>
        <v>#REF!</v>
      </c>
      <c r="Q215" s="68" t="e">
        <f>ROUND(COM!M215,1)</f>
        <v>#REF!</v>
      </c>
      <c r="R215" s="68" t="e">
        <f>ROUND(COM!N215,1)</f>
        <v>#REF!</v>
      </c>
      <c r="S215" s="68" t="e">
        <f>ROUND(COM!O215,1)</f>
        <v>#REF!</v>
      </c>
      <c r="T215" s="68" t="e">
        <f>ROUND(COM!P215,1)</f>
        <v>#REF!</v>
      </c>
      <c r="U215" s="68" t="e">
        <f>ROUND(COM!Q215,1)</f>
        <v>#REF!</v>
      </c>
      <c r="V215" s="68" t="e">
        <f>ROUND(COM!R215,1)</f>
        <v>#REF!</v>
      </c>
      <c r="W215" s="68" t="e">
        <f>ROUND(COM!S215,1)</f>
        <v>#REF!</v>
      </c>
      <c r="X215" s="111" t="e">
        <f t="shared" si="19"/>
        <v>#REF!</v>
      </c>
    </row>
    <row r="216" spans="1:24" ht="37.5" x14ac:dyDescent="0.25">
      <c r="A216" s="4">
        <v>321</v>
      </c>
      <c r="B216" s="52">
        <v>41</v>
      </c>
      <c r="C216" s="52">
        <v>930</v>
      </c>
      <c r="D216" s="7">
        <v>70499</v>
      </c>
      <c r="E216" s="20" t="s">
        <v>176</v>
      </c>
      <c r="F216" s="86" t="s">
        <v>205</v>
      </c>
      <c r="G216" s="38"/>
      <c r="H216" s="38"/>
      <c r="I216" s="38"/>
      <c r="J216" s="38"/>
      <c r="K216" s="38"/>
      <c r="L216" s="68" t="e">
        <f>ROUND(COM!H216,1)</f>
        <v>#REF!</v>
      </c>
      <c r="M216" s="68" t="e">
        <f>ROUND(COM!I216,1)</f>
        <v>#REF!</v>
      </c>
      <c r="N216" s="68" t="e">
        <f>ROUND(COM!J216,1)</f>
        <v>#REF!</v>
      </c>
      <c r="O216" s="68" t="e">
        <f>ROUND(COM!K216,1)</f>
        <v>#REF!</v>
      </c>
      <c r="P216" s="68" t="e">
        <f>ROUND(COM!L216,1)</f>
        <v>#REF!</v>
      </c>
      <c r="Q216" s="68" t="e">
        <f>ROUND(COM!M216,1)</f>
        <v>#REF!</v>
      </c>
      <c r="R216" s="68" t="e">
        <f>ROUND(COM!N216,1)</f>
        <v>#REF!</v>
      </c>
      <c r="S216" s="68" t="e">
        <f>ROUND(COM!O216,1)</f>
        <v>#REF!</v>
      </c>
      <c r="T216" s="68" t="e">
        <f>ROUND(COM!P216,1)</f>
        <v>#REF!</v>
      </c>
      <c r="U216" s="68" t="e">
        <f>ROUND(COM!Q216,1)</f>
        <v>#REF!</v>
      </c>
      <c r="V216" s="68" t="e">
        <f>ROUND(COM!R216,1)</f>
        <v>#REF!</v>
      </c>
      <c r="W216" s="68" t="e">
        <f>ROUND(COM!S216,1)</f>
        <v>#REF!</v>
      </c>
      <c r="X216" s="111" t="e">
        <f t="shared" si="19"/>
        <v>#REF!</v>
      </c>
    </row>
    <row r="217" spans="1:24" ht="37.5" x14ac:dyDescent="0.25">
      <c r="A217" s="4">
        <v>311</v>
      </c>
      <c r="B217" s="52">
        <v>41</v>
      </c>
      <c r="C217" s="52">
        <v>920</v>
      </c>
      <c r="D217" s="7">
        <v>70499</v>
      </c>
      <c r="E217" s="20" t="s">
        <v>176</v>
      </c>
      <c r="F217" s="86" t="s">
        <v>360</v>
      </c>
      <c r="G217" s="225" t="s">
        <v>366</v>
      </c>
      <c r="H217" s="165"/>
      <c r="I217" s="165"/>
      <c r="J217" s="165"/>
      <c r="K217" s="165"/>
      <c r="L217" s="68" t="e">
        <f>ROUND(COM!H217,1)</f>
        <v>#REF!</v>
      </c>
      <c r="M217" s="68" t="e">
        <f>ROUND(COM!I217,1)</f>
        <v>#REF!</v>
      </c>
      <c r="N217" s="68" t="e">
        <f>ROUND(COM!J217,1)</f>
        <v>#REF!</v>
      </c>
      <c r="O217" s="68" t="e">
        <f>ROUND(COM!K217,1)</f>
        <v>#REF!</v>
      </c>
      <c r="P217" s="68" t="e">
        <f>ROUND(COM!L217,1)</f>
        <v>#REF!</v>
      </c>
      <c r="Q217" s="68" t="e">
        <f>ROUND(COM!M217,1)</f>
        <v>#REF!</v>
      </c>
      <c r="R217" s="68" t="e">
        <f>ROUND(COM!N217,1)</f>
        <v>#REF!</v>
      </c>
      <c r="S217" s="68" t="e">
        <f>ROUND(COM!O217,1)</f>
        <v>#REF!</v>
      </c>
      <c r="T217" s="68" t="e">
        <f>ROUND(COM!P217,1)</f>
        <v>#REF!</v>
      </c>
      <c r="U217" s="68" t="e">
        <f>ROUND(COM!Q217,1)</f>
        <v>#REF!</v>
      </c>
      <c r="V217" s="68" t="e">
        <f>ROUND(COM!R217,1)</f>
        <v>#REF!</v>
      </c>
      <c r="W217" s="68" t="e">
        <f>ROUND(COM!S217,1)</f>
        <v>#REF!</v>
      </c>
      <c r="X217" s="111" t="e">
        <f>M217+O217+Q217+S218+U217+W217</f>
        <v>#REF!</v>
      </c>
    </row>
    <row r="218" spans="1:24" ht="37.5" x14ac:dyDescent="0.25">
      <c r="A218" s="4">
        <v>321</v>
      </c>
      <c r="B218" s="52">
        <v>41</v>
      </c>
      <c r="C218" s="52">
        <v>930</v>
      </c>
      <c r="D218" s="7">
        <v>70499</v>
      </c>
      <c r="E218" s="20" t="s">
        <v>176</v>
      </c>
      <c r="F218" s="86" t="s">
        <v>206</v>
      </c>
      <c r="G218" s="227"/>
      <c r="H218" s="166"/>
      <c r="I218" s="166"/>
      <c r="J218" s="166"/>
      <c r="K218" s="166"/>
      <c r="L218" s="68" t="e">
        <f>ROUND(COM!H218,1)</f>
        <v>#REF!</v>
      </c>
      <c r="M218" s="68" t="e">
        <f>ROUND(COM!I218,1)</f>
        <v>#REF!</v>
      </c>
      <c r="N218" s="68" t="e">
        <f>ROUND(COM!J218,1)</f>
        <v>#REF!</v>
      </c>
      <c r="O218" s="68" t="e">
        <f>ROUND(COM!K218,1)</f>
        <v>#REF!</v>
      </c>
      <c r="P218" s="68" t="e">
        <f>ROUND(COM!L218,1)</f>
        <v>#REF!</v>
      </c>
      <c r="Q218" s="68" t="e">
        <f>ROUND(COM!M218,1)</f>
        <v>#REF!</v>
      </c>
      <c r="R218" s="68" t="e">
        <f>ROUND(COM!N218,1)</f>
        <v>#REF!</v>
      </c>
      <c r="S218" s="68" t="e">
        <f>ROUND(COM!O218,1)</f>
        <v>#REF!</v>
      </c>
      <c r="T218" s="68" t="e">
        <f>ROUND(COM!P218,1)</f>
        <v>#REF!</v>
      </c>
      <c r="U218" s="68" t="e">
        <f>ROUND(COM!Q218,1)</f>
        <v>#REF!</v>
      </c>
      <c r="V218" s="68" t="e">
        <f>ROUND(COM!R218,1)</f>
        <v>#REF!</v>
      </c>
      <c r="W218" s="68" t="e">
        <f>ROUND(COM!S218,1)</f>
        <v>#REF!</v>
      </c>
      <c r="X218" s="111" t="e">
        <f>M218+O218+Q218+#REF!+U218+W218</f>
        <v>#REF!</v>
      </c>
    </row>
    <row r="219" spans="1:24" ht="56.25" x14ac:dyDescent="0.25">
      <c r="A219" s="4">
        <v>311</v>
      </c>
      <c r="B219" s="52">
        <v>41</v>
      </c>
      <c r="C219" s="52">
        <v>920</v>
      </c>
      <c r="D219" s="7">
        <v>70499</v>
      </c>
      <c r="E219" s="20" t="s">
        <v>176</v>
      </c>
      <c r="F219" s="86" t="s">
        <v>208</v>
      </c>
      <c r="G219" s="225" t="s">
        <v>365</v>
      </c>
      <c r="H219" s="165"/>
      <c r="I219" s="165"/>
      <c r="J219" s="165"/>
      <c r="K219" s="165"/>
      <c r="L219" s="68" t="e">
        <f>ROUND(COM!H219,1)</f>
        <v>#REF!</v>
      </c>
      <c r="M219" s="68" t="e">
        <f>ROUND(COM!I219,1)</f>
        <v>#REF!</v>
      </c>
      <c r="N219" s="68" t="e">
        <f>ROUND(COM!J219,1)</f>
        <v>#REF!</v>
      </c>
      <c r="O219" s="68" t="e">
        <f>ROUND(COM!K219,1)</f>
        <v>#REF!</v>
      </c>
      <c r="P219" s="68" t="e">
        <f>ROUND(COM!L219,1)</f>
        <v>#REF!</v>
      </c>
      <c r="Q219" s="68" t="e">
        <f>ROUND(COM!M219,1)</f>
        <v>#REF!</v>
      </c>
      <c r="R219" s="68" t="e">
        <f>ROUND(COM!N219,1)</f>
        <v>#REF!</v>
      </c>
      <c r="S219" s="68" t="e">
        <f>ROUND(COM!O219,1)</f>
        <v>#REF!</v>
      </c>
      <c r="T219" s="68" t="e">
        <f>ROUND(COM!P219,1)</f>
        <v>#REF!</v>
      </c>
      <c r="U219" s="68" t="e">
        <f>ROUND(COM!Q219,1)</f>
        <v>#REF!</v>
      </c>
      <c r="V219" s="68" t="e">
        <f>ROUND(COM!R219,1)</f>
        <v>#REF!</v>
      </c>
      <c r="W219" s="68" t="e">
        <f>ROUND(COM!S219,1)</f>
        <v>#REF!</v>
      </c>
      <c r="X219" s="111" t="e">
        <f>O219+#REF!+Q219+S219+U219+W219</f>
        <v>#REF!</v>
      </c>
    </row>
    <row r="220" spans="1:24" ht="56.25" x14ac:dyDescent="0.25">
      <c r="A220" s="4">
        <v>321</v>
      </c>
      <c r="B220" s="52">
        <v>41</v>
      </c>
      <c r="C220" s="52">
        <v>930</v>
      </c>
      <c r="D220" s="7">
        <v>70499</v>
      </c>
      <c r="E220" s="20" t="s">
        <v>176</v>
      </c>
      <c r="F220" s="86" t="s">
        <v>207</v>
      </c>
      <c r="G220" s="227"/>
      <c r="H220" s="166"/>
      <c r="I220" s="166"/>
      <c r="J220" s="166"/>
      <c r="K220" s="166"/>
      <c r="L220" s="68" t="e">
        <f>ROUND(COM!H220,1)</f>
        <v>#REF!</v>
      </c>
      <c r="M220" s="68" t="e">
        <f>ROUND(COM!I220,1)</f>
        <v>#REF!</v>
      </c>
      <c r="N220" s="68" t="e">
        <f>ROUND(COM!J220,1)</f>
        <v>#REF!</v>
      </c>
      <c r="O220" s="68" t="e">
        <f>ROUND(COM!K220,1)</f>
        <v>#REF!</v>
      </c>
      <c r="P220" s="68" t="e">
        <f>ROUND(COM!L220,1)</f>
        <v>#REF!</v>
      </c>
      <c r="Q220" s="68" t="e">
        <f>ROUND(COM!M220,1)</f>
        <v>#REF!</v>
      </c>
      <c r="R220" s="68" t="e">
        <f>ROUND(COM!N220,1)</f>
        <v>#REF!</v>
      </c>
      <c r="S220" s="68" t="e">
        <f>ROUND(COM!O220,1)</f>
        <v>#REF!</v>
      </c>
      <c r="T220" s="68" t="e">
        <f>ROUND(COM!P220,1)</f>
        <v>#REF!</v>
      </c>
      <c r="U220" s="68" t="e">
        <f>ROUND(COM!Q220,1)</f>
        <v>#REF!</v>
      </c>
      <c r="V220" s="68" t="e">
        <f>ROUND(COM!R220,1)</f>
        <v>#REF!</v>
      </c>
      <c r="W220" s="68" t="e">
        <f>ROUND(COM!S220,1)</f>
        <v>#REF!</v>
      </c>
      <c r="X220" s="111" t="e">
        <f>O220+#REF!+Q220+S220+U220+W220</f>
        <v>#REF!</v>
      </c>
    </row>
    <row r="221" spans="1:24" ht="18.75" customHeight="1" x14ac:dyDescent="0.25">
      <c r="A221" s="4">
        <v>311</v>
      </c>
      <c r="B221" s="52">
        <v>41</v>
      </c>
      <c r="C221" s="52">
        <v>910</v>
      </c>
      <c r="D221" s="7">
        <v>70499</v>
      </c>
      <c r="E221" s="20"/>
      <c r="F221" s="62" t="s">
        <v>97</v>
      </c>
      <c r="G221" s="225" t="s">
        <v>321</v>
      </c>
      <c r="H221" s="165"/>
      <c r="I221" s="165"/>
      <c r="J221" s="165"/>
      <c r="K221" s="165"/>
      <c r="L221" s="68" t="e">
        <f>ROUND(COM!H221,1)</f>
        <v>#REF!</v>
      </c>
      <c r="M221" s="68" t="e">
        <f>ROUND(COM!I221,1)</f>
        <v>#REF!</v>
      </c>
      <c r="N221" s="68" t="e">
        <f>ROUND(COM!J221,1)</f>
        <v>#REF!</v>
      </c>
      <c r="O221" s="68" t="e">
        <f>ROUND(COM!K221,1)</f>
        <v>#REF!</v>
      </c>
      <c r="P221" s="68" t="e">
        <f>ROUND(COM!L221,1)</f>
        <v>#REF!</v>
      </c>
      <c r="Q221" s="68" t="e">
        <f>ROUND(COM!M221,1)</f>
        <v>#REF!</v>
      </c>
      <c r="R221" s="68" t="e">
        <f>ROUND(COM!N221,1)</f>
        <v>#REF!</v>
      </c>
      <c r="S221" s="68" t="e">
        <f>ROUND(COM!O221,1)</f>
        <v>#REF!</v>
      </c>
      <c r="T221" s="68" t="e">
        <f>ROUND(COM!P221,1)</f>
        <v>#REF!</v>
      </c>
      <c r="U221" s="68" t="e">
        <f>ROUND(COM!Q221,1)</f>
        <v>#REF!</v>
      </c>
      <c r="V221" s="68" t="e">
        <f>ROUND(COM!R221,1)</f>
        <v>#REF!</v>
      </c>
      <c r="W221" s="68" t="e">
        <f>ROUND(COM!S221,1)</f>
        <v>#REF!</v>
      </c>
      <c r="X221" s="111" t="e">
        <f t="shared" si="19"/>
        <v>#REF!</v>
      </c>
    </row>
    <row r="222" spans="1:24" ht="18.75" x14ac:dyDescent="0.25">
      <c r="A222" s="4">
        <v>311</v>
      </c>
      <c r="B222" s="52">
        <v>41</v>
      </c>
      <c r="C222" s="52">
        <v>920</v>
      </c>
      <c r="D222" s="7">
        <v>70499</v>
      </c>
      <c r="E222" s="20" t="s">
        <v>173</v>
      </c>
      <c r="F222" s="62" t="s">
        <v>98</v>
      </c>
      <c r="G222" s="226"/>
      <c r="H222" s="167"/>
      <c r="I222" s="167"/>
      <c r="J222" s="167"/>
      <c r="K222" s="167"/>
      <c r="L222" s="68" t="e">
        <f>ROUND(COM!H222,1)</f>
        <v>#REF!</v>
      </c>
      <c r="M222" s="68" t="e">
        <f>ROUND(COM!I222,1)</f>
        <v>#REF!</v>
      </c>
      <c r="N222" s="68" t="e">
        <f>ROUND(COM!J222,1)</f>
        <v>#REF!</v>
      </c>
      <c r="O222" s="68" t="e">
        <f>ROUND(COM!K222,1)</f>
        <v>#REF!</v>
      </c>
      <c r="P222" s="68" t="e">
        <f>ROUND(COM!L222,1)</f>
        <v>#REF!</v>
      </c>
      <c r="Q222" s="68" t="e">
        <f>ROUND(COM!M222,1)</f>
        <v>#REF!</v>
      </c>
      <c r="R222" s="68" t="e">
        <f>ROUND(COM!N222,1)</f>
        <v>#REF!</v>
      </c>
      <c r="S222" s="68" t="e">
        <f>ROUND(COM!O222,1)</f>
        <v>#REF!</v>
      </c>
      <c r="T222" s="68" t="e">
        <f>ROUND(COM!P222,1)</f>
        <v>#REF!</v>
      </c>
      <c r="U222" s="68" t="e">
        <f>ROUND(COM!Q222,1)</f>
        <v>#REF!</v>
      </c>
      <c r="V222" s="68" t="e">
        <f>ROUND(COM!R222,1)</f>
        <v>#REF!</v>
      </c>
      <c r="W222" s="68" t="e">
        <f>ROUND(COM!S222,1)</f>
        <v>#REF!</v>
      </c>
      <c r="X222" s="111" t="e">
        <f t="shared" si="19"/>
        <v>#REF!</v>
      </c>
    </row>
    <row r="223" spans="1:24" ht="18.75" x14ac:dyDescent="0.25">
      <c r="A223" s="4">
        <v>311</v>
      </c>
      <c r="B223" s="52">
        <v>41</v>
      </c>
      <c r="C223" s="52">
        <v>930</v>
      </c>
      <c r="D223" s="7">
        <v>70499</v>
      </c>
      <c r="E223" s="20" t="s">
        <v>173</v>
      </c>
      <c r="F223" s="62" t="s">
        <v>99</v>
      </c>
      <c r="G223" s="227"/>
      <c r="H223" s="166"/>
      <c r="I223" s="166"/>
      <c r="J223" s="166"/>
      <c r="K223" s="166"/>
      <c r="L223" s="68" t="e">
        <f>ROUND(COM!H223,1)</f>
        <v>#REF!</v>
      </c>
      <c r="M223" s="68" t="e">
        <f>ROUND(COM!I223,1)</f>
        <v>#REF!</v>
      </c>
      <c r="N223" s="68" t="e">
        <f>ROUND(COM!J223,1)</f>
        <v>#REF!</v>
      </c>
      <c r="O223" s="68" t="e">
        <f>ROUND(COM!K223,1)</f>
        <v>#REF!</v>
      </c>
      <c r="P223" s="68" t="e">
        <f>ROUND(COM!L223,1)</f>
        <v>#REF!</v>
      </c>
      <c r="Q223" s="68" t="e">
        <f>ROUND(COM!M223,1)</f>
        <v>#REF!</v>
      </c>
      <c r="R223" s="68" t="e">
        <f>ROUND(COM!N223,1)</f>
        <v>#REF!</v>
      </c>
      <c r="S223" s="68" t="e">
        <f>ROUND(COM!O223,1)</f>
        <v>#REF!</v>
      </c>
      <c r="T223" s="68" t="e">
        <f>ROUND(COM!P223,1)</f>
        <v>#REF!</v>
      </c>
      <c r="U223" s="68" t="e">
        <f>ROUND(COM!Q223,1)</f>
        <v>#REF!</v>
      </c>
      <c r="V223" s="68" t="e">
        <f>ROUND(COM!R223,1)</f>
        <v>#REF!</v>
      </c>
      <c r="W223" s="68" t="e">
        <f>ROUND(COM!S223,1)</f>
        <v>#REF!</v>
      </c>
      <c r="X223" s="111" t="e">
        <f t="shared" si="19"/>
        <v>#REF!</v>
      </c>
    </row>
    <row r="224" spans="1:24" ht="37.5" x14ac:dyDescent="0.25">
      <c r="A224" s="4">
        <v>311</v>
      </c>
      <c r="B224" s="52">
        <v>41</v>
      </c>
      <c r="C224" s="52">
        <v>920</v>
      </c>
      <c r="D224" s="7">
        <v>70499</v>
      </c>
      <c r="E224" s="20" t="s">
        <v>172</v>
      </c>
      <c r="F224" s="62" t="s">
        <v>224</v>
      </c>
      <c r="G224" s="225" t="s">
        <v>299</v>
      </c>
      <c r="H224" s="165"/>
      <c r="I224" s="165"/>
      <c r="J224" s="165"/>
      <c r="K224" s="165"/>
      <c r="L224" s="68" t="e">
        <f>ROUND(COM!H224,1)</f>
        <v>#REF!</v>
      </c>
      <c r="M224" s="68" t="e">
        <f>ROUND(COM!I224,1)</f>
        <v>#REF!</v>
      </c>
      <c r="N224" s="68" t="e">
        <f>ROUND(COM!J224,1)</f>
        <v>#REF!</v>
      </c>
      <c r="O224" s="68" t="e">
        <f>ROUND(COM!K224,1)</f>
        <v>#REF!</v>
      </c>
      <c r="P224" s="68" t="e">
        <f>ROUND(COM!L224,1)</f>
        <v>#REF!</v>
      </c>
      <c r="Q224" s="68" t="e">
        <f>ROUND(COM!M224,1)</f>
        <v>#REF!</v>
      </c>
      <c r="R224" s="68" t="e">
        <f>ROUND(COM!N224,1)</f>
        <v>#REF!</v>
      </c>
      <c r="S224" s="68" t="e">
        <f>ROUND(COM!O224,1)</f>
        <v>#REF!</v>
      </c>
      <c r="T224" s="68" t="e">
        <f>ROUND(COM!P224,1)</f>
        <v>#REF!</v>
      </c>
      <c r="U224" s="68" t="e">
        <f>ROUND(COM!Q224,1)</f>
        <v>#REF!</v>
      </c>
      <c r="V224" s="68" t="e">
        <f>ROUND(COM!R224,1)</f>
        <v>#REF!</v>
      </c>
      <c r="W224" s="68" t="e">
        <f>ROUND(COM!S224,1)</f>
        <v>#REF!</v>
      </c>
      <c r="X224" s="111" t="e">
        <f t="shared" si="19"/>
        <v>#REF!</v>
      </c>
    </row>
    <row r="225" spans="1:24" ht="37.5" x14ac:dyDescent="0.25">
      <c r="A225" s="4">
        <v>311</v>
      </c>
      <c r="B225" s="52">
        <v>41</v>
      </c>
      <c r="C225" s="52">
        <v>930</v>
      </c>
      <c r="D225" s="7">
        <v>70499</v>
      </c>
      <c r="E225" s="20" t="s">
        <v>172</v>
      </c>
      <c r="F225" s="62" t="s">
        <v>227</v>
      </c>
      <c r="G225" s="227"/>
      <c r="H225" s="166"/>
      <c r="I225" s="166"/>
      <c r="J225" s="166"/>
      <c r="K225" s="166"/>
      <c r="L225" s="68" t="e">
        <f>ROUND(COM!H225,1)</f>
        <v>#REF!</v>
      </c>
      <c r="M225" s="68" t="e">
        <f>ROUND(COM!I225,1)</f>
        <v>#REF!</v>
      </c>
      <c r="N225" s="68" t="e">
        <f>ROUND(COM!J225,1)</f>
        <v>#REF!</v>
      </c>
      <c r="O225" s="68" t="e">
        <f>ROUND(COM!K225,1)</f>
        <v>#REF!</v>
      </c>
      <c r="P225" s="68" t="e">
        <f>ROUND(COM!L225,1)</f>
        <v>#REF!</v>
      </c>
      <c r="Q225" s="68" t="e">
        <f>ROUND(COM!M225,1)</f>
        <v>#REF!</v>
      </c>
      <c r="R225" s="68" t="e">
        <f>ROUND(COM!N225,1)</f>
        <v>#REF!</v>
      </c>
      <c r="S225" s="68" t="e">
        <f>ROUND(COM!O225,1)</f>
        <v>#REF!</v>
      </c>
      <c r="T225" s="68" t="e">
        <f>ROUND(COM!P225,1)</f>
        <v>#REF!</v>
      </c>
      <c r="U225" s="68" t="e">
        <f>ROUND(COM!Q225,1)</f>
        <v>#REF!</v>
      </c>
      <c r="V225" s="68" t="e">
        <f>ROUND(COM!R225,1)</f>
        <v>#REF!</v>
      </c>
      <c r="W225" s="68" t="e">
        <f>ROUND(COM!S225,1)</f>
        <v>#REF!</v>
      </c>
      <c r="X225" s="111" t="e">
        <f t="shared" si="19"/>
        <v>#REF!</v>
      </c>
    </row>
    <row r="226" spans="1:24" ht="37.5" x14ac:dyDescent="0.25">
      <c r="A226" s="49">
        <v>311</v>
      </c>
      <c r="B226" s="52">
        <v>41</v>
      </c>
      <c r="C226" s="52">
        <v>930</v>
      </c>
      <c r="D226" s="53">
        <v>70499</v>
      </c>
      <c r="E226" s="48" t="s">
        <v>172</v>
      </c>
      <c r="F226" s="62" t="s">
        <v>189</v>
      </c>
      <c r="G226" s="73" t="s">
        <v>283</v>
      </c>
      <c r="H226" s="73"/>
      <c r="I226" s="73"/>
      <c r="J226" s="73"/>
      <c r="K226" s="73"/>
      <c r="L226" s="68" t="e">
        <f>ROUND(COM!H226,1)</f>
        <v>#REF!</v>
      </c>
      <c r="M226" s="68" t="e">
        <f>ROUND(COM!I226,1)</f>
        <v>#REF!</v>
      </c>
      <c r="N226" s="68" t="e">
        <f>ROUND(COM!J226,1)</f>
        <v>#REF!</v>
      </c>
      <c r="O226" s="68" t="e">
        <f>ROUND(COM!K226,1)</f>
        <v>#REF!</v>
      </c>
      <c r="P226" s="68" t="e">
        <f>ROUND(COM!L226,1)</f>
        <v>#REF!</v>
      </c>
      <c r="Q226" s="68" t="e">
        <f>ROUND(COM!M226,1)</f>
        <v>#REF!</v>
      </c>
      <c r="R226" s="68" t="e">
        <f>ROUND(COM!N226,1)</f>
        <v>#REF!</v>
      </c>
      <c r="S226" s="68" t="e">
        <f>ROUND(COM!O226,1)</f>
        <v>#REF!</v>
      </c>
      <c r="T226" s="68" t="e">
        <f>ROUND(COM!P226,1)</f>
        <v>#REF!</v>
      </c>
      <c r="U226" s="68" t="e">
        <f>ROUND(COM!Q226,1)</f>
        <v>#REF!</v>
      </c>
      <c r="V226" s="68" t="e">
        <f>ROUND(COM!R226,1)</f>
        <v>#REF!</v>
      </c>
      <c r="W226" s="68" t="e">
        <f>ROUND(COM!S226,1)</f>
        <v>#REF!</v>
      </c>
      <c r="X226" s="111" t="e">
        <f t="shared" si="19"/>
        <v>#REF!</v>
      </c>
    </row>
    <row r="227" spans="1:24" ht="37.5" x14ac:dyDescent="0.25">
      <c r="A227" s="4">
        <v>311</v>
      </c>
      <c r="B227" s="52">
        <v>41</v>
      </c>
      <c r="C227" s="52">
        <v>920</v>
      </c>
      <c r="D227" s="7">
        <v>70499</v>
      </c>
      <c r="E227" s="20" t="s">
        <v>172</v>
      </c>
      <c r="F227" s="62" t="s">
        <v>100</v>
      </c>
      <c r="G227" s="225" t="s">
        <v>281</v>
      </c>
      <c r="H227" s="165"/>
      <c r="I227" s="165"/>
      <c r="J227" s="165"/>
      <c r="K227" s="165"/>
      <c r="L227" s="68" t="e">
        <f>ROUND(COM!H227,1)</f>
        <v>#REF!</v>
      </c>
      <c r="M227" s="68" t="e">
        <f>ROUND(COM!I227,1)</f>
        <v>#REF!</v>
      </c>
      <c r="N227" s="68" t="e">
        <f>ROUND(COM!J227,1)</f>
        <v>#REF!</v>
      </c>
      <c r="O227" s="68" t="e">
        <f>ROUND(COM!K227,1)</f>
        <v>#REF!</v>
      </c>
      <c r="P227" s="68" t="e">
        <f>ROUND(COM!L227,1)</f>
        <v>#REF!</v>
      </c>
      <c r="Q227" s="68" t="e">
        <f>ROUND(COM!M227,1)</f>
        <v>#REF!</v>
      </c>
      <c r="R227" s="68" t="e">
        <f>ROUND(COM!N227,1)</f>
        <v>#REF!</v>
      </c>
      <c r="S227" s="68" t="e">
        <f>ROUND(COM!O227,1)</f>
        <v>#REF!</v>
      </c>
      <c r="T227" s="68" t="e">
        <f>ROUND(COM!P227,1)</f>
        <v>#REF!</v>
      </c>
      <c r="U227" s="68" t="e">
        <f>ROUND(COM!Q227,1)</f>
        <v>#REF!</v>
      </c>
      <c r="V227" s="68" t="e">
        <f>ROUND(COM!R227,1)</f>
        <v>#REF!</v>
      </c>
      <c r="W227" s="68" t="e">
        <f>ROUND(COM!S227,1)</f>
        <v>#REF!</v>
      </c>
      <c r="X227" s="111" t="e">
        <f t="shared" si="19"/>
        <v>#REF!</v>
      </c>
    </row>
    <row r="228" spans="1:24" ht="37.5" x14ac:dyDescent="0.25">
      <c r="A228" s="4">
        <v>311</v>
      </c>
      <c r="B228" s="52">
        <v>41</v>
      </c>
      <c r="C228" s="52">
        <v>930</v>
      </c>
      <c r="D228" s="7">
        <v>70499</v>
      </c>
      <c r="E228" s="20" t="s">
        <v>172</v>
      </c>
      <c r="F228" s="62" t="s">
        <v>101</v>
      </c>
      <c r="G228" s="227"/>
      <c r="H228" s="166"/>
      <c r="I228" s="166"/>
      <c r="J228" s="166"/>
      <c r="K228" s="166"/>
      <c r="L228" s="68" t="e">
        <f>ROUND(COM!H228,1)</f>
        <v>#REF!</v>
      </c>
      <c r="M228" s="68" t="e">
        <f>ROUND(COM!I228,1)</f>
        <v>#REF!</v>
      </c>
      <c r="N228" s="68" t="e">
        <f>ROUND(COM!J228,1)</f>
        <v>#REF!</v>
      </c>
      <c r="O228" s="68" t="e">
        <f>ROUND(COM!K228,1)</f>
        <v>#REF!</v>
      </c>
      <c r="P228" s="68" t="e">
        <f>ROUND(COM!L228,1)</f>
        <v>#REF!</v>
      </c>
      <c r="Q228" s="68" t="e">
        <f>ROUND(COM!M228,1)</f>
        <v>#REF!</v>
      </c>
      <c r="R228" s="68" t="e">
        <f>ROUND(COM!N228,1)</f>
        <v>#REF!</v>
      </c>
      <c r="S228" s="68" t="e">
        <f>ROUND(COM!O228,1)</f>
        <v>#REF!</v>
      </c>
      <c r="T228" s="68" t="e">
        <f>ROUND(COM!P228,1)</f>
        <v>#REF!</v>
      </c>
      <c r="U228" s="68" t="e">
        <f>ROUND(COM!Q228,1)</f>
        <v>#REF!</v>
      </c>
      <c r="V228" s="68" t="e">
        <f>ROUND(COM!R228,1)</f>
        <v>#REF!</v>
      </c>
      <c r="W228" s="68" t="e">
        <f>ROUND(COM!S228,1)</f>
        <v>#REF!</v>
      </c>
      <c r="X228" s="111" t="e">
        <f t="shared" si="19"/>
        <v>#REF!</v>
      </c>
    </row>
    <row r="229" spans="1:24" ht="37.5" x14ac:dyDescent="0.25">
      <c r="A229" s="4">
        <v>311</v>
      </c>
      <c r="B229" s="52">
        <v>41</v>
      </c>
      <c r="C229" s="52">
        <v>920</v>
      </c>
      <c r="D229" s="7">
        <v>70499</v>
      </c>
      <c r="E229" s="20" t="s">
        <v>172</v>
      </c>
      <c r="F229" s="62" t="s">
        <v>102</v>
      </c>
      <c r="G229" s="225" t="s">
        <v>282</v>
      </c>
      <c r="H229" s="165"/>
      <c r="I229" s="165"/>
      <c r="J229" s="165"/>
      <c r="K229" s="165"/>
      <c r="L229" s="68" t="e">
        <f>ROUND(COM!H229,1)</f>
        <v>#REF!</v>
      </c>
      <c r="M229" s="68" t="e">
        <f>ROUND(COM!I229,1)</f>
        <v>#REF!</v>
      </c>
      <c r="N229" s="68" t="e">
        <f>ROUND(COM!J229,1)</f>
        <v>#REF!</v>
      </c>
      <c r="O229" s="68" t="e">
        <f>ROUND(COM!K229,1)</f>
        <v>#REF!</v>
      </c>
      <c r="P229" s="68" t="e">
        <f>ROUND(COM!L229,1)</f>
        <v>#REF!</v>
      </c>
      <c r="Q229" s="68" t="e">
        <f>ROUND(COM!M229,1)</f>
        <v>#REF!</v>
      </c>
      <c r="R229" s="68" t="e">
        <f>ROUND(COM!N229,1)</f>
        <v>#REF!</v>
      </c>
      <c r="S229" s="68" t="e">
        <f>ROUND(COM!O229,1)</f>
        <v>#REF!</v>
      </c>
      <c r="T229" s="68" t="e">
        <f>ROUND(COM!P229,1)</f>
        <v>#REF!</v>
      </c>
      <c r="U229" s="68" t="e">
        <f>ROUND(COM!Q229,1)</f>
        <v>#REF!</v>
      </c>
      <c r="V229" s="68" t="e">
        <f>ROUND(COM!R229,1)</f>
        <v>#REF!</v>
      </c>
      <c r="W229" s="68" t="e">
        <f>ROUND(COM!S229,1)</f>
        <v>#REF!</v>
      </c>
      <c r="X229" s="111" t="e">
        <f t="shared" si="19"/>
        <v>#REF!</v>
      </c>
    </row>
    <row r="230" spans="1:24" ht="37.5" x14ac:dyDescent="0.25">
      <c r="A230" s="4">
        <v>311</v>
      </c>
      <c r="B230" s="52">
        <v>41</v>
      </c>
      <c r="C230" s="52">
        <v>930</v>
      </c>
      <c r="D230" s="7">
        <v>70499</v>
      </c>
      <c r="E230" s="20" t="s">
        <v>172</v>
      </c>
      <c r="F230" s="62" t="s">
        <v>103</v>
      </c>
      <c r="G230" s="227"/>
      <c r="H230" s="166"/>
      <c r="I230" s="166"/>
      <c r="J230" s="166"/>
      <c r="K230" s="166"/>
      <c r="L230" s="68" t="e">
        <f>ROUND(COM!H230,1)</f>
        <v>#REF!</v>
      </c>
      <c r="M230" s="68" t="e">
        <f>ROUND(COM!I230,1)</f>
        <v>#REF!</v>
      </c>
      <c r="N230" s="68" t="e">
        <f>ROUND(COM!J230,1)</f>
        <v>#REF!</v>
      </c>
      <c r="O230" s="68" t="e">
        <f>ROUND(COM!K230,1)</f>
        <v>#REF!</v>
      </c>
      <c r="P230" s="68" t="e">
        <f>ROUND(COM!L230,1)</f>
        <v>#REF!</v>
      </c>
      <c r="Q230" s="68" t="e">
        <f>ROUND(COM!M230,1)</f>
        <v>#REF!</v>
      </c>
      <c r="R230" s="68" t="e">
        <f>ROUND(COM!N230,1)</f>
        <v>#REF!</v>
      </c>
      <c r="S230" s="68" t="e">
        <f>ROUND(COM!O230,1)</f>
        <v>#REF!</v>
      </c>
      <c r="T230" s="68" t="e">
        <f>ROUND(COM!P230,1)</f>
        <v>#REF!</v>
      </c>
      <c r="U230" s="68" t="e">
        <f>ROUND(COM!Q230,1)</f>
        <v>#REF!</v>
      </c>
      <c r="V230" s="68" t="e">
        <f>ROUND(COM!R230,1)</f>
        <v>#REF!</v>
      </c>
      <c r="W230" s="68" t="e">
        <f>ROUND(COM!S230,1)</f>
        <v>#REF!</v>
      </c>
      <c r="X230" s="111" t="e">
        <f t="shared" si="19"/>
        <v>#REF!</v>
      </c>
    </row>
    <row r="231" spans="1:24" ht="37.5" customHeight="1" x14ac:dyDescent="0.25">
      <c r="A231" s="4">
        <v>311</v>
      </c>
      <c r="B231" s="52">
        <v>41</v>
      </c>
      <c r="C231" s="52">
        <v>910</v>
      </c>
      <c r="D231" s="7">
        <v>70499</v>
      </c>
      <c r="E231" s="20"/>
      <c r="F231" s="62" t="s">
        <v>104</v>
      </c>
      <c r="G231" s="225" t="s">
        <v>285</v>
      </c>
      <c r="H231" s="165"/>
      <c r="I231" s="165"/>
      <c r="J231" s="165"/>
      <c r="K231" s="165"/>
      <c r="L231" s="68" t="e">
        <f>ROUND(COM!H231,1)</f>
        <v>#REF!</v>
      </c>
      <c r="M231" s="68" t="e">
        <f>ROUND(COM!I231,1)</f>
        <v>#REF!</v>
      </c>
      <c r="N231" s="68" t="e">
        <f>ROUND(COM!J231,1)</f>
        <v>#REF!</v>
      </c>
      <c r="O231" s="68" t="e">
        <f>ROUND(COM!K231,1)</f>
        <v>#REF!</v>
      </c>
      <c r="P231" s="68" t="e">
        <f>ROUND(COM!L231,1)</f>
        <v>#REF!</v>
      </c>
      <c r="Q231" s="68" t="e">
        <f>ROUND(COM!M231,1)</f>
        <v>#REF!</v>
      </c>
      <c r="R231" s="68" t="e">
        <f>ROUND(COM!N231,1)</f>
        <v>#REF!</v>
      </c>
      <c r="S231" s="68" t="e">
        <f>ROUND(COM!O231,1)</f>
        <v>#REF!</v>
      </c>
      <c r="T231" s="68" t="e">
        <f>ROUND(COM!P231,1)</f>
        <v>#REF!</v>
      </c>
      <c r="U231" s="68" t="e">
        <f>ROUND(COM!Q231,1)</f>
        <v>#REF!</v>
      </c>
      <c r="V231" s="68" t="e">
        <f>ROUND(COM!R231,1)</f>
        <v>#REF!</v>
      </c>
      <c r="W231" s="68" t="e">
        <f>ROUND(COM!S231,1)</f>
        <v>#REF!</v>
      </c>
      <c r="X231" s="111" t="e">
        <f t="shared" si="19"/>
        <v>#REF!</v>
      </c>
    </row>
    <row r="232" spans="1:24" ht="37.5" x14ac:dyDescent="0.25">
      <c r="A232" s="4">
        <v>311</v>
      </c>
      <c r="B232" s="52">
        <v>41</v>
      </c>
      <c r="C232" s="52">
        <v>930</v>
      </c>
      <c r="D232" s="7">
        <v>70499</v>
      </c>
      <c r="E232" s="20" t="s">
        <v>174</v>
      </c>
      <c r="F232" s="62" t="s">
        <v>105</v>
      </c>
      <c r="G232" s="226"/>
      <c r="H232" s="167"/>
      <c r="I232" s="167"/>
      <c r="J232" s="167"/>
      <c r="K232" s="167"/>
      <c r="L232" s="68" t="e">
        <f>ROUND(COM!H232,1)</f>
        <v>#REF!</v>
      </c>
      <c r="M232" s="68" t="e">
        <f>ROUND(COM!I232,1)</f>
        <v>#REF!</v>
      </c>
      <c r="N232" s="68" t="e">
        <f>ROUND(COM!J232,1)</f>
        <v>#REF!</v>
      </c>
      <c r="O232" s="68" t="e">
        <f>ROUND(COM!K232,1)</f>
        <v>#REF!</v>
      </c>
      <c r="P232" s="68" t="e">
        <f>ROUND(COM!L232,1)</f>
        <v>#REF!</v>
      </c>
      <c r="Q232" s="68" t="e">
        <f>ROUND(COM!M232,1)</f>
        <v>#REF!</v>
      </c>
      <c r="R232" s="68" t="e">
        <f>ROUND(COM!N232,1)</f>
        <v>#REF!</v>
      </c>
      <c r="S232" s="68" t="e">
        <f>ROUND(COM!O232,1)</f>
        <v>#REF!</v>
      </c>
      <c r="T232" s="68" t="e">
        <f>ROUND(COM!P232,1)</f>
        <v>#REF!</v>
      </c>
      <c r="U232" s="68" t="e">
        <f>ROUND(COM!Q232,1)</f>
        <v>#REF!</v>
      </c>
      <c r="V232" s="68" t="e">
        <f>ROUND(COM!R232,1)</f>
        <v>#REF!</v>
      </c>
      <c r="W232" s="68" t="e">
        <f>ROUND(COM!S232,1)</f>
        <v>#REF!</v>
      </c>
      <c r="X232" s="111" t="e">
        <f t="shared" si="19"/>
        <v>#REF!</v>
      </c>
    </row>
    <row r="233" spans="1:24" ht="37.5" x14ac:dyDescent="0.25">
      <c r="A233" s="4">
        <v>311</v>
      </c>
      <c r="B233" s="52">
        <v>41</v>
      </c>
      <c r="C233" s="52">
        <v>930</v>
      </c>
      <c r="D233" s="7">
        <v>70499</v>
      </c>
      <c r="E233" s="20" t="s">
        <v>166</v>
      </c>
      <c r="F233" s="62" t="s">
        <v>106</v>
      </c>
      <c r="G233" s="227"/>
      <c r="H233" s="166"/>
      <c r="I233" s="166"/>
      <c r="J233" s="166"/>
      <c r="K233" s="166"/>
      <c r="L233" s="68" t="e">
        <f>ROUND(COM!H233,1)</f>
        <v>#REF!</v>
      </c>
      <c r="M233" s="68" t="e">
        <f>ROUND(COM!I233,1)</f>
        <v>#REF!</v>
      </c>
      <c r="N233" s="68" t="e">
        <f>ROUND(COM!J233,1)</f>
        <v>#REF!</v>
      </c>
      <c r="O233" s="68" t="e">
        <f>ROUND(COM!K233,1)</f>
        <v>#REF!</v>
      </c>
      <c r="P233" s="68" t="e">
        <f>ROUND(COM!L233,1)</f>
        <v>#REF!</v>
      </c>
      <c r="Q233" s="68" t="e">
        <f>ROUND(COM!M233,1)</f>
        <v>#REF!</v>
      </c>
      <c r="R233" s="68" t="e">
        <f>ROUND(COM!N233,1)</f>
        <v>#REF!</v>
      </c>
      <c r="S233" s="68" t="e">
        <f>ROUND(COM!O233,1)</f>
        <v>#REF!</v>
      </c>
      <c r="T233" s="68" t="e">
        <f>ROUND(COM!P233,1)</f>
        <v>#REF!</v>
      </c>
      <c r="U233" s="68" t="e">
        <f>ROUND(COM!Q233,1)</f>
        <v>#REF!</v>
      </c>
      <c r="V233" s="68" t="e">
        <f>ROUND(COM!R233,1)</f>
        <v>#REF!</v>
      </c>
      <c r="W233" s="68" t="e">
        <f>ROUND(COM!S233,1)</f>
        <v>#REF!</v>
      </c>
      <c r="X233" s="111" t="e">
        <f t="shared" si="19"/>
        <v>#REF!</v>
      </c>
    </row>
    <row r="234" spans="1:24" ht="37.5" x14ac:dyDescent="0.25">
      <c r="A234" s="4">
        <v>311</v>
      </c>
      <c r="B234" s="52">
        <v>41</v>
      </c>
      <c r="C234" s="52">
        <v>910</v>
      </c>
      <c r="D234" s="7">
        <v>70499</v>
      </c>
      <c r="E234" s="20"/>
      <c r="F234" s="62" t="s">
        <v>107</v>
      </c>
      <c r="G234" s="225" t="s">
        <v>284</v>
      </c>
      <c r="H234" s="165"/>
      <c r="I234" s="165"/>
      <c r="J234" s="165"/>
      <c r="K234" s="165"/>
      <c r="L234" s="68" t="e">
        <f>ROUND(COM!H234,1)</f>
        <v>#REF!</v>
      </c>
      <c r="M234" s="68" t="e">
        <f>ROUND(COM!I234,1)</f>
        <v>#REF!</v>
      </c>
      <c r="N234" s="68" t="e">
        <f>ROUND(COM!J234,1)</f>
        <v>#REF!</v>
      </c>
      <c r="O234" s="68" t="e">
        <f>ROUND(COM!K234,1)</f>
        <v>#REF!</v>
      </c>
      <c r="P234" s="68" t="e">
        <f>ROUND(COM!L234,1)</f>
        <v>#REF!</v>
      </c>
      <c r="Q234" s="68" t="e">
        <f>ROUND(COM!M234,1)</f>
        <v>#REF!</v>
      </c>
      <c r="R234" s="68" t="e">
        <f>ROUND(COM!N234,1)</f>
        <v>#REF!</v>
      </c>
      <c r="S234" s="68" t="e">
        <f>ROUND(COM!O234,1)</f>
        <v>#REF!</v>
      </c>
      <c r="T234" s="68" t="e">
        <f>ROUND(COM!P234,1)</f>
        <v>#REF!</v>
      </c>
      <c r="U234" s="68" t="e">
        <f>ROUND(COM!Q234,1)</f>
        <v>#REF!</v>
      </c>
      <c r="V234" s="68" t="e">
        <f>ROUND(COM!R234,1)</f>
        <v>#REF!</v>
      </c>
      <c r="W234" s="68" t="e">
        <f>ROUND(COM!S234,1)</f>
        <v>#REF!</v>
      </c>
      <c r="X234" s="111" t="e">
        <f t="shared" si="19"/>
        <v>#REF!</v>
      </c>
    </row>
    <row r="235" spans="1:24" ht="37.5" x14ac:dyDescent="0.25">
      <c r="A235" s="4">
        <v>311</v>
      </c>
      <c r="B235" s="52">
        <v>41</v>
      </c>
      <c r="C235" s="52">
        <v>920</v>
      </c>
      <c r="D235" s="7">
        <v>70499</v>
      </c>
      <c r="E235" s="20" t="s">
        <v>173</v>
      </c>
      <c r="F235" s="62" t="s">
        <v>108</v>
      </c>
      <c r="G235" s="226"/>
      <c r="H235" s="167"/>
      <c r="I235" s="167"/>
      <c r="J235" s="167"/>
      <c r="K235" s="167"/>
      <c r="L235" s="68" t="e">
        <f>ROUND(COM!H235,1)</f>
        <v>#REF!</v>
      </c>
      <c r="M235" s="68" t="e">
        <f>ROUND(COM!I235,1)</f>
        <v>#REF!</v>
      </c>
      <c r="N235" s="68" t="e">
        <f>ROUND(COM!J235,1)</f>
        <v>#REF!</v>
      </c>
      <c r="O235" s="68" t="e">
        <f>ROUND(COM!K235,1)</f>
        <v>#REF!</v>
      </c>
      <c r="P235" s="68" t="e">
        <f>ROUND(COM!L235,1)</f>
        <v>#REF!</v>
      </c>
      <c r="Q235" s="68" t="e">
        <f>ROUND(COM!M235,1)</f>
        <v>#REF!</v>
      </c>
      <c r="R235" s="68" t="e">
        <f>ROUND(COM!N235,1)</f>
        <v>#REF!</v>
      </c>
      <c r="S235" s="68" t="e">
        <f>ROUND(COM!O235,1)</f>
        <v>#REF!</v>
      </c>
      <c r="T235" s="68" t="e">
        <f>ROUND(COM!P235,1)</f>
        <v>#REF!</v>
      </c>
      <c r="U235" s="68" t="e">
        <f>ROUND(COM!Q235,1)</f>
        <v>#REF!</v>
      </c>
      <c r="V235" s="68" t="e">
        <f>ROUND(COM!R235,1)</f>
        <v>#REF!</v>
      </c>
      <c r="W235" s="68" t="e">
        <f>ROUND(COM!S235,1)</f>
        <v>#REF!</v>
      </c>
      <c r="X235" s="111" t="e">
        <f t="shared" si="19"/>
        <v>#REF!</v>
      </c>
    </row>
    <row r="236" spans="1:24" ht="37.5" x14ac:dyDescent="0.25">
      <c r="A236" s="4">
        <v>311</v>
      </c>
      <c r="B236" s="52">
        <v>41</v>
      </c>
      <c r="C236" s="52">
        <v>930</v>
      </c>
      <c r="D236" s="7">
        <v>70499</v>
      </c>
      <c r="E236" s="20" t="s">
        <v>173</v>
      </c>
      <c r="F236" s="62" t="s">
        <v>109</v>
      </c>
      <c r="G236" s="227"/>
      <c r="H236" s="166"/>
      <c r="I236" s="166"/>
      <c r="J236" s="166"/>
      <c r="K236" s="166"/>
      <c r="L236" s="68" t="e">
        <f>ROUND(COM!H236,1)</f>
        <v>#REF!</v>
      </c>
      <c r="M236" s="68" t="e">
        <f>ROUND(COM!I236,1)</f>
        <v>#REF!</v>
      </c>
      <c r="N236" s="68" t="e">
        <f>ROUND(COM!J236,1)</f>
        <v>#REF!</v>
      </c>
      <c r="O236" s="68" t="e">
        <f>ROUND(COM!K236,1)</f>
        <v>#REF!</v>
      </c>
      <c r="P236" s="68" t="e">
        <f>ROUND(COM!L236,1)</f>
        <v>#REF!</v>
      </c>
      <c r="Q236" s="68" t="e">
        <f>ROUND(COM!M236,1)</f>
        <v>#REF!</v>
      </c>
      <c r="R236" s="68" t="e">
        <f>ROUND(COM!N236,1)</f>
        <v>#REF!</v>
      </c>
      <c r="S236" s="68" t="e">
        <f>ROUND(COM!O236,1)</f>
        <v>#REF!</v>
      </c>
      <c r="T236" s="68" t="e">
        <f>ROUND(COM!P236,1)</f>
        <v>#REF!</v>
      </c>
      <c r="U236" s="68" t="e">
        <f>ROUND(COM!Q236,1)</f>
        <v>#REF!</v>
      </c>
      <c r="V236" s="68" t="e">
        <f>ROUND(COM!R236,1)</f>
        <v>#REF!</v>
      </c>
      <c r="W236" s="68" t="e">
        <f>ROUND(COM!S236,1)</f>
        <v>#REF!</v>
      </c>
      <c r="X236" s="111" t="e">
        <f t="shared" si="19"/>
        <v>#REF!</v>
      </c>
    </row>
    <row r="237" spans="1:24" ht="37.5" customHeight="1" x14ac:dyDescent="0.25">
      <c r="A237" s="49">
        <v>311</v>
      </c>
      <c r="B237" s="52">
        <v>41</v>
      </c>
      <c r="C237" s="52">
        <v>910</v>
      </c>
      <c r="D237" s="53">
        <v>70499</v>
      </c>
      <c r="E237" s="48"/>
      <c r="F237" s="62" t="s">
        <v>192</v>
      </c>
      <c r="G237" s="225" t="s">
        <v>286</v>
      </c>
      <c r="H237" s="165"/>
      <c r="I237" s="165"/>
      <c r="J237" s="165"/>
      <c r="K237" s="165"/>
      <c r="L237" s="68" t="e">
        <f>ROUND(COM!H237,1)</f>
        <v>#REF!</v>
      </c>
      <c r="M237" s="68" t="e">
        <f>ROUND(COM!I237,1)</f>
        <v>#REF!</v>
      </c>
      <c r="N237" s="68" t="e">
        <f>ROUND(COM!J237,1)</f>
        <v>#REF!</v>
      </c>
      <c r="O237" s="68" t="e">
        <f>ROUND(COM!K237,1)</f>
        <v>#REF!</v>
      </c>
      <c r="P237" s="68" t="e">
        <f>ROUND(COM!L237,1)</f>
        <v>#REF!</v>
      </c>
      <c r="Q237" s="68" t="e">
        <f>ROUND(COM!M237,1)</f>
        <v>#REF!</v>
      </c>
      <c r="R237" s="68" t="e">
        <f>ROUND(COM!N237,1)</f>
        <v>#REF!</v>
      </c>
      <c r="S237" s="68" t="e">
        <f>ROUND(COM!O237,1)</f>
        <v>#REF!</v>
      </c>
      <c r="T237" s="68" t="e">
        <f>ROUND(COM!P237,1)</f>
        <v>#REF!</v>
      </c>
      <c r="U237" s="68" t="e">
        <f>ROUND(COM!Q237,1)</f>
        <v>#REF!</v>
      </c>
      <c r="V237" s="68" t="e">
        <f>ROUND(COM!R237,1)</f>
        <v>#REF!</v>
      </c>
      <c r="W237" s="68" t="e">
        <f>ROUND(COM!S237,1)</f>
        <v>#REF!</v>
      </c>
      <c r="X237" s="111" t="e">
        <f t="shared" si="19"/>
        <v>#REF!</v>
      </c>
    </row>
    <row r="238" spans="1:24" ht="37.5" x14ac:dyDescent="0.25">
      <c r="A238" s="49">
        <v>311</v>
      </c>
      <c r="B238" s="52">
        <v>41</v>
      </c>
      <c r="C238" s="52">
        <v>920</v>
      </c>
      <c r="D238" s="53">
        <v>70499</v>
      </c>
      <c r="E238" s="48" t="s">
        <v>173</v>
      </c>
      <c r="F238" s="62" t="s">
        <v>190</v>
      </c>
      <c r="G238" s="226"/>
      <c r="H238" s="167"/>
      <c r="I238" s="167"/>
      <c r="J238" s="167"/>
      <c r="K238" s="167"/>
      <c r="L238" s="68" t="e">
        <f>ROUND(COM!H238,1)</f>
        <v>#REF!</v>
      </c>
      <c r="M238" s="68" t="e">
        <f>ROUND(COM!I238,1)</f>
        <v>#REF!</v>
      </c>
      <c r="N238" s="68" t="e">
        <f>ROUND(COM!J238,1)</f>
        <v>#REF!</v>
      </c>
      <c r="O238" s="68" t="e">
        <f>ROUND(COM!K238,1)</f>
        <v>#REF!</v>
      </c>
      <c r="P238" s="68" t="e">
        <f>ROUND(COM!L238,1)</f>
        <v>#REF!</v>
      </c>
      <c r="Q238" s="68" t="e">
        <f>ROUND(COM!M238,1)</f>
        <v>#REF!</v>
      </c>
      <c r="R238" s="68" t="e">
        <f>ROUND(COM!N238,1)</f>
        <v>#REF!</v>
      </c>
      <c r="S238" s="68" t="e">
        <f>ROUND(COM!O238,1)</f>
        <v>#REF!</v>
      </c>
      <c r="T238" s="68" t="e">
        <f>ROUND(COM!P238,1)</f>
        <v>#REF!</v>
      </c>
      <c r="U238" s="68" t="e">
        <f>ROUND(COM!Q238,1)</f>
        <v>#REF!</v>
      </c>
      <c r="V238" s="68" t="e">
        <f>ROUND(COM!R238,1)</f>
        <v>#REF!</v>
      </c>
      <c r="W238" s="68" t="e">
        <f>ROUND(COM!S238,1)</f>
        <v>#REF!</v>
      </c>
      <c r="X238" s="111" t="e">
        <f t="shared" si="19"/>
        <v>#REF!</v>
      </c>
    </row>
    <row r="239" spans="1:24" ht="37.5" x14ac:dyDescent="0.25">
      <c r="A239" s="49">
        <v>311</v>
      </c>
      <c r="B239" s="52">
        <v>41</v>
      </c>
      <c r="C239" s="52">
        <v>930</v>
      </c>
      <c r="D239" s="53">
        <v>70499</v>
      </c>
      <c r="E239" s="48" t="s">
        <v>173</v>
      </c>
      <c r="F239" s="62" t="s">
        <v>191</v>
      </c>
      <c r="G239" s="227"/>
      <c r="H239" s="166"/>
      <c r="I239" s="166"/>
      <c r="J239" s="166"/>
      <c r="K239" s="166"/>
      <c r="L239" s="68" t="e">
        <f>ROUND(COM!H239,1)</f>
        <v>#REF!</v>
      </c>
      <c r="M239" s="68" t="e">
        <f>ROUND(COM!I239,1)</f>
        <v>#REF!</v>
      </c>
      <c r="N239" s="68" t="e">
        <f>ROUND(COM!J239,1)</f>
        <v>#REF!</v>
      </c>
      <c r="O239" s="68" t="e">
        <f>ROUND(COM!K239,1)</f>
        <v>#REF!</v>
      </c>
      <c r="P239" s="68" t="e">
        <f>ROUND(COM!L239,1)</f>
        <v>#REF!</v>
      </c>
      <c r="Q239" s="68" t="e">
        <f>ROUND(COM!M239,1)</f>
        <v>#REF!</v>
      </c>
      <c r="R239" s="68" t="e">
        <f>ROUND(COM!N239,1)</f>
        <v>#REF!</v>
      </c>
      <c r="S239" s="68" t="e">
        <f>ROUND(COM!O239,1)</f>
        <v>#REF!</v>
      </c>
      <c r="T239" s="68" t="e">
        <f>ROUND(COM!P239,1)</f>
        <v>#REF!</v>
      </c>
      <c r="U239" s="68" t="e">
        <f>ROUND(COM!Q239,1)</f>
        <v>#REF!</v>
      </c>
      <c r="V239" s="68" t="e">
        <f>ROUND(COM!R239,1)</f>
        <v>#REF!</v>
      </c>
      <c r="W239" s="68" t="e">
        <f>ROUND(COM!S239,1)</f>
        <v>#REF!</v>
      </c>
      <c r="X239" s="111" t="e">
        <f t="shared" si="19"/>
        <v>#REF!</v>
      </c>
    </row>
    <row r="240" spans="1:24" ht="18.75" x14ac:dyDescent="0.25">
      <c r="A240" s="4">
        <v>311</v>
      </c>
      <c r="B240" s="52">
        <v>41</v>
      </c>
      <c r="C240" s="52">
        <v>910</v>
      </c>
      <c r="D240" s="53">
        <v>70499</v>
      </c>
      <c r="E240" s="48"/>
      <c r="F240" s="62" t="s">
        <v>287</v>
      </c>
      <c r="G240" s="225" t="s">
        <v>344</v>
      </c>
      <c r="H240" s="165"/>
      <c r="I240" s="165"/>
      <c r="J240" s="165"/>
      <c r="K240" s="165"/>
      <c r="L240" s="68" t="e">
        <f>ROUND(COM!H240,1)</f>
        <v>#REF!</v>
      </c>
      <c r="M240" s="68" t="e">
        <f>ROUND(COM!I240,1)</f>
        <v>#REF!</v>
      </c>
      <c r="N240" s="68" t="e">
        <f>ROUND(COM!J240,1)</f>
        <v>#REF!</v>
      </c>
      <c r="O240" s="68" t="e">
        <f>ROUND(COM!K240,1)</f>
        <v>#REF!</v>
      </c>
      <c r="P240" s="68" t="e">
        <f>ROUND(COM!L240,1)</f>
        <v>#REF!</v>
      </c>
      <c r="Q240" s="68" t="e">
        <f>ROUND(COM!M240,1)</f>
        <v>#REF!</v>
      </c>
      <c r="R240" s="68" t="e">
        <f>ROUND(COM!N240,1)</f>
        <v>#REF!</v>
      </c>
      <c r="S240" s="68" t="e">
        <f>ROUND(COM!O240,1)</f>
        <v>#REF!</v>
      </c>
      <c r="T240" s="68" t="e">
        <f>ROUND(COM!P240,1)</f>
        <v>#REF!</v>
      </c>
      <c r="U240" s="68" t="e">
        <f>ROUND(COM!Q240,1)</f>
        <v>#REF!</v>
      </c>
      <c r="V240" s="68" t="e">
        <f>ROUND(COM!R240,1)</f>
        <v>#REF!</v>
      </c>
      <c r="W240" s="68" t="e">
        <f>ROUND(COM!S240,1)</f>
        <v>#REF!</v>
      </c>
      <c r="X240" s="111" t="e">
        <f t="shared" si="19"/>
        <v>#REF!</v>
      </c>
    </row>
    <row r="241" spans="1:24" ht="18.75" x14ac:dyDescent="0.25">
      <c r="A241" s="4">
        <v>311</v>
      </c>
      <c r="B241" s="52">
        <v>41</v>
      </c>
      <c r="C241" s="52">
        <v>920</v>
      </c>
      <c r="D241" s="7">
        <v>70499</v>
      </c>
      <c r="E241" s="20" t="s">
        <v>173</v>
      </c>
      <c r="F241" s="62" t="s">
        <v>288</v>
      </c>
      <c r="G241" s="227"/>
      <c r="H241" s="166"/>
      <c r="I241" s="166"/>
      <c r="J241" s="166"/>
      <c r="K241" s="166"/>
      <c r="L241" s="68" t="e">
        <f>ROUND(COM!H241,1)</f>
        <v>#REF!</v>
      </c>
      <c r="M241" s="68" t="e">
        <f>ROUND(COM!I241,1)</f>
        <v>#REF!</v>
      </c>
      <c r="N241" s="68" t="e">
        <f>ROUND(COM!J241,1)</f>
        <v>#REF!</v>
      </c>
      <c r="O241" s="68" t="e">
        <f>ROUND(COM!K241,1)</f>
        <v>#REF!</v>
      </c>
      <c r="P241" s="68" t="e">
        <f>ROUND(COM!L241,1)</f>
        <v>#REF!</v>
      </c>
      <c r="Q241" s="68" t="e">
        <f>ROUND(COM!M241,1)</f>
        <v>#REF!</v>
      </c>
      <c r="R241" s="68" t="e">
        <f>ROUND(COM!N241,1)</f>
        <v>#REF!</v>
      </c>
      <c r="S241" s="68" t="e">
        <f>ROUND(COM!O241,1)</f>
        <v>#REF!</v>
      </c>
      <c r="T241" s="68" t="e">
        <f>ROUND(COM!P241,1)</f>
        <v>#REF!</v>
      </c>
      <c r="U241" s="68" t="e">
        <f>ROUND(COM!Q241,1)</f>
        <v>#REF!</v>
      </c>
      <c r="V241" s="68" t="e">
        <f>ROUND(COM!R241,1)</f>
        <v>#REF!</v>
      </c>
      <c r="W241" s="68" t="e">
        <f>ROUND(COM!S241,1)</f>
        <v>#REF!</v>
      </c>
      <c r="X241" s="111" t="e">
        <f t="shared" si="19"/>
        <v>#REF!</v>
      </c>
    </row>
    <row r="242" spans="1:24" ht="18.75" customHeight="1" x14ac:dyDescent="0.25">
      <c r="A242" s="4">
        <v>311</v>
      </c>
      <c r="B242" s="52">
        <v>41</v>
      </c>
      <c r="C242" s="52">
        <v>910</v>
      </c>
      <c r="D242" s="53">
        <v>70499</v>
      </c>
      <c r="E242" s="48"/>
      <c r="F242" s="62" t="s">
        <v>223</v>
      </c>
      <c r="G242" s="225" t="s">
        <v>322</v>
      </c>
      <c r="H242" s="165"/>
      <c r="I242" s="165"/>
      <c r="J242" s="165"/>
      <c r="K242" s="165"/>
      <c r="L242" s="68" t="e">
        <f>ROUND(COM!H242,1)</f>
        <v>#REF!</v>
      </c>
      <c r="M242" s="68" t="e">
        <f>ROUND(COM!I242,1)</f>
        <v>#REF!</v>
      </c>
      <c r="N242" s="68" t="e">
        <f>ROUND(COM!J242,1)</f>
        <v>#REF!</v>
      </c>
      <c r="O242" s="68" t="e">
        <f>ROUND(COM!K242,1)</f>
        <v>#REF!</v>
      </c>
      <c r="P242" s="68" t="e">
        <f>ROUND(COM!L242,1)</f>
        <v>#REF!</v>
      </c>
      <c r="Q242" s="68" t="e">
        <f>ROUND(COM!M242,1)</f>
        <v>#REF!</v>
      </c>
      <c r="R242" s="68" t="e">
        <f>ROUND(COM!N242,1)</f>
        <v>#REF!</v>
      </c>
      <c r="S242" s="68" t="e">
        <f>ROUND(COM!O242,1)</f>
        <v>#REF!</v>
      </c>
      <c r="T242" s="68" t="e">
        <f>ROUND(COM!P242,1)</f>
        <v>#REF!</v>
      </c>
      <c r="U242" s="68" t="e">
        <f>ROUND(COM!Q242,1)</f>
        <v>#REF!</v>
      </c>
      <c r="V242" s="68" t="e">
        <f>ROUND(COM!R242,1)</f>
        <v>#REF!</v>
      </c>
      <c r="W242" s="68" t="e">
        <f>ROUND(COM!S242,1)</f>
        <v>#REF!</v>
      </c>
      <c r="X242" s="111" t="e">
        <f t="shared" si="19"/>
        <v>#REF!</v>
      </c>
    </row>
    <row r="243" spans="1:24" ht="18.75" x14ac:dyDescent="0.25">
      <c r="A243" s="4">
        <v>311</v>
      </c>
      <c r="B243" s="52">
        <v>41</v>
      </c>
      <c r="C243" s="52">
        <v>920</v>
      </c>
      <c r="D243" s="53">
        <v>70499</v>
      </c>
      <c r="E243" s="20" t="s">
        <v>173</v>
      </c>
      <c r="F243" s="62" t="s">
        <v>116</v>
      </c>
      <c r="G243" s="227"/>
      <c r="H243" s="166"/>
      <c r="I243" s="166"/>
      <c r="J243" s="166"/>
      <c r="K243" s="166"/>
      <c r="L243" s="68" t="e">
        <f>ROUND(COM!H243,1)</f>
        <v>#REF!</v>
      </c>
      <c r="M243" s="68" t="e">
        <f>ROUND(COM!I243,1)</f>
        <v>#REF!</v>
      </c>
      <c r="N243" s="68" t="e">
        <f>ROUND(COM!J243,1)</f>
        <v>#REF!</v>
      </c>
      <c r="O243" s="68" t="e">
        <f>ROUND(COM!K243,1)</f>
        <v>#REF!</v>
      </c>
      <c r="P243" s="68" t="e">
        <f>ROUND(COM!L243,1)</f>
        <v>#REF!</v>
      </c>
      <c r="Q243" s="68" t="e">
        <f>ROUND(COM!M243,1)</f>
        <v>#REF!</v>
      </c>
      <c r="R243" s="68" t="e">
        <f>ROUND(COM!N243,1)</f>
        <v>#REF!</v>
      </c>
      <c r="S243" s="68" t="e">
        <f>ROUND(COM!O243,1)</f>
        <v>#REF!</v>
      </c>
      <c r="T243" s="68" t="e">
        <f>ROUND(COM!P243,1)</f>
        <v>#REF!</v>
      </c>
      <c r="U243" s="68" t="e">
        <f>ROUND(COM!Q243,1)</f>
        <v>#REF!</v>
      </c>
      <c r="V243" s="68" t="e">
        <f>ROUND(COM!R243,1)</f>
        <v>#REF!</v>
      </c>
      <c r="W243" s="68" t="e">
        <f>ROUND(COM!S243,1)</f>
        <v>#REF!</v>
      </c>
      <c r="X243" s="111" t="e">
        <f t="shared" si="19"/>
        <v>#REF!</v>
      </c>
    </row>
    <row r="244" spans="1:24" ht="37.5" x14ac:dyDescent="0.25">
      <c r="A244" s="4">
        <v>311</v>
      </c>
      <c r="B244" s="52">
        <v>41</v>
      </c>
      <c r="C244" s="52">
        <v>920</v>
      </c>
      <c r="D244" s="53">
        <v>70499</v>
      </c>
      <c r="E244" s="20" t="s">
        <v>345</v>
      </c>
      <c r="F244" s="62" t="s">
        <v>346</v>
      </c>
      <c r="G244" s="87"/>
      <c r="H244" s="87"/>
      <c r="I244" s="87"/>
      <c r="J244" s="87"/>
      <c r="K244" s="87"/>
      <c r="L244" s="68" t="e">
        <f>ROUND(COM!H244,1)</f>
        <v>#REF!</v>
      </c>
      <c r="M244" s="68" t="e">
        <f>ROUND(COM!I244,1)</f>
        <v>#REF!</v>
      </c>
      <c r="N244" s="68" t="e">
        <f>ROUND(COM!J244,1)</f>
        <v>#REF!</v>
      </c>
      <c r="O244" s="68" t="e">
        <f>ROUND(COM!K244,1)</f>
        <v>#REF!</v>
      </c>
      <c r="P244" s="68" t="e">
        <f>ROUND(COM!L244,1)</f>
        <v>#REF!</v>
      </c>
      <c r="Q244" s="68" t="e">
        <f>ROUND(COM!M244,1)</f>
        <v>#REF!</v>
      </c>
      <c r="R244" s="68" t="e">
        <f>ROUND(COM!N244,1)</f>
        <v>#REF!</v>
      </c>
      <c r="S244" s="68" t="e">
        <f>ROUND(COM!O244,1)</f>
        <v>#REF!</v>
      </c>
      <c r="T244" s="68" t="e">
        <f>ROUND(COM!P244,1)</f>
        <v>#REF!</v>
      </c>
      <c r="U244" s="68" t="e">
        <f>ROUND(COM!Q244,1)</f>
        <v>#REF!</v>
      </c>
      <c r="V244" s="68" t="e">
        <f>ROUND(COM!R244,1)</f>
        <v>#REF!</v>
      </c>
      <c r="W244" s="68" t="e">
        <f>ROUND(COM!S244,1)</f>
        <v>#REF!</v>
      </c>
      <c r="X244" s="111" t="e">
        <f t="shared" si="19"/>
        <v>#REF!</v>
      </c>
    </row>
    <row r="245" spans="1:24" ht="37.5" x14ac:dyDescent="0.25">
      <c r="A245" s="4">
        <v>311</v>
      </c>
      <c r="B245" s="52">
        <v>41</v>
      </c>
      <c r="C245" s="52">
        <v>920</v>
      </c>
      <c r="D245" s="53">
        <v>70499</v>
      </c>
      <c r="E245" s="20" t="s">
        <v>179</v>
      </c>
      <c r="F245" s="62" t="s">
        <v>347</v>
      </c>
      <c r="G245" s="87"/>
      <c r="H245" s="87"/>
      <c r="I245" s="87"/>
      <c r="J245" s="87"/>
      <c r="K245" s="87"/>
      <c r="L245" s="68" t="e">
        <f>ROUND(COM!H245,1)</f>
        <v>#REF!</v>
      </c>
      <c r="M245" s="68" t="e">
        <f>ROUND(COM!I245,1)</f>
        <v>#REF!</v>
      </c>
      <c r="N245" s="68" t="e">
        <f>ROUND(COM!J245,1)</f>
        <v>#REF!</v>
      </c>
      <c r="O245" s="68" t="e">
        <f>ROUND(COM!K245,1)</f>
        <v>#REF!</v>
      </c>
      <c r="P245" s="68" t="e">
        <f>ROUND(COM!L245,1)</f>
        <v>#REF!</v>
      </c>
      <c r="Q245" s="68" t="e">
        <f>ROUND(COM!M245,1)</f>
        <v>#REF!</v>
      </c>
      <c r="R245" s="68" t="e">
        <f>ROUND(COM!N245,1)</f>
        <v>#REF!</v>
      </c>
      <c r="S245" s="68" t="e">
        <f>ROUND(COM!O245,1)</f>
        <v>#REF!</v>
      </c>
      <c r="T245" s="68" t="e">
        <f>ROUND(COM!P245,1)</f>
        <v>#REF!</v>
      </c>
      <c r="U245" s="68" t="e">
        <f>ROUND(COM!Q245,1)</f>
        <v>#REF!</v>
      </c>
      <c r="V245" s="68" t="e">
        <f>ROUND(COM!R245,1)</f>
        <v>#REF!</v>
      </c>
      <c r="W245" s="68" t="e">
        <f>ROUND(COM!S245,1)</f>
        <v>#REF!</v>
      </c>
      <c r="X245" s="111" t="e">
        <f t="shared" si="19"/>
        <v>#REF!</v>
      </c>
    </row>
    <row r="246" spans="1:24" ht="37.5" x14ac:dyDescent="0.25">
      <c r="A246" s="4">
        <v>311</v>
      </c>
      <c r="B246" s="52">
        <v>41</v>
      </c>
      <c r="C246" s="52">
        <v>930</v>
      </c>
      <c r="D246" s="53">
        <v>70499</v>
      </c>
      <c r="E246" s="20" t="s">
        <v>172</v>
      </c>
      <c r="F246" s="62" t="s">
        <v>348</v>
      </c>
      <c r="G246" s="87"/>
      <c r="H246" s="87"/>
      <c r="I246" s="87"/>
      <c r="J246" s="87"/>
      <c r="K246" s="87"/>
      <c r="L246" s="68" t="e">
        <f>ROUND(COM!H246,1)</f>
        <v>#REF!</v>
      </c>
      <c r="M246" s="68" t="e">
        <f>ROUND(COM!I246,1)</f>
        <v>#REF!</v>
      </c>
      <c r="N246" s="68" t="e">
        <f>ROUND(COM!J246,1)</f>
        <v>#REF!</v>
      </c>
      <c r="O246" s="68" t="e">
        <f>ROUND(COM!K246,1)</f>
        <v>#REF!</v>
      </c>
      <c r="P246" s="68" t="e">
        <f>ROUND(COM!L246,1)</f>
        <v>#REF!</v>
      </c>
      <c r="Q246" s="68" t="e">
        <f>ROUND(COM!M246,1)</f>
        <v>#REF!</v>
      </c>
      <c r="R246" s="68" t="e">
        <f>ROUND(COM!N246,1)</f>
        <v>#REF!</v>
      </c>
      <c r="S246" s="68" t="e">
        <f>ROUND(COM!O246,1)</f>
        <v>#REF!</v>
      </c>
      <c r="T246" s="68" t="e">
        <f>ROUND(COM!P246,1)</f>
        <v>#REF!</v>
      </c>
      <c r="U246" s="68" t="e">
        <f>ROUND(COM!Q246,1)</f>
        <v>#REF!</v>
      </c>
      <c r="V246" s="68" t="e">
        <f>ROUND(COM!R246,1)</f>
        <v>#REF!</v>
      </c>
      <c r="W246" s="68" t="e">
        <f>ROUND(COM!S246,1)</f>
        <v>#REF!</v>
      </c>
      <c r="X246" s="111" t="e">
        <f t="shared" si="19"/>
        <v>#REF!</v>
      </c>
    </row>
    <row r="247" spans="1:24" ht="37.5" x14ac:dyDescent="0.25">
      <c r="A247" s="4">
        <v>311</v>
      </c>
      <c r="B247" s="52">
        <v>41</v>
      </c>
      <c r="C247" s="52">
        <v>930</v>
      </c>
      <c r="D247" s="53">
        <v>70499</v>
      </c>
      <c r="E247" s="20" t="s">
        <v>175</v>
      </c>
      <c r="F247" s="62" t="s">
        <v>349</v>
      </c>
      <c r="G247" s="38"/>
      <c r="H247" s="38"/>
      <c r="I247" s="38"/>
      <c r="J247" s="38"/>
      <c r="K247" s="38"/>
      <c r="L247" s="68" t="e">
        <f>ROUND(COM!H247,1)</f>
        <v>#REF!</v>
      </c>
      <c r="M247" s="68" t="e">
        <f>ROUND(COM!I247,1)</f>
        <v>#REF!</v>
      </c>
      <c r="N247" s="68" t="e">
        <f>ROUND(COM!J247,1)</f>
        <v>#REF!</v>
      </c>
      <c r="O247" s="68" t="e">
        <f>ROUND(COM!K247,1)</f>
        <v>#REF!</v>
      </c>
      <c r="P247" s="68" t="e">
        <f>ROUND(COM!L247,1)</f>
        <v>#REF!</v>
      </c>
      <c r="Q247" s="68" t="e">
        <f>ROUND(COM!M247,1)</f>
        <v>#REF!</v>
      </c>
      <c r="R247" s="68" t="e">
        <f>ROUND(COM!N247,1)</f>
        <v>#REF!</v>
      </c>
      <c r="S247" s="68" t="e">
        <f>ROUND(COM!O247,1)</f>
        <v>#REF!</v>
      </c>
      <c r="T247" s="68" t="e">
        <f>ROUND(COM!P247,1)</f>
        <v>#REF!</v>
      </c>
      <c r="U247" s="68" t="e">
        <f>ROUND(COM!Q247,1)</f>
        <v>#REF!</v>
      </c>
      <c r="V247" s="68" t="e">
        <f>ROUND(COM!R247,1)</f>
        <v>#REF!</v>
      </c>
      <c r="W247" s="68" t="e">
        <f>ROUND(COM!S247,1)</f>
        <v>#REF!</v>
      </c>
      <c r="X247" s="111" t="e">
        <f t="shared" si="19"/>
        <v>#REF!</v>
      </c>
    </row>
    <row r="248" spans="1:24" ht="37.5" x14ac:dyDescent="0.25">
      <c r="A248" s="4">
        <v>311</v>
      </c>
      <c r="B248" s="52">
        <v>41</v>
      </c>
      <c r="C248" s="52">
        <v>930</v>
      </c>
      <c r="D248" s="53">
        <v>70499</v>
      </c>
      <c r="E248" s="20" t="s">
        <v>179</v>
      </c>
      <c r="F248" s="62" t="s">
        <v>350</v>
      </c>
      <c r="G248" s="38"/>
      <c r="H248" s="38"/>
      <c r="I248" s="38"/>
      <c r="J248" s="38"/>
      <c r="K248" s="38"/>
      <c r="L248" s="68" t="e">
        <f>ROUND(COM!H248,1)</f>
        <v>#REF!</v>
      </c>
      <c r="M248" s="68" t="e">
        <f>ROUND(COM!I248,1)</f>
        <v>#REF!</v>
      </c>
      <c r="N248" s="68" t="e">
        <f>ROUND(COM!J248,1)</f>
        <v>#REF!</v>
      </c>
      <c r="O248" s="68" t="e">
        <f>ROUND(COM!K248,1)</f>
        <v>#REF!</v>
      </c>
      <c r="P248" s="68" t="e">
        <f>ROUND(COM!L248,1)</f>
        <v>#REF!</v>
      </c>
      <c r="Q248" s="68" t="e">
        <f>ROUND(COM!M248,1)</f>
        <v>#REF!</v>
      </c>
      <c r="R248" s="68" t="e">
        <f>ROUND(COM!N248,1)</f>
        <v>#REF!</v>
      </c>
      <c r="S248" s="68" t="e">
        <f>ROUND(COM!O248,1)</f>
        <v>#REF!</v>
      </c>
      <c r="T248" s="68" t="e">
        <f>ROUND(COM!P248,1)</f>
        <v>#REF!</v>
      </c>
      <c r="U248" s="68" t="e">
        <f>ROUND(COM!Q248,1)</f>
        <v>#REF!</v>
      </c>
      <c r="V248" s="68" t="e">
        <f>ROUND(COM!R248,1)</f>
        <v>#REF!</v>
      </c>
      <c r="W248" s="68" t="e">
        <f>ROUND(COM!S248,1)</f>
        <v>#REF!</v>
      </c>
      <c r="X248" s="111" t="e">
        <f t="shared" si="19"/>
        <v>#REF!</v>
      </c>
    </row>
    <row r="249" spans="1:24" s="121" customFormat="1" ht="18.75" x14ac:dyDescent="0.25">
      <c r="A249" s="160">
        <v>311</v>
      </c>
      <c r="B249" s="161">
        <v>41</v>
      </c>
      <c r="C249" s="161">
        <v>910</v>
      </c>
      <c r="D249" s="162">
        <v>70499</v>
      </c>
      <c r="E249" s="163"/>
      <c r="F249" s="164" t="s">
        <v>436</v>
      </c>
      <c r="G249" s="118"/>
      <c r="H249" s="118"/>
      <c r="I249" s="118"/>
      <c r="J249" s="118"/>
      <c r="K249" s="118"/>
      <c r="L249" s="68" t="e">
        <f>ROUND(COM!H249,1)</f>
        <v>#REF!</v>
      </c>
      <c r="M249" s="68" t="e">
        <f>ROUND(COM!I249,1)</f>
        <v>#REF!</v>
      </c>
      <c r="N249" s="68" t="e">
        <f>ROUND(COM!J249,1)</f>
        <v>#REF!</v>
      </c>
      <c r="O249" s="68" t="e">
        <f>ROUND(COM!K249,1)</f>
        <v>#REF!</v>
      </c>
      <c r="P249" s="68" t="e">
        <f>ROUND(COM!L249,1)</f>
        <v>#REF!</v>
      </c>
      <c r="Q249" s="68" t="e">
        <f>ROUND(COM!M249,1)</f>
        <v>#REF!</v>
      </c>
      <c r="R249" s="68" t="e">
        <f>ROUND(COM!N249,1)</f>
        <v>#REF!</v>
      </c>
      <c r="S249" s="68" t="e">
        <f>ROUND(COM!O249,1)</f>
        <v>#REF!</v>
      </c>
      <c r="T249" s="68" t="e">
        <f>ROUND(COM!P249,1)</f>
        <v>#REF!</v>
      </c>
      <c r="U249" s="68" t="e">
        <f>ROUND(COM!Q249,1)</f>
        <v>#REF!</v>
      </c>
      <c r="V249" s="68" t="e">
        <f>ROUND(COM!R249,1)</f>
        <v>#REF!</v>
      </c>
      <c r="W249" s="68" t="e">
        <f>ROUND(COM!S249,1)</f>
        <v>#REF!</v>
      </c>
      <c r="X249" s="120"/>
    </row>
    <row r="250" spans="1:24" s="121" customFormat="1" ht="37.5" x14ac:dyDescent="0.25">
      <c r="A250" s="160">
        <v>311</v>
      </c>
      <c r="B250" s="161">
        <v>41</v>
      </c>
      <c r="C250" s="161">
        <v>930</v>
      </c>
      <c r="D250" s="162">
        <v>70499</v>
      </c>
      <c r="E250" s="163" t="s">
        <v>174</v>
      </c>
      <c r="F250" s="164" t="s">
        <v>437</v>
      </c>
      <c r="G250" s="118"/>
      <c r="H250" s="118"/>
      <c r="I250" s="118"/>
      <c r="J250" s="118"/>
      <c r="K250" s="118"/>
      <c r="L250" s="68" t="e">
        <f>ROUND(COM!H250,1)</f>
        <v>#REF!</v>
      </c>
      <c r="M250" s="68" t="e">
        <f>ROUND(COM!I250,1)</f>
        <v>#REF!</v>
      </c>
      <c r="N250" s="68" t="e">
        <f>ROUND(COM!J250,1)</f>
        <v>#REF!</v>
      </c>
      <c r="O250" s="68" t="e">
        <f>ROUND(COM!K250,1)</f>
        <v>#REF!</v>
      </c>
      <c r="P250" s="68" t="e">
        <f>ROUND(COM!L250,1)</f>
        <v>#REF!</v>
      </c>
      <c r="Q250" s="68" t="e">
        <f>ROUND(COM!M250,1)</f>
        <v>#REF!</v>
      </c>
      <c r="R250" s="68" t="e">
        <f>ROUND(COM!N250,1)</f>
        <v>#REF!</v>
      </c>
      <c r="S250" s="68" t="e">
        <f>ROUND(COM!O250,1)</f>
        <v>#REF!</v>
      </c>
      <c r="T250" s="68" t="e">
        <f>ROUND(COM!P250,1)</f>
        <v>#REF!</v>
      </c>
      <c r="U250" s="68" t="e">
        <f>ROUND(COM!Q250,1)</f>
        <v>#REF!</v>
      </c>
      <c r="V250" s="68" t="e">
        <f>ROUND(COM!R250,1)</f>
        <v>#REF!</v>
      </c>
      <c r="W250" s="68" t="e">
        <f>ROUND(COM!S250,1)</f>
        <v>#REF!</v>
      </c>
      <c r="X250" s="120"/>
    </row>
    <row r="251" spans="1:24" s="121" customFormat="1" ht="18.75" x14ac:dyDescent="0.25">
      <c r="A251" s="114"/>
      <c r="B251" s="115"/>
      <c r="C251" s="115"/>
      <c r="D251" s="135"/>
      <c r="E251" s="117"/>
      <c r="F251" s="118"/>
      <c r="G251" s="118"/>
      <c r="H251" s="118"/>
      <c r="I251" s="118"/>
      <c r="J251" s="118"/>
      <c r="K251" s="118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20"/>
    </row>
    <row r="252" spans="1:24" s="121" customFormat="1" ht="18.75" x14ac:dyDescent="0.25">
      <c r="A252" s="114"/>
      <c r="B252" s="115"/>
      <c r="C252" s="115"/>
      <c r="D252" s="135"/>
      <c r="E252" s="117"/>
      <c r="F252" s="118"/>
      <c r="G252" s="118"/>
      <c r="H252" s="118"/>
      <c r="I252" s="118"/>
      <c r="J252" s="118"/>
      <c r="K252" s="118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20"/>
    </row>
    <row r="253" spans="1:24" s="121" customFormat="1" ht="18.75" x14ac:dyDescent="0.25">
      <c r="A253" s="114"/>
      <c r="B253" s="115"/>
      <c r="C253" s="115"/>
      <c r="D253" s="135"/>
      <c r="E253" s="117"/>
      <c r="F253" s="118"/>
      <c r="G253" s="118"/>
      <c r="H253" s="118"/>
      <c r="I253" s="118"/>
      <c r="J253" s="118"/>
      <c r="K253" s="118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20"/>
    </row>
    <row r="254" spans="1:24" ht="18.75" x14ac:dyDescent="0.25">
      <c r="A254" s="56"/>
      <c r="B254" s="50"/>
      <c r="C254" s="50"/>
      <c r="D254" s="50"/>
      <c r="E254" s="54"/>
      <c r="F254" s="36" t="s">
        <v>65</v>
      </c>
      <c r="G254" s="36"/>
      <c r="H254" s="36"/>
      <c r="I254" s="36"/>
      <c r="J254" s="36"/>
      <c r="K254" s="36"/>
      <c r="L254" s="99" t="e">
        <f>L255</f>
        <v>#REF!</v>
      </c>
      <c r="M254" s="99" t="e">
        <f t="shared" ref="M254:W254" si="20">M255</f>
        <v>#REF!</v>
      </c>
      <c r="N254" s="99" t="e">
        <f t="shared" si="20"/>
        <v>#REF!</v>
      </c>
      <c r="O254" s="99" t="e">
        <f t="shared" si="20"/>
        <v>#REF!</v>
      </c>
      <c r="P254" s="99" t="e">
        <f t="shared" si="20"/>
        <v>#REF!</v>
      </c>
      <c r="Q254" s="99" t="e">
        <f t="shared" si="20"/>
        <v>#REF!</v>
      </c>
      <c r="R254" s="99" t="e">
        <f t="shared" si="20"/>
        <v>#REF!</v>
      </c>
      <c r="S254" s="99" t="e">
        <f t="shared" si="20"/>
        <v>#REF!</v>
      </c>
      <c r="T254" s="99" t="e">
        <f t="shared" si="20"/>
        <v>#REF!</v>
      </c>
      <c r="U254" s="99" t="e">
        <f t="shared" si="20"/>
        <v>#REF!</v>
      </c>
      <c r="V254" s="99" t="e">
        <f t="shared" si="20"/>
        <v>#REF!</v>
      </c>
      <c r="W254" s="99" t="e">
        <f t="shared" si="20"/>
        <v>#REF!</v>
      </c>
      <c r="X254" s="111" t="e">
        <f t="shared" si="19"/>
        <v>#REF!</v>
      </c>
    </row>
    <row r="255" spans="1:24" ht="18.75" x14ac:dyDescent="0.25">
      <c r="A255" s="57"/>
      <c r="B255" s="51"/>
      <c r="C255" s="51"/>
      <c r="D255" s="51"/>
      <c r="E255" s="55"/>
      <c r="F255" s="37" t="s">
        <v>6</v>
      </c>
      <c r="G255" s="37"/>
      <c r="H255" s="37"/>
      <c r="I255" s="37"/>
      <c r="J255" s="37"/>
      <c r="K255" s="37"/>
      <c r="L255" s="100" t="e">
        <f>SUM(L256:L304)</f>
        <v>#REF!</v>
      </c>
      <c r="M255" s="100" t="e">
        <f t="shared" ref="M255:W255" si="21">SUM(M256:M304)</f>
        <v>#REF!</v>
      </c>
      <c r="N255" s="100" t="e">
        <f t="shared" si="21"/>
        <v>#REF!</v>
      </c>
      <c r="O255" s="100" t="e">
        <f t="shared" si="21"/>
        <v>#REF!</v>
      </c>
      <c r="P255" s="100" t="e">
        <f t="shared" si="21"/>
        <v>#REF!</v>
      </c>
      <c r="Q255" s="100" t="e">
        <f t="shared" si="21"/>
        <v>#REF!</v>
      </c>
      <c r="R255" s="100" t="e">
        <f t="shared" si="21"/>
        <v>#REF!</v>
      </c>
      <c r="S255" s="100" t="e">
        <f t="shared" si="21"/>
        <v>#REF!</v>
      </c>
      <c r="T255" s="100" t="e">
        <f t="shared" si="21"/>
        <v>#REF!</v>
      </c>
      <c r="U255" s="100" t="e">
        <f t="shared" si="21"/>
        <v>#REF!</v>
      </c>
      <c r="V255" s="100" t="e">
        <f t="shared" si="21"/>
        <v>#REF!</v>
      </c>
      <c r="W255" s="100" t="e">
        <f t="shared" si="21"/>
        <v>#REF!</v>
      </c>
      <c r="X255" s="111" t="e">
        <f t="shared" si="19"/>
        <v>#REF!</v>
      </c>
    </row>
    <row r="256" spans="1:24" ht="37.5" x14ac:dyDescent="0.25">
      <c r="A256" s="10">
        <v>311</v>
      </c>
      <c r="B256" s="8">
        <v>43</v>
      </c>
      <c r="C256" s="8">
        <v>910</v>
      </c>
      <c r="D256" s="9">
        <v>70499</v>
      </c>
      <c r="E256" s="21"/>
      <c r="F256" s="83" t="s">
        <v>233</v>
      </c>
      <c r="G256" s="39"/>
      <c r="H256" s="39"/>
      <c r="I256" s="39"/>
      <c r="J256" s="39"/>
      <c r="K256" s="39"/>
      <c r="L256" s="68" t="e">
        <f>ROUND(COM!H256,1)</f>
        <v>#REF!</v>
      </c>
      <c r="M256" s="68" t="e">
        <f>ROUND(COM!I256,1)</f>
        <v>#REF!</v>
      </c>
      <c r="N256" s="68" t="e">
        <f>ROUND(COM!J256,1)</f>
        <v>#REF!</v>
      </c>
      <c r="O256" s="68" t="e">
        <f>ROUND(COM!K256,1)</f>
        <v>#REF!</v>
      </c>
      <c r="P256" s="68" t="e">
        <f>ROUND(COM!L256,1)</f>
        <v>#REF!</v>
      </c>
      <c r="Q256" s="68" t="e">
        <f>ROUND(COM!M256,1)</f>
        <v>#REF!</v>
      </c>
      <c r="R256" s="68" t="e">
        <f>ROUND(COM!N256,1)</f>
        <v>#REF!</v>
      </c>
      <c r="S256" s="68" t="e">
        <f>ROUND(COM!O256,1)</f>
        <v>#REF!</v>
      </c>
      <c r="T256" s="68" t="e">
        <f>ROUND(COM!P256,1)</f>
        <v>#REF!</v>
      </c>
      <c r="U256" s="68" t="e">
        <f>ROUND(COM!Q256,1)</f>
        <v>#REF!</v>
      </c>
      <c r="V256" s="68" t="e">
        <f>ROUND(COM!R256,1)</f>
        <v>#REF!</v>
      </c>
      <c r="W256" s="68" t="e">
        <f>ROUND(COM!S256,1)</f>
        <v>#REF!</v>
      </c>
      <c r="X256" s="111" t="e">
        <f t="shared" si="19"/>
        <v>#REF!</v>
      </c>
    </row>
    <row r="257" spans="1:24" ht="37.5" x14ac:dyDescent="0.25">
      <c r="A257" s="10">
        <v>311</v>
      </c>
      <c r="B257" s="8">
        <v>43</v>
      </c>
      <c r="C257" s="8">
        <v>930</v>
      </c>
      <c r="D257" s="9">
        <v>70499</v>
      </c>
      <c r="E257" s="21" t="s">
        <v>166</v>
      </c>
      <c r="F257" s="83" t="s">
        <v>234</v>
      </c>
      <c r="G257" s="39"/>
      <c r="H257" s="39"/>
      <c r="I257" s="39"/>
      <c r="J257" s="39"/>
      <c r="K257" s="39"/>
      <c r="L257" s="68" t="e">
        <f>ROUND(COM!H257,1)</f>
        <v>#REF!</v>
      </c>
      <c r="M257" s="68" t="e">
        <f>ROUND(COM!I257,1)</f>
        <v>#REF!</v>
      </c>
      <c r="N257" s="68" t="e">
        <f>ROUND(COM!J257,1)</f>
        <v>#REF!</v>
      </c>
      <c r="O257" s="68" t="e">
        <f>ROUND(COM!K257,1)</f>
        <v>#REF!</v>
      </c>
      <c r="P257" s="68" t="e">
        <f>ROUND(COM!L257,1)</f>
        <v>#REF!</v>
      </c>
      <c r="Q257" s="68" t="e">
        <f>ROUND(COM!M257,1)</f>
        <v>#REF!</v>
      </c>
      <c r="R257" s="68" t="e">
        <f>ROUND(COM!N257,1)</f>
        <v>#REF!</v>
      </c>
      <c r="S257" s="68" t="e">
        <f>ROUND(COM!O257,1)</f>
        <v>#REF!</v>
      </c>
      <c r="T257" s="68" t="e">
        <f>ROUND(COM!P257,1)</f>
        <v>#REF!</v>
      </c>
      <c r="U257" s="68" t="e">
        <f>ROUND(COM!Q257,1)</f>
        <v>#REF!</v>
      </c>
      <c r="V257" s="68" t="e">
        <f>ROUND(COM!R257,1)</f>
        <v>#REF!</v>
      </c>
      <c r="W257" s="68" t="e">
        <f>ROUND(COM!S257,1)</f>
        <v>#REF!</v>
      </c>
      <c r="X257" s="111" t="e">
        <f t="shared" si="19"/>
        <v>#REF!</v>
      </c>
    </row>
    <row r="258" spans="1:24" ht="37.5" x14ac:dyDescent="0.25">
      <c r="A258" s="10">
        <v>311</v>
      </c>
      <c r="B258" s="8">
        <v>43</v>
      </c>
      <c r="C258" s="8">
        <v>930</v>
      </c>
      <c r="D258" s="9">
        <v>70499</v>
      </c>
      <c r="E258" s="21" t="s">
        <v>175</v>
      </c>
      <c r="F258" s="83" t="s">
        <v>235</v>
      </c>
      <c r="G258" s="39"/>
      <c r="H258" s="39"/>
      <c r="I258" s="39"/>
      <c r="J258" s="39"/>
      <c r="K258" s="39"/>
      <c r="L258" s="68" t="e">
        <f>ROUND(COM!H258,1)</f>
        <v>#REF!</v>
      </c>
      <c r="M258" s="68" t="e">
        <f>ROUND(COM!I258,1)</f>
        <v>#REF!</v>
      </c>
      <c r="N258" s="68" t="e">
        <f>ROUND(COM!J258,1)</f>
        <v>#REF!</v>
      </c>
      <c r="O258" s="68" t="e">
        <f>ROUND(COM!K258,1)</f>
        <v>#REF!</v>
      </c>
      <c r="P258" s="68" t="e">
        <f>ROUND(COM!L258,1)</f>
        <v>#REF!</v>
      </c>
      <c r="Q258" s="68" t="e">
        <f>ROUND(COM!M258,1)</f>
        <v>#REF!</v>
      </c>
      <c r="R258" s="68" t="e">
        <f>ROUND(COM!N258,1)</f>
        <v>#REF!</v>
      </c>
      <c r="S258" s="68" t="e">
        <f>ROUND(COM!O258,1)</f>
        <v>#REF!</v>
      </c>
      <c r="T258" s="68" t="e">
        <f>ROUND(COM!P258,1)</f>
        <v>#REF!</v>
      </c>
      <c r="U258" s="68" t="e">
        <f>ROUND(COM!Q258,1)</f>
        <v>#REF!</v>
      </c>
      <c r="V258" s="68" t="e">
        <f>ROUND(COM!R258,1)</f>
        <v>#REF!</v>
      </c>
      <c r="W258" s="68" t="e">
        <f>ROUND(COM!S258,1)</f>
        <v>#REF!</v>
      </c>
      <c r="X258" s="111" t="e">
        <f t="shared" si="19"/>
        <v>#REF!</v>
      </c>
    </row>
    <row r="259" spans="1:24" ht="37.5" x14ac:dyDescent="0.25">
      <c r="A259" s="10">
        <v>311</v>
      </c>
      <c r="B259" s="8">
        <v>43</v>
      </c>
      <c r="C259" s="8">
        <v>920</v>
      </c>
      <c r="D259" s="9">
        <v>70499</v>
      </c>
      <c r="E259" s="21" t="s">
        <v>174</v>
      </c>
      <c r="F259" s="83" t="s">
        <v>236</v>
      </c>
      <c r="G259" s="39"/>
      <c r="H259" s="39"/>
      <c r="I259" s="39"/>
      <c r="J259" s="39"/>
      <c r="K259" s="39"/>
      <c r="L259" s="68" t="e">
        <f>ROUND(COM!H259,1)</f>
        <v>#REF!</v>
      </c>
      <c r="M259" s="68" t="e">
        <f>ROUND(COM!I259,1)</f>
        <v>#REF!</v>
      </c>
      <c r="N259" s="68" t="e">
        <f>ROUND(COM!J259,1)</f>
        <v>#REF!</v>
      </c>
      <c r="O259" s="68" t="e">
        <f>ROUND(COM!K259,1)</f>
        <v>#REF!</v>
      </c>
      <c r="P259" s="68" t="e">
        <f>ROUND(COM!L259,1)</f>
        <v>#REF!</v>
      </c>
      <c r="Q259" s="68" t="e">
        <f>ROUND(COM!M259,1)</f>
        <v>#REF!</v>
      </c>
      <c r="R259" s="68" t="e">
        <f>ROUND(COM!N259,1)</f>
        <v>#REF!</v>
      </c>
      <c r="S259" s="68" t="e">
        <f>ROUND(COM!O259,1)</f>
        <v>#REF!</v>
      </c>
      <c r="T259" s="68" t="e">
        <f>ROUND(COM!P259,1)</f>
        <v>#REF!</v>
      </c>
      <c r="U259" s="68" t="e">
        <f>ROUND(COM!Q259,1)</f>
        <v>#REF!</v>
      </c>
      <c r="V259" s="68" t="e">
        <f>ROUND(COM!R259,1)</f>
        <v>#REF!</v>
      </c>
      <c r="W259" s="68" t="e">
        <f>ROUND(COM!S259,1)</f>
        <v>#REF!</v>
      </c>
      <c r="X259" s="111" t="e">
        <f t="shared" si="19"/>
        <v>#REF!</v>
      </c>
    </row>
    <row r="260" spans="1:24" ht="37.5" x14ac:dyDescent="0.25">
      <c r="A260" s="10">
        <v>311</v>
      </c>
      <c r="B260" s="8">
        <v>43</v>
      </c>
      <c r="C260" s="8">
        <v>930</v>
      </c>
      <c r="D260" s="9">
        <v>70499</v>
      </c>
      <c r="E260" s="21" t="s">
        <v>174</v>
      </c>
      <c r="F260" s="83" t="s">
        <v>237</v>
      </c>
      <c r="G260" s="39"/>
      <c r="H260" s="39"/>
      <c r="I260" s="39"/>
      <c r="J260" s="39"/>
      <c r="K260" s="39"/>
      <c r="L260" s="68" t="e">
        <f>ROUND(COM!H260,1)</f>
        <v>#REF!</v>
      </c>
      <c r="M260" s="68" t="e">
        <f>ROUND(COM!I260,1)</f>
        <v>#REF!</v>
      </c>
      <c r="N260" s="68" t="e">
        <f>ROUND(COM!J260,1)</f>
        <v>#REF!</v>
      </c>
      <c r="O260" s="68" t="e">
        <f>ROUND(COM!K260,1)</f>
        <v>#REF!</v>
      </c>
      <c r="P260" s="68" t="e">
        <f>ROUND(COM!L260,1)</f>
        <v>#REF!</v>
      </c>
      <c r="Q260" s="68" t="e">
        <f>ROUND(COM!M260,1)</f>
        <v>#REF!</v>
      </c>
      <c r="R260" s="68" t="e">
        <f>ROUND(COM!N260,1)</f>
        <v>#REF!</v>
      </c>
      <c r="S260" s="68" t="e">
        <f>ROUND(COM!O260,1)</f>
        <v>#REF!</v>
      </c>
      <c r="T260" s="68" t="e">
        <f>ROUND(COM!P260,1)</f>
        <v>#REF!</v>
      </c>
      <c r="U260" s="68" t="e">
        <f>ROUND(COM!Q260,1)</f>
        <v>#REF!</v>
      </c>
      <c r="V260" s="68" t="e">
        <f>ROUND(COM!R260,1)</f>
        <v>#REF!</v>
      </c>
      <c r="W260" s="68" t="e">
        <f>ROUND(COM!S260,1)</f>
        <v>#REF!</v>
      </c>
      <c r="X260" s="111" t="e">
        <f t="shared" si="19"/>
        <v>#REF!</v>
      </c>
    </row>
    <row r="261" spans="1:24" ht="37.5" x14ac:dyDescent="0.25">
      <c r="A261" s="4">
        <v>311</v>
      </c>
      <c r="B261" s="52">
        <v>43</v>
      </c>
      <c r="C261" s="52">
        <v>910</v>
      </c>
      <c r="D261" s="7">
        <v>70499</v>
      </c>
      <c r="E261" s="20"/>
      <c r="F261" s="83" t="s">
        <v>66</v>
      </c>
      <c r="G261" s="39"/>
      <c r="H261" s="39"/>
      <c r="I261" s="39"/>
      <c r="J261" s="39"/>
      <c r="K261" s="39"/>
      <c r="L261" s="68" t="e">
        <f>ROUND(COM!H261,1)</f>
        <v>#REF!</v>
      </c>
      <c r="M261" s="68" t="e">
        <f>ROUND(COM!I261,1)</f>
        <v>#REF!</v>
      </c>
      <c r="N261" s="68" t="e">
        <f>ROUND(COM!J261,1)</f>
        <v>#REF!</v>
      </c>
      <c r="O261" s="68" t="e">
        <f>ROUND(COM!K261,1)</f>
        <v>#REF!</v>
      </c>
      <c r="P261" s="68" t="e">
        <f>ROUND(COM!L261,1)</f>
        <v>#REF!</v>
      </c>
      <c r="Q261" s="68" t="e">
        <f>ROUND(COM!M261,1)</f>
        <v>#REF!</v>
      </c>
      <c r="R261" s="68" t="e">
        <f>ROUND(COM!N261,1)</f>
        <v>#REF!</v>
      </c>
      <c r="S261" s="68" t="e">
        <f>ROUND(COM!O261,1)</f>
        <v>#REF!</v>
      </c>
      <c r="T261" s="68" t="e">
        <f>ROUND(COM!P261,1)</f>
        <v>#REF!</v>
      </c>
      <c r="U261" s="68" t="e">
        <f>ROUND(COM!Q261,1)</f>
        <v>#REF!</v>
      </c>
      <c r="V261" s="68" t="e">
        <f>ROUND(COM!R261,1)</f>
        <v>#REF!</v>
      </c>
      <c r="W261" s="68" t="e">
        <f>ROUND(COM!S261,1)</f>
        <v>#REF!</v>
      </c>
      <c r="X261" s="111" t="e">
        <f t="shared" si="19"/>
        <v>#REF!</v>
      </c>
    </row>
    <row r="262" spans="1:24" ht="37.5" x14ac:dyDescent="0.25">
      <c r="A262" s="4">
        <v>311</v>
      </c>
      <c r="B262" s="52">
        <v>43</v>
      </c>
      <c r="C262" s="52">
        <v>930</v>
      </c>
      <c r="D262" s="7">
        <v>70499</v>
      </c>
      <c r="E262" s="20" t="s">
        <v>166</v>
      </c>
      <c r="F262" s="83" t="s">
        <v>67</v>
      </c>
      <c r="G262" s="39"/>
      <c r="H262" s="39"/>
      <c r="I262" s="39"/>
      <c r="J262" s="39"/>
      <c r="K262" s="39"/>
      <c r="L262" s="68" t="e">
        <f>ROUND(COM!H262,1)</f>
        <v>#REF!</v>
      </c>
      <c r="M262" s="68" t="e">
        <f>ROUND(COM!I262,1)</f>
        <v>#REF!</v>
      </c>
      <c r="N262" s="68" t="e">
        <f>ROUND(COM!J262,1)</f>
        <v>#REF!</v>
      </c>
      <c r="O262" s="68" t="e">
        <f>ROUND(COM!K262,1)</f>
        <v>#REF!</v>
      </c>
      <c r="P262" s="68" t="e">
        <f>ROUND(COM!L262,1)</f>
        <v>#REF!</v>
      </c>
      <c r="Q262" s="68" t="e">
        <f>ROUND(COM!M262,1)</f>
        <v>#REF!</v>
      </c>
      <c r="R262" s="68" t="e">
        <f>ROUND(COM!N262,1)</f>
        <v>#REF!</v>
      </c>
      <c r="S262" s="68" t="e">
        <f>ROUND(COM!O262,1)</f>
        <v>#REF!</v>
      </c>
      <c r="T262" s="68" t="e">
        <f>ROUND(COM!P262,1)</f>
        <v>#REF!</v>
      </c>
      <c r="U262" s="68" t="e">
        <f>ROUND(COM!Q262,1)</f>
        <v>#REF!</v>
      </c>
      <c r="V262" s="68" t="e">
        <f>ROUND(COM!R262,1)</f>
        <v>#REF!</v>
      </c>
      <c r="W262" s="68" t="e">
        <f>ROUND(COM!S262,1)</f>
        <v>#REF!</v>
      </c>
      <c r="X262" s="111" t="e">
        <f t="shared" si="19"/>
        <v>#REF!</v>
      </c>
    </row>
    <row r="263" spans="1:24" ht="37.5" x14ac:dyDescent="0.25">
      <c r="A263" s="10">
        <v>311</v>
      </c>
      <c r="B263" s="8">
        <v>43</v>
      </c>
      <c r="C263" s="8">
        <v>910</v>
      </c>
      <c r="D263" s="9">
        <v>70499</v>
      </c>
      <c r="E263" s="21"/>
      <c r="F263" s="83" t="s">
        <v>238</v>
      </c>
      <c r="G263" s="39"/>
      <c r="H263" s="39"/>
      <c r="I263" s="39"/>
      <c r="J263" s="39"/>
      <c r="K263" s="39"/>
      <c r="L263" s="68" t="e">
        <f>ROUND(COM!H263,1)</f>
        <v>#REF!</v>
      </c>
      <c r="M263" s="68" t="e">
        <f>ROUND(COM!I263,1)</f>
        <v>#REF!</v>
      </c>
      <c r="N263" s="68" t="e">
        <f>ROUND(COM!J263,1)</f>
        <v>#REF!</v>
      </c>
      <c r="O263" s="68" t="e">
        <f>ROUND(COM!K263,1)</f>
        <v>#REF!</v>
      </c>
      <c r="P263" s="68" t="e">
        <f>ROUND(COM!L263,1)</f>
        <v>#REF!</v>
      </c>
      <c r="Q263" s="68" t="e">
        <f>ROUND(COM!M263,1)</f>
        <v>#REF!</v>
      </c>
      <c r="R263" s="68" t="e">
        <f>ROUND(COM!N263,1)</f>
        <v>#REF!</v>
      </c>
      <c r="S263" s="68" t="e">
        <f>ROUND(COM!O263,1)</f>
        <v>#REF!</v>
      </c>
      <c r="T263" s="68" t="e">
        <f>ROUND(COM!P263,1)</f>
        <v>#REF!</v>
      </c>
      <c r="U263" s="68" t="e">
        <f>ROUND(COM!Q263,1)</f>
        <v>#REF!</v>
      </c>
      <c r="V263" s="68" t="e">
        <f>ROUND(COM!R263,1)</f>
        <v>#REF!</v>
      </c>
      <c r="W263" s="68" t="e">
        <f>ROUND(COM!S263,1)</f>
        <v>#REF!</v>
      </c>
      <c r="X263" s="111" t="e">
        <f t="shared" si="19"/>
        <v>#REF!</v>
      </c>
    </row>
    <row r="264" spans="1:24" ht="37.5" x14ac:dyDescent="0.25">
      <c r="A264" s="4">
        <v>311</v>
      </c>
      <c r="B264" s="52">
        <v>43</v>
      </c>
      <c r="C264" s="52">
        <v>930</v>
      </c>
      <c r="D264" s="7">
        <v>70499</v>
      </c>
      <c r="E264" s="20" t="s">
        <v>174</v>
      </c>
      <c r="F264" s="83" t="s">
        <v>239</v>
      </c>
      <c r="G264" s="39"/>
      <c r="H264" s="39"/>
      <c r="I264" s="39"/>
      <c r="J264" s="39"/>
      <c r="K264" s="39"/>
      <c r="L264" s="68" t="e">
        <f>ROUND(COM!H264,1)</f>
        <v>#REF!</v>
      </c>
      <c r="M264" s="68" t="e">
        <f>ROUND(COM!I264,1)</f>
        <v>#REF!</v>
      </c>
      <c r="N264" s="68" t="e">
        <f>ROUND(COM!J264,1)</f>
        <v>#REF!</v>
      </c>
      <c r="O264" s="68" t="e">
        <f>ROUND(COM!K264,1)</f>
        <v>#REF!</v>
      </c>
      <c r="P264" s="68" t="e">
        <f>ROUND(COM!L264,1)</f>
        <v>#REF!</v>
      </c>
      <c r="Q264" s="68" t="e">
        <f>ROUND(COM!M264,1)</f>
        <v>#REF!</v>
      </c>
      <c r="R264" s="68" t="e">
        <f>ROUND(COM!N264,1)</f>
        <v>#REF!</v>
      </c>
      <c r="S264" s="68" t="e">
        <f>ROUND(COM!O264,1)</f>
        <v>#REF!</v>
      </c>
      <c r="T264" s="68" t="e">
        <f>ROUND(COM!P264,1)</f>
        <v>#REF!</v>
      </c>
      <c r="U264" s="68" t="e">
        <f>ROUND(COM!Q264,1)</f>
        <v>#REF!</v>
      </c>
      <c r="V264" s="68" t="e">
        <f>ROUND(COM!R264,1)</f>
        <v>#REF!</v>
      </c>
      <c r="W264" s="68" t="e">
        <f>ROUND(COM!S264,1)</f>
        <v>#REF!</v>
      </c>
      <c r="X264" s="111" t="e">
        <f t="shared" si="19"/>
        <v>#REF!</v>
      </c>
    </row>
    <row r="265" spans="1:24" ht="37.5" x14ac:dyDescent="0.25">
      <c r="A265" s="4">
        <v>311</v>
      </c>
      <c r="B265" s="52">
        <v>43</v>
      </c>
      <c r="C265" s="52">
        <v>930</v>
      </c>
      <c r="D265" s="7">
        <v>70499</v>
      </c>
      <c r="E265" s="20" t="s">
        <v>166</v>
      </c>
      <c r="F265" s="83" t="s">
        <v>240</v>
      </c>
      <c r="G265" s="39"/>
      <c r="H265" s="39"/>
      <c r="I265" s="39"/>
      <c r="J265" s="39"/>
      <c r="K265" s="39"/>
      <c r="L265" s="68" t="e">
        <f>ROUND(COM!H265,1)</f>
        <v>#REF!</v>
      </c>
      <c r="M265" s="68" t="e">
        <f>ROUND(COM!I265,1)</f>
        <v>#REF!</v>
      </c>
      <c r="N265" s="68" t="e">
        <f>ROUND(COM!J265,1)</f>
        <v>#REF!</v>
      </c>
      <c r="O265" s="68" t="e">
        <f>ROUND(COM!K265,1)</f>
        <v>#REF!</v>
      </c>
      <c r="P265" s="68" t="e">
        <f>ROUND(COM!L265,1)</f>
        <v>#REF!</v>
      </c>
      <c r="Q265" s="68" t="e">
        <f>ROUND(COM!M265,1)</f>
        <v>#REF!</v>
      </c>
      <c r="R265" s="68" t="e">
        <f>ROUND(COM!N265,1)</f>
        <v>#REF!</v>
      </c>
      <c r="S265" s="68" t="e">
        <f>ROUND(COM!O265,1)</f>
        <v>#REF!</v>
      </c>
      <c r="T265" s="68" t="e">
        <f>ROUND(COM!P265,1)</f>
        <v>#REF!</v>
      </c>
      <c r="U265" s="68" t="e">
        <f>ROUND(COM!Q265,1)</f>
        <v>#REF!</v>
      </c>
      <c r="V265" s="68" t="e">
        <f>ROUND(COM!R265,1)</f>
        <v>#REF!</v>
      </c>
      <c r="W265" s="68" t="e">
        <f>ROUND(COM!S265,1)</f>
        <v>#REF!</v>
      </c>
      <c r="X265" s="111" t="e">
        <f t="shared" si="19"/>
        <v>#REF!</v>
      </c>
    </row>
    <row r="266" spans="1:24" ht="37.5" x14ac:dyDescent="0.25">
      <c r="A266" s="4">
        <v>311</v>
      </c>
      <c r="B266" s="52">
        <v>43</v>
      </c>
      <c r="C266" s="52">
        <v>930</v>
      </c>
      <c r="D266" s="7">
        <v>70499</v>
      </c>
      <c r="E266" s="20" t="s">
        <v>165</v>
      </c>
      <c r="F266" s="83" t="s">
        <v>241</v>
      </c>
      <c r="G266" s="39"/>
      <c r="H266" s="39"/>
      <c r="I266" s="39"/>
      <c r="J266" s="39"/>
      <c r="K266" s="39"/>
      <c r="L266" s="68" t="e">
        <f>ROUND(COM!H266,1)</f>
        <v>#REF!</v>
      </c>
      <c r="M266" s="68" t="e">
        <f>ROUND(COM!I266,1)</f>
        <v>#REF!</v>
      </c>
      <c r="N266" s="68" t="e">
        <f>ROUND(COM!J266,1)</f>
        <v>#REF!</v>
      </c>
      <c r="O266" s="68" t="e">
        <f>ROUND(COM!K266,1)</f>
        <v>#REF!</v>
      </c>
      <c r="P266" s="68" t="e">
        <f>ROUND(COM!L266,1)</f>
        <v>#REF!</v>
      </c>
      <c r="Q266" s="68" t="e">
        <f>ROUND(COM!M266,1)</f>
        <v>#REF!</v>
      </c>
      <c r="R266" s="68" t="e">
        <f>ROUND(COM!N266,1)</f>
        <v>#REF!</v>
      </c>
      <c r="S266" s="68" t="e">
        <f>ROUND(COM!O266,1)</f>
        <v>#REF!</v>
      </c>
      <c r="T266" s="68" t="e">
        <f>ROUND(COM!P266,1)</f>
        <v>#REF!</v>
      </c>
      <c r="U266" s="68" t="e">
        <f>ROUND(COM!Q266,1)</f>
        <v>#REF!</v>
      </c>
      <c r="V266" s="68" t="e">
        <f>ROUND(COM!R266,1)</f>
        <v>#REF!</v>
      </c>
      <c r="W266" s="68" t="e">
        <f>ROUND(COM!S266,1)</f>
        <v>#REF!</v>
      </c>
      <c r="X266" s="111" t="e">
        <f t="shared" si="19"/>
        <v>#REF!</v>
      </c>
    </row>
    <row r="267" spans="1:24" ht="37.5" x14ac:dyDescent="0.25">
      <c r="A267" s="4">
        <v>311</v>
      </c>
      <c r="B267" s="52">
        <v>43</v>
      </c>
      <c r="C267" s="52">
        <v>930</v>
      </c>
      <c r="D267" s="7">
        <v>70499</v>
      </c>
      <c r="E267" s="20" t="s">
        <v>175</v>
      </c>
      <c r="F267" s="83" t="s">
        <v>242</v>
      </c>
      <c r="G267" s="39"/>
      <c r="H267" s="39"/>
      <c r="I267" s="39"/>
      <c r="J267" s="39"/>
      <c r="K267" s="39"/>
      <c r="L267" s="68" t="e">
        <f>ROUND(COM!H267,1)</f>
        <v>#REF!</v>
      </c>
      <c r="M267" s="68" t="e">
        <f>ROUND(COM!I267,1)</f>
        <v>#REF!</v>
      </c>
      <c r="N267" s="68" t="e">
        <f>ROUND(COM!J267,1)</f>
        <v>#REF!</v>
      </c>
      <c r="O267" s="68" t="e">
        <f>ROUND(COM!K267,1)</f>
        <v>#REF!</v>
      </c>
      <c r="P267" s="68" t="e">
        <f>ROUND(COM!L267,1)</f>
        <v>#REF!</v>
      </c>
      <c r="Q267" s="68" t="e">
        <f>ROUND(COM!M267,1)</f>
        <v>#REF!</v>
      </c>
      <c r="R267" s="68" t="e">
        <f>ROUND(COM!N267,1)</f>
        <v>#REF!</v>
      </c>
      <c r="S267" s="68" t="e">
        <f>ROUND(COM!O267,1)</f>
        <v>#REF!</v>
      </c>
      <c r="T267" s="68" t="e">
        <f>ROUND(COM!P267,1)</f>
        <v>#REF!</v>
      </c>
      <c r="U267" s="68" t="e">
        <f>ROUND(COM!Q267,1)</f>
        <v>#REF!</v>
      </c>
      <c r="V267" s="68" t="e">
        <f>ROUND(COM!R267,1)</f>
        <v>#REF!</v>
      </c>
      <c r="W267" s="68" t="e">
        <f>ROUND(COM!S267,1)</f>
        <v>#REF!</v>
      </c>
      <c r="X267" s="111" t="e">
        <f t="shared" si="19"/>
        <v>#REF!</v>
      </c>
    </row>
    <row r="268" spans="1:24" ht="37.5" x14ac:dyDescent="0.25">
      <c r="A268" s="4">
        <v>311</v>
      </c>
      <c r="B268" s="53">
        <v>43</v>
      </c>
      <c r="C268" s="53">
        <v>910</v>
      </c>
      <c r="D268" s="7">
        <v>70499</v>
      </c>
      <c r="E268" s="20"/>
      <c r="F268" s="39" t="s">
        <v>243</v>
      </c>
      <c r="G268" s="39"/>
      <c r="H268" s="39"/>
      <c r="I268" s="39"/>
      <c r="J268" s="39"/>
      <c r="K268" s="39"/>
      <c r="L268" s="68" t="e">
        <f>ROUND(COM!H268,1)</f>
        <v>#REF!</v>
      </c>
      <c r="M268" s="68" t="e">
        <f>ROUND(COM!I268,1)</f>
        <v>#REF!</v>
      </c>
      <c r="N268" s="68" t="e">
        <f>ROUND(COM!J268,1)</f>
        <v>#REF!</v>
      </c>
      <c r="O268" s="68" t="e">
        <f>ROUND(COM!K268,1)</f>
        <v>#REF!</v>
      </c>
      <c r="P268" s="68" t="e">
        <f>ROUND(COM!L268,1)</f>
        <v>#REF!</v>
      </c>
      <c r="Q268" s="68" t="e">
        <f>ROUND(COM!M268,1)</f>
        <v>#REF!</v>
      </c>
      <c r="R268" s="68" t="e">
        <f>ROUND(COM!N268,1)</f>
        <v>#REF!</v>
      </c>
      <c r="S268" s="68" t="e">
        <f>ROUND(COM!O268,1)</f>
        <v>#REF!</v>
      </c>
      <c r="T268" s="68" t="e">
        <f>ROUND(COM!P268,1)</f>
        <v>#REF!</v>
      </c>
      <c r="U268" s="68" t="e">
        <f>ROUND(COM!Q268,1)</f>
        <v>#REF!</v>
      </c>
      <c r="V268" s="68" t="e">
        <f>ROUND(COM!R268,1)</f>
        <v>#REF!</v>
      </c>
      <c r="W268" s="68" t="e">
        <f>ROUND(COM!S268,1)</f>
        <v>#REF!</v>
      </c>
      <c r="X268" s="111" t="e">
        <f t="shared" si="19"/>
        <v>#REF!</v>
      </c>
    </row>
    <row r="269" spans="1:24" ht="37.5" x14ac:dyDescent="0.25">
      <c r="A269" s="4">
        <v>311</v>
      </c>
      <c r="B269" s="53">
        <v>43</v>
      </c>
      <c r="C269" s="53">
        <v>930</v>
      </c>
      <c r="D269" s="7">
        <v>70499</v>
      </c>
      <c r="E269" s="20" t="s">
        <v>419</v>
      </c>
      <c r="F269" s="43" t="s">
        <v>428</v>
      </c>
      <c r="G269" s="43"/>
      <c r="H269" s="43"/>
      <c r="I269" s="43"/>
      <c r="J269" s="43"/>
      <c r="K269" s="43"/>
      <c r="L269" s="68" t="e">
        <f>ROUND(COM!H269,1)</f>
        <v>#REF!</v>
      </c>
      <c r="M269" s="68" t="e">
        <f>ROUND(COM!I269,1)</f>
        <v>#REF!</v>
      </c>
      <c r="N269" s="68" t="e">
        <f>ROUND(COM!J269,1)</f>
        <v>#REF!</v>
      </c>
      <c r="O269" s="68" t="e">
        <f>ROUND(COM!K269,1)</f>
        <v>#REF!</v>
      </c>
      <c r="P269" s="68" t="e">
        <f>ROUND(COM!L269,1)</f>
        <v>#REF!</v>
      </c>
      <c r="Q269" s="68" t="e">
        <f>ROUND(COM!M269,1)</f>
        <v>#REF!</v>
      </c>
      <c r="R269" s="68" t="e">
        <f>ROUND(COM!N269,1)</f>
        <v>#REF!</v>
      </c>
      <c r="S269" s="68" t="e">
        <f>ROUND(COM!O269,1)</f>
        <v>#REF!</v>
      </c>
      <c r="T269" s="68" t="e">
        <f>ROUND(COM!P269,1)</f>
        <v>#REF!</v>
      </c>
      <c r="U269" s="68" t="e">
        <f>ROUND(COM!Q269,1)</f>
        <v>#REF!</v>
      </c>
      <c r="V269" s="68" t="e">
        <f>ROUND(COM!R269,1)</f>
        <v>#REF!</v>
      </c>
      <c r="W269" s="68" t="e">
        <f>ROUND(COM!S269,1)</f>
        <v>#REF!</v>
      </c>
      <c r="X269" s="111" t="e">
        <f t="shared" si="19"/>
        <v>#REF!</v>
      </c>
    </row>
    <row r="270" spans="1:24" ht="18.75" x14ac:dyDescent="0.25">
      <c r="A270" s="4">
        <v>311</v>
      </c>
      <c r="B270" s="53">
        <v>43</v>
      </c>
      <c r="C270" s="53">
        <v>930</v>
      </c>
      <c r="D270" s="53">
        <v>70499</v>
      </c>
      <c r="E270" s="48" t="s">
        <v>167</v>
      </c>
      <c r="F270" s="39" t="s">
        <v>68</v>
      </c>
      <c r="G270" s="39"/>
      <c r="H270" s="39"/>
      <c r="I270" s="39"/>
      <c r="J270" s="39"/>
      <c r="K270" s="39"/>
      <c r="L270" s="68" t="e">
        <f>ROUND(COM!H270,1)</f>
        <v>#REF!</v>
      </c>
      <c r="M270" s="68" t="e">
        <f>ROUND(COM!I270,1)</f>
        <v>#REF!</v>
      </c>
      <c r="N270" s="68" t="e">
        <f>ROUND(COM!J270,1)</f>
        <v>#REF!</v>
      </c>
      <c r="O270" s="68" t="e">
        <f>ROUND(COM!K270,1)</f>
        <v>#REF!</v>
      </c>
      <c r="P270" s="68" t="e">
        <f>ROUND(COM!L270,1)</f>
        <v>#REF!</v>
      </c>
      <c r="Q270" s="68" t="e">
        <f>ROUND(COM!M270,1)</f>
        <v>#REF!</v>
      </c>
      <c r="R270" s="68" t="e">
        <f>ROUND(COM!N270,1)</f>
        <v>#REF!</v>
      </c>
      <c r="S270" s="68" t="e">
        <f>ROUND(COM!O270,1)</f>
        <v>#REF!</v>
      </c>
      <c r="T270" s="68" t="e">
        <f>ROUND(COM!P270,1)</f>
        <v>#REF!</v>
      </c>
      <c r="U270" s="68" t="e">
        <f>ROUND(COM!Q270,1)</f>
        <v>#REF!</v>
      </c>
      <c r="V270" s="68" t="e">
        <f>ROUND(COM!R270,1)</f>
        <v>#REF!</v>
      </c>
      <c r="W270" s="68" t="e">
        <f>ROUND(COM!S270,1)</f>
        <v>#REF!</v>
      </c>
      <c r="X270" s="111" t="e">
        <f t="shared" si="19"/>
        <v>#REF!</v>
      </c>
    </row>
    <row r="271" spans="1:24" ht="18.75" x14ac:dyDescent="0.25">
      <c r="A271" s="4">
        <v>311</v>
      </c>
      <c r="B271" s="53">
        <v>43</v>
      </c>
      <c r="C271" s="53">
        <v>910</v>
      </c>
      <c r="D271" s="53">
        <v>70499</v>
      </c>
      <c r="E271" s="48"/>
      <c r="F271" s="83" t="s">
        <v>244</v>
      </c>
      <c r="G271" s="39"/>
      <c r="H271" s="39"/>
      <c r="I271" s="39"/>
      <c r="J271" s="39"/>
      <c r="K271" s="39"/>
      <c r="L271" s="68" t="e">
        <f>ROUND(COM!H271,1)</f>
        <v>#REF!</v>
      </c>
      <c r="M271" s="68" t="e">
        <f>ROUND(COM!I271,1)</f>
        <v>#REF!</v>
      </c>
      <c r="N271" s="68" t="e">
        <f>ROUND(COM!J271,1)</f>
        <v>#REF!</v>
      </c>
      <c r="O271" s="68" t="e">
        <f>ROUND(COM!K271,1)</f>
        <v>#REF!</v>
      </c>
      <c r="P271" s="68" t="e">
        <f>ROUND(COM!L271,1)</f>
        <v>#REF!</v>
      </c>
      <c r="Q271" s="68" t="e">
        <f>ROUND(COM!M271,1)</f>
        <v>#REF!</v>
      </c>
      <c r="R271" s="68" t="e">
        <f>ROUND(COM!N271,1)</f>
        <v>#REF!</v>
      </c>
      <c r="S271" s="68" t="e">
        <f>ROUND(COM!O271,1)</f>
        <v>#REF!</v>
      </c>
      <c r="T271" s="68" t="e">
        <f>ROUND(COM!P271,1)</f>
        <v>#REF!</v>
      </c>
      <c r="U271" s="68" t="e">
        <f>ROUND(COM!Q271,1)</f>
        <v>#REF!</v>
      </c>
      <c r="V271" s="68" t="e">
        <f>ROUND(COM!R271,1)</f>
        <v>#REF!</v>
      </c>
      <c r="W271" s="68" t="e">
        <f>ROUND(COM!S271,1)</f>
        <v>#REF!</v>
      </c>
      <c r="X271" s="111" t="e">
        <f t="shared" si="19"/>
        <v>#REF!</v>
      </c>
    </row>
    <row r="272" spans="1:24" ht="37.5" x14ac:dyDescent="0.25">
      <c r="A272" s="4">
        <v>311</v>
      </c>
      <c r="B272" s="53">
        <v>43</v>
      </c>
      <c r="C272" s="53">
        <v>920</v>
      </c>
      <c r="D272" s="53">
        <v>70499</v>
      </c>
      <c r="E272" s="48" t="s">
        <v>173</v>
      </c>
      <c r="F272" s="83" t="s">
        <v>245</v>
      </c>
      <c r="G272" s="39"/>
      <c r="H272" s="39"/>
      <c r="I272" s="39"/>
      <c r="J272" s="39"/>
      <c r="K272" s="39"/>
      <c r="L272" s="68" t="e">
        <f>ROUND(COM!H272,1)</f>
        <v>#REF!</v>
      </c>
      <c r="M272" s="68" t="e">
        <f>ROUND(COM!I272,1)</f>
        <v>#REF!</v>
      </c>
      <c r="N272" s="68" t="e">
        <f>ROUND(COM!J272,1)</f>
        <v>#REF!</v>
      </c>
      <c r="O272" s="68" t="e">
        <f>ROUND(COM!K272,1)</f>
        <v>#REF!</v>
      </c>
      <c r="P272" s="68" t="e">
        <f>ROUND(COM!L272,1)</f>
        <v>#REF!</v>
      </c>
      <c r="Q272" s="68" t="e">
        <f>ROUND(COM!M272,1)</f>
        <v>#REF!</v>
      </c>
      <c r="R272" s="68" t="e">
        <f>ROUND(COM!N272,1)</f>
        <v>#REF!</v>
      </c>
      <c r="S272" s="68" t="e">
        <f>ROUND(COM!O272,1)</f>
        <v>#REF!</v>
      </c>
      <c r="T272" s="68" t="e">
        <f>ROUND(COM!P272,1)</f>
        <v>#REF!</v>
      </c>
      <c r="U272" s="68" t="e">
        <f>ROUND(COM!Q272,1)</f>
        <v>#REF!</v>
      </c>
      <c r="V272" s="68" t="e">
        <f>ROUND(COM!R272,1)</f>
        <v>#REF!</v>
      </c>
      <c r="W272" s="68" t="e">
        <f>ROUND(COM!S272,1)</f>
        <v>#REF!</v>
      </c>
      <c r="X272" s="111" t="e">
        <f t="shared" si="19"/>
        <v>#REF!</v>
      </c>
    </row>
    <row r="273" spans="1:24" ht="37.5" x14ac:dyDescent="0.25">
      <c r="A273" s="4">
        <v>311</v>
      </c>
      <c r="B273" s="53">
        <v>43</v>
      </c>
      <c r="C273" s="53">
        <v>930</v>
      </c>
      <c r="D273" s="53">
        <v>70499</v>
      </c>
      <c r="E273" s="48" t="s">
        <v>173</v>
      </c>
      <c r="F273" s="83" t="s">
        <v>246</v>
      </c>
      <c r="G273" s="39"/>
      <c r="H273" s="39"/>
      <c r="I273" s="39"/>
      <c r="J273" s="39"/>
      <c r="K273" s="39"/>
      <c r="L273" s="68" t="e">
        <f>ROUND(COM!H273,1)</f>
        <v>#REF!</v>
      </c>
      <c r="M273" s="68" t="e">
        <f>ROUND(COM!I273,1)</f>
        <v>#REF!</v>
      </c>
      <c r="N273" s="68" t="e">
        <f>ROUND(COM!J273,1)</f>
        <v>#REF!</v>
      </c>
      <c r="O273" s="68" t="e">
        <f>ROUND(COM!K273,1)</f>
        <v>#REF!</v>
      </c>
      <c r="P273" s="68" t="e">
        <f>ROUND(COM!L273,1)</f>
        <v>#REF!</v>
      </c>
      <c r="Q273" s="68" t="e">
        <f>ROUND(COM!M273,1)</f>
        <v>#REF!</v>
      </c>
      <c r="R273" s="68" t="e">
        <f>ROUND(COM!N273,1)</f>
        <v>#REF!</v>
      </c>
      <c r="S273" s="68" t="e">
        <f>ROUND(COM!O273,1)</f>
        <v>#REF!</v>
      </c>
      <c r="T273" s="68" t="e">
        <f>ROUND(COM!P273,1)</f>
        <v>#REF!</v>
      </c>
      <c r="U273" s="68" t="e">
        <f>ROUND(COM!Q273,1)</f>
        <v>#REF!</v>
      </c>
      <c r="V273" s="68" t="e">
        <f>ROUND(COM!R273,1)</f>
        <v>#REF!</v>
      </c>
      <c r="W273" s="68" t="e">
        <f>ROUND(COM!S273,1)</f>
        <v>#REF!</v>
      </c>
      <c r="X273" s="111" t="e">
        <f t="shared" si="19"/>
        <v>#REF!</v>
      </c>
    </row>
    <row r="274" spans="1:24" ht="37.5" x14ac:dyDescent="0.25">
      <c r="A274" s="4">
        <v>311</v>
      </c>
      <c r="B274" s="53">
        <v>43</v>
      </c>
      <c r="C274" s="53">
        <v>910</v>
      </c>
      <c r="D274" s="53">
        <v>70499</v>
      </c>
      <c r="E274" s="48"/>
      <c r="F274" s="83" t="s">
        <v>247</v>
      </c>
      <c r="G274" s="39"/>
      <c r="H274" s="39"/>
      <c r="I274" s="39"/>
      <c r="J274" s="39"/>
      <c r="K274" s="39"/>
      <c r="L274" s="68" t="e">
        <f>ROUND(COM!H274,1)</f>
        <v>#REF!</v>
      </c>
      <c r="M274" s="68" t="e">
        <f>ROUND(COM!I274,1)</f>
        <v>#REF!</v>
      </c>
      <c r="N274" s="68" t="e">
        <f>ROUND(COM!J274,1)</f>
        <v>#REF!</v>
      </c>
      <c r="O274" s="68" t="e">
        <f>ROUND(COM!K274,1)</f>
        <v>#REF!</v>
      </c>
      <c r="P274" s="68" t="e">
        <f>ROUND(COM!L274,1)</f>
        <v>#REF!</v>
      </c>
      <c r="Q274" s="68" t="e">
        <f>ROUND(COM!M274,1)</f>
        <v>#REF!</v>
      </c>
      <c r="R274" s="68" t="e">
        <f>ROUND(COM!N274,1)</f>
        <v>#REF!</v>
      </c>
      <c r="S274" s="68" t="e">
        <f>ROUND(COM!O274,1)</f>
        <v>#REF!</v>
      </c>
      <c r="T274" s="68" t="e">
        <f>ROUND(COM!P274,1)</f>
        <v>#REF!</v>
      </c>
      <c r="U274" s="68" t="e">
        <f>ROUND(COM!Q274,1)</f>
        <v>#REF!</v>
      </c>
      <c r="V274" s="68" t="e">
        <f>ROUND(COM!R274,1)</f>
        <v>#REF!</v>
      </c>
      <c r="W274" s="68" t="e">
        <f>ROUND(COM!S274,1)</f>
        <v>#REF!</v>
      </c>
      <c r="X274" s="111" t="e">
        <f t="shared" si="19"/>
        <v>#REF!</v>
      </c>
    </row>
    <row r="275" spans="1:24" ht="37.5" x14ac:dyDescent="0.25">
      <c r="A275" s="4">
        <v>311</v>
      </c>
      <c r="B275" s="53">
        <v>43</v>
      </c>
      <c r="C275" s="53">
        <v>920</v>
      </c>
      <c r="D275" s="53">
        <v>70499</v>
      </c>
      <c r="E275" s="48" t="s">
        <v>173</v>
      </c>
      <c r="F275" s="83" t="s">
        <v>248</v>
      </c>
      <c r="G275" s="39"/>
      <c r="H275" s="39"/>
      <c r="I275" s="39"/>
      <c r="J275" s="39"/>
      <c r="K275" s="39"/>
      <c r="L275" s="68" t="e">
        <f>ROUND(COM!H275,1)</f>
        <v>#REF!</v>
      </c>
      <c r="M275" s="68" t="e">
        <f>ROUND(COM!I275,1)</f>
        <v>#REF!</v>
      </c>
      <c r="N275" s="68" t="e">
        <f>ROUND(COM!J275,1)</f>
        <v>#REF!</v>
      </c>
      <c r="O275" s="68" t="e">
        <f>ROUND(COM!K275,1)</f>
        <v>#REF!</v>
      </c>
      <c r="P275" s="68" t="e">
        <f>ROUND(COM!L275,1)</f>
        <v>#REF!</v>
      </c>
      <c r="Q275" s="68" t="e">
        <f>ROUND(COM!M275,1)</f>
        <v>#REF!</v>
      </c>
      <c r="R275" s="68" t="e">
        <f>ROUND(COM!N275,1)</f>
        <v>#REF!</v>
      </c>
      <c r="S275" s="68" t="e">
        <f>ROUND(COM!O275,1)</f>
        <v>#REF!</v>
      </c>
      <c r="T275" s="68" t="e">
        <f>ROUND(COM!P275,1)</f>
        <v>#REF!</v>
      </c>
      <c r="U275" s="68" t="e">
        <f>ROUND(COM!Q275,1)</f>
        <v>#REF!</v>
      </c>
      <c r="V275" s="68" t="e">
        <f>ROUND(COM!R275,1)</f>
        <v>#REF!</v>
      </c>
      <c r="W275" s="68" t="e">
        <f>ROUND(COM!S275,1)</f>
        <v>#REF!</v>
      </c>
      <c r="X275" s="111" t="e">
        <f t="shared" si="19"/>
        <v>#REF!</v>
      </c>
    </row>
    <row r="276" spans="1:24" ht="37.5" x14ac:dyDescent="0.25">
      <c r="A276" s="4">
        <v>311</v>
      </c>
      <c r="B276" s="53">
        <v>43</v>
      </c>
      <c r="C276" s="53">
        <v>930</v>
      </c>
      <c r="D276" s="53">
        <v>70499</v>
      </c>
      <c r="E276" s="48" t="s">
        <v>173</v>
      </c>
      <c r="F276" s="83" t="s">
        <v>249</v>
      </c>
      <c r="G276" s="39"/>
      <c r="H276" s="39"/>
      <c r="I276" s="39"/>
      <c r="J276" s="39"/>
      <c r="K276" s="39"/>
      <c r="L276" s="68" t="e">
        <f>ROUND(COM!H276,1)</f>
        <v>#REF!</v>
      </c>
      <c r="M276" s="68" t="e">
        <f>ROUND(COM!I276,1)</f>
        <v>#REF!</v>
      </c>
      <c r="N276" s="68" t="e">
        <f>ROUND(COM!J276,1)</f>
        <v>#REF!</v>
      </c>
      <c r="O276" s="68" t="e">
        <f>ROUND(COM!K276,1)</f>
        <v>#REF!</v>
      </c>
      <c r="P276" s="68" t="e">
        <f>ROUND(COM!L276,1)</f>
        <v>#REF!</v>
      </c>
      <c r="Q276" s="68" t="e">
        <f>ROUND(COM!M276,1)</f>
        <v>#REF!</v>
      </c>
      <c r="R276" s="68" t="e">
        <f>ROUND(COM!N276,1)</f>
        <v>#REF!</v>
      </c>
      <c r="S276" s="68" t="e">
        <f>ROUND(COM!O276,1)</f>
        <v>#REF!</v>
      </c>
      <c r="T276" s="68" t="e">
        <f>ROUND(COM!P276,1)</f>
        <v>#REF!</v>
      </c>
      <c r="U276" s="68" t="e">
        <f>ROUND(COM!Q276,1)</f>
        <v>#REF!</v>
      </c>
      <c r="V276" s="68" t="e">
        <f>ROUND(COM!R276,1)</f>
        <v>#REF!</v>
      </c>
      <c r="W276" s="68" t="e">
        <f>ROUND(COM!S276,1)</f>
        <v>#REF!</v>
      </c>
      <c r="X276" s="111" t="e">
        <f t="shared" ref="X276:X320" si="22">M276+O276+Q276+S276+U276+W276</f>
        <v>#REF!</v>
      </c>
    </row>
    <row r="277" spans="1:24" ht="37.5" x14ac:dyDescent="0.25">
      <c r="A277" s="4">
        <v>311</v>
      </c>
      <c r="B277" s="53">
        <v>43</v>
      </c>
      <c r="C277" s="53">
        <v>910</v>
      </c>
      <c r="D277" s="7">
        <v>70499</v>
      </c>
      <c r="E277" s="20"/>
      <c r="F277" s="83" t="s">
        <v>250</v>
      </c>
      <c r="G277" s="39"/>
      <c r="H277" s="39"/>
      <c r="I277" s="39"/>
      <c r="J277" s="39"/>
      <c r="K277" s="39"/>
      <c r="L277" s="68" t="e">
        <f>ROUND(COM!H277,1)</f>
        <v>#REF!</v>
      </c>
      <c r="M277" s="68" t="e">
        <f>ROUND(COM!I277,1)</f>
        <v>#REF!</v>
      </c>
      <c r="N277" s="68" t="e">
        <f>ROUND(COM!J277,1)</f>
        <v>#REF!</v>
      </c>
      <c r="O277" s="68" t="e">
        <f>ROUND(COM!K277,1)</f>
        <v>#REF!</v>
      </c>
      <c r="P277" s="68" t="e">
        <f>ROUND(COM!L277,1)</f>
        <v>#REF!</v>
      </c>
      <c r="Q277" s="68" t="e">
        <f>ROUND(COM!M277,1)</f>
        <v>#REF!</v>
      </c>
      <c r="R277" s="68" t="e">
        <f>ROUND(COM!N277,1)</f>
        <v>#REF!</v>
      </c>
      <c r="S277" s="68" t="e">
        <f>ROUND(COM!O277,1)</f>
        <v>#REF!</v>
      </c>
      <c r="T277" s="68" t="e">
        <f>ROUND(COM!P277,1)</f>
        <v>#REF!</v>
      </c>
      <c r="U277" s="68" t="e">
        <f>ROUND(COM!Q277,1)</f>
        <v>#REF!</v>
      </c>
      <c r="V277" s="68" t="e">
        <f>ROUND(COM!R277,1)</f>
        <v>#REF!</v>
      </c>
      <c r="W277" s="68" t="e">
        <f>ROUND(COM!S277,1)</f>
        <v>#REF!</v>
      </c>
      <c r="X277" s="111" t="e">
        <f t="shared" si="22"/>
        <v>#REF!</v>
      </c>
    </row>
    <row r="278" spans="1:24" ht="37.5" x14ac:dyDescent="0.25">
      <c r="A278" s="4">
        <v>311</v>
      </c>
      <c r="B278" s="53">
        <v>43</v>
      </c>
      <c r="C278" s="53">
        <v>920</v>
      </c>
      <c r="D278" s="7">
        <v>70499</v>
      </c>
      <c r="E278" s="20" t="s">
        <v>173</v>
      </c>
      <c r="F278" s="83" t="s">
        <v>251</v>
      </c>
      <c r="G278" s="39"/>
      <c r="H278" s="39"/>
      <c r="I278" s="39"/>
      <c r="J278" s="39"/>
      <c r="K278" s="39"/>
      <c r="L278" s="68" t="e">
        <f>ROUND(COM!H278,1)</f>
        <v>#REF!</v>
      </c>
      <c r="M278" s="68" t="e">
        <f>ROUND(COM!I278,1)</f>
        <v>#REF!</v>
      </c>
      <c r="N278" s="68" t="e">
        <f>ROUND(COM!J278,1)</f>
        <v>#REF!</v>
      </c>
      <c r="O278" s="68" t="e">
        <f>ROUND(COM!K278,1)</f>
        <v>#REF!</v>
      </c>
      <c r="P278" s="68" t="e">
        <f>ROUND(COM!L278,1)</f>
        <v>#REF!</v>
      </c>
      <c r="Q278" s="68" t="e">
        <f>ROUND(COM!M278,1)</f>
        <v>#REF!</v>
      </c>
      <c r="R278" s="68" t="e">
        <f>ROUND(COM!N278,1)</f>
        <v>#REF!</v>
      </c>
      <c r="S278" s="68" t="e">
        <f>ROUND(COM!O278,1)</f>
        <v>#REF!</v>
      </c>
      <c r="T278" s="68" t="e">
        <f>ROUND(COM!P278,1)</f>
        <v>#REF!</v>
      </c>
      <c r="U278" s="68" t="e">
        <f>ROUND(COM!Q278,1)</f>
        <v>#REF!</v>
      </c>
      <c r="V278" s="68" t="e">
        <f>ROUND(COM!R278,1)</f>
        <v>#REF!</v>
      </c>
      <c r="W278" s="68" t="e">
        <f>ROUND(COM!S278,1)</f>
        <v>#REF!</v>
      </c>
      <c r="X278" s="111" t="e">
        <f t="shared" si="22"/>
        <v>#REF!</v>
      </c>
    </row>
    <row r="279" spans="1:24" ht="37.5" x14ac:dyDescent="0.25">
      <c r="A279" s="4">
        <v>311</v>
      </c>
      <c r="B279" s="53">
        <v>43</v>
      </c>
      <c r="C279" s="53">
        <v>930</v>
      </c>
      <c r="D279" s="7">
        <v>70499</v>
      </c>
      <c r="E279" s="20" t="s">
        <v>173</v>
      </c>
      <c r="F279" s="83" t="s">
        <v>252</v>
      </c>
      <c r="G279" s="39"/>
      <c r="H279" s="39"/>
      <c r="I279" s="39"/>
      <c r="J279" s="39"/>
      <c r="K279" s="39"/>
      <c r="L279" s="68" t="e">
        <f>ROUND(COM!H279,1)</f>
        <v>#REF!</v>
      </c>
      <c r="M279" s="68" t="e">
        <f>ROUND(COM!I279,1)</f>
        <v>#REF!</v>
      </c>
      <c r="N279" s="68" t="e">
        <f>ROUND(COM!J279,1)</f>
        <v>#REF!</v>
      </c>
      <c r="O279" s="68" t="e">
        <f>ROUND(COM!K279,1)</f>
        <v>#REF!</v>
      </c>
      <c r="P279" s="68" t="e">
        <f>ROUND(COM!L279,1)</f>
        <v>#REF!</v>
      </c>
      <c r="Q279" s="68" t="e">
        <f>ROUND(COM!M279,1)</f>
        <v>#REF!</v>
      </c>
      <c r="R279" s="68" t="e">
        <f>ROUND(COM!N279,1)</f>
        <v>#REF!</v>
      </c>
      <c r="S279" s="68" t="e">
        <f>ROUND(COM!O279,1)</f>
        <v>#REF!</v>
      </c>
      <c r="T279" s="68" t="e">
        <f>ROUND(COM!P279,1)</f>
        <v>#REF!</v>
      </c>
      <c r="U279" s="68" t="e">
        <f>ROUND(COM!Q279,1)</f>
        <v>#REF!</v>
      </c>
      <c r="V279" s="68" t="e">
        <f>ROUND(COM!R279,1)</f>
        <v>#REF!</v>
      </c>
      <c r="W279" s="68" t="e">
        <f>ROUND(COM!S279,1)</f>
        <v>#REF!</v>
      </c>
      <c r="X279" s="111" t="e">
        <f t="shared" si="22"/>
        <v>#REF!</v>
      </c>
    </row>
    <row r="280" spans="1:24" ht="37.5" x14ac:dyDescent="0.25">
      <c r="A280" s="4">
        <v>311</v>
      </c>
      <c r="B280" s="53">
        <v>43</v>
      </c>
      <c r="C280" s="53">
        <v>910</v>
      </c>
      <c r="D280" s="7">
        <v>70499</v>
      </c>
      <c r="E280" s="20"/>
      <c r="F280" s="83" t="s">
        <v>253</v>
      </c>
      <c r="G280" s="39"/>
      <c r="H280" s="39"/>
      <c r="I280" s="39"/>
      <c r="J280" s="39"/>
      <c r="K280" s="39"/>
      <c r="L280" s="68" t="e">
        <f>ROUND(COM!H280,1)</f>
        <v>#REF!</v>
      </c>
      <c r="M280" s="68" t="e">
        <f>ROUND(COM!I280,1)</f>
        <v>#REF!</v>
      </c>
      <c r="N280" s="68" t="e">
        <f>ROUND(COM!J280,1)</f>
        <v>#REF!</v>
      </c>
      <c r="O280" s="68" t="e">
        <f>ROUND(COM!K280,1)</f>
        <v>#REF!</v>
      </c>
      <c r="P280" s="68" t="e">
        <f>ROUND(COM!L280,1)</f>
        <v>#REF!</v>
      </c>
      <c r="Q280" s="68" t="e">
        <f>ROUND(COM!M280,1)</f>
        <v>#REF!</v>
      </c>
      <c r="R280" s="68" t="e">
        <f>ROUND(COM!N280,1)</f>
        <v>#REF!</v>
      </c>
      <c r="S280" s="68" t="e">
        <f>ROUND(COM!O280,1)</f>
        <v>#REF!</v>
      </c>
      <c r="T280" s="68" t="e">
        <f>ROUND(COM!P280,1)</f>
        <v>#REF!</v>
      </c>
      <c r="U280" s="68" t="e">
        <f>ROUND(COM!Q280,1)</f>
        <v>#REF!</v>
      </c>
      <c r="V280" s="68" t="e">
        <f>ROUND(COM!R280,1)</f>
        <v>#REF!</v>
      </c>
      <c r="W280" s="68" t="e">
        <f>ROUND(COM!S280,1)</f>
        <v>#REF!</v>
      </c>
      <c r="X280" s="111" t="e">
        <f t="shared" si="22"/>
        <v>#REF!</v>
      </c>
    </row>
    <row r="281" spans="1:24" ht="37.5" x14ac:dyDescent="0.25">
      <c r="A281" s="4">
        <v>311</v>
      </c>
      <c r="B281" s="53">
        <v>43</v>
      </c>
      <c r="C281" s="53">
        <v>920</v>
      </c>
      <c r="D281" s="7">
        <v>70499</v>
      </c>
      <c r="E281" s="20" t="s">
        <v>176</v>
      </c>
      <c r="F281" s="83" t="s">
        <v>254</v>
      </c>
      <c r="G281" s="39"/>
      <c r="H281" s="39"/>
      <c r="I281" s="39"/>
      <c r="J281" s="39"/>
      <c r="K281" s="39"/>
      <c r="L281" s="68" t="e">
        <f>ROUND(COM!H281,1)</f>
        <v>#REF!</v>
      </c>
      <c r="M281" s="68" t="e">
        <f>ROUND(COM!I281,1)</f>
        <v>#REF!</v>
      </c>
      <c r="N281" s="68" t="e">
        <f>ROUND(COM!J281,1)</f>
        <v>#REF!</v>
      </c>
      <c r="O281" s="68" t="e">
        <f>ROUND(COM!K281,1)</f>
        <v>#REF!</v>
      </c>
      <c r="P281" s="68" t="e">
        <f>ROUND(COM!L281,1)</f>
        <v>#REF!</v>
      </c>
      <c r="Q281" s="68" t="e">
        <f>ROUND(COM!M281,1)</f>
        <v>#REF!</v>
      </c>
      <c r="R281" s="68" t="e">
        <f>ROUND(COM!N281,1)</f>
        <v>#REF!</v>
      </c>
      <c r="S281" s="68" t="e">
        <f>ROUND(COM!O281,1)</f>
        <v>#REF!</v>
      </c>
      <c r="T281" s="68" t="e">
        <f>ROUND(COM!P281,1)</f>
        <v>#REF!</v>
      </c>
      <c r="U281" s="68" t="e">
        <f>ROUND(COM!Q281,1)</f>
        <v>#REF!</v>
      </c>
      <c r="V281" s="68" t="e">
        <f>ROUND(COM!R281,1)</f>
        <v>#REF!</v>
      </c>
      <c r="W281" s="68" t="e">
        <f>ROUND(COM!S281,1)</f>
        <v>#REF!</v>
      </c>
      <c r="X281" s="111" t="e">
        <f t="shared" si="22"/>
        <v>#REF!</v>
      </c>
    </row>
    <row r="282" spans="1:24" ht="37.5" x14ac:dyDescent="0.25">
      <c r="A282" s="4">
        <v>311</v>
      </c>
      <c r="B282" s="53">
        <v>43</v>
      </c>
      <c r="C282" s="53">
        <v>930</v>
      </c>
      <c r="D282" s="7">
        <v>70499</v>
      </c>
      <c r="E282" s="20" t="s">
        <v>176</v>
      </c>
      <c r="F282" s="83" t="s">
        <v>255</v>
      </c>
      <c r="G282" s="39"/>
      <c r="H282" s="39"/>
      <c r="I282" s="39"/>
      <c r="J282" s="39"/>
      <c r="K282" s="39"/>
      <c r="L282" s="68" t="e">
        <f>ROUND(COM!H282,1)</f>
        <v>#REF!</v>
      </c>
      <c r="M282" s="68" t="e">
        <f>ROUND(COM!I282,1)</f>
        <v>#REF!</v>
      </c>
      <c r="N282" s="68" t="e">
        <f>ROUND(COM!J282,1)</f>
        <v>#REF!</v>
      </c>
      <c r="O282" s="68" t="e">
        <f>ROUND(COM!K282,1)</f>
        <v>#REF!</v>
      </c>
      <c r="P282" s="68" t="e">
        <f>ROUND(COM!L282,1)</f>
        <v>#REF!</v>
      </c>
      <c r="Q282" s="68" t="e">
        <f>ROUND(COM!M282,1)</f>
        <v>#REF!</v>
      </c>
      <c r="R282" s="68" t="e">
        <f>ROUND(COM!N282,1)</f>
        <v>#REF!</v>
      </c>
      <c r="S282" s="68" t="e">
        <f>ROUND(COM!O282,1)</f>
        <v>#REF!</v>
      </c>
      <c r="T282" s="68" t="e">
        <f>ROUND(COM!P282,1)</f>
        <v>#REF!</v>
      </c>
      <c r="U282" s="68" t="e">
        <f>ROUND(COM!Q282,1)</f>
        <v>#REF!</v>
      </c>
      <c r="V282" s="68" t="e">
        <f>ROUND(COM!R282,1)</f>
        <v>#REF!</v>
      </c>
      <c r="W282" s="68" t="e">
        <f>ROUND(COM!S282,1)</f>
        <v>#REF!</v>
      </c>
      <c r="X282" s="111" t="e">
        <f t="shared" si="22"/>
        <v>#REF!</v>
      </c>
    </row>
    <row r="283" spans="1:24" ht="18.75" x14ac:dyDescent="0.25">
      <c r="A283" s="4">
        <v>311</v>
      </c>
      <c r="B283" s="53">
        <v>43</v>
      </c>
      <c r="C283" s="53">
        <v>910</v>
      </c>
      <c r="D283" s="7">
        <v>70499</v>
      </c>
      <c r="E283" s="20" t="s">
        <v>419</v>
      </c>
      <c r="F283" s="83" t="s">
        <v>429</v>
      </c>
      <c r="G283" s="39"/>
      <c r="H283" s="39"/>
      <c r="I283" s="39"/>
      <c r="J283" s="39"/>
      <c r="K283" s="39"/>
      <c r="L283" s="68" t="e">
        <f>ROUND(COM!H283,1)</f>
        <v>#REF!</v>
      </c>
      <c r="M283" s="68" t="e">
        <f>ROUND(COM!I283,1)</f>
        <v>#REF!</v>
      </c>
      <c r="N283" s="68" t="e">
        <f>ROUND(COM!J283,1)</f>
        <v>#REF!</v>
      </c>
      <c r="O283" s="68" t="e">
        <f>ROUND(COM!K283,1)</f>
        <v>#REF!</v>
      </c>
      <c r="P283" s="68" t="e">
        <f>ROUND(COM!L283,1)</f>
        <v>#REF!</v>
      </c>
      <c r="Q283" s="68" t="e">
        <f>ROUND(COM!M283,1)</f>
        <v>#REF!</v>
      </c>
      <c r="R283" s="68" t="e">
        <f>ROUND(COM!N283,1)</f>
        <v>#REF!</v>
      </c>
      <c r="S283" s="68" t="e">
        <f>ROUND(COM!O283,1)</f>
        <v>#REF!</v>
      </c>
      <c r="T283" s="68" t="e">
        <f>ROUND(COM!P283,1)</f>
        <v>#REF!</v>
      </c>
      <c r="U283" s="68" t="e">
        <f>ROUND(COM!Q283,1)</f>
        <v>#REF!</v>
      </c>
      <c r="V283" s="68" t="e">
        <f>ROUND(COM!R283,1)</f>
        <v>#REF!</v>
      </c>
      <c r="W283" s="68" t="e">
        <f>ROUND(COM!S283,1)</f>
        <v>#REF!</v>
      </c>
      <c r="X283" s="111" t="e">
        <f t="shared" si="22"/>
        <v>#REF!</v>
      </c>
    </row>
    <row r="284" spans="1:24" ht="37.5" x14ac:dyDescent="0.25">
      <c r="A284" s="4">
        <v>311</v>
      </c>
      <c r="B284" s="53">
        <v>43</v>
      </c>
      <c r="C284" s="53">
        <v>930</v>
      </c>
      <c r="D284" s="7">
        <v>70499</v>
      </c>
      <c r="E284" s="20" t="s">
        <v>419</v>
      </c>
      <c r="F284" s="83" t="s">
        <v>430</v>
      </c>
      <c r="G284" s="39"/>
      <c r="H284" s="39"/>
      <c r="I284" s="39"/>
      <c r="J284" s="39"/>
      <c r="K284" s="39"/>
      <c r="L284" s="68" t="e">
        <f>ROUND(COM!H284,1)</f>
        <v>#REF!</v>
      </c>
      <c r="M284" s="68" t="e">
        <f>ROUND(COM!I284,1)</f>
        <v>#REF!</v>
      </c>
      <c r="N284" s="68" t="e">
        <f>ROUND(COM!J284,1)</f>
        <v>#REF!</v>
      </c>
      <c r="O284" s="68" t="e">
        <f>ROUND(COM!K284,1)</f>
        <v>#REF!</v>
      </c>
      <c r="P284" s="68" t="e">
        <f>ROUND(COM!L284,1)</f>
        <v>#REF!</v>
      </c>
      <c r="Q284" s="68" t="e">
        <f>ROUND(COM!M284,1)</f>
        <v>#REF!</v>
      </c>
      <c r="R284" s="68" t="e">
        <f>ROUND(COM!N284,1)</f>
        <v>#REF!</v>
      </c>
      <c r="S284" s="68" t="e">
        <f>ROUND(COM!O284,1)</f>
        <v>#REF!</v>
      </c>
      <c r="T284" s="68" t="e">
        <f>ROUND(COM!P284,1)</f>
        <v>#REF!</v>
      </c>
      <c r="U284" s="68" t="e">
        <f>ROUND(COM!Q284,1)</f>
        <v>#REF!</v>
      </c>
      <c r="V284" s="68" t="e">
        <f>ROUND(COM!R284,1)</f>
        <v>#REF!</v>
      </c>
      <c r="W284" s="68" t="e">
        <f>ROUND(COM!S284,1)</f>
        <v>#REF!</v>
      </c>
      <c r="X284" s="111" t="e">
        <f t="shared" si="22"/>
        <v>#REF!</v>
      </c>
    </row>
    <row r="285" spans="1:24" ht="37.5" x14ac:dyDescent="0.25">
      <c r="A285" s="4">
        <v>311</v>
      </c>
      <c r="B285" s="53">
        <v>43</v>
      </c>
      <c r="C285" s="53">
        <v>920</v>
      </c>
      <c r="D285" s="7">
        <v>70499</v>
      </c>
      <c r="E285" s="20" t="s">
        <v>172</v>
      </c>
      <c r="F285" s="72" t="s">
        <v>256</v>
      </c>
      <c r="G285" s="39"/>
      <c r="H285" s="39"/>
      <c r="I285" s="39"/>
      <c r="J285" s="39"/>
      <c r="K285" s="39"/>
      <c r="L285" s="68" t="e">
        <f>ROUND(COM!H285,1)</f>
        <v>#REF!</v>
      </c>
      <c r="M285" s="68" t="e">
        <f>ROUND(COM!I285,1)</f>
        <v>#REF!</v>
      </c>
      <c r="N285" s="68" t="e">
        <f>ROUND(COM!J285,1)</f>
        <v>#REF!</v>
      </c>
      <c r="O285" s="68" t="e">
        <f>ROUND(COM!K285,1)</f>
        <v>#REF!</v>
      </c>
      <c r="P285" s="68" t="e">
        <f>ROUND(COM!L285,1)</f>
        <v>#REF!</v>
      </c>
      <c r="Q285" s="68" t="e">
        <f>ROUND(COM!M285,1)</f>
        <v>#REF!</v>
      </c>
      <c r="R285" s="68" t="e">
        <f>ROUND(COM!N285,1)</f>
        <v>#REF!</v>
      </c>
      <c r="S285" s="68" t="e">
        <f>ROUND(COM!O285,1)</f>
        <v>#REF!</v>
      </c>
      <c r="T285" s="68" t="e">
        <f>ROUND(COM!P285,1)</f>
        <v>#REF!</v>
      </c>
      <c r="U285" s="68" t="e">
        <f>ROUND(COM!Q285,1)</f>
        <v>#REF!</v>
      </c>
      <c r="V285" s="68" t="e">
        <f>ROUND(COM!R285,1)</f>
        <v>#REF!</v>
      </c>
      <c r="W285" s="68" t="e">
        <f>ROUND(COM!S285,1)</f>
        <v>#REF!</v>
      </c>
      <c r="X285" s="111" t="e">
        <f t="shared" si="22"/>
        <v>#REF!</v>
      </c>
    </row>
    <row r="286" spans="1:24" ht="37.5" x14ac:dyDescent="0.25">
      <c r="A286" s="4">
        <v>311</v>
      </c>
      <c r="B286" s="53">
        <v>43</v>
      </c>
      <c r="C286" s="53">
        <v>930</v>
      </c>
      <c r="D286" s="7">
        <v>70499</v>
      </c>
      <c r="E286" s="20" t="s">
        <v>172</v>
      </c>
      <c r="F286" s="72" t="s">
        <v>257</v>
      </c>
      <c r="G286" s="39"/>
      <c r="H286" s="39"/>
      <c r="I286" s="39"/>
      <c r="J286" s="39"/>
      <c r="K286" s="39"/>
      <c r="L286" s="68" t="e">
        <f>ROUND(COM!H286,1)</f>
        <v>#REF!</v>
      </c>
      <c r="M286" s="68" t="e">
        <f>ROUND(COM!I286,1)</f>
        <v>#REF!</v>
      </c>
      <c r="N286" s="68" t="e">
        <f>ROUND(COM!J286,1)</f>
        <v>#REF!</v>
      </c>
      <c r="O286" s="68" t="e">
        <f>ROUND(COM!K286,1)</f>
        <v>#REF!</v>
      </c>
      <c r="P286" s="68" t="e">
        <f>ROUND(COM!L286,1)</f>
        <v>#REF!</v>
      </c>
      <c r="Q286" s="68" t="e">
        <f>ROUND(COM!M286,1)</f>
        <v>#REF!</v>
      </c>
      <c r="R286" s="68" t="e">
        <f>ROUND(COM!N286,1)</f>
        <v>#REF!</v>
      </c>
      <c r="S286" s="68" t="e">
        <f>ROUND(COM!O286,1)</f>
        <v>#REF!</v>
      </c>
      <c r="T286" s="68" t="e">
        <f>ROUND(COM!P286,1)</f>
        <v>#REF!</v>
      </c>
      <c r="U286" s="68" t="e">
        <f>ROUND(COM!Q286,1)</f>
        <v>#REF!</v>
      </c>
      <c r="V286" s="68" t="e">
        <f>ROUND(COM!R286,1)</f>
        <v>#REF!</v>
      </c>
      <c r="W286" s="68" t="e">
        <f>ROUND(COM!S286,1)</f>
        <v>#REF!</v>
      </c>
      <c r="X286" s="111" t="e">
        <f t="shared" si="22"/>
        <v>#REF!</v>
      </c>
    </row>
    <row r="287" spans="1:24" ht="18.75" x14ac:dyDescent="0.25">
      <c r="A287" s="4">
        <v>311</v>
      </c>
      <c r="B287" s="53">
        <v>43</v>
      </c>
      <c r="C287" s="53">
        <v>910</v>
      </c>
      <c r="D287" s="53">
        <v>70499</v>
      </c>
      <c r="E287" s="48"/>
      <c r="F287" s="72" t="s">
        <v>258</v>
      </c>
      <c r="G287" s="39"/>
      <c r="H287" s="39"/>
      <c r="I287" s="39"/>
      <c r="J287" s="39"/>
      <c r="K287" s="39"/>
      <c r="L287" s="68" t="e">
        <f>ROUND(COM!H287,1)</f>
        <v>#REF!</v>
      </c>
      <c r="M287" s="68" t="e">
        <f>ROUND(COM!I287,1)</f>
        <v>#REF!</v>
      </c>
      <c r="N287" s="68" t="e">
        <f>ROUND(COM!J287,1)</f>
        <v>#REF!</v>
      </c>
      <c r="O287" s="68" t="e">
        <f>ROUND(COM!K287,1)</f>
        <v>#REF!</v>
      </c>
      <c r="P287" s="68" t="e">
        <f>ROUND(COM!L287,1)</f>
        <v>#REF!</v>
      </c>
      <c r="Q287" s="68" t="e">
        <f>ROUND(COM!M287,1)</f>
        <v>#REF!</v>
      </c>
      <c r="R287" s="68" t="e">
        <f>ROUND(COM!N287,1)</f>
        <v>#REF!</v>
      </c>
      <c r="S287" s="68" t="e">
        <f>ROUND(COM!O287,1)</f>
        <v>#REF!</v>
      </c>
      <c r="T287" s="68" t="e">
        <f>ROUND(COM!P287,1)</f>
        <v>#REF!</v>
      </c>
      <c r="U287" s="68" t="e">
        <f>ROUND(COM!Q287,1)</f>
        <v>#REF!</v>
      </c>
      <c r="V287" s="68" t="e">
        <f>ROUND(COM!R287,1)</f>
        <v>#REF!</v>
      </c>
      <c r="W287" s="68" t="e">
        <f>ROUND(COM!S287,1)</f>
        <v>#REF!</v>
      </c>
      <c r="X287" s="111" t="e">
        <f t="shared" si="22"/>
        <v>#REF!</v>
      </c>
    </row>
    <row r="288" spans="1:24" ht="18.75" x14ac:dyDescent="0.25">
      <c r="A288" s="4">
        <v>311</v>
      </c>
      <c r="B288" s="53">
        <v>43</v>
      </c>
      <c r="C288" s="53">
        <v>930</v>
      </c>
      <c r="D288" s="53">
        <v>70499</v>
      </c>
      <c r="E288" s="48" t="s">
        <v>168</v>
      </c>
      <c r="F288" s="72" t="s">
        <v>259</v>
      </c>
      <c r="G288" s="39"/>
      <c r="H288" s="39"/>
      <c r="I288" s="39"/>
      <c r="J288" s="39"/>
      <c r="K288" s="39"/>
      <c r="L288" s="68" t="e">
        <f>ROUND(COM!H288,1)</f>
        <v>#REF!</v>
      </c>
      <c r="M288" s="68" t="e">
        <f>ROUND(COM!I288,1)</f>
        <v>#REF!</v>
      </c>
      <c r="N288" s="68" t="e">
        <f>ROUND(COM!J288,1)</f>
        <v>#REF!</v>
      </c>
      <c r="O288" s="68" t="e">
        <f>ROUND(COM!K288,1)</f>
        <v>#REF!</v>
      </c>
      <c r="P288" s="68" t="e">
        <f>ROUND(COM!L288,1)</f>
        <v>#REF!</v>
      </c>
      <c r="Q288" s="68" t="e">
        <f>ROUND(COM!M288,1)</f>
        <v>#REF!</v>
      </c>
      <c r="R288" s="68" t="e">
        <f>ROUND(COM!N288,1)</f>
        <v>#REF!</v>
      </c>
      <c r="S288" s="68" t="e">
        <f>ROUND(COM!O288,1)</f>
        <v>#REF!</v>
      </c>
      <c r="T288" s="68" t="e">
        <f>ROUND(COM!P288,1)</f>
        <v>#REF!</v>
      </c>
      <c r="U288" s="68" t="e">
        <f>ROUND(COM!Q288,1)</f>
        <v>#REF!</v>
      </c>
      <c r="V288" s="68" t="e">
        <f>ROUND(COM!R288,1)</f>
        <v>#REF!</v>
      </c>
      <c r="W288" s="68" t="e">
        <f>ROUND(COM!S288,1)</f>
        <v>#REF!</v>
      </c>
      <c r="X288" s="111" t="e">
        <f t="shared" si="22"/>
        <v>#REF!</v>
      </c>
    </row>
    <row r="289" spans="1:24" ht="37.5" x14ac:dyDescent="0.25">
      <c r="A289" s="4">
        <v>311</v>
      </c>
      <c r="B289" s="53">
        <v>43</v>
      </c>
      <c r="C289" s="53">
        <v>910</v>
      </c>
      <c r="D289" s="53">
        <v>70499</v>
      </c>
      <c r="E289" s="48"/>
      <c r="F289" s="39" t="s">
        <v>260</v>
      </c>
      <c r="G289" s="39"/>
      <c r="H289" s="39"/>
      <c r="I289" s="39"/>
      <c r="J289" s="39"/>
      <c r="K289" s="39"/>
      <c r="L289" s="68" t="e">
        <f>ROUND(COM!H289,1)</f>
        <v>#REF!</v>
      </c>
      <c r="M289" s="68" t="e">
        <f>ROUND(COM!I289,1)</f>
        <v>#REF!</v>
      </c>
      <c r="N289" s="68" t="e">
        <f>ROUND(COM!J289,1)</f>
        <v>#REF!</v>
      </c>
      <c r="O289" s="68" t="e">
        <f>ROUND(COM!K289,1)</f>
        <v>#REF!</v>
      </c>
      <c r="P289" s="68" t="e">
        <f>ROUND(COM!L289,1)</f>
        <v>#REF!</v>
      </c>
      <c r="Q289" s="68" t="e">
        <f>ROUND(COM!M289,1)</f>
        <v>#REF!</v>
      </c>
      <c r="R289" s="68" t="e">
        <f>ROUND(COM!N289,1)</f>
        <v>#REF!</v>
      </c>
      <c r="S289" s="68" t="e">
        <f>ROUND(COM!O289,1)</f>
        <v>#REF!</v>
      </c>
      <c r="T289" s="68" t="e">
        <f>ROUND(COM!P289,1)</f>
        <v>#REF!</v>
      </c>
      <c r="U289" s="68" t="e">
        <f>ROUND(COM!Q289,1)</f>
        <v>#REF!</v>
      </c>
      <c r="V289" s="68" t="e">
        <f>ROUND(COM!R289,1)</f>
        <v>#REF!</v>
      </c>
      <c r="W289" s="68" t="e">
        <f>ROUND(COM!S289,1)</f>
        <v>#REF!</v>
      </c>
      <c r="X289" s="111" t="e">
        <f t="shared" si="22"/>
        <v>#REF!</v>
      </c>
    </row>
    <row r="290" spans="1:24" ht="37.5" x14ac:dyDescent="0.25">
      <c r="A290" s="10">
        <v>311</v>
      </c>
      <c r="B290" s="11">
        <v>43</v>
      </c>
      <c r="C290" s="11">
        <v>920</v>
      </c>
      <c r="D290" s="11">
        <v>70499</v>
      </c>
      <c r="E290" s="22" t="s">
        <v>168</v>
      </c>
      <c r="F290" s="43" t="s">
        <v>261</v>
      </c>
      <c r="G290" s="43"/>
      <c r="H290" s="43"/>
      <c r="I290" s="43"/>
      <c r="J290" s="43"/>
      <c r="K290" s="43"/>
      <c r="L290" s="68" t="e">
        <f>ROUND(COM!H290,1)</f>
        <v>#REF!</v>
      </c>
      <c r="M290" s="68" t="e">
        <f>ROUND(COM!I290,1)</f>
        <v>#REF!</v>
      </c>
      <c r="N290" s="68" t="e">
        <f>ROUND(COM!J290,1)</f>
        <v>#REF!</v>
      </c>
      <c r="O290" s="68" t="e">
        <f>ROUND(COM!K290,1)</f>
        <v>#REF!</v>
      </c>
      <c r="P290" s="68" t="e">
        <f>ROUND(COM!L290,1)</f>
        <v>#REF!</v>
      </c>
      <c r="Q290" s="68" t="e">
        <f>ROUND(COM!M290,1)</f>
        <v>#REF!</v>
      </c>
      <c r="R290" s="68" t="e">
        <f>ROUND(COM!N290,1)</f>
        <v>#REF!</v>
      </c>
      <c r="S290" s="68" t="e">
        <f>ROUND(COM!O290,1)</f>
        <v>#REF!</v>
      </c>
      <c r="T290" s="68" t="e">
        <f>ROUND(COM!P290,1)</f>
        <v>#REF!</v>
      </c>
      <c r="U290" s="68" t="e">
        <f>ROUND(COM!Q290,1)</f>
        <v>#REF!</v>
      </c>
      <c r="V290" s="68" t="e">
        <f>ROUND(COM!R290,1)</f>
        <v>#REF!</v>
      </c>
      <c r="W290" s="68" t="e">
        <f>ROUND(COM!S290,1)</f>
        <v>#REF!</v>
      </c>
      <c r="X290" s="111" t="e">
        <f t="shared" si="22"/>
        <v>#REF!</v>
      </c>
    </row>
    <row r="291" spans="1:24" ht="37.5" x14ac:dyDescent="0.25">
      <c r="A291" s="10">
        <v>311</v>
      </c>
      <c r="B291" s="11">
        <v>43</v>
      </c>
      <c r="C291" s="11">
        <v>920</v>
      </c>
      <c r="D291" s="11">
        <v>70499</v>
      </c>
      <c r="E291" s="22" t="s">
        <v>168</v>
      </c>
      <c r="F291" s="43" t="s">
        <v>69</v>
      </c>
      <c r="G291" s="43"/>
      <c r="H291" s="43"/>
      <c r="I291" s="43"/>
      <c r="J291" s="43"/>
      <c r="K291" s="43"/>
      <c r="L291" s="68" t="e">
        <f>ROUND(COM!H291,1)</f>
        <v>#REF!</v>
      </c>
      <c r="M291" s="68" t="e">
        <f>ROUND(COM!I291,1)</f>
        <v>#REF!</v>
      </c>
      <c r="N291" s="68" t="e">
        <f>ROUND(COM!J291,1)</f>
        <v>#REF!</v>
      </c>
      <c r="O291" s="68" t="e">
        <f>ROUND(COM!K291,1)</f>
        <v>#REF!</v>
      </c>
      <c r="P291" s="68" t="e">
        <f>ROUND(COM!L291,1)</f>
        <v>#REF!</v>
      </c>
      <c r="Q291" s="68" t="e">
        <f>ROUND(COM!M291,1)</f>
        <v>#REF!</v>
      </c>
      <c r="R291" s="68" t="e">
        <f>ROUND(COM!N291,1)</f>
        <v>#REF!</v>
      </c>
      <c r="S291" s="68" t="e">
        <f>ROUND(COM!O291,1)</f>
        <v>#REF!</v>
      </c>
      <c r="T291" s="68" t="e">
        <f>ROUND(COM!P291,1)</f>
        <v>#REF!</v>
      </c>
      <c r="U291" s="68" t="e">
        <f>ROUND(COM!Q291,1)</f>
        <v>#REF!</v>
      </c>
      <c r="V291" s="68" t="e">
        <f>ROUND(COM!R291,1)</f>
        <v>#REF!</v>
      </c>
      <c r="W291" s="68" t="e">
        <f>ROUND(COM!S291,1)</f>
        <v>#REF!</v>
      </c>
      <c r="X291" s="111" t="e">
        <f t="shared" si="22"/>
        <v>#REF!</v>
      </c>
    </row>
    <row r="292" spans="1:24" ht="37.5" x14ac:dyDescent="0.25">
      <c r="A292" s="10">
        <v>311</v>
      </c>
      <c r="B292" s="11">
        <v>43</v>
      </c>
      <c r="C292" s="11">
        <v>910</v>
      </c>
      <c r="D292" s="11">
        <v>70499</v>
      </c>
      <c r="E292" s="22"/>
      <c r="F292" s="43" t="s">
        <v>70</v>
      </c>
      <c r="G292" s="43"/>
      <c r="H292" s="43"/>
      <c r="I292" s="43"/>
      <c r="J292" s="43"/>
      <c r="K292" s="43"/>
      <c r="L292" s="68" t="e">
        <f>ROUND(COM!H292,1)</f>
        <v>#REF!</v>
      </c>
      <c r="M292" s="68" t="e">
        <f>ROUND(COM!I292,1)</f>
        <v>#REF!</v>
      </c>
      <c r="N292" s="68" t="e">
        <f>ROUND(COM!J292,1)</f>
        <v>#REF!</v>
      </c>
      <c r="O292" s="68" t="e">
        <f>ROUND(COM!K292,1)</f>
        <v>#REF!</v>
      </c>
      <c r="P292" s="68" t="e">
        <f>ROUND(COM!L292,1)</f>
        <v>#REF!</v>
      </c>
      <c r="Q292" s="68" t="e">
        <f>ROUND(COM!M292,1)</f>
        <v>#REF!</v>
      </c>
      <c r="R292" s="68" t="e">
        <f>ROUND(COM!N292,1)</f>
        <v>#REF!</v>
      </c>
      <c r="S292" s="68" t="e">
        <f>ROUND(COM!O292,1)</f>
        <v>#REF!</v>
      </c>
      <c r="T292" s="68" t="e">
        <f>ROUND(COM!P292,1)</f>
        <v>#REF!</v>
      </c>
      <c r="U292" s="68" t="e">
        <f>ROUND(COM!Q292,1)</f>
        <v>#REF!</v>
      </c>
      <c r="V292" s="68" t="e">
        <f>ROUND(COM!R292,1)</f>
        <v>#REF!</v>
      </c>
      <c r="W292" s="68" t="e">
        <f>ROUND(COM!S292,1)</f>
        <v>#REF!</v>
      </c>
      <c r="X292" s="111" t="e">
        <f t="shared" si="22"/>
        <v>#REF!</v>
      </c>
    </row>
    <row r="293" spans="1:24" ht="37.5" x14ac:dyDescent="0.25">
      <c r="A293" s="10">
        <v>311</v>
      </c>
      <c r="B293" s="11">
        <v>43</v>
      </c>
      <c r="C293" s="11">
        <v>920</v>
      </c>
      <c r="D293" s="11">
        <v>70499</v>
      </c>
      <c r="E293" s="22" t="s">
        <v>176</v>
      </c>
      <c r="F293" s="43" t="s">
        <v>71</v>
      </c>
      <c r="G293" s="43"/>
      <c r="H293" s="43"/>
      <c r="I293" s="43"/>
      <c r="J293" s="43"/>
      <c r="K293" s="43"/>
      <c r="L293" s="68" t="e">
        <f>ROUND(COM!H293,1)</f>
        <v>#REF!</v>
      </c>
      <c r="M293" s="68" t="e">
        <f>ROUND(COM!I293,1)</f>
        <v>#REF!</v>
      </c>
      <c r="N293" s="68" t="e">
        <f>ROUND(COM!J293,1)</f>
        <v>#REF!</v>
      </c>
      <c r="O293" s="68" t="e">
        <f>ROUND(COM!K293,1)</f>
        <v>#REF!</v>
      </c>
      <c r="P293" s="68" t="e">
        <f>ROUND(COM!L293,1)</f>
        <v>#REF!</v>
      </c>
      <c r="Q293" s="68" t="e">
        <f>ROUND(COM!M293,1)</f>
        <v>#REF!</v>
      </c>
      <c r="R293" s="68" t="e">
        <f>ROUND(COM!N293,1)</f>
        <v>#REF!</v>
      </c>
      <c r="S293" s="68" t="e">
        <f>ROUND(COM!O293,1)</f>
        <v>#REF!</v>
      </c>
      <c r="T293" s="68" t="e">
        <f>ROUND(COM!P293,1)</f>
        <v>#REF!</v>
      </c>
      <c r="U293" s="68" t="e">
        <f>ROUND(COM!Q293,1)</f>
        <v>#REF!</v>
      </c>
      <c r="V293" s="68" t="e">
        <f>ROUND(COM!R293,1)</f>
        <v>#REF!</v>
      </c>
      <c r="W293" s="68" t="e">
        <f>ROUND(COM!S293,1)</f>
        <v>#REF!</v>
      </c>
      <c r="X293" s="111" t="e">
        <f t="shared" si="22"/>
        <v>#REF!</v>
      </c>
    </row>
    <row r="294" spans="1:24" ht="37.5" x14ac:dyDescent="0.25">
      <c r="A294" s="10">
        <v>321</v>
      </c>
      <c r="B294" s="11">
        <v>43</v>
      </c>
      <c r="C294" s="11">
        <v>930</v>
      </c>
      <c r="D294" s="11">
        <v>70499</v>
      </c>
      <c r="E294" s="22" t="s">
        <v>176</v>
      </c>
      <c r="F294" s="43" t="s">
        <v>72</v>
      </c>
      <c r="G294" s="43"/>
      <c r="H294" s="43"/>
      <c r="I294" s="43"/>
      <c r="J294" s="43"/>
      <c r="K294" s="43"/>
      <c r="L294" s="68" t="e">
        <f>ROUND(COM!H294,1)</f>
        <v>#REF!</v>
      </c>
      <c r="M294" s="68" t="e">
        <f>ROUND(COM!I294,1)</f>
        <v>#REF!</v>
      </c>
      <c r="N294" s="68" t="e">
        <f>ROUND(COM!J294,1)</f>
        <v>#REF!</v>
      </c>
      <c r="O294" s="68" t="e">
        <f>ROUND(COM!K294,1)</f>
        <v>#REF!</v>
      </c>
      <c r="P294" s="68" t="e">
        <f>ROUND(COM!L294,1)</f>
        <v>#REF!</v>
      </c>
      <c r="Q294" s="68" t="e">
        <f>ROUND(COM!M294,1)</f>
        <v>#REF!</v>
      </c>
      <c r="R294" s="68" t="e">
        <f>ROUND(COM!N294,1)</f>
        <v>#REF!</v>
      </c>
      <c r="S294" s="68" t="e">
        <f>ROUND(COM!O294,1)</f>
        <v>#REF!</v>
      </c>
      <c r="T294" s="68" t="e">
        <f>ROUND(COM!P294,1)</f>
        <v>#REF!</v>
      </c>
      <c r="U294" s="68" t="e">
        <f>ROUND(COM!Q294,1)</f>
        <v>#REF!</v>
      </c>
      <c r="V294" s="68" t="e">
        <f>ROUND(COM!R294,1)</f>
        <v>#REF!</v>
      </c>
      <c r="W294" s="68" t="e">
        <f>ROUND(COM!S294,1)</f>
        <v>#REF!</v>
      </c>
      <c r="X294" s="111" t="e">
        <f t="shared" si="22"/>
        <v>#REF!</v>
      </c>
    </row>
    <row r="295" spans="1:24" ht="18.75" x14ac:dyDescent="0.25">
      <c r="A295" s="10">
        <v>311</v>
      </c>
      <c r="B295" s="11">
        <v>43</v>
      </c>
      <c r="C295" s="11">
        <v>910</v>
      </c>
      <c r="D295" s="11">
        <v>70499</v>
      </c>
      <c r="E295" s="22"/>
      <c r="F295" s="70" t="s">
        <v>73</v>
      </c>
      <c r="G295" s="43"/>
      <c r="H295" s="43"/>
      <c r="I295" s="43"/>
      <c r="J295" s="43"/>
      <c r="K295" s="43"/>
      <c r="L295" s="68" t="e">
        <f>ROUND(COM!H295,1)</f>
        <v>#REF!</v>
      </c>
      <c r="M295" s="68" t="e">
        <f>ROUND(COM!I295,1)</f>
        <v>#REF!</v>
      </c>
      <c r="N295" s="68" t="e">
        <f>ROUND(COM!J295,1)</f>
        <v>#REF!</v>
      </c>
      <c r="O295" s="68" t="e">
        <f>ROUND(COM!K295,1)</f>
        <v>#REF!</v>
      </c>
      <c r="P295" s="68" t="e">
        <f>ROUND(COM!L295,1)</f>
        <v>#REF!</v>
      </c>
      <c r="Q295" s="68" t="e">
        <f>ROUND(COM!M295,1)</f>
        <v>#REF!</v>
      </c>
      <c r="R295" s="68" t="e">
        <f>ROUND(COM!N295,1)</f>
        <v>#REF!</v>
      </c>
      <c r="S295" s="68" t="e">
        <f>ROUND(COM!O295,1)</f>
        <v>#REF!</v>
      </c>
      <c r="T295" s="68" t="e">
        <f>ROUND(COM!P295,1)</f>
        <v>#REF!</v>
      </c>
      <c r="U295" s="68" t="e">
        <f>ROUND(COM!Q295,1)</f>
        <v>#REF!</v>
      </c>
      <c r="V295" s="68" t="e">
        <f>ROUND(COM!R295,1)</f>
        <v>#REF!</v>
      </c>
      <c r="W295" s="68" t="e">
        <f>ROUND(COM!S295,1)</f>
        <v>#REF!</v>
      </c>
      <c r="X295" s="111" t="e">
        <f t="shared" si="22"/>
        <v>#REF!</v>
      </c>
    </row>
    <row r="296" spans="1:24" ht="18.75" x14ac:dyDescent="0.25">
      <c r="A296" s="10">
        <v>311</v>
      </c>
      <c r="B296" s="11">
        <v>43</v>
      </c>
      <c r="C296" s="11">
        <v>920</v>
      </c>
      <c r="D296" s="11">
        <v>70499</v>
      </c>
      <c r="E296" s="22" t="s">
        <v>173</v>
      </c>
      <c r="F296" s="70" t="s">
        <v>74</v>
      </c>
      <c r="G296" s="43"/>
      <c r="H296" s="43"/>
      <c r="I296" s="43"/>
      <c r="J296" s="43"/>
      <c r="K296" s="43"/>
      <c r="L296" s="68" t="e">
        <f>ROUND(COM!H296,1)</f>
        <v>#REF!</v>
      </c>
      <c r="M296" s="68" t="e">
        <f>ROUND(COM!I296,1)</f>
        <v>#REF!</v>
      </c>
      <c r="N296" s="68" t="e">
        <f>ROUND(COM!J296,1)</f>
        <v>#REF!</v>
      </c>
      <c r="O296" s="68" t="e">
        <f>ROUND(COM!K296,1)</f>
        <v>#REF!</v>
      </c>
      <c r="P296" s="68" t="e">
        <f>ROUND(COM!L296,1)</f>
        <v>#REF!</v>
      </c>
      <c r="Q296" s="68" t="e">
        <f>ROUND(COM!M296,1)</f>
        <v>#REF!</v>
      </c>
      <c r="R296" s="68" t="e">
        <f>ROUND(COM!N296,1)</f>
        <v>#REF!</v>
      </c>
      <c r="S296" s="68" t="e">
        <f>ROUND(COM!O296,1)</f>
        <v>#REF!</v>
      </c>
      <c r="T296" s="68" t="e">
        <f>ROUND(COM!P296,1)</f>
        <v>#REF!</v>
      </c>
      <c r="U296" s="68" t="e">
        <f>ROUND(COM!Q296,1)</f>
        <v>#REF!</v>
      </c>
      <c r="V296" s="68" t="e">
        <f>ROUND(COM!R296,1)</f>
        <v>#REF!</v>
      </c>
      <c r="W296" s="68" t="e">
        <f>ROUND(COM!S296,1)</f>
        <v>#REF!</v>
      </c>
      <c r="X296" s="111" t="e">
        <f t="shared" si="22"/>
        <v>#REF!</v>
      </c>
    </row>
    <row r="297" spans="1:24" ht="18.75" x14ac:dyDescent="0.25">
      <c r="A297" s="10">
        <v>321</v>
      </c>
      <c r="B297" s="11">
        <v>43</v>
      </c>
      <c r="C297" s="11">
        <v>930</v>
      </c>
      <c r="D297" s="11">
        <v>70499</v>
      </c>
      <c r="E297" s="22" t="s">
        <v>173</v>
      </c>
      <c r="F297" s="70" t="s">
        <v>75</v>
      </c>
      <c r="G297" s="43"/>
      <c r="H297" s="43"/>
      <c r="I297" s="43"/>
      <c r="J297" s="43"/>
      <c r="K297" s="43"/>
      <c r="L297" s="68" t="e">
        <f>ROUND(COM!H297,1)</f>
        <v>#REF!</v>
      </c>
      <c r="M297" s="68" t="e">
        <f>ROUND(COM!I297,1)</f>
        <v>#REF!</v>
      </c>
      <c r="N297" s="68" t="e">
        <f>ROUND(COM!J297,1)</f>
        <v>#REF!</v>
      </c>
      <c r="O297" s="68" t="e">
        <f>ROUND(COM!K297,1)</f>
        <v>#REF!</v>
      </c>
      <c r="P297" s="68" t="e">
        <f>ROUND(COM!L297,1)</f>
        <v>#REF!</v>
      </c>
      <c r="Q297" s="68" t="e">
        <f>ROUND(COM!M297,1)</f>
        <v>#REF!</v>
      </c>
      <c r="R297" s="68" t="e">
        <f>ROUND(COM!N297,1)</f>
        <v>#REF!</v>
      </c>
      <c r="S297" s="68" t="e">
        <f>ROUND(COM!O297,1)</f>
        <v>#REF!</v>
      </c>
      <c r="T297" s="68" t="e">
        <f>ROUND(COM!P297,1)</f>
        <v>#REF!</v>
      </c>
      <c r="U297" s="68" t="e">
        <f>ROUND(COM!Q297,1)</f>
        <v>#REF!</v>
      </c>
      <c r="V297" s="68" t="e">
        <f>ROUND(COM!R297,1)</f>
        <v>#REF!</v>
      </c>
      <c r="W297" s="68" t="e">
        <f>ROUND(COM!S297,1)</f>
        <v>#REF!</v>
      </c>
      <c r="X297" s="111" t="e">
        <f t="shared" si="22"/>
        <v>#REF!</v>
      </c>
    </row>
    <row r="298" spans="1:24" ht="37.5" x14ac:dyDescent="0.25">
      <c r="A298" s="10">
        <v>311</v>
      </c>
      <c r="B298" s="11">
        <v>43</v>
      </c>
      <c r="C298" s="11">
        <v>920</v>
      </c>
      <c r="D298" s="11">
        <v>70499</v>
      </c>
      <c r="E298" s="22" t="s">
        <v>176</v>
      </c>
      <c r="F298" s="43" t="s">
        <v>76</v>
      </c>
      <c r="G298" s="43"/>
      <c r="H298" s="43"/>
      <c r="I298" s="43"/>
      <c r="J298" s="43"/>
      <c r="K298" s="43"/>
      <c r="L298" s="68" t="e">
        <f>ROUND(COM!H298,1)</f>
        <v>#REF!</v>
      </c>
      <c r="M298" s="68" t="e">
        <f>ROUND(COM!I298,1)</f>
        <v>#REF!</v>
      </c>
      <c r="N298" s="68" t="e">
        <f>ROUND(COM!J298,1)</f>
        <v>#REF!</v>
      </c>
      <c r="O298" s="68" t="e">
        <f>ROUND(COM!K298,1)</f>
        <v>#REF!</v>
      </c>
      <c r="P298" s="68" t="e">
        <f>ROUND(COM!L298,1)</f>
        <v>#REF!</v>
      </c>
      <c r="Q298" s="68" t="e">
        <f>ROUND(COM!M298,1)</f>
        <v>#REF!</v>
      </c>
      <c r="R298" s="68" t="e">
        <f>ROUND(COM!N298,1)</f>
        <v>#REF!</v>
      </c>
      <c r="S298" s="68" t="e">
        <f>ROUND(COM!O298,1)</f>
        <v>#REF!</v>
      </c>
      <c r="T298" s="68" t="e">
        <f>ROUND(COM!P298,1)</f>
        <v>#REF!</v>
      </c>
      <c r="U298" s="68" t="e">
        <f>ROUND(COM!Q298,1)</f>
        <v>#REF!</v>
      </c>
      <c r="V298" s="68" t="e">
        <f>ROUND(COM!R298,1)</f>
        <v>#REF!</v>
      </c>
      <c r="W298" s="68" t="e">
        <f>ROUND(COM!S298,1)</f>
        <v>#REF!</v>
      </c>
      <c r="X298" s="111" t="e">
        <f t="shared" si="22"/>
        <v>#REF!</v>
      </c>
    </row>
    <row r="299" spans="1:24" ht="37.5" x14ac:dyDescent="0.25">
      <c r="A299" s="10">
        <v>321</v>
      </c>
      <c r="B299" s="11">
        <v>43</v>
      </c>
      <c r="C299" s="11">
        <v>930</v>
      </c>
      <c r="D299" s="11">
        <v>70499</v>
      </c>
      <c r="E299" s="22" t="s">
        <v>176</v>
      </c>
      <c r="F299" s="43" t="s">
        <v>77</v>
      </c>
      <c r="G299" s="43"/>
      <c r="H299" s="43"/>
      <c r="I299" s="43"/>
      <c r="J299" s="43"/>
      <c r="K299" s="43"/>
      <c r="L299" s="68" t="e">
        <f>ROUND(COM!H299,1)</f>
        <v>#REF!</v>
      </c>
      <c r="M299" s="68" t="e">
        <f>ROUND(COM!I299,1)</f>
        <v>#REF!</v>
      </c>
      <c r="N299" s="68" t="e">
        <f>ROUND(COM!J299,1)</f>
        <v>#REF!</v>
      </c>
      <c r="O299" s="68" t="e">
        <f>ROUND(COM!K299,1)</f>
        <v>#REF!</v>
      </c>
      <c r="P299" s="68" t="e">
        <f>ROUND(COM!L299,1)</f>
        <v>#REF!</v>
      </c>
      <c r="Q299" s="68" t="e">
        <f>ROUND(COM!M299,1)</f>
        <v>#REF!</v>
      </c>
      <c r="R299" s="68" t="e">
        <f>ROUND(COM!N299,1)</f>
        <v>#REF!</v>
      </c>
      <c r="S299" s="68" t="e">
        <f>ROUND(COM!O299,1)</f>
        <v>#REF!</v>
      </c>
      <c r="T299" s="68" t="e">
        <f>ROUND(COM!P299,1)</f>
        <v>#REF!</v>
      </c>
      <c r="U299" s="68" t="e">
        <f>ROUND(COM!Q299,1)</f>
        <v>#REF!</v>
      </c>
      <c r="V299" s="68" t="e">
        <f>ROUND(COM!R299,1)</f>
        <v>#REF!</v>
      </c>
      <c r="W299" s="68" t="e">
        <f>ROUND(COM!S299,1)</f>
        <v>#REF!</v>
      </c>
      <c r="X299" s="111" t="e">
        <f t="shared" si="22"/>
        <v>#REF!</v>
      </c>
    </row>
    <row r="300" spans="1:24" ht="18.75" x14ac:dyDescent="0.25">
      <c r="A300" s="10"/>
      <c r="B300" s="11"/>
      <c r="C300" s="11"/>
      <c r="D300" s="11"/>
      <c r="E300" s="22"/>
      <c r="F300" s="43"/>
      <c r="G300" s="43"/>
      <c r="H300" s="43"/>
      <c r="I300" s="43"/>
      <c r="J300" s="43"/>
      <c r="K300" s="43"/>
      <c r="L300" s="68"/>
      <c r="M300" s="101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111"/>
    </row>
    <row r="301" spans="1:24" ht="18.75" x14ac:dyDescent="0.25">
      <c r="A301" s="10"/>
      <c r="B301" s="11"/>
      <c r="C301" s="11"/>
      <c r="D301" s="11"/>
      <c r="E301" s="22"/>
      <c r="F301" s="43"/>
      <c r="G301" s="43"/>
      <c r="H301" s="43"/>
      <c r="I301" s="43"/>
      <c r="J301" s="43"/>
      <c r="K301" s="43"/>
      <c r="L301" s="68"/>
      <c r="M301" s="101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111"/>
    </row>
    <row r="302" spans="1:24" ht="18.75" x14ac:dyDescent="0.25">
      <c r="A302" s="10"/>
      <c r="B302" s="11"/>
      <c r="C302" s="11"/>
      <c r="D302" s="11"/>
      <c r="E302" s="22"/>
      <c r="F302" s="43"/>
      <c r="G302" s="43"/>
      <c r="H302" s="43"/>
      <c r="I302" s="43"/>
      <c r="J302" s="43"/>
      <c r="K302" s="43"/>
      <c r="L302" s="68"/>
      <c r="M302" s="101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111"/>
    </row>
    <row r="303" spans="1:24" ht="18.75" x14ac:dyDescent="0.25">
      <c r="A303" s="10"/>
      <c r="B303" s="11"/>
      <c r="C303" s="11"/>
      <c r="D303" s="11"/>
      <c r="E303" s="22"/>
      <c r="F303" s="43"/>
      <c r="G303" s="43"/>
      <c r="H303" s="43"/>
      <c r="I303" s="43"/>
      <c r="J303" s="43"/>
      <c r="K303" s="43"/>
      <c r="L303" s="68"/>
      <c r="M303" s="101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111"/>
    </row>
    <row r="304" spans="1:24" ht="18.75" x14ac:dyDescent="0.25">
      <c r="A304" s="10"/>
      <c r="B304" s="11"/>
      <c r="C304" s="11"/>
      <c r="D304" s="11"/>
      <c r="E304" s="22"/>
      <c r="F304" s="43"/>
      <c r="G304" s="43"/>
      <c r="H304" s="43"/>
      <c r="I304" s="43"/>
      <c r="J304" s="43"/>
      <c r="K304" s="43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111">
        <f t="shared" si="22"/>
        <v>0</v>
      </c>
    </row>
    <row r="305" spans="1:24" ht="37.5" x14ac:dyDescent="0.25">
      <c r="A305" s="56"/>
      <c r="B305" s="50"/>
      <c r="C305" s="50"/>
      <c r="D305" s="50"/>
      <c r="E305" s="54"/>
      <c r="F305" s="40" t="s">
        <v>434</v>
      </c>
      <c r="G305" s="40"/>
      <c r="H305" s="40"/>
      <c r="I305" s="40"/>
      <c r="J305" s="40"/>
      <c r="K305" s="40"/>
      <c r="L305" s="99" t="e">
        <f>L306</f>
        <v>#REF!</v>
      </c>
      <c r="M305" s="99" t="e">
        <f t="shared" ref="M305:V305" si="23">M306</f>
        <v>#REF!</v>
      </c>
      <c r="N305" s="99" t="e">
        <f t="shared" si="23"/>
        <v>#REF!</v>
      </c>
      <c r="O305" s="99" t="e">
        <f t="shared" si="23"/>
        <v>#REF!</v>
      </c>
      <c r="P305" s="99" t="e">
        <f t="shared" si="23"/>
        <v>#REF!</v>
      </c>
      <c r="Q305" s="99" t="e">
        <f t="shared" si="23"/>
        <v>#REF!</v>
      </c>
      <c r="R305" s="99" t="e">
        <f t="shared" si="23"/>
        <v>#REF!</v>
      </c>
      <c r="S305" s="99" t="e">
        <f t="shared" si="23"/>
        <v>#REF!</v>
      </c>
      <c r="T305" s="99" t="e">
        <f t="shared" si="23"/>
        <v>#REF!</v>
      </c>
      <c r="U305" s="99" t="e">
        <f t="shared" si="23"/>
        <v>#REF!</v>
      </c>
      <c r="V305" s="99" t="e">
        <f t="shared" si="23"/>
        <v>#REF!</v>
      </c>
      <c r="W305" s="99" t="e">
        <f>W306</f>
        <v>#REF!</v>
      </c>
      <c r="X305" s="111" t="e">
        <f t="shared" si="22"/>
        <v>#REF!</v>
      </c>
    </row>
    <row r="306" spans="1:24" ht="18.75" x14ac:dyDescent="0.25">
      <c r="A306" s="57"/>
      <c r="B306" s="51"/>
      <c r="C306" s="51"/>
      <c r="D306" s="51"/>
      <c r="E306" s="55"/>
      <c r="F306" s="37" t="s">
        <v>6</v>
      </c>
      <c r="G306" s="37"/>
      <c r="H306" s="37"/>
      <c r="I306" s="37"/>
      <c r="J306" s="37"/>
      <c r="K306" s="37"/>
      <c r="L306" s="100" t="e">
        <f>SUM(L307:L337)</f>
        <v>#REF!</v>
      </c>
      <c r="M306" s="100" t="e">
        <f t="shared" ref="M306:W306" si="24">SUM(M307:M337)</f>
        <v>#REF!</v>
      </c>
      <c r="N306" s="100" t="e">
        <f t="shared" si="24"/>
        <v>#REF!</v>
      </c>
      <c r="O306" s="100" t="e">
        <f t="shared" si="24"/>
        <v>#REF!</v>
      </c>
      <c r="P306" s="100" t="e">
        <f t="shared" si="24"/>
        <v>#REF!</v>
      </c>
      <c r="Q306" s="100" t="e">
        <f t="shared" si="24"/>
        <v>#REF!</v>
      </c>
      <c r="R306" s="100" t="e">
        <f t="shared" si="24"/>
        <v>#REF!</v>
      </c>
      <c r="S306" s="100" t="e">
        <f t="shared" si="24"/>
        <v>#REF!</v>
      </c>
      <c r="T306" s="100" t="e">
        <f t="shared" si="24"/>
        <v>#REF!</v>
      </c>
      <c r="U306" s="100" t="e">
        <f t="shared" si="24"/>
        <v>#REF!</v>
      </c>
      <c r="V306" s="100" t="e">
        <f t="shared" si="24"/>
        <v>#REF!</v>
      </c>
      <c r="W306" s="100" t="e">
        <f t="shared" si="24"/>
        <v>#REF!</v>
      </c>
      <c r="X306" s="111" t="e">
        <f t="shared" si="22"/>
        <v>#REF!</v>
      </c>
    </row>
    <row r="307" spans="1:24" ht="37.5" x14ac:dyDescent="0.25">
      <c r="A307" s="4">
        <v>311</v>
      </c>
      <c r="B307" s="52">
        <v>60</v>
      </c>
      <c r="C307" s="52">
        <v>920</v>
      </c>
      <c r="D307" s="7">
        <v>70499</v>
      </c>
      <c r="E307" s="20" t="s">
        <v>178</v>
      </c>
      <c r="F307" s="86" t="s">
        <v>110</v>
      </c>
      <c r="G307" s="38"/>
      <c r="H307" s="38"/>
      <c r="I307" s="38"/>
      <c r="J307" s="38"/>
      <c r="K307" s="38"/>
      <c r="L307" s="68" t="e">
        <f>ROUND(COM!H307,1)</f>
        <v>#REF!</v>
      </c>
      <c r="M307" s="68" t="e">
        <f>ROUND(COM!I307,1)</f>
        <v>#REF!</v>
      </c>
      <c r="N307" s="68" t="e">
        <f>ROUND(COM!J307,1)</f>
        <v>#REF!</v>
      </c>
      <c r="O307" s="68" t="e">
        <f>ROUND(COM!K307,1)</f>
        <v>#REF!</v>
      </c>
      <c r="P307" s="68" t="e">
        <f>ROUND(COM!L307,1)</f>
        <v>#REF!</v>
      </c>
      <c r="Q307" s="68" t="e">
        <f>ROUND(COM!M307,1)</f>
        <v>#REF!</v>
      </c>
      <c r="R307" s="68" t="e">
        <f>ROUND(COM!N307,1)</f>
        <v>#REF!</v>
      </c>
      <c r="S307" s="68" t="e">
        <f>ROUND(COM!O307,1)</f>
        <v>#REF!</v>
      </c>
      <c r="T307" s="68" t="e">
        <f>ROUND(COM!P307,1)</f>
        <v>#REF!</v>
      </c>
      <c r="U307" s="68" t="e">
        <f>ROUND(COM!Q307,1)</f>
        <v>#REF!</v>
      </c>
      <c r="V307" s="68" t="e">
        <f>ROUND(COM!R307,1)</f>
        <v>#REF!</v>
      </c>
      <c r="W307" s="68" t="e">
        <f>ROUND(COM!S307,1)</f>
        <v>#REF!</v>
      </c>
      <c r="X307" s="111" t="e">
        <f t="shared" si="22"/>
        <v>#REF!</v>
      </c>
    </row>
    <row r="308" spans="1:24" ht="37.5" x14ac:dyDescent="0.25">
      <c r="A308" s="4">
        <v>321</v>
      </c>
      <c r="B308" s="52">
        <v>60</v>
      </c>
      <c r="C308" s="52">
        <v>930</v>
      </c>
      <c r="D308" s="7">
        <v>70499</v>
      </c>
      <c r="E308" s="20" t="s">
        <v>176</v>
      </c>
      <c r="F308" s="86" t="s">
        <v>111</v>
      </c>
      <c r="G308" s="38"/>
      <c r="H308" s="38"/>
      <c r="I308" s="38"/>
      <c r="J308" s="38"/>
      <c r="K308" s="38"/>
      <c r="L308" s="68" t="e">
        <f>ROUND(COM!H308,1)</f>
        <v>#REF!</v>
      </c>
      <c r="M308" s="68" t="e">
        <f>ROUND(COM!I308,1)</f>
        <v>#REF!</v>
      </c>
      <c r="N308" s="68" t="e">
        <f>ROUND(COM!J308,1)</f>
        <v>#REF!</v>
      </c>
      <c r="O308" s="68" t="e">
        <f>ROUND(COM!K308,1)</f>
        <v>#REF!</v>
      </c>
      <c r="P308" s="68" t="e">
        <f>ROUND(COM!L308,1)</f>
        <v>#REF!</v>
      </c>
      <c r="Q308" s="68" t="e">
        <f>ROUND(COM!M308,1)</f>
        <v>#REF!</v>
      </c>
      <c r="R308" s="68" t="e">
        <f>ROUND(COM!N308,1)</f>
        <v>#REF!</v>
      </c>
      <c r="S308" s="68" t="e">
        <f>ROUND(COM!O308,1)</f>
        <v>#REF!</v>
      </c>
      <c r="T308" s="68" t="e">
        <f>ROUND(COM!P308,1)</f>
        <v>#REF!</v>
      </c>
      <c r="U308" s="68" t="e">
        <f>ROUND(COM!Q308,1)</f>
        <v>#REF!</v>
      </c>
      <c r="V308" s="68" t="e">
        <f>ROUND(COM!R308,1)</f>
        <v>#REF!</v>
      </c>
      <c r="W308" s="68" t="e">
        <f>ROUND(COM!S308,1)</f>
        <v>#REF!</v>
      </c>
      <c r="X308" s="111" t="e">
        <f t="shared" si="22"/>
        <v>#REF!</v>
      </c>
    </row>
    <row r="309" spans="1:24" ht="37.5" x14ac:dyDescent="0.25">
      <c r="A309" s="4">
        <v>311</v>
      </c>
      <c r="B309" s="52">
        <v>60</v>
      </c>
      <c r="C309" s="52">
        <v>920</v>
      </c>
      <c r="D309" s="7">
        <v>70499</v>
      </c>
      <c r="E309" s="20" t="s">
        <v>178</v>
      </c>
      <c r="F309" s="86" t="s">
        <v>112</v>
      </c>
      <c r="G309" s="225" t="s">
        <v>364</v>
      </c>
      <c r="H309" s="165"/>
      <c r="I309" s="165"/>
      <c r="J309" s="165"/>
      <c r="K309" s="165"/>
      <c r="L309" s="68" t="e">
        <f>ROUND(COM!H309,1)</f>
        <v>#REF!</v>
      </c>
      <c r="M309" s="68" t="e">
        <f>ROUND(COM!I309,1)</f>
        <v>#REF!</v>
      </c>
      <c r="N309" s="68" t="e">
        <f>ROUND(COM!J309,1)</f>
        <v>#REF!</v>
      </c>
      <c r="O309" s="68" t="e">
        <f>ROUND(COM!K309,1)</f>
        <v>#REF!</v>
      </c>
      <c r="P309" s="68" t="e">
        <f>ROUND(COM!L309,1)</f>
        <v>#REF!</v>
      </c>
      <c r="Q309" s="68" t="e">
        <f>ROUND(COM!M309,1)</f>
        <v>#REF!</v>
      </c>
      <c r="R309" s="68" t="e">
        <f>ROUND(COM!N309,1)</f>
        <v>#REF!</v>
      </c>
      <c r="S309" s="68" t="e">
        <f>ROUND(COM!O309,1)</f>
        <v>#REF!</v>
      </c>
      <c r="T309" s="68" t="e">
        <f>ROUND(COM!P309,1)</f>
        <v>#REF!</v>
      </c>
      <c r="U309" s="68" t="e">
        <f>ROUND(COM!Q309,1)</f>
        <v>#REF!</v>
      </c>
      <c r="V309" s="68" t="e">
        <f>ROUND(COM!R309,1)</f>
        <v>#REF!</v>
      </c>
      <c r="W309" s="68" t="e">
        <f>ROUND(COM!S309,1)</f>
        <v>#REF!</v>
      </c>
      <c r="X309" s="111" t="e">
        <f t="shared" si="22"/>
        <v>#REF!</v>
      </c>
    </row>
    <row r="310" spans="1:24" ht="37.5" x14ac:dyDescent="0.25">
      <c r="A310" s="49">
        <v>321</v>
      </c>
      <c r="B310" s="52">
        <v>60</v>
      </c>
      <c r="C310" s="52">
        <v>930</v>
      </c>
      <c r="D310" s="53">
        <v>70499</v>
      </c>
      <c r="E310" s="48" t="s">
        <v>176</v>
      </c>
      <c r="F310" s="86" t="s">
        <v>113</v>
      </c>
      <c r="G310" s="226"/>
      <c r="H310" s="167"/>
      <c r="I310" s="167"/>
      <c r="J310" s="167"/>
      <c r="K310" s="167"/>
      <c r="L310" s="68" t="e">
        <f>ROUND(COM!H310,1)</f>
        <v>#REF!</v>
      </c>
      <c r="M310" s="68" t="e">
        <f>ROUND(COM!I310,1)</f>
        <v>#REF!</v>
      </c>
      <c r="N310" s="68" t="e">
        <f>ROUND(COM!J310,1)</f>
        <v>#REF!</v>
      </c>
      <c r="O310" s="68" t="e">
        <f>ROUND(COM!K310,1)</f>
        <v>#REF!</v>
      </c>
      <c r="P310" s="68" t="e">
        <f>ROUND(COM!L310,1)</f>
        <v>#REF!</v>
      </c>
      <c r="Q310" s="68" t="e">
        <f>ROUND(COM!M310,1)</f>
        <v>#REF!</v>
      </c>
      <c r="R310" s="68" t="e">
        <f>ROUND(COM!N310,1)</f>
        <v>#REF!</v>
      </c>
      <c r="S310" s="68" t="e">
        <f>ROUND(COM!O310,1)</f>
        <v>#REF!</v>
      </c>
      <c r="T310" s="68" t="e">
        <f>ROUND(COM!P310,1)</f>
        <v>#REF!</v>
      </c>
      <c r="U310" s="68" t="e">
        <f>ROUND(COM!Q310,1)</f>
        <v>#REF!</v>
      </c>
      <c r="V310" s="68" t="e">
        <f>ROUND(COM!R310,1)</f>
        <v>#REF!</v>
      </c>
      <c r="W310" s="68" t="e">
        <f>ROUND(COM!S310,1)</f>
        <v>#REF!</v>
      </c>
      <c r="X310" s="111" t="e">
        <f t="shared" si="22"/>
        <v>#REF!</v>
      </c>
    </row>
    <row r="311" spans="1:24" ht="37.5" x14ac:dyDescent="0.25">
      <c r="A311" s="49">
        <v>321</v>
      </c>
      <c r="B311" s="52">
        <v>60</v>
      </c>
      <c r="C311" s="52">
        <v>930</v>
      </c>
      <c r="D311" s="53">
        <v>70499</v>
      </c>
      <c r="E311" s="48" t="s">
        <v>171</v>
      </c>
      <c r="F311" s="86" t="s">
        <v>199</v>
      </c>
      <c r="G311" s="227"/>
      <c r="H311" s="166"/>
      <c r="I311" s="166"/>
      <c r="J311" s="166"/>
      <c r="K311" s="166"/>
      <c r="L311" s="68" t="e">
        <f>ROUND(COM!H311,1)</f>
        <v>#REF!</v>
      </c>
      <c r="M311" s="68" t="e">
        <f>ROUND(COM!I311,1)</f>
        <v>#REF!</v>
      </c>
      <c r="N311" s="68" t="e">
        <f>ROUND(COM!J311,1)</f>
        <v>#REF!</v>
      </c>
      <c r="O311" s="68" t="e">
        <f>ROUND(COM!K311,1)</f>
        <v>#REF!</v>
      </c>
      <c r="P311" s="68" t="e">
        <f>ROUND(COM!L311,1)</f>
        <v>#REF!</v>
      </c>
      <c r="Q311" s="68" t="e">
        <f>ROUND(COM!M311,1)</f>
        <v>#REF!</v>
      </c>
      <c r="R311" s="68" t="e">
        <f>ROUND(COM!N311,1)</f>
        <v>#REF!</v>
      </c>
      <c r="S311" s="68" t="e">
        <f>ROUND(COM!O311,1)</f>
        <v>#REF!</v>
      </c>
      <c r="T311" s="68" t="e">
        <f>ROUND(COM!P311,1)</f>
        <v>#REF!</v>
      </c>
      <c r="U311" s="68" t="e">
        <f>ROUND(COM!Q311,1)</f>
        <v>#REF!</v>
      </c>
      <c r="V311" s="68" t="e">
        <f>ROUND(COM!R311,1)</f>
        <v>#REF!</v>
      </c>
      <c r="W311" s="68" t="e">
        <f>ROUND(COM!S311,1)</f>
        <v>#REF!</v>
      </c>
      <c r="X311" s="111" t="e">
        <f t="shared" si="22"/>
        <v>#REF!</v>
      </c>
    </row>
    <row r="312" spans="1:24" ht="37.5" x14ac:dyDescent="0.25">
      <c r="A312" s="4">
        <v>311</v>
      </c>
      <c r="B312" s="52">
        <v>60</v>
      </c>
      <c r="C312" s="52">
        <v>910</v>
      </c>
      <c r="D312" s="53">
        <v>70499</v>
      </c>
      <c r="E312" s="48"/>
      <c r="F312" s="62" t="s">
        <v>117</v>
      </c>
      <c r="G312" s="225" t="s">
        <v>324</v>
      </c>
      <c r="H312" s="165"/>
      <c r="I312" s="165"/>
      <c r="J312" s="165"/>
      <c r="K312" s="165"/>
      <c r="L312" s="68" t="e">
        <f>ROUND(COM!H312,1)</f>
        <v>#REF!</v>
      </c>
      <c r="M312" s="68" t="e">
        <f>ROUND(COM!I312,1)</f>
        <v>#REF!</v>
      </c>
      <c r="N312" s="68" t="e">
        <f>ROUND(COM!J312,1)</f>
        <v>#REF!</v>
      </c>
      <c r="O312" s="68" t="e">
        <f>ROUND(COM!K312,1)</f>
        <v>#REF!</v>
      </c>
      <c r="P312" s="68" t="e">
        <f>ROUND(COM!L312,1)</f>
        <v>#REF!</v>
      </c>
      <c r="Q312" s="68" t="e">
        <f>ROUND(COM!M312,1)</f>
        <v>#REF!</v>
      </c>
      <c r="R312" s="68" t="e">
        <f>ROUND(COM!N312,1)</f>
        <v>#REF!</v>
      </c>
      <c r="S312" s="68" t="e">
        <f>ROUND(COM!O312,1)</f>
        <v>#REF!</v>
      </c>
      <c r="T312" s="68" t="e">
        <f>ROUND(COM!P312,1)</f>
        <v>#REF!</v>
      </c>
      <c r="U312" s="68" t="e">
        <f>ROUND(COM!Q312,1)</f>
        <v>#REF!</v>
      </c>
      <c r="V312" s="68" t="e">
        <f>ROUND(COM!R312,1)</f>
        <v>#REF!</v>
      </c>
      <c r="W312" s="68" t="e">
        <f>ROUND(COM!S312,1)</f>
        <v>#REF!</v>
      </c>
      <c r="X312" s="111" t="e">
        <f t="shared" si="22"/>
        <v>#REF!</v>
      </c>
    </row>
    <row r="313" spans="1:24" ht="37.5" x14ac:dyDescent="0.25">
      <c r="A313" s="4">
        <v>311</v>
      </c>
      <c r="B313" s="52">
        <v>60</v>
      </c>
      <c r="C313" s="52">
        <v>920</v>
      </c>
      <c r="D313" s="53">
        <v>70499</v>
      </c>
      <c r="E313" s="20" t="s">
        <v>173</v>
      </c>
      <c r="F313" s="84" t="s">
        <v>118</v>
      </c>
      <c r="G313" s="227"/>
      <c r="H313" s="166"/>
      <c r="I313" s="166"/>
      <c r="J313" s="166"/>
      <c r="K313" s="166"/>
      <c r="L313" s="68" t="e">
        <f>ROUND(COM!H313,1)</f>
        <v>#REF!</v>
      </c>
      <c r="M313" s="68" t="e">
        <f>ROUND(COM!I313,1)</f>
        <v>#REF!</v>
      </c>
      <c r="N313" s="68" t="e">
        <f>ROUND(COM!J313,1)</f>
        <v>#REF!</v>
      </c>
      <c r="O313" s="68" t="e">
        <f>ROUND(COM!K313,1)</f>
        <v>#REF!</v>
      </c>
      <c r="P313" s="68" t="e">
        <f>ROUND(COM!L313,1)</f>
        <v>#REF!</v>
      </c>
      <c r="Q313" s="68" t="e">
        <f>ROUND(COM!M313,1)</f>
        <v>#REF!</v>
      </c>
      <c r="R313" s="68" t="e">
        <f>ROUND(COM!N313,1)</f>
        <v>#REF!</v>
      </c>
      <c r="S313" s="68" t="e">
        <f>ROUND(COM!O313,1)</f>
        <v>#REF!</v>
      </c>
      <c r="T313" s="68" t="e">
        <f>ROUND(COM!P313,1)</f>
        <v>#REF!</v>
      </c>
      <c r="U313" s="68" t="e">
        <f>ROUND(COM!Q313,1)</f>
        <v>#REF!</v>
      </c>
      <c r="V313" s="68" t="e">
        <f>ROUND(COM!R313,1)</f>
        <v>#REF!</v>
      </c>
      <c r="W313" s="68" t="e">
        <f>ROUND(COM!S313,1)</f>
        <v>#REF!</v>
      </c>
      <c r="X313" s="111" t="e">
        <f t="shared" si="22"/>
        <v>#REF!</v>
      </c>
    </row>
    <row r="314" spans="1:24" ht="37.5" x14ac:dyDescent="0.25">
      <c r="A314" s="4">
        <v>311</v>
      </c>
      <c r="B314" s="52">
        <v>60</v>
      </c>
      <c r="C314" s="52">
        <v>910</v>
      </c>
      <c r="D314" s="53">
        <v>70499</v>
      </c>
      <c r="E314" s="48"/>
      <c r="F314" s="62" t="s">
        <v>292</v>
      </c>
      <c r="G314" s="225" t="s">
        <v>291</v>
      </c>
      <c r="H314" s="165"/>
      <c r="I314" s="165"/>
      <c r="J314" s="165"/>
      <c r="K314" s="165"/>
      <c r="L314" s="68" t="e">
        <f>ROUND(COM!H314,1)</f>
        <v>#REF!</v>
      </c>
      <c r="M314" s="68" t="e">
        <f>ROUND(COM!I314,1)</f>
        <v>#REF!</v>
      </c>
      <c r="N314" s="68" t="e">
        <f>ROUND(COM!J314,1)</f>
        <v>#REF!</v>
      </c>
      <c r="O314" s="68" t="e">
        <f>ROUND(COM!K314,1)</f>
        <v>#REF!</v>
      </c>
      <c r="P314" s="68" t="e">
        <f>ROUND(COM!L314,1)</f>
        <v>#REF!</v>
      </c>
      <c r="Q314" s="68" t="e">
        <f>ROUND(COM!M314,1)</f>
        <v>#REF!</v>
      </c>
      <c r="R314" s="68" t="e">
        <f>ROUND(COM!N314,1)</f>
        <v>#REF!</v>
      </c>
      <c r="S314" s="68" t="e">
        <f>ROUND(COM!O314,1)</f>
        <v>#REF!</v>
      </c>
      <c r="T314" s="68" t="e">
        <f>ROUND(COM!P314,1)</f>
        <v>#REF!</v>
      </c>
      <c r="U314" s="68" t="e">
        <f>ROUND(COM!Q314,1)</f>
        <v>#REF!</v>
      </c>
      <c r="V314" s="68" t="e">
        <f>ROUND(COM!R314,1)</f>
        <v>#REF!</v>
      </c>
      <c r="W314" s="68" t="e">
        <f>ROUND(COM!S314,1)</f>
        <v>#REF!</v>
      </c>
      <c r="X314" s="111" t="e">
        <f t="shared" si="22"/>
        <v>#REF!</v>
      </c>
    </row>
    <row r="315" spans="1:24" ht="37.5" x14ac:dyDescent="0.25">
      <c r="A315" s="4">
        <v>311</v>
      </c>
      <c r="B315" s="52">
        <v>60</v>
      </c>
      <c r="C315" s="52">
        <v>920</v>
      </c>
      <c r="D315" s="53">
        <v>70499</v>
      </c>
      <c r="E315" s="20" t="s">
        <v>173</v>
      </c>
      <c r="F315" s="62" t="s">
        <v>293</v>
      </c>
      <c r="G315" s="226"/>
      <c r="H315" s="167"/>
      <c r="I315" s="167"/>
      <c r="J315" s="167"/>
      <c r="K315" s="167"/>
      <c r="L315" s="68" t="e">
        <f>ROUND(COM!H315,1)</f>
        <v>#REF!</v>
      </c>
      <c r="M315" s="68" t="e">
        <f>ROUND(COM!I315,1)</f>
        <v>#REF!</v>
      </c>
      <c r="N315" s="68" t="e">
        <f>ROUND(COM!J315,1)</f>
        <v>#REF!</v>
      </c>
      <c r="O315" s="68" t="e">
        <f>ROUND(COM!K315,1)</f>
        <v>#REF!</v>
      </c>
      <c r="P315" s="68" t="e">
        <f>ROUND(COM!L315,1)</f>
        <v>#REF!</v>
      </c>
      <c r="Q315" s="68" t="e">
        <f>ROUND(COM!M315,1)</f>
        <v>#REF!</v>
      </c>
      <c r="R315" s="68" t="e">
        <f>ROUND(COM!N315,1)</f>
        <v>#REF!</v>
      </c>
      <c r="S315" s="68" t="e">
        <f>ROUND(COM!O315,1)</f>
        <v>#REF!</v>
      </c>
      <c r="T315" s="68" t="e">
        <f>ROUND(COM!P315,1)</f>
        <v>#REF!</v>
      </c>
      <c r="U315" s="68" t="e">
        <f>ROUND(COM!Q315,1)</f>
        <v>#REF!</v>
      </c>
      <c r="V315" s="68" t="e">
        <f>ROUND(COM!R315,1)</f>
        <v>#REF!</v>
      </c>
      <c r="W315" s="68" t="e">
        <f>ROUND(COM!S315,1)</f>
        <v>#REF!</v>
      </c>
      <c r="X315" s="111" t="e">
        <f t="shared" si="22"/>
        <v>#REF!</v>
      </c>
    </row>
    <row r="316" spans="1:24" ht="37.5" x14ac:dyDescent="0.25">
      <c r="A316" s="4">
        <v>311</v>
      </c>
      <c r="B316" s="52">
        <v>60</v>
      </c>
      <c r="C316" s="52">
        <v>930</v>
      </c>
      <c r="D316" s="53">
        <v>70499</v>
      </c>
      <c r="E316" s="20" t="s">
        <v>173</v>
      </c>
      <c r="F316" s="62" t="s">
        <v>294</v>
      </c>
      <c r="G316" s="227"/>
      <c r="H316" s="166"/>
      <c r="I316" s="166"/>
      <c r="J316" s="166"/>
      <c r="K316" s="166"/>
      <c r="L316" s="68" t="e">
        <f>ROUND(COM!H316,1)</f>
        <v>#REF!</v>
      </c>
      <c r="M316" s="68" t="e">
        <f>ROUND(COM!I316,1)</f>
        <v>#REF!</v>
      </c>
      <c r="N316" s="68" t="e">
        <f>ROUND(COM!J316,1)</f>
        <v>#REF!</v>
      </c>
      <c r="O316" s="68" t="e">
        <f>ROUND(COM!K316,1)</f>
        <v>#REF!</v>
      </c>
      <c r="P316" s="68" t="e">
        <f>ROUND(COM!L316,1)</f>
        <v>#REF!</v>
      </c>
      <c r="Q316" s="68" t="e">
        <f>ROUND(COM!M316,1)</f>
        <v>#REF!</v>
      </c>
      <c r="R316" s="68" t="e">
        <f>ROUND(COM!N316,1)</f>
        <v>#REF!</v>
      </c>
      <c r="S316" s="68" t="e">
        <f>ROUND(COM!O316,1)</f>
        <v>#REF!</v>
      </c>
      <c r="T316" s="68" t="e">
        <f>ROUND(COM!P316,1)</f>
        <v>#REF!</v>
      </c>
      <c r="U316" s="68" t="e">
        <f>ROUND(COM!Q316,1)</f>
        <v>#REF!</v>
      </c>
      <c r="V316" s="68" t="e">
        <f>ROUND(COM!R316,1)</f>
        <v>#REF!</v>
      </c>
      <c r="W316" s="68" t="e">
        <f>ROUND(COM!S316,1)</f>
        <v>#REF!</v>
      </c>
      <c r="X316" s="111" t="e">
        <f t="shared" si="22"/>
        <v>#REF!</v>
      </c>
    </row>
    <row r="317" spans="1:24" ht="18.75" x14ac:dyDescent="0.25">
      <c r="A317" s="4">
        <v>311</v>
      </c>
      <c r="B317" s="52">
        <v>60</v>
      </c>
      <c r="C317" s="52">
        <v>910</v>
      </c>
      <c r="D317" s="53">
        <v>70499</v>
      </c>
      <c r="E317" s="48"/>
      <c r="F317" s="38" t="s">
        <v>114</v>
      </c>
      <c r="G317" s="92"/>
      <c r="H317" s="92"/>
      <c r="I317" s="92"/>
      <c r="J317" s="92"/>
      <c r="K317" s="92"/>
      <c r="L317" s="68" t="e">
        <f>ROUND(COM!H317,1)</f>
        <v>#REF!</v>
      </c>
      <c r="M317" s="68" t="e">
        <f>ROUND(COM!I317,1)</f>
        <v>#REF!</v>
      </c>
      <c r="N317" s="68" t="e">
        <f>ROUND(COM!J317,1)</f>
        <v>#REF!</v>
      </c>
      <c r="O317" s="68" t="e">
        <f>ROUND(COM!K317,1)</f>
        <v>#REF!</v>
      </c>
      <c r="P317" s="68" t="e">
        <f>ROUND(COM!L317,1)</f>
        <v>#REF!</v>
      </c>
      <c r="Q317" s="68" t="e">
        <f>ROUND(COM!M317,1)</f>
        <v>#REF!</v>
      </c>
      <c r="R317" s="68" t="e">
        <f>ROUND(COM!N317,1)</f>
        <v>#REF!</v>
      </c>
      <c r="S317" s="68" t="e">
        <f>ROUND(COM!O317,1)</f>
        <v>#REF!</v>
      </c>
      <c r="T317" s="68" t="e">
        <f>ROUND(COM!P317,1)</f>
        <v>#REF!</v>
      </c>
      <c r="U317" s="68" t="e">
        <f>ROUND(COM!Q317,1)</f>
        <v>#REF!</v>
      </c>
      <c r="V317" s="68" t="e">
        <f>ROUND(COM!R317,1)</f>
        <v>#REF!</v>
      </c>
      <c r="W317" s="68" t="e">
        <f>ROUND(COM!S317,1)</f>
        <v>#REF!</v>
      </c>
      <c r="X317" s="111" t="e">
        <f t="shared" si="22"/>
        <v>#REF!</v>
      </c>
    </row>
    <row r="318" spans="1:24" ht="18.75" x14ac:dyDescent="0.25">
      <c r="A318" s="4">
        <v>311</v>
      </c>
      <c r="B318" s="52">
        <v>60</v>
      </c>
      <c r="C318" s="52">
        <v>930</v>
      </c>
      <c r="D318" s="53">
        <v>70499</v>
      </c>
      <c r="E318" s="48" t="s">
        <v>166</v>
      </c>
      <c r="F318" s="75" t="s">
        <v>115</v>
      </c>
      <c r="G318" s="126" t="s">
        <v>334</v>
      </c>
      <c r="H318" s="126"/>
      <c r="I318" s="126"/>
      <c r="J318" s="126"/>
      <c r="K318" s="126"/>
      <c r="L318" s="68" t="e">
        <f>ROUND(COM!H318,1)</f>
        <v>#REF!</v>
      </c>
      <c r="M318" s="68" t="e">
        <f>ROUND(COM!I318,1)</f>
        <v>#REF!</v>
      </c>
      <c r="N318" s="68" t="e">
        <f>ROUND(COM!J318,1)</f>
        <v>#REF!</v>
      </c>
      <c r="O318" s="68" t="e">
        <f>ROUND(COM!K318,1)</f>
        <v>#REF!</v>
      </c>
      <c r="P318" s="68" t="e">
        <f>ROUND(COM!L318,1)</f>
        <v>#REF!</v>
      </c>
      <c r="Q318" s="68" t="e">
        <f>ROUND(COM!M318,1)</f>
        <v>#REF!</v>
      </c>
      <c r="R318" s="68" t="e">
        <f>ROUND(COM!N318,1)</f>
        <v>#REF!</v>
      </c>
      <c r="S318" s="68" t="e">
        <f>ROUND(COM!O318,1)</f>
        <v>#REF!</v>
      </c>
      <c r="T318" s="68" t="e">
        <f>ROUND(COM!P318,1)</f>
        <v>#REF!</v>
      </c>
      <c r="U318" s="68" t="e">
        <f>ROUND(COM!Q318,1)</f>
        <v>#REF!</v>
      </c>
      <c r="V318" s="68" t="e">
        <f>ROUND(COM!R318,1)</f>
        <v>#REF!</v>
      </c>
      <c r="W318" s="68" t="e">
        <f>ROUND(COM!S318,1)</f>
        <v>#REF!</v>
      </c>
      <c r="X318" s="111" t="e">
        <f t="shared" si="22"/>
        <v>#REF!</v>
      </c>
    </row>
    <row r="319" spans="1:24" ht="18.75" x14ac:dyDescent="0.25">
      <c r="A319" s="4">
        <v>311</v>
      </c>
      <c r="B319" s="52">
        <v>60</v>
      </c>
      <c r="C319" s="52">
        <v>910</v>
      </c>
      <c r="D319" s="53">
        <v>70499</v>
      </c>
      <c r="E319" s="48"/>
      <c r="F319" s="38" t="s">
        <v>228</v>
      </c>
      <c r="G319" s="92"/>
      <c r="H319" s="92"/>
      <c r="I319" s="92"/>
      <c r="J319" s="92"/>
      <c r="K319" s="92"/>
      <c r="L319" s="68" t="e">
        <f>ROUND(COM!H319,1)</f>
        <v>#REF!</v>
      </c>
      <c r="M319" s="68" t="e">
        <f>ROUND(COM!I319,1)</f>
        <v>#REF!</v>
      </c>
      <c r="N319" s="68" t="e">
        <f>ROUND(COM!J319,1)</f>
        <v>#REF!</v>
      </c>
      <c r="O319" s="68" t="e">
        <f>ROUND(COM!K319,1)</f>
        <v>#REF!</v>
      </c>
      <c r="P319" s="68" t="e">
        <f>ROUND(COM!L319,1)</f>
        <v>#REF!</v>
      </c>
      <c r="Q319" s="68" t="e">
        <f>ROUND(COM!M319,1)</f>
        <v>#REF!</v>
      </c>
      <c r="R319" s="68" t="e">
        <f>ROUND(COM!N319,1)</f>
        <v>#REF!</v>
      </c>
      <c r="S319" s="68" t="e">
        <f>ROUND(COM!O319,1)</f>
        <v>#REF!</v>
      </c>
      <c r="T319" s="68" t="e">
        <f>ROUND(COM!P319,1)</f>
        <v>#REF!</v>
      </c>
      <c r="U319" s="68" t="e">
        <f>ROUND(COM!Q319,1)</f>
        <v>#REF!</v>
      </c>
      <c r="V319" s="68" t="e">
        <f>ROUND(COM!R319,1)</f>
        <v>#REF!</v>
      </c>
      <c r="W319" s="68" t="e">
        <f>ROUND(COM!S319,1)</f>
        <v>#REF!</v>
      </c>
      <c r="X319" s="111" t="e">
        <f t="shared" si="22"/>
        <v>#REF!</v>
      </c>
    </row>
    <row r="320" spans="1:24" ht="18.75" x14ac:dyDescent="0.25">
      <c r="A320" s="4">
        <v>311</v>
      </c>
      <c r="B320" s="52">
        <v>60</v>
      </c>
      <c r="C320" s="52">
        <v>930</v>
      </c>
      <c r="D320" s="53">
        <v>70499</v>
      </c>
      <c r="E320" s="48" t="s">
        <v>166</v>
      </c>
      <c r="F320" s="38" t="s">
        <v>229</v>
      </c>
      <c r="G320" s="92"/>
      <c r="H320" s="92"/>
      <c r="I320" s="92"/>
      <c r="J320" s="92"/>
      <c r="K320" s="92"/>
      <c r="L320" s="68" t="e">
        <f>ROUND(COM!H320,1)</f>
        <v>#REF!</v>
      </c>
      <c r="M320" s="68" t="e">
        <f>ROUND(COM!I320,1)</f>
        <v>#REF!</v>
      </c>
      <c r="N320" s="68" t="e">
        <f>ROUND(COM!J320,1)</f>
        <v>#REF!</v>
      </c>
      <c r="O320" s="68" t="e">
        <f>ROUND(COM!K320,1)</f>
        <v>#REF!</v>
      </c>
      <c r="P320" s="68" t="e">
        <f>ROUND(COM!L320,1)</f>
        <v>#REF!</v>
      </c>
      <c r="Q320" s="68" t="e">
        <f>ROUND(COM!M320,1)</f>
        <v>#REF!</v>
      </c>
      <c r="R320" s="68" t="e">
        <f>ROUND(COM!N320,1)</f>
        <v>#REF!</v>
      </c>
      <c r="S320" s="68" t="e">
        <f>ROUND(COM!O320,1)</f>
        <v>#REF!</v>
      </c>
      <c r="T320" s="68" t="e">
        <f>ROUND(COM!P320,1)</f>
        <v>#REF!</v>
      </c>
      <c r="U320" s="68" t="e">
        <f>ROUND(COM!Q320,1)</f>
        <v>#REF!</v>
      </c>
      <c r="V320" s="68" t="e">
        <f>ROUND(COM!R320,1)</f>
        <v>#REF!</v>
      </c>
      <c r="W320" s="68" t="e">
        <f>ROUND(COM!S320,1)</f>
        <v>#REF!</v>
      </c>
      <c r="X320" s="111" t="e">
        <f t="shared" si="22"/>
        <v>#REF!</v>
      </c>
    </row>
    <row r="321" spans="1:24" ht="18.75" x14ac:dyDescent="0.25">
      <c r="A321" s="88">
        <v>311</v>
      </c>
      <c r="B321" s="89">
        <v>60</v>
      </c>
      <c r="C321" s="89">
        <v>920</v>
      </c>
      <c r="D321" s="90">
        <v>70499</v>
      </c>
      <c r="E321" s="91" t="s">
        <v>164</v>
      </c>
      <c r="F321" s="108" t="s">
        <v>18</v>
      </c>
      <c r="G321" s="108"/>
      <c r="H321" s="108"/>
      <c r="I321" s="108"/>
      <c r="J321" s="108"/>
      <c r="K321" s="108"/>
      <c r="L321" s="68" t="e">
        <f>ROUND(COM!H321,1)</f>
        <v>#REF!</v>
      </c>
      <c r="M321" s="68" t="e">
        <f>ROUND(COM!I321,1)</f>
        <v>#REF!</v>
      </c>
      <c r="N321" s="68" t="e">
        <f>ROUND(COM!J321,1)</f>
        <v>#REF!</v>
      </c>
      <c r="O321" s="68" t="e">
        <f>ROUND(COM!K321,1)</f>
        <v>#REF!</v>
      </c>
      <c r="P321" s="68" t="e">
        <f>ROUND(COM!L321,1)</f>
        <v>#REF!</v>
      </c>
      <c r="Q321" s="68" t="e">
        <f>ROUND(COM!M321,1)</f>
        <v>#REF!</v>
      </c>
      <c r="R321" s="68" t="e">
        <f>ROUND(COM!N321,1)</f>
        <v>#REF!</v>
      </c>
      <c r="S321" s="68" t="e">
        <f>ROUND(COM!O321,1)</f>
        <v>#REF!</v>
      </c>
      <c r="T321" s="68" t="e">
        <f>ROUND(COM!P321,1)</f>
        <v>#REF!</v>
      </c>
      <c r="U321" s="68" t="e">
        <f>ROUND(COM!Q321,1)</f>
        <v>#REF!</v>
      </c>
      <c r="V321" s="68" t="e">
        <f>ROUND(COM!R321,1)</f>
        <v>#REF!</v>
      </c>
      <c r="W321" s="68" t="e">
        <f>ROUND(COM!S321,1)</f>
        <v>#REF!</v>
      </c>
      <c r="X321" s="111" t="e">
        <f>M321+O321+Q321+S321+U321+W321</f>
        <v>#REF!</v>
      </c>
    </row>
    <row r="322" spans="1:24" ht="18.75" x14ac:dyDescent="0.25">
      <c r="A322" s="88">
        <v>311</v>
      </c>
      <c r="B322" s="89">
        <v>60</v>
      </c>
      <c r="C322" s="89">
        <v>920</v>
      </c>
      <c r="D322" s="90">
        <v>70499</v>
      </c>
      <c r="E322" s="91" t="s">
        <v>164</v>
      </c>
      <c r="F322" s="108" t="s">
        <v>19</v>
      </c>
      <c r="G322" s="108"/>
      <c r="H322" s="108"/>
      <c r="I322" s="108"/>
      <c r="J322" s="108"/>
      <c r="K322" s="108"/>
      <c r="L322" s="68" t="e">
        <f>ROUND(COM!H322,1)</f>
        <v>#REF!</v>
      </c>
      <c r="M322" s="68" t="e">
        <f>ROUND(COM!I322,1)</f>
        <v>#REF!</v>
      </c>
      <c r="N322" s="68" t="e">
        <f>ROUND(COM!J322,1)</f>
        <v>#REF!</v>
      </c>
      <c r="O322" s="68" t="e">
        <f>ROUND(COM!K322,1)</f>
        <v>#REF!</v>
      </c>
      <c r="P322" s="68" t="e">
        <f>ROUND(COM!L322,1)</f>
        <v>#REF!</v>
      </c>
      <c r="Q322" s="68" t="e">
        <f>ROUND(COM!M322,1)</f>
        <v>#REF!</v>
      </c>
      <c r="R322" s="68" t="e">
        <f>ROUND(COM!N322,1)</f>
        <v>#REF!</v>
      </c>
      <c r="S322" s="68" t="e">
        <f>ROUND(COM!O322,1)</f>
        <v>#REF!</v>
      </c>
      <c r="T322" s="68" t="e">
        <f>ROUND(COM!P322,1)</f>
        <v>#REF!</v>
      </c>
      <c r="U322" s="68" t="e">
        <f>ROUND(COM!Q322,1)</f>
        <v>#REF!</v>
      </c>
      <c r="V322" s="68" t="e">
        <f>ROUND(COM!R322,1)</f>
        <v>#REF!</v>
      </c>
      <c r="W322" s="68" t="e">
        <f>ROUND(COM!S322,1)</f>
        <v>#REF!</v>
      </c>
      <c r="X322" s="111" t="e">
        <f>M322+O322+Q322+S322+U322+W322</f>
        <v>#REF!</v>
      </c>
    </row>
    <row r="323" spans="1:24" ht="18.75" x14ac:dyDescent="0.25">
      <c r="A323" s="88">
        <v>311</v>
      </c>
      <c r="B323" s="89">
        <v>60</v>
      </c>
      <c r="C323" s="89">
        <v>910</v>
      </c>
      <c r="D323" s="90">
        <v>70499</v>
      </c>
      <c r="E323" s="91"/>
      <c r="F323" s="108" t="s">
        <v>374</v>
      </c>
      <c r="G323" s="108"/>
      <c r="H323" s="108"/>
      <c r="I323" s="108"/>
      <c r="J323" s="108"/>
      <c r="K323" s="108"/>
      <c r="L323" s="68" t="e">
        <f>ROUND(COM!H323,1)</f>
        <v>#REF!</v>
      </c>
      <c r="M323" s="68" t="e">
        <f>ROUND(COM!I323,1)</f>
        <v>#REF!</v>
      </c>
      <c r="N323" s="68" t="e">
        <f>ROUND(COM!J323,1)</f>
        <v>#REF!</v>
      </c>
      <c r="O323" s="68" t="e">
        <f>ROUND(COM!K323,1)</f>
        <v>#REF!</v>
      </c>
      <c r="P323" s="68" t="e">
        <f>ROUND(COM!L323,1)</f>
        <v>#REF!</v>
      </c>
      <c r="Q323" s="68" t="e">
        <f>ROUND(COM!M323,1)</f>
        <v>#REF!</v>
      </c>
      <c r="R323" s="68" t="e">
        <f>ROUND(COM!N323,1)</f>
        <v>#REF!</v>
      </c>
      <c r="S323" s="68" t="e">
        <f>ROUND(COM!O323,1)</f>
        <v>#REF!</v>
      </c>
      <c r="T323" s="68" t="e">
        <f>ROUND(COM!P323,1)</f>
        <v>#REF!</v>
      </c>
      <c r="U323" s="68" t="e">
        <f>ROUND(COM!Q323,1)</f>
        <v>#REF!</v>
      </c>
      <c r="V323" s="68" t="e">
        <f>ROUND(COM!R323,1)</f>
        <v>#REF!</v>
      </c>
      <c r="W323" s="68" t="e">
        <f>ROUND(COM!S323,1)</f>
        <v>#REF!</v>
      </c>
      <c r="X323" s="111"/>
    </row>
    <row r="324" spans="1:24" ht="37.5" x14ac:dyDescent="0.25">
      <c r="A324" s="88">
        <v>321</v>
      </c>
      <c r="B324" s="89">
        <v>60</v>
      </c>
      <c r="C324" s="89">
        <v>930</v>
      </c>
      <c r="D324" s="90">
        <v>70499</v>
      </c>
      <c r="E324" s="91" t="s">
        <v>166</v>
      </c>
      <c r="F324" s="92" t="s">
        <v>381</v>
      </c>
      <c r="G324" s="126" t="s">
        <v>351</v>
      </c>
      <c r="H324" s="126"/>
      <c r="I324" s="126"/>
      <c r="J324" s="126"/>
      <c r="K324" s="126"/>
      <c r="L324" s="68" t="e">
        <f>ROUND(COM!H324,1)</f>
        <v>#REF!</v>
      </c>
      <c r="M324" s="68" t="e">
        <f>ROUND(COM!I324,1)</f>
        <v>#REF!</v>
      </c>
      <c r="N324" s="68" t="e">
        <f>ROUND(COM!J324,1)</f>
        <v>#REF!</v>
      </c>
      <c r="O324" s="68" t="e">
        <f>ROUND(COM!K324,1)</f>
        <v>#REF!</v>
      </c>
      <c r="P324" s="68" t="e">
        <f>ROUND(COM!L324,1)</f>
        <v>#REF!</v>
      </c>
      <c r="Q324" s="68" t="e">
        <f>ROUND(COM!M324,1)</f>
        <v>#REF!</v>
      </c>
      <c r="R324" s="68" t="e">
        <f>ROUND(COM!N324,1)</f>
        <v>#REF!</v>
      </c>
      <c r="S324" s="68" t="e">
        <f>ROUND(COM!O324,1)</f>
        <v>#REF!</v>
      </c>
      <c r="T324" s="68" t="e">
        <f>ROUND(COM!P324,1)</f>
        <v>#REF!</v>
      </c>
      <c r="U324" s="68" t="e">
        <f>ROUND(COM!Q324,1)</f>
        <v>#REF!</v>
      </c>
      <c r="V324" s="68" t="e">
        <f>ROUND(COM!R324,1)</f>
        <v>#REF!</v>
      </c>
      <c r="W324" s="68" t="e">
        <f>ROUND(COM!S324,1)</f>
        <v>#REF!</v>
      </c>
      <c r="X324" s="111" t="e">
        <f>M324+O324+Q324+S324+U324+W324</f>
        <v>#REF!</v>
      </c>
    </row>
    <row r="325" spans="1:24" ht="18.75" x14ac:dyDescent="0.25">
      <c r="A325" s="88">
        <v>311</v>
      </c>
      <c r="B325" s="89">
        <v>60</v>
      </c>
      <c r="C325" s="89">
        <v>910</v>
      </c>
      <c r="D325" s="90">
        <v>70499</v>
      </c>
      <c r="E325" s="91"/>
      <c r="F325" s="92" t="s">
        <v>382</v>
      </c>
      <c r="G325" s="128"/>
      <c r="H325" s="128"/>
      <c r="I325" s="128"/>
      <c r="J325" s="128"/>
      <c r="K325" s="128"/>
      <c r="L325" s="68" t="e">
        <f>ROUND(COM!H325,1)</f>
        <v>#REF!</v>
      </c>
      <c r="M325" s="68" t="e">
        <f>ROUND(COM!I325,1)</f>
        <v>#REF!</v>
      </c>
      <c r="N325" s="68" t="e">
        <f>ROUND(COM!J325,1)</f>
        <v>#REF!</v>
      </c>
      <c r="O325" s="68" t="e">
        <f>ROUND(COM!K325,1)</f>
        <v>#REF!</v>
      </c>
      <c r="P325" s="68" t="e">
        <f>ROUND(COM!L325,1)</f>
        <v>#REF!</v>
      </c>
      <c r="Q325" s="68" t="e">
        <f>ROUND(COM!M325,1)</f>
        <v>#REF!</v>
      </c>
      <c r="R325" s="68" t="e">
        <f>ROUND(COM!N325,1)</f>
        <v>#REF!</v>
      </c>
      <c r="S325" s="68" t="e">
        <f>ROUND(COM!O325,1)</f>
        <v>#REF!</v>
      </c>
      <c r="T325" s="68" t="e">
        <f>ROUND(COM!P325,1)</f>
        <v>#REF!</v>
      </c>
      <c r="U325" s="68" t="e">
        <f>ROUND(COM!Q325,1)</f>
        <v>#REF!</v>
      </c>
      <c r="V325" s="68" t="e">
        <f>ROUND(COM!R325,1)</f>
        <v>#REF!</v>
      </c>
      <c r="W325" s="68" t="e">
        <f>ROUND(COM!S325,1)</f>
        <v>#REF!</v>
      </c>
      <c r="X325" s="111"/>
    </row>
    <row r="326" spans="1:24" ht="37.5" x14ac:dyDescent="0.25">
      <c r="A326" s="88">
        <v>311</v>
      </c>
      <c r="B326" s="89">
        <v>60</v>
      </c>
      <c r="C326" s="89">
        <v>930</v>
      </c>
      <c r="D326" s="90">
        <v>70499</v>
      </c>
      <c r="E326" s="91" t="s">
        <v>174</v>
      </c>
      <c r="F326" s="92" t="s">
        <v>383</v>
      </c>
      <c r="G326" s="228" t="s">
        <v>352</v>
      </c>
      <c r="H326" s="171"/>
      <c r="I326" s="171"/>
      <c r="J326" s="171"/>
      <c r="K326" s="171"/>
      <c r="L326" s="68" t="e">
        <f>ROUND(COM!H326,1)</f>
        <v>#REF!</v>
      </c>
      <c r="M326" s="68" t="e">
        <f>ROUND(COM!I326,1)</f>
        <v>#REF!</v>
      </c>
      <c r="N326" s="68" t="e">
        <f>ROUND(COM!J326,1)</f>
        <v>#REF!</v>
      </c>
      <c r="O326" s="68" t="e">
        <f>ROUND(COM!K326,1)</f>
        <v>#REF!</v>
      </c>
      <c r="P326" s="68" t="e">
        <f>ROUND(COM!L326,1)</f>
        <v>#REF!</v>
      </c>
      <c r="Q326" s="68" t="e">
        <f>ROUND(COM!M326,1)</f>
        <v>#REF!</v>
      </c>
      <c r="R326" s="68" t="e">
        <f>ROUND(COM!N326,1)</f>
        <v>#REF!</v>
      </c>
      <c r="S326" s="68" t="e">
        <f>ROUND(COM!O326,1)</f>
        <v>#REF!</v>
      </c>
      <c r="T326" s="68" t="e">
        <f>ROUND(COM!P326,1)</f>
        <v>#REF!</v>
      </c>
      <c r="U326" s="68" t="e">
        <f>ROUND(COM!Q326,1)</f>
        <v>#REF!</v>
      </c>
      <c r="V326" s="68" t="e">
        <f>ROUND(COM!R326,1)</f>
        <v>#REF!</v>
      </c>
      <c r="W326" s="68" t="e">
        <f>ROUND(COM!S326,1)</f>
        <v>#REF!</v>
      </c>
      <c r="X326" s="111" t="e">
        <f>M326+O326+Q326+S326+U326+W326</f>
        <v>#REF!</v>
      </c>
    </row>
    <row r="327" spans="1:24" ht="37.5" x14ac:dyDescent="0.25">
      <c r="A327" s="88">
        <v>321</v>
      </c>
      <c r="B327" s="89">
        <v>60</v>
      </c>
      <c r="C327" s="89">
        <v>930</v>
      </c>
      <c r="D327" s="90">
        <v>70499</v>
      </c>
      <c r="E327" s="91" t="s">
        <v>174</v>
      </c>
      <c r="F327" s="92" t="s">
        <v>383</v>
      </c>
      <c r="G327" s="229"/>
      <c r="H327" s="172"/>
      <c r="I327" s="172"/>
      <c r="J327" s="172"/>
      <c r="K327" s="172"/>
      <c r="L327" s="68" t="e">
        <f>ROUND(COM!H327,1)</f>
        <v>#REF!</v>
      </c>
      <c r="M327" s="68" t="e">
        <f>ROUND(COM!I327,1)</f>
        <v>#REF!</v>
      </c>
      <c r="N327" s="68" t="e">
        <f>ROUND(COM!J327,1)</f>
        <v>#REF!</v>
      </c>
      <c r="O327" s="68" t="e">
        <f>ROUND(COM!K327,1)</f>
        <v>#REF!</v>
      </c>
      <c r="P327" s="68" t="e">
        <f>ROUND(COM!L327,1)</f>
        <v>#REF!</v>
      </c>
      <c r="Q327" s="68" t="e">
        <f>ROUND(COM!M327,1)</f>
        <v>#REF!</v>
      </c>
      <c r="R327" s="68" t="e">
        <f>ROUND(COM!N327,1)</f>
        <v>#REF!</v>
      </c>
      <c r="S327" s="68" t="e">
        <f>ROUND(COM!O327,1)</f>
        <v>#REF!</v>
      </c>
      <c r="T327" s="68" t="e">
        <f>ROUND(COM!P327,1)</f>
        <v>#REF!</v>
      </c>
      <c r="U327" s="68" t="e">
        <f>ROUND(COM!Q327,1)</f>
        <v>#REF!</v>
      </c>
      <c r="V327" s="68" t="e">
        <f>ROUND(COM!R327,1)</f>
        <v>#REF!</v>
      </c>
      <c r="W327" s="68" t="e">
        <f>ROUND(COM!S327,1)</f>
        <v>#REF!</v>
      </c>
      <c r="X327" s="111" t="e">
        <f>M327+O327+Q327+S327+U327+W327</f>
        <v>#REF!</v>
      </c>
    </row>
    <row r="328" spans="1:24" ht="37.5" x14ac:dyDescent="0.25">
      <c r="A328" s="114">
        <v>311</v>
      </c>
      <c r="B328" s="115">
        <v>60</v>
      </c>
      <c r="C328" s="115">
        <v>910</v>
      </c>
      <c r="D328" s="116">
        <v>70499</v>
      </c>
      <c r="E328" s="117"/>
      <c r="F328" s="118" t="s">
        <v>386</v>
      </c>
      <c r="G328" s="118"/>
      <c r="H328" s="118"/>
      <c r="I328" s="118"/>
      <c r="J328" s="118"/>
      <c r="K328" s="118"/>
      <c r="L328" s="68" t="e">
        <f>ROUND(COM!H328,1)</f>
        <v>#REF!</v>
      </c>
      <c r="M328" s="68" t="e">
        <f>ROUND(COM!I328,1)</f>
        <v>#REF!</v>
      </c>
      <c r="N328" s="68" t="e">
        <f>ROUND(COM!J328,1)</f>
        <v>#REF!</v>
      </c>
      <c r="O328" s="68" t="e">
        <f>ROUND(COM!K328,1)</f>
        <v>#REF!</v>
      </c>
      <c r="P328" s="68" t="e">
        <f>ROUND(COM!L328,1)</f>
        <v>#REF!</v>
      </c>
      <c r="Q328" s="68" t="e">
        <f>ROUND(COM!M328,1)</f>
        <v>#REF!</v>
      </c>
      <c r="R328" s="68" t="e">
        <f>ROUND(COM!N328,1)</f>
        <v>#REF!</v>
      </c>
      <c r="S328" s="68" t="e">
        <f>ROUND(COM!O328,1)</f>
        <v>#REF!</v>
      </c>
      <c r="T328" s="68" t="e">
        <f>ROUND(COM!P328,1)</f>
        <v>#REF!</v>
      </c>
      <c r="U328" s="68" t="e">
        <f>ROUND(COM!Q328,1)</f>
        <v>#REF!</v>
      </c>
      <c r="V328" s="68" t="e">
        <f>ROUND(COM!R328,1)</f>
        <v>#REF!</v>
      </c>
      <c r="W328" s="68" t="e">
        <f>ROUND(COM!S328,1)</f>
        <v>#REF!</v>
      </c>
      <c r="X328" s="111"/>
    </row>
    <row r="329" spans="1:24" ht="37.5" x14ac:dyDescent="0.25">
      <c r="A329" s="114">
        <v>321</v>
      </c>
      <c r="B329" s="115">
        <v>60</v>
      </c>
      <c r="C329" s="115">
        <v>920</v>
      </c>
      <c r="D329" s="116">
        <v>70499</v>
      </c>
      <c r="E329" s="117" t="s">
        <v>173</v>
      </c>
      <c r="F329" s="118" t="s">
        <v>385</v>
      </c>
      <c r="G329" s="118"/>
      <c r="H329" s="118"/>
      <c r="I329" s="118"/>
      <c r="J329" s="118"/>
      <c r="K329" s="118"/>
      <c r="L329" s="68" t="e">
        <f>ROUND(COM!H329,1)</f>
        <v>#REF!</v>
      </c>
      <c r="M329" s="68" t="e">
        <f>ROUND(COM!I329,1)</f>
        <v>#REF!</v>
      </c>
      <c r="N329" s="68" t="e">
        <f>ROUND(COM!J329,1)</f>
        <v>#REF!</v>
      </c>
      <c r="O329" s="68" t="e">
        <f>ROUND(COM!K329,1)</f>
        <v>#REF!</v>
      </c>
      <c r="P329" s="68" t="e">
        <f>ROUND(COM!L329,1)</f>
        <v>#REF!</v>
      </c>
      <c r="Q329" s="68" t="e">
        <f>ROUND(COM!M329,1)</f>
        <v>#REF!</v>
      </c>
      <c r="R329" s="68" t="e">
        <f>ROUND(COM!N329,1)</f>
        <v>#REF!</v>
      </c>
      <c r="S329" s="68" t="e">
        <f>ROUND(COM!O329,1)</f>
        <v>#REF!</v>
      </c>
      <c r="T329" s="68" t="e">
        <f>ROUND(COM!P329,1)</f>
        <v>#REF!</v>
      </c>
      <c r="U329" s="68" t="e">
        <f>ROUND(COM!Q329,1)</f>
        <v>#REF!</v>
      </c>
      <c r="V329" s="68" t="e">
        <f>ROUND(COM!R329,1)</f>
        <v>#REF!</v>
      </c>
      <c r="W329" s="68" t="e">
        <f>ROUND(COM!S329,1)</f>
        <v>#REF!</v>
      </c>
      <c r="X329" s="111"/>
    </row>
    <row r="330" spans="1:24" ht="37.5" x14ac:dyDescent="0.25">
      <c r="A330" s="114">
        <v>321</v>
      </c>
      <c r="B330" s="115">
        <v>60</v>
      </c>
      <c r="C330" s="115">
        <v>930</v>
      </c>
      <c r="D330" s="116">
        <v>70499</v>
      </c>
      <c r="E330" s="117" t="s">
        <v>173</v>
      </c>
      <c r="F330" s="118" t="s">
        <v>384</v>
      </c>
      <c r="G330" s="118"/>
      <c r="H330" s="118"/>
      <c r="I330" s="118"/>
      <c r="J330" s="118"/>
      <c r="K330" s="118"/>
      <c r="L330" s="68" t="e">
        <f>ROUND(COM!H330,1)</f>
        <v>#REF!</v>
      </c>
      <c r="M330" s="68" t="e">
        <f>ROUND(COM!I330,1)</f>
        <v>#REF!</v>
      </c>
      <c r="N330" s="68" t="e">
        <f>ROUND(COM!J330,1)</f>
        <v>#REF!</v>
      </c>
      <c r="O330" s="68" t="e">
        <f>ROUND(COM!K330,1)</f>
        <v>#REF!</v>
      </c>
      <c r="P330" s="68" t="e">
        <f>ROUND(COM!L330,1)</f>
        <v>#REF!</v>
      </c>
      <c r="Q330" s="68" t="e">
        <f>ROUND(COM!M330,1)</f>
        <v>#REF!</v>
      </c>
      <c r="R330" s="68" t="e">
        <f>ROUND(COM!N330,1)</f>
        <v>#REF!</v>
      </c>
      <c r="S330" s="68" t="e">
        <f>ROUND(COM!O330,1)</f>
        <v>#REF!</v>
      </c>
      <c r="T330" s="68" t="e">
        <f>ROUND(COM!P330,1)</f>
        <v>#REF!</v>
      </c>
      <c r="U330" s="68" t="e">
        <f>ROUND(COM!Q330,1)</f>
        <v>#REF!</v>
      </c>
      <c r="V330" s="68" t="e">
        <f>ROUND(COM!R330,1)</f>
        <v>#REF!</v>
      </c>
      <c r="W330" s="68" t="e">
        <f>ROUND(COM!S330,1)</f>
        <v>#REF!</v>
      </c>
      <c r="X330" s="111" t="e">
        <f t="shared" ref="X330:X405" si="25">M330+O330+Q330+S330+U330+W330</f>
        <v>#REF!</v>
      </c>
    </row>
    <row r="331" spans="1:24" ht="18.75" x14ac:dyDescent="0.25">
      <c r="A331" s="114">
        <v>321</v>
      </c>
      <c r="B331" s="115">
        <v>60</v>
      </c>
      <c r="C331" s="115">
        <v>930</v>
      </c>
      <c r="D331" s="116">
        <v>70499</v>
      </c>
      <c r="E331" s="117" t="s">
        <v>169</v>
      </c>
      <c r="F331" s="118" t="s">
        <v>404</v>
      </c>
      <c r="G331" s="118"/>
      <c r="H331" s="118"/>
      <c r="I331" s="118"/>
      <c r="J331" s="118"/>
      <c r="K331" s="118"/>
      <c r="L331" s="68" t="e">
        <f>ROUND(COM!H331,1)</f>
        <v>#REF!</v>
      </c>
      <c r="M331" s="68" t="e">
        <f>ROUND(COM!I331,1)</f>
        <v>#REF!</v>
      </c>
      <c r="N331" s="68" t="e">
        <f>ROUND(COM!J331,1)</f>
        <v>#REF!</v>
      </c>
      <c r="O331" s="68" t="e">
        <f>ROUND(COM!K331,1)</f>
        <v>#REF!</v>
      </c>
      <c r="P331" s="68" t="e">
        <f>ROUND(COM!L331,1)</f>
        <v>#REF!</v>
      </c>
      <c r="Q331" s="68" t="e">
        <f>ROUND(COM!M331,1)</f>
        <v>#REF!</v>
      </c>
      <c r="R331" s="68" t="e">
        <f>ROUND(COM!N331,1)</f>
        <v>#REF!</v>
      </c>
      <c r="S331" s="68" t="e">
        <f>ROUND(COM!O331,1)</f>
        <v>#REF!</v>
      </c>
      <c r="T331" s="68" t="e">
        <f>ROUND(COM!P331,1)</f>
        <v>#REF!</v>
      </c>
      <c r="U331" s="68" t="e">
        <f>ROUND(COM!Q331,1)</f>
        <v>#REF!</v>
      </c>
      <c r="V331" s="68" t="e">
        <f>ROUND(COM!R331,1)</f>
        <v>#REF!</v>
      </c>
      <c r="W331" s="68" t="e">
        <f>ROUND(COM!S331,1)</f>
        <v>#REF!</v>
      </c>
      <c r="X331" s="111"/>
    </row>
    <row r="332" spans="1:24" ht="56.25" x14ac:dyDescent="0.25">
      <c r="A332" s="154">
        <v>321</v>
      </c>
      <c r="B332" s="155">
        <v>60</v>
      </c>
      <c r="C332" s="155">
        <v>910</v>
      </c>
      <c r="D332" s="156">
        <v>70499</v>
      </c>
      <c r="E332" s="157"/>
      <c r="F332" s="151" t="s">
        <v>415</v>
      </c>
      <c r="G332" s="38"/>
      <c r="H332" s="38"/>
      <c r="I332" s="38"/>
      <c r="J332" s="38"/>
      <c r="K332" s="38"/>
      <c r="L332" s="68" t="e">
        <f>ROUND(COM!H332,1)</f>
        <v>#REF!</v>
      </c>
      <c r="M332" s="68" t="e">
        <f>ROUND(COM!I332,1)</f>
        <v>#REF!</v>
      </c>
      <c r="N332" s="68" t="e">
        <f>ROUND(COM!J332,1)</f>
        <v>#REF!</v>
      </c>
      <c r="O332" s="68" t="e">
        <f>ROUND(COM!K332,1)</f>
        <v>#REF!</v>
      </c>
      <c r="P332" s="68" t="e">
        <f>ROUND(COM!L332,1)</f>
        <v>#REF!</v>
      </c>
      <c r="Q332" s="68" t="e">
        <f>ROUND(COM!M332,1)</f>
        <v>#REF!</v>
      </c>
      <c r="R332" s="68" t="e">
        <f>ROUND(COM!N332,1)</f>
        <v>#REF!</v>
      </c>
      <c r="S332" s="68" t="e">
        <f>ROUND(COM!O332,1)</f>
        <v>#REF!</v>
      </c>
      <c r="T332" s="68" t="e">
        <f>ROUND(COM!P332,1)</f>
        <v>#REF!</v>
      </c>
      <c r="U332" s="68" t="e">
        <f>ROUND(COM!Q332,1)</f>
        <v>#REF!</v>
      </c>
      <c r="V332" s="68" t="e">
        <f>ROUND(COM!R332,1)</f>
        <v>#REF!</v>
      </c>
      <c r="W332" s="68" t="e">
        <f>ROUND(COM!S332,1)</f>
        <v>#REF!</v>
      </c>
      <c r="X332" s="111"/>
    </row>
    <row r="333" spans="1:24" ht="56.25" x14ac:dyDescent="0.25">
      <c r="A333" s="154">
        <v>321</v>
      </c>
      <c r="B333" s="155">
        <v>60</v>
      </c>
      <c r="C333" s="155">
        <v>920</v>
      </c>
      <c r="D333" s="156">
        <v>70499</v>
      </c>
      <c r="E333" s="157" t="s">
        <v>173</v>
      </c>
      <c r="F333" s="151" t="s">
        <v>426</v>
      </c>
      <c r="G333" s="38"/>
      <c r="H333" s="38"/>
      <c r="I333" s="38"/>
      <c r="J333" s="38"/>
      <c r="K333" s="38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11"/>
    </row>
    <row r="334" spans="1:24" ht="56.25" x14ac:dyDescent="0.25">
      <c r="A334" s="154">
        <v>321</v>
      </c>
      <c r="B334" s="155">
        <v>60</v>
      </c>
      <c r="C334" s="155">
        <v>930</v>
      </c>
      <c r="D334" s="156">
        <v>70499</v>
      </c>
      <c r="E334" s="157" t="s">
        <v>173</v>
      </c>
      <c r="F334" s="151" t="s">
        <v>427</v>
      </c>
      <c r="G334" s="38"/>
      <c r="H334" s="38"/>
      <c r="I334" s="38"/>
      <c r="J334" s="38"/>
      <c r="K334" s="38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11"/>
    </row>
    <row r="335" spans="1:24" ht="18.75" x14ac:dyDescent="0.25">
      <c r="A335" s="4"/>
      <c r="B335" s="52"/>
      <c r="C335" s="52"/>
      <c r="D335" s="7"/>
      <c r="E335" s="117"/>
      <c r="F335" s="118"/>
      <c r="G335" s="38"/>
      <c r="H335" s="38"/>
      <c r="I335" s="38"/>
      <c r="J335" s="38"/>
      <c r="K335" s="38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11"/>
    </row>
    <row r="336" spans="1:24" ht="18.75" x14ac:dyDescent="0.25">
      <c r="A336" s="4"/>
      <c r="B336" s="52"/>
      <c r="C336" s="52"/>
      <c r="D336" s="7"/>
      <c r="E336" s="117"/>
      <c r="F336" s="118"/>
      <c r="G336" s="38"/>
      <c r="H336" s="38"/>
      <c r="I336" s="38"/>
      <c r="J336" s="38"/>
      <c r="K336" s="38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11"/>
    </row>
    <row r="337" spans="1:24" ht="18.75" x14ac:dyDescent="0.25">
      <c r="A337" s="4"/>
      <c r="B337" s="52"/>
      <c r="C337" s="52"/>
      <c r="D337" s="7"/>
      <c r="E337" s="117"/>
      <c r="F337" s="118"/>
      <c r="G337" s="38"/>
      <c r="H337" s="38"/>
      <c r="I337" s="38"/>
      <c r="J337" s="38"/>
      <c r="K337" s="38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11"/>
    </row>
    <row r="338" spans="1:24" ht="18.75" x14ac:dyDescent="0.25">
      <c r="A338" s="56"/>
      <c r="B338" s="50"/>
      <c r="C338" s="50"/>
      <c r="D338" s="50"/>
      <c r="E338" s="54"/>
      <c r="F338" s="36" t="s">
        <v>119</v>
      </c>
      <c r="G338" s="36"/>
      <c r="H338" s="36"/>
      <c r="I338" s="36"/>
      <c r="J338" s="36"/>
      <c r="K338" s="36"/>
      <c r="L338" s="99" t="e">
        <f>L339</f>
        <v>#REF!</v>
      </c>
      <c r="M338" s="99" t="e">
        <f t="shared" ref="M338:W338" si="26">M339</f>
        <v>#REF!</v>
      </c>
      <c r="N338" s="99" t="e">
        <f t="shared" si="26"/>
        <v>#REF!</v>
      </c>
      <c r="O338" s="99" t="e">
        <f t="shared" si="26"/>
        <v>#REF!</v>
      </c>
      <c r="P338" s="99" t="e">
        <f t="shared" si="26"/>
        <v>#REF!</v>
      </c>
      <c r="Q338" s="99" t="e">
        <f t="shared" si="26"/>
        <v>#REF!</v>
      </c>
      <c r="R338" s="99" t="e">
        <f t="shared" si="26"/>
        <v>#REF!</v>
      </c>
      <c r="S338" s="99" t="e">
        <f t="shared" si="26"/>
        <v>#REF!</v>
      </c>
      <c r="T338" s="99" t="e">
        <f t="shared" si="26"/>
        <v>#REF!</v>
      </c>
      <c r="U338" s="99" t="e">
        <f t="shared" si="26"/>
        <v>#REF!</v>
      </c>
      <c r="V338" s="99" t="e">
        <f t="shared" si="26"/>
        <v>#REF!</v>
      </c>
      <c r="W338" s="99" t="e">
        <f t="shared" si="26"/>
        <v>#REF!</v>
      </c>
      <c r="X338" s="111" t="e">
        <f t="shared" si="25"/>
        <v>#REF!</v>
      </c>
    </row>
    <row r="339" spans="1:24" ht="18.75" x14ac:dyDescent="0.25">
      <c r="A339" s="57"/>
      <c r="B339" s="51"/>
      <c r="C339" s="51"/>
      <c r="D339" s="51"/>
      <c r="E339" s="55"/>
      <c r="F339" s="37" t="s">
        <v>6</v>
      </c>
      <c r="G339" s="37"/>
      <c r="H339" s="37"/>
      <c r="I339" s="37"/>
      <c r="J339" s="37"/>
      <c r="K339" s="37"/>
      <c r="L339" s="100" t="e">
        <f>SUM(L340:L357)</f>
        <v>#REF!</v>
      </c>
      <c r="M339" s="100" t="e">
        <f t="shared" ref="M339:W339" si="27">SUM(M340:M357)</f>
        <v>#REF!</v>
      </c>
      <c r="N339" s="100" t="e">
        <f t="shared" si="27"/>
        <v>#REF!</v>
      </c>
      <c r="O339" s="100" t="e">
        <f t="shared" si="27"/>
        <v>#REF!</v>
      </c>
      <c r="P339" s="100" t="e">
        <f t="shared" si="27"/>
        <v>#REF!</v>
      </c>
      <c r="Q339" s="100" t="e">
        <f t="shared" si="27"/>
        <v>#REF!</v>
      </c>
      <c r="R339" s="100" t="e">
        <f t="shared" si="27"/>
        <v>#REF!</v>
      </c>
      <c r="S339" s="100" t="e">
        <f t="shared" si="27"/>
        <v>#REF!</v>
      </c>
      <c r="T339" s="100" t="e">
        <f t="shared" si="27"/>
        <v>#REF!</v>
      </c>
      <c r="U339" s="100" t="e">
        <f t="shared" si="27"/>
        <v>#REF!</v>
      </c>
      <c r="V339" s="100" t="e">
        <f t="shared" si="27"/>
        <v>#REF!</v>
      </c>
      <c r="W339" s="100" t="e">
        <f t="shared" si="27"/>
        <v>#REF!</v>
      </c>
      <c r="X339" s="111" t="e">
        <f t="shared" si="25"/>
        <v>#REF!</v>
      </c>
    </row>
    <row r="340" spans="1:24" ht="37.5" x14ac:dyDescent="0.25">
      <c r="A340" s="4">
        <v>311</v>
      </c>
      <c r="B340" s="53">
        <v>45</v>
      </c>
      <c r="C340" s="53">
        <v>920</v>
      </c>
      <c r="D340" s="53">
        <v>70259</v>
      </c>
      <c r="E340" s="20" t="s">
        <v>172</v>
      </c>
      <c r="F340" s="72" t="s">
        <v>45</v>
      </c>
      <c r="G340" s="39"/>
      <c r="H340" s="39"/>
      <c r="I340" s="39"/>
      <c r="J340" s="39"/>
      <c r="K340" s="39"/>
      <c r="L340" s="68" t="e">
        <f>ROUND(COM!H340,1)</f>
        <v>#REF!</v>
      </c>
      <c r="M340" s="68" t="e">
        <f>ROUND(COM!I340,1)</f>
        <v>#REF!</v>
      </c>
      <c r="N340" s="68" t="e">
        <f>ROUND(COM!J340,1)</f>
        <v>#REF!</v>
      </c>
      <c r="O340" s="68" t="e">
        <f>ROUND(COM!K340,1)</f>
        <v>#REF!</v>
      </c>
      <c r="P340" s="68" t="e">
        <f>ROUND(COM!L340,1)</f>
        <v>#REF!</v>
      </c>
      <c r="Q340" s="68" t="e">
        <f>ROUND(COM!M340,1)</f>
        <v>#REF!</v>
      </c>
      <c r="R340" s="68" t="e">
        <f>ROUND(COM!N340,1)</f>
        <v>#REF!</v>
      </c>
      <c r="S340" s="68" t="e">
        <f>ROUND(COM!O340,1)</f>
        <v>#REF!</v>
      </c>
      <c r="T340" s="68" t="e">
        <f>ROUND(COM!P340,1)</f>
        <v>#REF!</v>
      </c>
      <c r="U340" s="68" t="e">
        <f>ROUND(COM!Q340,1)</f>
        <v>#REF!</v>
      </c>
      <c r="V340" s="68" t="e">
        <f>ROUND(COM!R340,1)</f>
        <v>#REF!</v>
      </c>
      <c r="W340" s="68" t="e">
        <f>ROUND(COM!S340,1)</f>
        <v>#REF!</v>
      </c>
      <c r="X340" s="111" t="e">
        <f t="shared" si="25"/>
        <v>#REF!</v>
      </c>
    </row>
    <row r="341" spans="1:24" ht="37.5" x14ac:dyDescent="0.25">
      <c r="A341" s="4">
        <v>311</v>
      </c>
      <c r="B341" s="53">
        <v>45</v>
      </c>
      <c r="C341" s="53">
        <v>930</v>
      </c>
      <c r="D341" s="53">
        <v>70259</v>
      </c>
      <c r="E341" s="20" t="s">
        <v>172</v>
      </c>
      <c r="F341" s="72" t="s">
        <v>46</v>
      </c>
      <c r="G341" s="39"/>
      <c r="H341" s="39"/>
      <c r="I341" s="39"/>
      <c r="J341" s="39"/>
      <c r="K341" s="39"/>
      <c r="L341" s="68" t="e">
        <f>ROUND(COM!H341,1)</f>
        <v>#REF!</v>
      </c>
      <c r="M341" s="68" t="e">
        <f>ROUND(COM!I341,1)</f>
        <v>#REF!</v>
      </c>
      <c r="N341" s="68" t="e">
        <f>ROUND(COM!J341,1)</f>
        <v>#REF!</v>
      </c>
      <c r="O341" s="68" t="e">
        <f>ROUND(COM!K341,1)</f>
        <v>#REF!</v>
      </c>
      <c r="P341" s="68" t="e">
        <f>ROUND(COM!L341,1)</f>
        <v>#REF!</v>
      </c>
      <c r="Q341" s="68" t="e">
        <f>ROUND(COM!M341,1)</f>
        <v>#REF!</v>
      </c>
      <c r="R341" s="68" t="e">
        <f>ROUND(COM!N341,1)</f>
        <v>#REF!</v>
      </c>
      <c r="S341" s="68" t="e">
        <f>ROUND(COM!O341,1)</f>
        <v>#REF!</v>
      </c>
      <c r="T341" s="68" t="e">
        <f>ROUND(COM!P341,1)</f>
        <v>#REF!</v>
      </c>
      <c r="U341" s="68" t="e">
        <f>ROUND(COM!Q341,1)</f>
        <v>#REF!</v>
      </c>
      <c r="V341" s="68" t="e">
        <f>ROUND(COM!R341,1)</f>
        <v>#REF!</v>
      </c>
      <c r="W341" s="68" t="e">
        <f>ROUND(COM!S341,1)</f>
        <v>#REF!</v>
      </c>
      <c r="X341" s="111" t="e">
        <f t="shared" si="25"/>
        <v>#REF!</v>
      </c>
    </row>
    <row r="342" spans="1:24" ht="37.5" x14ac:dyDescent="0.25">
      <c r="A342" s="4">
        <v>311</v>
      </c>
      <c r="B342" s="53">
        <v>45</v>
      </c>
      <c r="C342" s="53">
        <v>920</v>
      </c>
      <c r="D342" s="53">
        <v>70259</v>
      </c>
      <c r="E342" s="20" t="s">
        <v>172</v>
      </c>
      <c r="F342" s="72" t="s">
        <v>263</v>
      </c>
      <c r="G342" s="39"/>
      <c r="H342" s="39"/>
      <c r="I342" s="39"/>
      <c r="J342" s="39"/>
      <c r="K342" s="39"/>
      <c r="L342" s="68" t="e">
        <f>ROUND(COM!H342,1)</f>
        <v>#REF!</v>
      </c>
      <c r="M342" s="68" t="e">
        <f>ROUND(COM!I342,1)</f>
        <v>#REF!</v>
      </c>
      <c r="N342" s="68" t="e">
        <f>ROUND(COM!J342,1)</f>
        <v>#REF!</v>
      </c>
      <c r="O342" s="68" t="e">
        <f>ROUND(COM!K342,1)</f>
        <v>#REF!</v>
      </c>
      <c r="P342" s="68" t="e">
        <f>ROUND(COM!L342,1)</f>
        <v>#REF!</v>
      </c>
      <c r="Q342" s="68" t="e">
        <f>ROUND(COM!M342,1)</f>
        <v>#REF!</v>
      </c>
      <c r="R342" s="68" t="e">
        <f>ROUND(COM!N342,1)</f>
        <v>#REF!</v>
      </c>
      <c r="S342" s="68" t="e">
        <f>ROUND(COM!O342,1)</f>
        <v>#REF!</v>
      </c>
      <c r="T342" s="68" t="e">
        <f>ROUND(COM!P342,1)</f>
        <v>#REF!</v>
      </c>
      <c r="U342" s="68" t="e">
        <f>ROUND(COM!Q342,1)</f>
        <v>#REF!</v>
      </c>
      <c r="V342" s="68" t="e">
        <f>ROUND(COM!R342,1)</f>
        <v>#REF!</v>
      </c>
      <c r="W342" s="68" t="e">
        <f>ROUND(COM!S342,1)</f>
        <v>#REF!</v>
      </c>
      <c r="X342" s="111" t="e">
        <f t="shared" si="25"/>
        <v>#REF!</v>
      </c>
    </row>
    <row r="343" spans="1:24" ht="37.5" x14ac:dyDescent="0.25">
      <c r="A343" s="4">
        <v>311</v>
      </c>
      <c r="B343" s="53">
        <v>45</v>
      </c>
      <c r="C343" s="53">
        <v>930</v>
      </c>
      <c r="D343" s="53">
        <v>70259</v>
      </c>
      <c r="E343" s="20" t="s">
        <v>172</v>
      </c>
      <c r="F343" s="72" t="s">
        <v>262</v>
      </c>
      <c r="G343" s="39"/>
      <c r="H343" s="39"/>
      <c r="I343" s="39"/>
      <c r="J343" s="39"/>
      <c r="K343" s="39"/>
      <c r="L343" s="68" t="e">
        <f>ROUND(COM!H343,1)</f>
        <v>#REF!</v>
      </c>
      <c r="M343" s="68" t="e">
        <f>ROUND(COM!I343,1)</f>
        <v>#REF!</v>
      </c>
      <c r="N343" s="68" t="e">
        <f>ROUND(COM!J343,1)</f>
        <v>#REF!</v>
      </c>
      <c r="O343" s="68" t="e">
        <f>ROUND(COM!K343,1)</f>
        <v>#REF!</v>
      </c>
      <c r="P343" s="68" t="e">
        <f>ROUND(COM!L343,1)</f>
        <v>#REF!</v>
      </c>
      <c r="Q343" s="68" t="e">
        <f>ROUND(COM!M343,1)</f>
        <v>#REF!</v>
      </c>
      <c r="R343" s="68" t="e">
        <f>ROUND(COM!N343,1)</f>
        <v>#REF!</v>
      </c>
      <c r="S343" s="68" t="e">
        <f>ROUND(COM!O343,1)</f>
        <v>#REF!</v>
      </c>
      <c r="T343" s="68" t="e">
        <f>ROUND(COM!P343,1)</f>
        <v>#REF!</v>
      </c>
      <c r="U343" s="68" t="e">
        <f>ROUND(COM!Q343,1)</f>
        <v>#REF!</v>
      </c>
      <c r="V343" s="68" t="e">
        <f>ROUND(COM!R343,1)</f>
        <v>#REF!</v>
      </c>
      <c r="W343" s="68" t="e">
        <f>ROUND(COM!S343,1)</f>
        <v>#REF!</v>
      </c>
      <c r="X343" s="111" t="e">
        <f t="shared" si="25"/>
        <v>#REF!</v>
      </c>
    </row>
    <row r="344" spans="1:24" ht="56.25" x14ac:dyDescent="0.25">
      <c r="A344" s="4">
        <v>311</v>
      </c>
      <c r="B344" s="53">
        <v>45</v>
      </c>
      <c r="C344" s="53">
        <v>930</v>
      </c>
      <c r="D344" s="53">
        <v>70259</v>
      </c>
      <c r="E344" s="48" t="s">
        <v>172</v>
      </c>
      <c r="F344" s="72" t="s">
        <v>230</v>
      </c>
      <c r="G344" s="39"/>
      <c r="H344" s="39"/>
      <c r="I344" s="39"/>
      <c r="J344" s="39"/>
      <c r="K344" s="39"/>
      <c r="L344" s="68" t="e">
        <f>ROUND(COM!H344,1)</f>
        <v>#REF!</v>
      </c>
      <c r="M344" s="68" t="e">
        <f>ROUND(COM!I344,1)</f>
        <v>#REF!</v>
      </c>
      <c r="N344" s="68" t="e">
        <f>ROUND(COM!J344,1)</f>
        <v>#REF!</v>
      </c>
      <c r="O344" s="68" t="e">
        <f>ROUND(COM!K344,1)</f>
        <v>#REF!</v>
      </c>
      <c r="P344" s="68" t="e">
        <f>ROUND(COM!L344,1)</f>
        <v>#REF!</v>
      </c>
      <c r="Q344" s="68" t="e">
        <f>ROUND(COM!M344,1)</f>
        <v>#REF!</v>
      </c>
      <c r="R344" s="68" t="e">
        <f>ROUND(COM!N344,1)</f>
        <v>#REF!</v>
      </c>
      <c r="S344" s="68" t="e">
        <f>ROUND(COM!O344,1)</f>
        <v>#REF!</v>
      </c>
      <c r="T344" s="68" t="e">
        <f>ROUND(COM!P344,1)</f>
        <v>#REF!</v>
      </c>
      <c r="U344" s="68" t="e">
        <f>ROUND(COM!Q344,1)</f>
        <v>#REF!</v>
      </c>
      <c r="V344" s="68" t="e">
        <f>ROUND(COM!R344,1)</f>
        <v>#REF!</v>
      </c>
      <c r="W344" s="68" t="e">
        <f>ROUND(COM!S344,1)</f>
        <v>#REF!</v>
      </c>
      <c r="X344" s="111" t="e">
        <f t="shared" si="25"/>
        <v>#REF!</v>
      </c>
    </row>
    <row r="345" spans="1:24" ht="37.5" x14ac:dyDescent="0.3">
      <c r="A345" s="4">
        <v>311</v>
      </c>
      <c r="B345" s="53">
        <v>45</v>
      </c>
      <c r="C345" s="53">
        <v>920</v>
      </c>
      <c r="D345" s="53">
        <v>70259</v>
      </c>
      <c r="E345" s="53" t="s">
        <v>172</v>
      </c>
      <c r="F345" s="71" t="s">
        <v>232</v>
      </c>
      <c r="G345" s="44"/>
      <c r="H345" s="44"/>
      <c r="I345" s="44"/>
      <c r="J345" s="44"/>
      <c r="K345" s="44"/>
      <c r="L345" s="68" t="e">
        <f>ROUND(COM!H345,1)</f>
        <v>#REF!</v>
      </c>
      <c r="M345" s="68" t="e">
        <f>ROUND(COM!I345,1)</f>
        <v>#REF!</v>
      </c>
      <c r="N345" s="68" t="e">
        <f>ROUND(COM!J345,1)</f>
        <v>#REF!</v>
      </c>
      <c r="O345" s="68" t="e">
        <f>ROUND(COM!K345,1)</f>
        <v>#REF!</v>
      </c>
      <c r="P345" s="68" t="e">
        <f>ROUND(COM!L345,1)</f>
        <v>#REF!</v>
      </c>
      <c r="Q345" s="68" t="e">
        <f>ROUND(COM!M345,1)</f>
        <v>#REF!</v>
      </c>
      <c r="R345" s="68" t="e">
        <f>ROUND(COM!N345,1)</f>
        <v>#REF!</v>
      </c>
      <c r="S345" s="68" t="e">
        <f>ROUND(COM!O345,1)</f>
        <v>#REF!</v>
      </c>
      <c r="T345" s="68" t="e">
        <f>ROUND(COM!P345,1)</f>
        <v>#REF!</v>
      </c>
      <c r="U345" s="68" t="e">
        <f>ROUND(COM!Q345,1)</f>
        <v>#REF!</v>
      </c>
      <c r="V345" s="68" t="e">
        <f>ROUND(COM!R345,1)</f>
        <v>#REF!</v>
      </c>
      <c r="W345" s="68" t="e">
        <f>ROUND(COM!S345,1)</f>
        <v>#REF!</v>
      </c>
      <c r="X345" s="111" t="e">
        <f t="shared" si="25"/>
        <v>#REF!</v>
      </c>
    </row>
    <row r="346" spans="1:24" ht="37.5" x14ac:dyDescent="0.3">
      <c r="A346" s="4">
        <v>311</v>
      </c>
      <c r="B346" s="53">
        <v>45</v>
      </c>
      <c r="C346" s="53">
        <v>930</v>
      </c>
      <c r="D346" s="53">
        <v>70259</v>
      </c>
      <c r="E346" s="53" t="s">
        <v>172</v>
      </c>
      <c r="F346" s="71" t="s">
        <v>231</v>
      </c>
      <c r="G346" s="44"/>
      <c r="H346" s="44"/>
      <c r="I346" s="44"/>
      <c r="J346" s="44"/>
      <c r="K346" s="44"/>
      <c r="L346" s="68" t="e">
        <f>ROUND(COM!H346,1)</f>
        <v>#REF!</v>
      </c>
      <c r="M346" s="68" t="e">
        <f>ROUND(COM!I346,1)</f>
        <v>#REF!</v>
      </c>
      <c r="N346" s="68" t="e">
        <f>ROUND(COM!J346,1)</f>
        <v>#REF!</v>
      </c>
      <c r="O346" s="68" t="e">
        <f>ROUND(COM!K346,1)</f>
        <v>#REF!</v>
      </c>
      <c r="P346" s="68" t="e">
        <f>ROUND(COM!L346,1)</f>
        <v>#REF!</v>
      </c>
      <c r="Q346" s="68" t="e">
        <f>ROUND(COM!M346,1)</f>
        <v>#REF!</v>
      </c>
      <c r="R346" s="68" t="e">
        <f>ROUND(COM!N346,1)</f>
        <v>#REF!</v>
      </c>
      <c r="S346" s="68" t="e">
        <f>ROUND(COM!O346,1)</f>
        <v>#REF!</v>
      </c>
      <c r="T346" s="68" t="e">
        <f>ROUND(COM!P346,1)</f>
        <v>#REF!</v>
      </c>
      <c r="U346" s="68" t="e">
        <f>ROUND(COM!Q346,1)</f>
        <v>#REF!</v>
      </c>
      <c r="V346" s="68" t="e">
        <f>ROUND(COM!R346,1)</f>
        <v>#REF!</v>
      </c>
      <c r="W346" s="68" t="e">
        <f>ROUND(COM!S346,1)</f>
        <v>#REF!</v>
      </c>
      <c r="X346" s="111" t="e">
        <f t="shared" si="25"/>
        <v>#REF!</v>
      </c>
    </row>
    <row r="347" spans="1:24" ht="18.75" x14ac:dyDescent="0.25">
      <c r="A347" s="4">
        <v>311</v>
      </c>
      <c r="B347" s="53">
        <v>45</v>
      </c>
      <c r="C347" s="53">
        <v>910</v>
      </c>
      <c r="D347" s="53">
        <v>70259</v>
      </c>
      <c r="E347" s="48"/>
      <c r="F347" s="72" t="s">
        <v>120</v>
      </c>
      <c r="G347" s="39"/>
      <c r="H347" s="39"/>
      <c r="I347" s="39"/>
      <c r="J347" s="39"/>
      <c r="K347" s="39"/>
      <c r="L347" s="68" t="e">
        <f>ROUND(COM!H347,1)</f>
        <v>#REF!</v>
      </c>
      <c r="M347" s="68" t="e">
        <f>ROUND(COM!I347,1)</f>
        <v>#REF!</v>
      </c>
      <c r="N347" s="68" t="e">
        <f>ROUND(COM!J347,1)</f>
        <v>#REF!</v>
      </c>
      <c r="O347" s="68" t="e">
        <f>ROUND(COM!K347,1)</f>
        <v>#REF!</v>
      </c>
      <c r="P347" s="68" t="e">
        <f>ROUND(COM!L347,1)</f>
        <v>#REF!</v>
      </c>
      <c r="Q347" s="68" t="e">
        <f>ROUND(COM!M347,1)</f>
        <v>#REF!</v>
      </c>
      <c r="R347" s="68" t="e">
        <f>ROUND(COM!N347,1)</f>
        <v>#REF!</v>
      </c>
      <c r="S347" s="68" t="e">
        <f>ROUND(COM!O347,1)</f>
        <v>#REF!</v>
      </c>
      <c r="T347" s="68" t="e">
        <f>ROUND(COM!P347,1)</f>
        <v>#REF!</v>
      </c>
      <c r="U347" s="68" t="e">
        <f>ROUND(COM!Q347,1)</f>
        <v>#REF!</v>
      </c>
      <c r="V347" s="68" t="e">
        <f>ROUND(COM!R347,1)</f>
        <v>#REF!</v>
      </c>
      <c r="W347" s="68" t="e">
        <f>ROUND(COM!S347,1)</f>
        <v>#REF!</v>
      </c>
      <c r="X347" s="111" t="e">
        <f t="shared" si="25"/>
        <v>#REF!</v>
      </c>
    </row>
    <row r="348" spans="1:24" ht="37.5" x14ac:dyDescent="0.25">
      <c r="A348" s="4">
        <v>311</v>
      </c>
      <c r="B348" s="53">
        <v>45</v>
      </c>
      <c r="C348" s="53">
        <v>920</v>
      </c>
      <c r="D348" s="53">
        <v>70259</v>
      </c>
      <c r="E348" s="48" t="s">
        <v>173</v>
      </c>
      <c r="F348" s="72" t="s">
        <v>121</v>
      </c>
      <c r="G348" s="39"/>
      <c r="H348" s="39"/>
      <c r="I348" s="39"/>
      <c r="J348" s="39"/>
      <c r="K348" s="39"/>
      <c r="L348" s="68" t="e">
        <f>ROUND(COM!H348,1)</f>
        <v>#REF!</v>
      </c>
      <c r="M348" s="68" t="e">
        <f>ROUND(COM!I348,1)</f>
        <v>#REF!</v>
      </c>
      <c r="N348" s="68" t="e">
        <f>ROUND(COM!J348,1)</f>
        <v>#REF!</v>
      </c>
      <c r="O348" s="68" t="e">
        <f>ROUND(COM!K348,1)</f>
        <v>#REF!</v>
      </c>
      <c r="P348" s="68" t="e">
        <f>ROUND(COM!L348,1)</f>
        <v>#REF!</v>
      </c>
      <c r="Q348" s="68" t="e">
        <f>ROUND(COM!M348,1)</f>
        <v>#REF!</v>
      </c>
      <c r="R348" s="68" t="e">
        <f>ROUND(COM!N348,1)</f>
        <v>#REF!</v>
      </c>
      <c r="S348" s="68" t="e">
        <f>ROUND(COM!O348,1)</f>
        <v>#REF!</v>
      </c>
      <c r="T348" s="68" t="e">
        <f>ROUND(COM!P348,1)</f>
        <v>#REF!</v>
      </c>
      <c r="U348" s="68" t="e">
        <f>ROUND(COM!Q348,1)</f>
        <v>#REF!</v>
      </c>
      <c r="V348" s="68" t="e">
        <f>ROUND(COM!R348,1)</f>
        <v>#REF!</v>
      </c>
      <c r="W348" s="68" t="e">
        <f>ROUND(COM!S348,1)</f>
        <v>#REF!</v>
      </c>
      <c r="X348" s="111" t="e">
        <f t="shared" si="25"/>
        <v>#REF!</v>
      </c>
    </row>
    <row r="349" spans="1:24" ht="37.5" x14ac:dyDescent="0.25">
      <c r="A349" s="4">
        <v>311</v>
      </c>
      <c r="B349" s="53">
        <v>45</v>
      </c>
      <c r="C349" s="53">
        <v>930</v>
      </c>
      <c r="D349" s="53">
        <v>70259</v>
      </c>
      <c r="E349" s="48" t="s">
        <v>173</v>
      </c>
      <c r="F349" s="72" t="s">
        <v>122</v>
      </c>
      <c r="G349" s="39"/>
      <c r="H349" s="39"/>
      <c r="I349" s="39"/>
      <c r="J349" s="39"/>
      <c r="K349" s="39"/>
      <c r="L349" s="68" t="e">
        <f>ROUND(COM!H349,1)</f>
        <v>#REF!</v>
      </c>
      <c r="M349" s="68" t="e">
        <f>ROUND(COM!I349,1)</f>
        <v>#REF!</v>
      </c>
      <c r="N349" s="68" t="e">
        <f>ROUND(COM!J349,1)</f>
        <v>#REF!</v>
      </c>
      <c r="O349" s="68" t="e">
        <f>ROUND(COM!K349,1)</f>
        <v>#REF!</v>
      </c>
      <c r="P349" s="68" t="e">
        <f>ROUND(COM!L349,1)</f>
        <v>#REF!</v>
      </c>
      <c r="Q349" s="68" t="e">
        <f>ROUND(COM!M349,1)</f>
        <v>#REF!</v>
      </c>
      <c r="R349" s="68" t="e">
        <f>ROUND(COM!N349,1)</f>
        <v>#REF!</v>
      </c>
      <c r="S349" s="68" t="e">
        <f>ROUND(COM!O349,1)</f>
        <v>#REF!</v>
      </c>
      <c r="T349" s="68" t="e">
        <f>ROUND(COM!P349,1)</f>
        <v>#REF!</v>
      </c>
      <c r="U349" s="68" t="e">
        <f>ROUND(COM!Q349,1)</f>
        <v>#REF!</v>
      </c>
      <c r="V349" s="68" t="e">
        <f>ROUND(COM!R349,1)</f>
        <v>#REF!</v>
      </c>
      <c r="W349" s="68" t="e">
        <f>ROUND(COM!S349,1)</f>
        <v>#REF!</v>
      </c>
      <c r="X349" s="111" t="e">
        <f t="shared" si="25"/>
        <v>#REF!</v>
      </c>
    </row>
    <row r="350" spans="1:24" ht="37.5" customHeight="1" x14ac:dyDescent="0.25">
      <c r="A350" s="4">
        <v>311</v>
      </c>
      <c r="B350" s="53">
        <v>45</v>
      </c>
      <c r="C350" s="53">
        <v>910</v>
      </c>
      <c r="D350" s="53">
        <v>70259</v>
      </c>
      <c r="E350" s="48"/>
      <c r="F350" s="82" t="s">
        <v>62</v>
      </c>
      <c r="G350" s="230" t="s">
        <v>319</v>
      </c>
      <c r="H350" s="168"/>
      <c r="I350" s="168"/>
      <c r="J350" s="168"/>
      <c r="K350" s="168"/>
      <c r="L350" s="68" t="e">
        <f>ROUND(COM!H350,1)</f>
        <v>#REF!</v>
      </c>
      <c r="M350" s="68" t="e">
        <f>ROUND(COM!I350,1)</f>
        <v>#REF!</v>
      </c>
      <c r="N350" s="68" t="e">
        <f>ROUND(COM!J350,1)</f>
        <v>#REF!</v>
      </c>
      <c r="O350" s="68" t="e">
        <f>ROUND(COM!K350,1)</f>
        <v>#REF!</v>
      </c>
      <c r="P350" s="68" t="e">
        <f>ROUND(COM!L350,1)</f>
        <v>#REF!</v>
      </c>
      <c r="Q350" s="68" t="e">
        <f>ROUND(COM!M350,1)</f>
        <v>#REF!</v>
      </c>
      <c r="R350" s="68" t="e">
        <f>ROUND(COM!N350,1)</f>
        <v>#REF!</v>
      </c>
      <c r="S350" s="68" t="e">
        <f>ROUND(COM!O350,1)</f>
        <v>#REF!</v>
      </c>
      <c r="T350" s="68" t="e">
        <f>ROUND(COM!P350,1)</f>
        <v>#REF!</v>
      </c>
      <c r="U350" s="68" t="e">
        <f>ROUND(COM!Q350,1)</f>
        <v>#REF!</v>
      </c>
      <c r="V350" s="68" t="e">
        <f>ROUND(COM!R350,1)</f>
        <v>#REF!</v>
      </c>
      <c r="W350" s="68" t="e">
        <f>ROUND(COM!S350,1)</f>
        <v>#REF!</v>
      </c>
      <c r="X350" s="111" t="e">
        <f t="shared" si="25"/>
        <v>#REF!</v>
      </c>
    </row>
    <row r="351" spans="1:24" ht="37.5" x14ac:dyDescent="0.25">
      <c r="A351" s="4">
        <v>311</v>
      </c>
      <c r="B351" s="53">
        <v>45</v>
      </c>
      <c r="C351" s="53">
        <v>920</v>
      </c>
      <c r="D351" s="53">
        <v>70259</v>
      </c>
      <c r="E351" s="48" t="s">
        <v>173</v>
      </c>
      <c r="F351" s="82" t="s">
        <v>63</v>
      </c>
      <c r="G351" s="231"/>
      <c r="H351" s="169"/>
      <c r="I351" s="169"/>
      <c r="J351" s="169"/>
      <c r="K351" s="169"/>
      <c r="L351" s="68" t="e">
        <f>ROUND(COM!H351,1)</f>
        <v>#REF!</v>
      </c>
      <c r="M351" s="68" t="e">
        <f>ROUND(COM!I351,1)</f>
        <v>#REF!</v>
      </c>
      <c r="N351" s="68" t="e">
        <f>ROUND(COM!J351,1)</f>
        <v>#REF!</v>
      </c>
      <c r="O351" s="68" t="e">
        <f>ROUND(COM!K351,1)</f>
        <v>#REF!</v>
      </c>
      <c r="P351" s="68" t="e">
        <f>ROUND(COM!L351,1)</f>
        <v>#REF!</v>
      </c>
      <c r="Q351" s="68" t="e">
        <f>ROUND(COM!M351,1)</f>
        <v>#REF!</v>
      </c>
      <c r="R351" s="68" t="e">
        <f>ROUND(COM!N351,1)</f>
        <v>#REF!</v>
      </c>
      <c r="S351" s="68" t="e">
        <f>ROUND(COM!O351,1)</f>
        <v>#REF!</v>
      </c>
      <c r="T351" s="68" t="e">
        <f>ROUND(COM!P351,1)</f>
        <v>#REF!</v>
      </c>
      <c r="U351" s="68" t="e">
        <f>ROUND(COM!Q351,1)</f>
        <v>#REF!</v>
      </c>
      <c r="V351" s="68" t="e">
        <f>ROUND(COM!R351,1)</f>
        <v>#REF!</v>
      </c>
      <c r="W351" s="68" t="e">
        <f>ROUND(COM!S351,1)</f>
        <v>#REF!</v>
      </c>
      <c r="X351" s="111" t="e">
        <f t="shared" si="25"/>
        <v>#REF!</v>
      </c>
    </row>
    <row r="352" spans="1:24" ht="37.5" x14ac:dyDescent="0.25">
      <c r="A352" s="4">
        <v>311</v>
      </c>
      <c r="B352" s="53">
        <v>45</v>
      </c>
      <c r="C352" s="53">
        <v>930</v>
      </c>
      <c r="D352" s="53">
        <v>70259</v>
      </c>
      <c r="E352" s="48" t="s">
        <v>173</v>
      </c>
      <c r="F352" s="82" t="s">
        <v>64</v>
      </c>
      <c r="G352" s="232"/>
      <c r="H352" s="170"/>
      <c r="I352" s="170"/>
      <c r="J352" s="170"/>
      <c r="K352" s="170"/>
      <c r="L352" s="68" t="e">
        <f>ROUND(COM!H352,1)</f>
        <v>#REF!</v>
      </c>
      <c r="M352" s="68" t="e">
        <f>ROUND(COM!I352,1)</f>
        <v>#REF!</v>
      </c>
      <c r="N352" s="68" t="e">
        <f>ROUND(COM!J352,1)</f>
        <v>#REF!</v>
      </c>
      <c r="O352" s="68" t="e">
        <f>ROUND(COM!K352,1)</f>
        <v>#REF!</v>
      </c>
      <c r="P352" s="68" t="e">
        <f>ROUND(COM!L352,1)</f>
        <v>#REF!</v>
      </c>
      <c r="Q352" s="68" t="e">
        <f>ROUND(COM!M352,1)</f>
        <v>#REF!</v>
      </c>
      <c r="R352" s="68" t="e">
        <f>ROUND(COM!N352,1)</f>
        <v>#REF!</v>
      </c>
      <c r="S352" s="68" t="e">
        <f>ROUND(COM!O352,1)</f>
        <v>#REF!</v>
      </c>
      <c r="T352" s="68" t="e">
        <f>ROUND(COM!P352,1)</f>
        <v>#REF!</v>
      </c>
      <c r="U352" s="68" t="e">
        <f>ROUND(COM!Q352,1)</f>
        <v>#REF!</v>
      </c>
      <c r="V352" s="68" t="e">
        <f>ROUND(COM!R352,1)</f>
        <v>#REF!</v>
      </c>
      <c r="W352" s="68" t="e">
        <f>ROUND(COM!S352,1)</f>
        <v>#REF!</v>
      </c>
      <c r="X352" s="111" t="e">
        <f t="shared" si="25"/>
        <v>#REF!</v>
      </c>
    </row>
    <row r="353" spans="1:24" s="121" customFormat="1" ht="18.75" x14ac:dyDescent="0.25">
      <c r="A353" s="114"/>
      <c r="B353" s="135"/>
      <c r="C353" s="135"/>
      <c r="D353" s="135"/>
      <c r="E353" s="123"/>
      <c r="F353" s="137"/>
      <c r="G353" s="138"/>
      <c r="H353" s="138"/>
      <c r="I353" s="138"/>
      <c r="J353" s="138"/>
      <c r="K353" s="138"/>
      <c r="L353" s="119"/>
      <c r="M353" s="134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20"/>
    </row>
    <row r="354" spans="1:24" s="121" customFormat="1" ht="18.75" x14ac:dyDescent="0.25">
      <c r="A354" s="114"/>
      <c r="B354" s="135"/>
      <c r="C354" s="135"/>
      <c r="D354" s="135"/>
      <c r="E354" s="123"/>
      <c r="F354" s="137"/>
      <c r="G354" s="138"/>
      <c r="H354" s="138"/>
      <c r="I354" s="138"/>
      <c r="J354" s="138"/>
      <c r="K354" s="138"/>
      <c r="L354" s="119"/>
      <c r="M354" s="134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20"/>
    </row>
    <row r="355" spans="1:24" s="121" customFormat="1" ht="18.75" x14ac:dyDescent="0.25">
      <c r="A355" s="114"/>
      <c r="B355" s="135"/>
      <c r="C355" s="135"/>
      <c r="D355" s="135"/>
      <c r="E355" s="123"/>
      <c r="F355" s="137"/>
      <c r="G355" s="138"/>
      <c r="H355" s="138"/>
      <c r="I355" s="138"/>
      <c r="J355" s="138"/>
      <c r="K355" s="138"/>
      <c r="L355" s="119"/>
      <c r="M355" s="134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20"/>
    </row>
    <row r="356" spans="1:24" s="121" customFormat="1" ht="18.75" x14ac:dyDescent="0.25">
      <c r="A356" s="114"/>
      <c r="B356" s="135"/>
      <c r="C356" s="135"/>
      <c r="D356" s="135"/>
      <c r="E356" s="123"/>
      <c r="F356" s="137"/>
      <c r="G356" s="138"/>
      <c r="H356" s="138"/>
      <c r="I356" s="138"/>
      <c r="J356" s="138"/>
      <c r="K356" s="138"/>
      <c r="L356" s="119"/>
      <c r="M356" s="134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20"/>
    </row>
    <row r="357" spans="1:24" s="121" customFormat="1" ht="18.75" x14ac:dyDescent="0.25">
      <c r="A357" s="114"/>
      <c r="B357" s="135"/>
      <c r="C357" s="135"/>
      <c r="D357" s="135"/>
      <c r="E357" s="123"/>
      <c r="F357" s="137"/>
      <c r="G357" s="137"/>
      <c r="H357" s="137"/>
      <c r="I357" s="137"/>
      <c r="J357" s="137"/>
      <c r="K357" s="137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20">
        <f t="shared" si="25"/>
        <v>0</v>
      </c>
    </row>
    <row r="358" spans="1:24" ht="18.75" x14ac:dyDescent="0.25">
      <c r="A358" s="56"/>
      <c r="B358" s="50"/>
      <c r="C358" s="50"/>
      <c r="D358" s="50"/>
      <c r="E358" s="54"/>
      <c r="F358" s="36" t="s">
        <v>123</v>
      </c>
      <c r="G358" s="36"/>
      <c r="H358" s="36"/>
      <c r="I358" s="36"/>
      <c r="J358" s="36"/>
      <c r="K358" s="36"/>
      <c r="L358" s="99" t="e">
        <f>L359</f>
        <v>#REF!</v>
      </c>
      <c r="M358" s="99" t="e">
        <f t="shared" ref="M358:W358" si="28">M359</f>
        <v>#REF!</v>
      </c>
      <c r="N358" s="99" t="e">
        <f t="shared" si="28"/>
        <v>#REF!</v>
      </c>
      <c r="O358" s="99" t="e">
        <f t="shared" si="28"/>
        <v>#REF!</v>
      </c>
      <c r="P358" s="99" t="e">
        <f t="shared" si="28"/>
        <v>#REF!</v>
      </c>
      <c r="Q358" s="99" t="e">
        <f t="shared" si="28"/>
        <v>#REF!</v>
      </c>
      <c r="R358" s="99" t="e">
        <f t="shared" si="28"/>
        <v>#REF!</v>
      </c>
      <c r="S358" s="99" t="e">
        <f t="shared" si="28"/>
        <v>#REF!</v>
      </c>
      <c r="T358" s="99" t="e">
        <f t="shared" si="28"/>
        <v>#REF!</v>
      </c>
      <c r="U358" s="99" t="e">
        <f t="shared" si="28"/>
        <v>#REF!</v>
      </c>
      <c r="V358" s="99" t="e">
        <f t="shared" si="28"/>
        <v>#REF!</v>
      </c>
      <c r="W358" s="99" t="e">
        <f t="shared" si="28"/>
        <v>#REF!</v>
      </c>
      <c r="X358" s="111" t="e">
        <f t="shared" si="25"/>
        <v>#REF!</v>
      </c>
    </row>
    <row r="359" spans="1:24" ht="18.75" x14ac:dyDescent="0.25">
      <c r="A359" s="57"/>
      <c r="B359" s="51"/>
      <c r="C359" s="51"/>
      <c r="D359" s="51"/>
      <c r="E359" s="55"/>
      <c r="F359" s="37" t="s">
        <v>6</v>
      </c>
      <c r="G359" s="37"/>
      <c r="H359" s="37"/>
      <c r="I359" s="37"/>
      <c r="J359" s="37"/>
      <c r="K359" s="37"/>
      <c r="L359" s="100" t="e">
        <f>SUM(L360:L419)</f>
        <v>#REF!</v>
      </c>
      <c r="M359" s="100" t="e">
        <f>SUM(M360:M419)</f>
        <v>#REF!</v>
      </c>
      <c r="N359" s="100" t="e">
        <f t="shared" ref="N359:W359" si="29">SUM(N360:N419)</f>
        <v>#REF!</v>
      </c>
      <c r="O359" s="100" t="e">
        <f t="shared" si="29"/>
        <v>#REF!</v>
      </c>
      <c r="P359" s="100" t="e">
        <f t="shared" si="29"/>
        <v>#REF!</v>
      </c>
      <c r="Q359" s="100" t="e">
        <f t="shared" si="29"/>
        <v>#REF!</v>
      </c>
      <c r="R359" s="100" t="e">
        <f t="shared" si="29"/>
        <v>#REF!</v>
      </c>
      <c r="S359" s="100" t="e">
        <f t="shared" si="29"/>
        <v>#REF!</v>
      </c>
      <c r="T359" s="100" t="e">
        <f t="shared" si="29"/>
        <v>#REF!</v>
      </c>
      <c r="U359" s="100" t="e">
        <f t="shared" si="29"/>
        <v>#REF!</v>
      </c>
      <c r="V359" s="100" t="e">
        <f t="shared" si="29"/>
        <v>#REF!</v>
      </c>
      <c r="W359" s="100" t="e">
        <f t="shared" si="29"/>
        <v>#REF!</v>
      </c>
      <c r="X359" s="111" t="e">
        <f t="shared" si="25"/>
        <v>#REF!</v>
      </c>
    </row>
    <row r="360" spans="1:24" ht="18.75" x14ac:dyDescent="0.25">
      <c r="A360" s="77">
        <v>321</v>
      </c>
      <c r="B360" s="78">
        <v>55</v>
      </c>
      <c r="C360" s="78">
        <v>930</v>
      </c>
      <c r="D360" s="79">
        <v>70499</v>
      </c>
      <c r="E360" s="80" t="s">
        <v>172</v>
      </c>
      <c r="F360" s="81" t="s">
        <v>313</v>
      </c>
      <c r="G360" s="38"/>
      <c r="H360" s="38"/>
      <c r="I360" s="38"/>
      <c r="J360" s="38"/>
      <c r="K360" s="38"/>
      <c r="L360" s="68" t="e">
        <f>ROUND(COM!H360,1)</f>
        <v>#REF!</v>
      </c>
      <c r="M360" s="68" t="e">
        <f>ROUND(COM!I360,1)</f>
        <v>#REF!</v>
      </c>
      <c r="N360" s="68" t="e">
        <f>ROUND(COM!J360,1)</f>
        <v>#REF!</v>
      </c>
      <c r="O360" s="68" t="e">
        <f>ROUND(COM!K360,1)</f>
        <v>#REF!</v>
      </c>
      <c r="P360" s="68" t="e">
        <f>ROUND(COM!L360,1)</f>
        <v>#REF!</v>
      </c>
      <c r="Q360" s="68" t="e">
        <f>ROUND(COM!M360,1)</f>
        <v>#REF!</v>
      </c>
      <c r="R360" s="68" t="e">
        <f>ROUND(COM!N360,1)</f>
        <v>#REF!</v>
      </c>
      <c r="S360" s="68" t="e">
        <f>ROUND(COM!O360,1)</f>
        <v>#REF!</v>
      </c>
      <c r="T360" s="68" t="e">
        <f>ROUND(COM!P360,1)</f>
        <v>#REF!</v>
      </c>
      <c r="U360" s="68" t="e">
        <f>ROUND(COM!Q360,1)</f>
        <v>#REF!</v>
      </c>
      <c r="V360" s="68" t="e">
        <f>ROUND(COM!R360,1)</f>
        <v>#REF!</v>
      </c>
      <c r="W360" s="68" t="e">
        <f>ROUND(COM!S360,1)</f>
        <v>#REF!</v>
      </c>
      <c r="X360" s="111" t="e">
        <f t="shared" si="25"/>
        <v>#REF!</v>
      </c>
    </row>
    <row r="361" spans="1:24" ht="18.75" x14ac:dyDescent="0.25">
      <c r="A361" s="77">
        <v>321</v>
      </c>
      <c r="B361" s="78">
        <v>55</v>
      </c>
      <c r="C361" s="78">
        <v>930</v>
      </c>
      <c r="D361" s="79">
        <v>70499</v>
      </c>
      <c r="E361" s="80" t="s">
        <v>171</v>
      </c>
      <c r="F361" s="81" t="s">
        <v>314</v>
      </c>
      <c r="G361" s="38"/>
      <c r="H361" s="38"/>
      <c r="I361" s="38"/>
      <c r="J361" s="38"/>
      <c r="K361" s="38"/>
      <c r="L361" s="68" t="e">
        <f>ROUND(COM!H361,1)</f>
        <v>#REF!</v>
      </c>
      <c r="M361" s="68" t="e">
        <f>ROUND(COM!I361,1)</f>
        <v>#REF!</v>
      </c>
      <c r="N361" s="68" t="e">
        <f>ROUND(COM!J361,1)</f>
        <v>#REF!</v>
      </c>
      <c r="O361" s="68" t="e">
        <f>ROUND(COM!K361,1)</f>
        <v>#REF!</v>
      </c>
      <c r="P361" s="68" t="e">
        <f>ROUND(COM!L361,1)</f>
        <v>#REF!</v>
      </c>
      <c r="Q361" s="68" t="e">
        <f>ROUND(COM!M361,1)</f>
        <v>#REF!</v>
      </c>
      <c r="R361" s="68" t="e">
        <f>ROUND(COM!N361,1)</f>
        <v>#REF!</v>
      </c>
      <c r="S361" s="68" t="e">
        <f>ROUND(COM!O361,1)</f>
        <v>#REF!</v>
      </c>
      <c r="T361" s="68" t="e">
        <f>ROUND(COM!P361,1)</f>
        <v>#REF!</v>
      </c>
      <c r="U361" s="68" t="e">
        <f>ROUND(COM!Q361,1)</f>
        <v>#REF!</v>
      </c>
      <c r="V361" s="68" t="e">
        <f>ROUND(COM!R361,1)</f>
        <v>#REF!</v>
      </c>
      <c r="W361" s="68" t="e">
        <f>ROUND(COM!S361,1)</f>
        <v>#REF!</v>
      </c>
      <c r="X361" s="111" t="e">
        <f t="shared" si="25"/>
        <v>#REF!</v>
      </c>
    </row>
    <row r="362" spans="1:24" ht="18.75" x14ac:dyDescent="0.25">
      <c r="A362" s="77">
        <v>321</v>
      </c>
      <c r="B362" s="78">
        <v>55</v>
      </c>
      <c r="C362" s="78">
        <v>930</v>
      </c>
      <c r="D362" s="79">
        <v>70499</v>
      </c>
      <c r="E362" s="80" t="s">
        <v>174</v>
      </c>
      <c r="F362" s="81" t="s">
        <v>315</v>
      </c>
      <c r="G362" s="38"/>
      <c r="H362" s="38"/>
      <c r="I362" s="38"/>
      <c r="J362" s="38"/>
      <c r="K362" s="38"/>
      <c r="L362" s="68" t="e">
        <f>ROUND(COM!H362,1)</f>
        <v>#REF!</v>
      </c>
      <c r="M362" s="68" t="e">
        <f>ROUND(COM!I362,1)</f>
        <v>#REF!</v>
      </c>
      <c r="N362" s="68" t="e">
        <f>ROUND(COM!J362,1)</f>
        <v>#REF!</v>
      </c>
      <c r="O362" s="68" t="e">
        <f>ROUND(COM!K362,1)</f>
        <v>#REF!</v>
      </c>
      <c r="P362" s="68" t="e">
        <f>ROUND(COM!L362,1)</f>
        <v>#REF!</v>
      </c>
      <c r="Q362" s="68" t="e">
        <f>ROUND(COM!M362,1)</f>
        <v>#REF!</v>
      </c>
      <c r="R362" s="68" t="e">
        <f>ROUND(COM!N362,1)</f>
        <v>#REF!</v>
      </c>
      <c r="S362" s="68" t="e">
        <f>ROUND(COM!O362,1)</f>
        <v>#REF!</v>
      </c>
      <c r="T362" s="68" t="e">
        <f>ROUND(COM!P362,1)</f>
        <v>#REF!</v>
      </c>
      <c r="U362" s="68" t="e">
        <f>ROUND(COM!Q362,1)</f>
        <v>#REF!</v>
      </c>
      <c r="V362" s="68" t="e">
        <f>ROUND(COM!R362,1)</f>
        <v>#REF!</v>
      </c>
      <c r="W362" s="68" t="e">
        <f>ROUND(COM!S362,1)</f>
        <v>#REF!</v>
      </c>
      <c r="X362" s="111" t="e">
        <f t="shared" si="25"/>
        <v>#REF!</v>
      </c>
    </row>
    <row r="363" spans="1:24" ht="37.5" x14ac:dyDescent="0.25">
      <c r="A363" s="63">
        <v>321</v>
      </c>
      <c r="B363" s="64">
        <v>55</v>
      </c>
      <c r="C363" s="64">
        <v>930</v>
      </c>
      <c r="D363" s="65">
        <v>70499</v>
      </c>
      <c r="E363" s="20" t="s">
        <v>419</v>
      </c>
      <c r="F363" s="67" t="s">
        <v>431</v>
      </c>
      <c r="G363" s="38" t="s">
        <v>273</v>
      </c>
      <c r="H363" s="38"/>
      <c r="I363" s="38"/>
      <c r="J363" s="38"/>
      <c r="K363" s="38"/>
      <c r="L363" s="68" t="e">
        <f>ROUND(COM!H363,1)</f>
        <v>#REF!</v>
      </c>
      <c r="M363" s="68" t="e">
        <f>ROUND(COM!I363,1)</f>
        <v>#REF!</v>
      </c>
      <c r="N363" s="68" t="e">
        <f>ROUND(COM!J363,1)</f>
        <v>#REF!</v>
      </c>
      <c r="O363" s="68" t="e">
        <f>ROUND(COM!K363,1)</f>
        <v>#REF!</v>
      </c>
      <c r="P363" s="68" t="e">
        <f>ROUND(COM!L363,1)</f>
        <v>#REF!</v>
      </c>
      <c r="Q363" s="68" t="e">
        <f>ROUND(COM!M363,1)</f>
        <v>#REF!</v>
      </c>
      <c r="R363" s="68" t="e">
        <f>ROUND(COM!N363,1)</f>
        <v>#REF!</v>
      </c>
      <c r="S363" s="68" t="e">
        <f>ROUND(COM!O363,1)</f>
        <v>#REF!</v>
      </c>
      <c r="T363" s="68" t="e">
        <f>ROUND(COM!P363,1)</f>
        <v>#REF!</v>
      </c>
      <c r="U363" s="68" t="e">
        <f>ROUND(COM!Q363,1)</f>
        <v>#REF!</v>
      </c>
      <c r="V363" s="68" t="e">
        <f>ROUND(COM!R363,1)</f>
        <v>#REF!</v>
      </c>
      <c r="W363" s="68" t="e">
        <f>ROUND(COM!S363,1)</f>
        <v>#REF!</v>
      </c>
      <c r="X363" s="111" t="e">
        <f t="shared" si="25"/>
        <v>#REF!</v>
      </c>
    </row>
    <row r="364" spans="1:24" ht="18.75" x14ac:dyDescent="0.25">
      <c r="A364" s="63">
        <v>321</v>
      </c>
      <c r="B364" s="64">
        <v>55</v>
      </c>
      <c r="C364" s="64">
        <v>930</v>
      </c>
      <c r="D364" s="65">
        <v>70499</v>
      </c>
      <c r="E364" s="20" t="s">
        <v>419</v>
      </c>
      <c r="F364" s="67" t="s">
        <v>432</v>
      </c>
      <c r="G364" s="38" t="s">
        <v>274</v>
      </c>
      <c r="H364" s="38"/>
      <c r="I364" s="38"/>
      <c r="J364" s="38"/>
      <c r="K364" s="38"/>
      <c r="L364" s="68" t="e">
        <f>ROUND(COM!H364,1)</f>
        <v>#REF!</v>
      </c>
      <c r="M364" s="68" t="e">
        <f>ROUND(COM!I364,1)</f>
        <v>#REF!</v>
      </c>
      <c r="N364" s="68" t="e">
        <f>ROUND(COM!J364,1)</f>
        <v>#REF!</v>
      </c>
      <c r="O364" s="68" t="e">
        <f>ROUND(COM!K364,1)</f>
        <v>#REF!</v>
      </c>
      <c r="P364" s="68" t="e">
        <f>ROUND(COM!L364,1)</f>
        <v>#REF!</v>
      </c>
      <c r="Q364" s="68" t="e">
        <f>ROUND(COM!M364,1)</f>
        <v>#REF!</v>
      </c>
      <c r="R364" s="68" t="e">
        <f>ROUND(COM!N364,1)</f>
        <v>#REF!</v>
      </c>
      <c r="S364" s="68" t="e">
        <f>ROUND(COM!O364,1)</f>
        <v>#REF!</v>
      </c>
      <c r="T364" s="68" t="e">
        <f>ROUND(COM!P364,1)</f>
        <v>#REF!</v>
      </c>
      <c r="U364" s="68" t="e">
        <f>ROUND(COM!Q364,1)</f>
        <v>#REF!</v>
      </c>
      <c r="V364" s="68" t="e">
        <f>ROUND(COM!R364,1)</f>
        <v>#REF!</v>
      </c>
      <c r="W364" s="68" t="e">
        <f>ROUND(COM!S364,1)</f>
        <v>#REF!</v>
      </c>
      <c r="X364" s="111" t="e">
        <f t="shared" si="25"/>
        <v>#REF!</v>
      </c>
    </row>
    <row r="365" spans="1:24" ht="18.75" x14ac:dyDescent="0.25">
      <c r="A365" s="63">
        <v>311</v>
      </c>
      <c r="B365" s="64">
        <v>55</v>
      </c>
      <c r="C365" s="64">
        <v>910</v>
      </c>
      <c r="D365" s="65">
        <v>70499</v>
      </c>
      <c r="E365" s="66"/>
      <c r="F365" s="67" t="s">
        <v>124</v>
      </c>
      <c r="G365" s="38"/>
      <c r="H365" s="38"/>
      <c r="I365" s="38"/>
      <c r="J365" s="38"/>
      <c r="K365" s="38"/>
      <c r="L365" s="68" t="e">
        <f>ROUND(COM!H365,1)</f>
        <v>#REF!</v>
      </c>
      <c r="M365" s="68" t="e">
        <f>ROUND(COM!I365,1)</f>
        <v>#REF!</v>
      </c>
      <c r="N365" s="68" t="e">
        <f>ROUND(COM!J365,1)</f>
        <v>#REF!</v>
      </c>
      <c r="O365" s="68" t="e">
        <f>ROUND(COM!K365,1)</f>
        <v>#REF!</v>
      </c>
      <c r="P365" s="68" t="e">
        <f>ROUND(COM!L365,1)</f>
        <v>#REF!</v>
      </c>
      <c r="Q365" s="68" t="e">
        <f>ROUND(COM!M365,1)</f>
        <v>#REF!</v>
      </c>
      <c r="R365" s="68" t="e">
        <f>ROUND(COM!N365,1)</f>
        <v>#REF!</v>
      </c>
      <c r="S365" s="68" t="e">
        <f>ROUND(COM!O365,1)</f>
        <v>#REF!</v>
      </c>
      <c r="T365" s="68" t="e">
        <f>ROUND(COM!P365,1)</f>
        <v>#REF!</v>
      </c>
      <c r="U365" s="68" t="e">
        <f>ROUND(COM!Q365,1)</f>
        <v>#REF!</v>
      </c>
      <c r="V365" s="68" t="e">
        <f>ROUND(COM!R365,1)</f>
        <v>#REF!</v>
      </c>
      <c r="W365" s="68" t="e">
        <f>ROUND(COM!S365,1)</f>
        <v>#REF!</v>
      </c>
      <c r="X365" s="111" t="e">
        <f t="shared" si="25"/>
        <v>#REF!</v>
      </c>
    </row>
    <row r="366" spans="1:24" ht="18.75" x14ac:dyDescent="0.25">
      <c r="A366" s="63">
        <v>311</v>
      </c>
      <c r="B366" s="64">
        <v>55</v>
      </c>
      <c r="C366" s="64">
        <v>920</v>
      </c>
      <c r="D366" s="65">
        <v>70499</v>
      </c>
      <c r="E366" s="66" t="s">
        <v>173</v>
      </c>
      <c r="F366" s="67" t="s">
        <v>125</v>
      </c>
      <c r="G366" s="38"/>
      <c r="H366" s="38"/>
      <c r="I366" s="38"/>
      <c r="J366" s="38"/>
      <c r="K366" s="38"/>
      <c r="L366" s="68" t="e">
        <f>ROUND(COM!H366,1)</f>
        <v>#REF!</v>
      </c>
      <c r="M366" s="68" t="e">
        <f>ROUND(COM!I366,1)</f>
        <v>#REF!</v>
      </c>
      <c r="N366" s="68" t="e">
        <f>ROUND(COM!J366,1)</f>
        <v>#REF!</v>
      </c>
      <c r="O366" s="68" t="e">
        <f>ROUND(COM!K366,1)</f>
        <v>#REF!</v>
      </c>
      <c r="P366" s="68" t="e">
        <f>ROUND(COM!L366,1)</f>
        <v>#REF!</v>
      </c>
      <c r="Q366" s="68" t="e">
        <f>ROUND(COM!M366,1)</f>
        <v>#REF!</v>
      </c>
      <c r="R366" s="68" t="e">
        <f>ROUND(COM!N366,1)</f>
        <v>#REF!</v>
      </c>
      <c r="S366" s="68" t="e">
        <f>ROUND(COM!O366,1)</f>
        <v>#REF!</v>
      </c>
      <c r="T366" s="68" t="e">
        <f>ROUND(COM!P366,1)</f>
        <v>#REF!</v>
      </c>
      <c r="U366" s="68" t="e">
        <f>ROUND(COM!Q366,1)</f>
        <v>#REF!</v>
      </c>
      <c r="V366" s="68" t="e">
        <f>ROUND(COM!R366,1)</f>
        <v>#REF!</v>
      </c>
      <c r="W366" s="68" t="e">
        <f>ROUND(COM!S366,1)</f>
        <v>#REF!</v>
      </c>
      <c r="X366" s="111" t="e">
        <f t="shared" si="25"/>
        <v>#REF!</v>
      </c>
    </row>
    <row r="367" spans="1:24" ht="18.75" x14ac:dyDescent="0.25">
      <c r="A367" s="63">
        <v>311</v>
      </c>
      <c r="B367" s="64">
        <v>55</v>
      </c>
      <c r="C367" s="64">
        <v>920</v>
      </c>
      <c r="D367" s="65">
        <v>70499</v>
      </c>
      <c r="E367" s="66" t="s">
        <v>173</v>
      </c>
      <c r="F367" s="67" t="s">
        <v>126</v>
      </c>
      <c r="G367" s="38"/>
      <c r="H367" s="38"/>
      <c r="I367" s="38"/>
      <c r="J367" s="38"/>
      <c r="K367" s="38"/>
      <c r="L367" s="68" t="e">
        <f>ROUND(COM!H367,1)</f>
        <v>#REF!</v>
      </c>
      <c r="M367" s="68" t="e">
        <f>ROUND(COM!I367,1)</f>
        <v>#REF!</v>
      </c>
      <c r="N367" s="68" t="e">
        <f>ROUND(COM!J367,1)</f>
        <v>#REF!</v>
      </c>
      <c r="O367" s="68" t="e">
        <f>ROUND(COM!K367,1)</f>
        <v>#REF!</v>
      </c>
      <c r="P367" s="68" t="e">
        <f>ROUND(COM!L367,1)</f>
        <v>#REF!</v>
      </c>
      <c r="Q367" s="68" t="e">
        <f>ROUND(COM!M367,1)</f>
        <v>#REF!</v>
      </c>
      <c r="R367" s="68" t="e">
        <f>ROUND(COM!N367,1)</f>
        <v>#REF!</v>
      </c>
      <c r="S367" s="68" t="e">
        <f>ROUND(COM!O367,1)</f>
        <v>#REF!</v>
      </c>
      <c r="T367" s="68" t="e">
        <f>ROUND(COM!P367,1)</f>
        <v>#REF!</v>
      </c>
      <c r="U367" s="68" t="e">
        <f>ROUND(COM!Q367,1)</f>
        <v>#REF!</v>
      </c>
      <c r="V367" s="68" t="e">
        <f>ROUND(COM!R367,1)</f>
        <v>#REF!</v>
      </c>
      <c r="W367" s="68" t="e">
        <f>ROUND(COM!S367,1)</f>
        <v>#REF!</v>
      </c>
      <c r="X367" s="111" t="e">
        <f t="shared" si="25"/>
        <v>#REF!</v>
      </c>
    </row>
    <row r="368" spans="1:24" ht="37.5" x14ac:dyDescent="0.25">
      <c r="A368" s="63">
        <v>321</v>
      </c>
      <c r="B368" s="64">
        <v>55</v>
      </c>
      <c r="C368" s="64">
        <v>930</v>
      </c>
      <c r="D368" s="65">
        <v>70499</v>
      </c>
      <c r="E368" s="66" t="s">
        <v>173</v>
      </c>
      <c r="F368" s="67" t="s">
        <v>127</v>
      </c>
      <c r="G368" s="38" t="s">
        <v>275</v>
      </c>
      <c r="H368" s="38"/>
      <c r="I368" s="38"/>
      <c r="J368" s="38"/>
      <c r="K368" s="38"/>
      <c r="L368" s="68" t="e">
        <f>ROUND(COM!H368,1)</f>
        <v>#REF!</v>
      </c>
      <c r="M368" s="68" t="e">
        <f>ROUND(COM!I368,1)</f>
        <v>#REF!</v>
      </c>
      <c r="N368" s="68" t="e">
        <f>ROUND(COM!J368,1)</f>
        <v>#REF!</v>
      </c>
      <c r="O368" s="68" t="e">
        <f>ROUND(COM!K368,1)</f>
        <v>#REF!</v>
      </c>
      <c r="P368" s="68" t="e">
        <f>ROUND(COM!L368,1)</f>
        <v>#REF!</v>
      </c>
      <c r="Q368" s="68" t="e">
        <f>ROUND(COM!M368,1)</f>
        <v>#REF!</v>
      </c>
      <c r="R368" s="68" t="e">
        <f>ROUND(COM!N368,1)</f>
        <v>#REF!</v>
      </c>
      <c r="S368" s="68" t="e">
        <f>ROUND(COM!O368,1)</f>
        <v>#REF!</v>
      </c>
      <c r="T368" s="68" t="e">
        <f>ROUND(COM!P368,1)</f>
        <v>#REF!</v>
      </c>
      <c r="U368" s="68" t="e">
        <f>ROUND(COM!Q368,1)</f>
        <v>#REF!</v>
      </c>
      <c r="V368" s="68" t="e">
        <f>ROUND(COM!R368,1)</f>
        <v>#REF!</v>
      </c>
      <c r="W368" s="68" t="e">
        <f>ROUND(COM!S368,1)</f>
        <v>#REF!</v>
      </c>
      <c r="X368" s="111" t="e">
        <f t="shared" si="25"/>
        <v>#REF!</v>
      </c>
    </row>
    <row r="369" spans="1:24" ht="37.5" x14ac:dyDescent="0.25">
      <c r="A369" s="63">
        <v>311</v>
      </c>
      <c r="B369" s="64">
        <v>55</v>
      </c>
      <c r="C369" s="64">
        <v>930</v>
      </c>
      <c r="D369" s="65">
        <v>70499</v>
      </c>
      <c r="E369" s="66" t="s">
        <v>173</v>
      </c>
      <c r="F369" s="67" t="s">
        <v>127</v>
      </c>
      <c r="G369" s="38" t="s">
        <v>275</v>
      </c>
      <c r="H369" s="38"/>
      <c r="I369" s="38"/>
      <c r="J369" s="38"/>
      <c r="K369" s="38"/>
      <c r="L369" s="68" t="e">
        <f>ROUND(COM!H369,1)</f>
        <v>#REF!</v>
      </c>
      <c r="M369" s="68" t="e">
        <f>ROUND(COM!I369,1)</f>
        <v>#REF!</v>
      </c>
      <c r="N369" s="68" t="e">
        <f>ROUND(COM!J369,1)</f>
        <v>#REF!</v>
      </c>
      <c r="O369" s="68" t="e">
        <f>ROUND(COM!K369,1)</f>
        <v>#REF!</v>
      </c>
      <c r="P369" s="68" t="e">
        <f>ROUND(COM!L369,1)</f>
        <v>#REF!</v>
      </c>
      <c r="Q369" s="68" t="e">
        <f>ROUND(COM!M369,1)</f>
        <v>#REF!</v>
      </c>
      <c r="R369" s="68" t="e">
        <f>ROUND(COM!N369,1)</f>
        <v>#REF!</v>
      </c>
      <c r="S369" s="68" t="e">
        <f>ROUND(COM!O369,1)</f>
        <v>#REF!</v>
      </c>
      <c r="T369" s="68" t="e">
        <f>ROUND(COM!P369,1)</f>
        <v>#REF!</v>
      </c>
      <c r="U369" s="68" t="e">
        <f>ROUND(COM!Q369,1)</f>
        <v>#REF!</v>
      </c>
      <c r="V369" s="68" t="e">
        <f>ROUND(COM!R369,1)</f>
        <v>#REF!</v>
      </c>
      <c r="W369" s="68" t="e">
        <f>ROUND(COM!S369,1)</f>
        <v>#REF!</v>
      </c>
      <c r="X369" s="111" t="e">
        <f t="shared" si="25"/>
        <v>#REF!</v>
      </c>
    </row>
    <row r="370" spans="1:24" ht="18.75" x14ac:dyDescent="0.25">
      <c r="A370" s="63">
        <v>311</v>
      </c>
      <c r="B370" s="64">
        <v>55</v>
      </c>
      <c r="C370" s="64">
        <v>920</v>
      </c>
      <c r="D370" s="65">
        <v>70499</v>
      </c>
      <c r="E370" s="66" t="s">
        <v>173</v>
      </c>
      <c r="F370" s="67" t="s">
        <v>128</v>
      </c>
      <c r="G370" s="38"/>
      <c r="H370" s="38"/>
      <c r="I370" s="38"/>
      <c r="J370" s="38"/>
      <c r="K370" s="38"/>
      <c r="L370" s="68" t="e">
        <f>ROUND(COM!H370,1)</f>
        <v>#REF!</v>
      </c>
      <c r="M370" s="68" t="e">
        <f>ROUND(COM!I370,1)</f>
        <v>#REF!</v>
      </c>
      <c r="N370" s="68" t="e">
        <f>ROUND(COM!J370,1)</f>
        <v>#REF!</v>
      </c>
      <c r="O370" s="68" t="e">
        <f>ROUND(COM!K370,1)</f>
        <v>#REF!</v>
      </c>
      <c r="P370" s="68" t="e">
        <f>ROUND(COM!L370,1)</f>
        <v>#REF!</v>
      </c>
      <c r="Q370" s="68" t="e">
        <f>ROUND(COM!M370,1)</f>
        <v>#REF!</v>
      </c>
      <c r="R370" s="68" t="e">
        <f>ROUND(COM!N370,1)</f>
        <v>#REF!</v>
      </c>
      <c r="S370" s="68" t="e">
        <f>ROUND(COM!O370,1)</f>
        <v>#REF!</v>
      </c>
      <c r="T370" s="68" t="e">
        <f>ROUND(COM!P370,1)</f>
        <v>#REF!</v>
      </c>
      <c r="U370" s="68" t="e">
        <f>ROUND(COM!Q370,1)</f>
        <v>#REF!</v>
      </c>
      <c r="V370" s="68" t="e">
        <f>ROUND(COM!R370,1)</f>
        <v>#REF!</v>
      </c>
      <c r="W370" s="68" t="e">
        <f>ROUND(COM!S370,1)</f>
        <v>#REF!</v>
      </c>
      <c r="X370" s="111" t="e">
        <f t="shared" si="25"/>
        <v>#REF!</v>
      </c>
    </row>
    <row r="371" spans="1:24" ht="18.75" x14ac:dyDescent="0.25">
      <c r="A371" s="63">
        <v>311</v>
      </c>
      <c r="B371" s="64">
        <v>55</v>
      </c>
      <c r="C371" s="64">
        <v>920</v>
      </c>
      <c r="D371" s="65">
        <v>70499</v>
      </c>
      <c r="E371" s="66" t="s">
        <v>173</v>
      </c>
      <c r="F371" s="67" t="s">
        <v>129</v>
      </c>
      <c r="G371" s="38"/>
      <c r="H371" s="38"/>
      <c r="I371" s="38"/>
      <c r="J371" s="38"/>
      <c r="K371" s="38"/>
      <c r="L371" s="68" t="e">
        <f>ROUND(COM!H371,1)</f>
        <v>#REF!</v>
      </c>
      <c r="M371" s="68" t="e">
        <f>ROUND(COM!I371,1)</f>
        <v>#REF!</v>
      </c>
      <c r="N371" s="68" t="e">
        <f>ROUND(COM!J371,1)</f>
        <v>#REF!</v>
      </c>
      <c r="O371" s="68" t="e">
        <f>ROUND(COM!K371,1)</f>
        <v>#REF!</v>
      </c>
      <c r="P371" s="68" t="e">
        <f>ROUND(COM!L371,1)</f>
        <v>#REF!</v>
      </c>
      <c r="Q371" s="68" t="e">
        <f>ROUND(COM!M371,1)</f>
        <v>#REF!</v>
      </c>
      <c r="R371" s="68" t="e">
        <f>ROUND(COM!N371,1)</f>
        <v>#REF!</v>
      </c>
      <c r="S371" s="68" t="e">
        <f>ROUND(COM!O371,1)</f>
        <v>#REF!</v>
      </c>
      <c r="T371" s="68" t="e">
        <f>ROUND(COM!P371,1)</f>
        <v>#REF!</v>
      </c>
      <c r="U371" s="68" t="e">
        <f>ROUND(COM!Q371,1)</f>
        <v>#REF!</v>
      </c>
      <c r="V371" s="68" t="e">
        <f>ROUND(COM!R371,1)</f>
        <v>#REF!</v>
      </c>
      <c r="W371" s="68" t="e">
        <f>ROUND(COM!S371,1)</f>
        <v>#REF!</v>
      </c>
      <c r="X371" s="111" t="e">
        <f t="shared" si="25"/>
        <v>#REF!</v>
      </c>
    </row>
    <row r="372" spans="1:24" ht="37.5" x14ac:dyDescent="0.25">
      <c r="A372" s="63">
        <v>321</v>
      </c>
      <c r="B372" s="64">
        <v>55</v>
      </c>
      <c r="C372" s="64">
        <v>930</v>
      </c>
      <c r="D372" s="65">
        <v>70499</v>
      </c>
      <c r="E372" s="66" t="s">
        <v>173</v>
      </c>
      <c r="F372" s="67" t="s">
        <v>130</v>
      </c>
      <c r="G372" s="38" t="s">
        <v>276</v>
      </c>
      <c r="H372" s="38"/>
      <c r="I372" s="38"/>
      <c r="J372" s="38"/>
      <c r="K372" s="38"/>
      <c r="L372" s="68" t="e">
        <f>ROUND(COM!H372,1)</f>
        <v>#REF!</v>
      </c>
      <c r="M372" s="68" t="e">
        <f>ROUND(COM!I372,1)</f>
        <v>#REF!</v>
      </c>
      <c r="N372" s="68" t="e">
        <f>ROUND(COM!J372,1)</f>
        <v>#REF!</v>
      </c>
      <c r="O372" s="68" t="e">
        <f>ROUND(COM!K372,1)</f>
        <v>#REF!</v>
      </c>
      <c r="P372" s="68" t="e">
        <f>ROUND(COM!L372,1)</f>
        <v>#REF!</v>
      </c>
      <c r="Q372" s="68" t="e">
        <f>ROUND(COM!M372,1)</f>
        <v>#REF!</v>
      </c>
      <c r="R372" s="68" t="e">
        <f>ROUND(COM!N372,1)</f>
        <v>#REF!</v>
      </c>
      <c r="S372" s="68" t="e">
        <f>ROUND(COM!O372,1)</f>
        <v>#REF!</v>
      </c>
      <c r="T372" s="68" t="e">
        <f>ROUND(COM!P372,1)</f>
        <v>#REF!</v>
      </c>
      <c r="U372" s="68" t="e">
        <f>ROUND(COM!Q372,1)</f>
        <v>#REF!</v>
      </c>
      <c r="V372" s="68" t="e">
        <f>ROUND(COM!R372,1)</f>
        <v>#REF!</v>
      </c>
      <c r="W372" s="68" t="e">
        <f>ROUND(COM!S372,1)</f>
        <v>#REF!</v>
      </c>
      <c r="X372" s="111" t="e">
        <f t="shared" si="25"/>
        <v>#REF!</v>
      </c>
    </row>
    <row r="373" spans="1:24" ht="18.75" x14ac:dyDescent="0.25">
      <c r="A373" s="4">
        <v>311</v>
      </c>
      <c r="B373" s="52">
        <v>55</v>
      </c>
      <c r="C373" s="52">
        <v>910</v>
      </c>
      <c r="D373" s="7">
        <v>70499</v>
      </c>
      <c r="E373" s="20"/>
      <c r="F373" s="38" t="s">
        <v>131</v>
      </c>
      <c r="G373" s="38"/>
      <c r="H373" s="38"/>
      <c r="I373" s="38"/>
      <c r="J373" s="38"/>
      <c r="K373" s="38"/>
      <c r="L373" s="68" t="e">
        <f>ROUND(COM!H373,1)</f>
        <v>#REF!</v>
      </c>
      <c r="M373" s="68" t="e">
        <f>ROUND(COM!I373,1)</f>
        <v>#REF!</v>
      </c>
      <c r="N373" s="68" t="e">
        <f>ROUND(COM!J373,1)</f>
        <v>#REF!</v>
      </c>
      <c r="O373" s="68" t="e">
        <f>ROUND(COM!K373,1)</f>
        <v>#REF!</v>
      </c>
      <c r="P373" s="68" t="e">
        <f>ROUND(COM!L373,1)</f>
        <v>#REF!</v>
      </c>
      <c r="Q373" s="68" t="e">
        <f>ROUND(COM!M373,1)</f>
        <v>#REF!</v>
      </c>
      <c r="R373" s="68" t="e">
        <f>ROUND(COM!N373,1)</f>
        <v>#REF!</v>
      </c>
      <c r="S373" s="68" t="e">
        <f>ROUND(COM!O373,1)</f>
        <v>#REF!</v>
      </c>
      <c r="T373" s="68" t="e">
        <f>ROUND(COM!P373,1)</f>
        <v>#REF!</v>
      </c>
      <c r="U373" s="68" t="e">
        <f>ROUND(COM!Q373,1)</f>
        <v>#REF!</v>
      </c>
      <c r="V373" s="68" t="e">
        <f>ROUND(COM!R373,1)</f>
        <v>#REF!</v>
      </c>
      <c r="W373" s="68" t="e">
        <f>ROUND(COM!S373,1)</f>
        <v>#REF!</v>
      </c>
      <c r="X373" s="111" t="e">
        <f t="shared" si="25"/>
        <v>#REF!</v>
      </c>
    </row>
    <row r="374" spans="1:24" ht="37.5" x14ac:dyDescent="0.25">
      <c r="A374" s="77">
        <v>311</v>
      </c>
      <c r="B374" s="78">
        <v>55</v>
      </c>
      <c r="C374" s="78">
        <v>920</v>
      </c>
      <c r="D374" s="79">
        <v>70499</v>
      </c>
      <c r="E374" s="80" t="s">
        <v>172</v>
      </c>
      <c r="F374" s="81" t="s">
        <v>310</v>
      </c>
      <c r="G374" s="38"/>
      <c r="H374" s="38"/>
      <c r="I374" s="38"/>
      <c r="J374" s="38"/>
      <c r="K374" s="38"/>
      <c r="L374" s="68" t="e">
        <f>ROUND(COM!H374,1)</f>
        <v>#REF!</v>
      </c>
      <c r="M374" s="68" t="e">
        <f>ROUND(COM!I374,1)</f>
        <v>#REF!</v>
      </c>
      <c r="N374" s="68" t="e">
        <f>ROUND(COM!J374,1)</f>
        <v>#REF!</v>
      </c>
      <c r="O374" s="68" t="e">
        <f>ROUND(COM!K374,1)</f>
        <v>#REF!</v>
      </c>
      <c r="P374" s="68" t="e">
        <f>ROUND(COM!L374,1)</f>
        <v>#REF!</v>
      </c>
      <c r="Q374" s="68" t="e">
        <f>ROUND(COM!M374,1)</f>
        <v>#REF!</v>
      </c>
      <c r="R374" s="68" t="e">
        <f>ROUND(COM!N374,1)</f>
        <v>#REF!</v>
      </c>
      <c r="S374" s="68" t="e">
        <f>ROUND(COM!O374,1)</f>
        <v>#REF!</v>
      </c>
      <c r="T374" s="68" t="e">
        <f>ROUND(COM!P374,1)</f>
        <v>#REF!</v>
      </c>
      <c r="U374" s="68" t="e">
        <f>ROUND(COM!Q374,1)</f>
        <v>#REF!</v>
      </c>
      <c r="V374" s="68" t="e">
        <f>ROUND(COM!R374,1)</f>
        <v>#REF!</v>
      </c>
      <c r="W374" s="68" t="e">
        <f>ROUND(COM!S374,1)</f>
        <v>#REF!</v>
      </c>
      <c r="X374" s="111" t="e">
        <f t="shared" si="25"/>
        <v>#REF!</v>
      </c>
    </row>
    <row r="375" spans="1:24" ht="37.5" x14ac:dyDescent="0.25">
      <c r="A375" s="77">
        <v>321</v>
      </c>
      <c r="B375" s="78">
        <v>55</v>
      </c>
      <c r="C375" s="78">
        <v>920</v>
      </c>
      <c r="D375" s="79">
        <v>70499</v>
      </c>
      <c r="E375" s="80" t="s">
        <v>172</v>
      </c>
      <c r="F375" s="81" t="s">
        <v>311</v>
      </c>
      <c r="G375" s="38"/>
      <c r="H375" s="38"/>
      <c r="I375" s="38"/>
      <c r="J375" s="38"/>
      <c r="K375" s="38"/>
      <c r="L375" s="68" t="e">
        <f>ROUND(COM!H375,1)</f>
        <v>#REF!</v>
      </c>
      <c r="M375" s="68" t="e">
        <f>ROUND(COM!I375,1)</f>
        <v>#REF!</v>
      </c>
      <c r="N375" s="68" t="e">
        <f>ROUND(COM!J375,1)</f>
        <v>#REF!</v>
      </c>
      <c r="O375" s="68" t="e">
        <f>ROUND(COM!K375,1)</f>
        <v>#REF!</v>
      </c>
      <c r="P375" s="68" t="e">
        <f>ROUND(COM!L375,1)</f>
        <v>#REF!</v>
      </c>
      <c r="Q375" s="68" t="e">
        <f>ROUND(COM!M375,1)</f>
        <v>#REF!</v>
      </c>
      <c r="R375" s="68" t="e">
        <f>ROUND(COM!N375,1)</f>
        <v>#REF!</v>
      </c>
      <c r="S375" s="68" t="e">
        <f>ROUND(COM!O375,1)</f>
        <v>#REF!</v>
      </c>
      <c r="T375" s="68" t="e">
        <f>ROUND(COM!P375,1)</f>
        <v>#REF!</v>
      </c>
      <c r="U375" s="68" t="e">
        <f>ROUND(COM!Q375,1)</f>
        <v>#REF!</v>
      </c>
      <c r="V375" s="68" t="e">
        <f>ROUND(COM!R375,1)</f>
        <v>#REF!</v>
      </c>
      <c r="W375" s="68" t="e">
        <f>ROUND(COM!S375,1)</f>
        <v>#REF!</v>
      </c>
      <c r="X375" s="111" t="e">
        <f t="shared" si="25"/>
        <v>#REF!</v>
      </c>
    </row>
    <row r="376" spans="1:24" ht="37.5" x14ac:dyDescent="0.25">
      <c r="A376" s="77">
        <v>321</v>
      </c>
      <c r="B376" s="78">
        <v>55</v>
      </c>
      <c r="C376" s="78">
        <v>930</v>
      </c>
      <c r="D376" s="79">
        <v>70499</v>
      </c>
      <c r="E376" s="80" t="s">
        <v>172</v>
      </c>
      <c r="F376" s="81" t="s">
        <v>312</v>
      </c>
      <c r="G376" s="38"/>
      <c r="H376" s="38"/>
      <c r="I376" s="38"/>
      <c r="J376" s="38"/>
      <c r="K376" s="38"/>
      <c r="L376" s="68" t="e">
        <f>ROUND(COM!H376,1)</f>
        <v>#REF!</v>
      </c>
      <c r="M376" s="68" t="e">
        <f>ROUND(COM!I376,1)</f>
        <v>#REF!</v>
      </c>
      <c r="N376" s="68" t="e">
        <f>ROUND(COM!J376,1)</f>
        <v>#REF!</v>
      </c>
      <c r="O376" s="68" t="e">
        <f>ROUND(COM!K376,1)</f>
        <v>#REF!</v>
      </c>
      <c r="P376" s="68" t="e">
        <f>ROUND(COM!L376,1)</f>
        <v>#REF!</v>
      </c>
      <c r="Q376" s="68" t="e">
        <f>ROUND(COM!M376,1)</f>
        <v>#REF!</v>
      </c>
      <c r="R376" s="68" t="e">
        <f>ROUND(COM!N376,1)</f>
        <v>#REF!</v>
      </c>
      <c r="S376" s="68" t="e">
        <f>ROUND(COM!O376,1)</f>
        <v>#REF!</v>
      </c>
      <c r="T376" s="68" t="e">
        <f>ROUND(COM!P376,1)</f>
        <v>#REF!</v>
      </c>
      <c r="U376" s="68" t="e">
        <f>ROUND(COM!Q376,1)</f>
        <v>#REF!</v>
      </c>
      <c r="V376" s="68" t="e">
        <f>ROUND(COM!R376,1)</f>
        <v>#REF!</v>
      </c>
      <c r="W376" s="68" t="e">
        <f>ROUND(COM!S376,1)</f>
        <v>#REF!</v>
      </c>
      <c r="X376" s="111" t="e">
        <f t="shared" si="25"/>
        <v>#REF!</v>
      </c>
    </row>
    <row r="377" spans="1:24" ht="18.75" x14ac:dyDescent="0.25">
      <c r="A377" s="77">
        <v>311</v>
      </c>
      <c r="B377" s="78">
        <v>55</v>
      </c>
      <c r="C377" s="78">
        <v>920</v>
      </c>
      <c r="D377" s="79">
        <v>70499</v>
      </c>
      <c r="E377" s="80" t="s">
        <v>176</v>
      </c>
      <c r="F377" s="81" t="s">
        <v>304</v>
      </c>
      <c r="G377" s="38"/>
      <c r="H377" s="38"/>
      <c r="I377" s="38"/>
      <c r="J377" s="38"/>
      <c r="K377" s="38"/>
      <c r="L377" s="68" t="e">
        <f>ROUND(COM!H377,1)</f>
        <v>#REF!</v>
      </c>
      <c r="M377" s="68" t="e">
        <f>ROUND(COM!I377,1)</f>
        <v>#REF!</v>
      </c>
      <c r="N377" s="68" t="e">
        <f>ROUND(COM!J377,1)</f>
        <v>#REF!</v>
      </c>
      <c r="O377" s="68" t="e">
        <f>ROUND(COM!K377,1)</f>
        <v>#REF!</v>
      </c>
      <c r="P377" s="68" t="e">
        <f>ROUND(COM!L377,1)</f>
        <v>#REF!</v>
      </c>
      <c r="Q377" s="68" t="e">
        <f>ROUND(COM!M377,1)</f>
        <v>#REF!</v>
      </c>
      <c r="R377" s="68" t="e">
        <f>ROUND(COM!N377,1)</f>
        <v>#REF!</v>
      </c>
      <c r="S377" s="68" t="e">
        <f>ROUND(COM!O377,1)</f>
        <v>#REF!</v>
      </c>
      <c r="T377" s="68" t="e">
        <f>ROUND(COM!P377,1)</f>
        <v>#REF!</v>
      </c>
      <c r="U377" s="68" t="e">
        <f>ROUND(COM!Q377,1)</f>
        <v>#REF!</v>
      </c>
      <c r="V377" s="68" t="e">
        <f>ROUND(COM!R377,1)</f>
        <v>#REF!</v>
      </c>
      <c r="W377" s="68" t="e">
        <f>ROUND(COM!S377,1)</f>
        <v>#REF!</v>
      </c>
      <c r="X377" s="111" t="e">
        <f t="shared" si="25"/>
        <v>#REF!</v>
      </c>
    </row>
    <row r="378" spans="1:24" ht="18.75" x14ac:dyDescent="0.25">
      <c r="A378" s="77">
        <v>321</v>
      </c>
      <c r="B378" s="78">
        <v>55</v>
      </c>
      <c r="C378" s="78">
        <v>930</v>
      </c>
      <c r="D378" s="79">
        <v>70499</v>
      </c>
      <c r="E378" s="80" t="s">
        <v>176</v>
      </c>
      <c r="F378" s="81" t="s">
        <v>305</v>
      </c>
      <c r="G378" s="38"/>
      <c r="H378" s="38"/>
      <c r="I378" s="38"/>
      <c r="J378" s="38"/>
      <c r="K378" s="38"/>
      <c r="L378" s="68" t="e">
        <f>ROUND(COM!H378,1)</f>
        <v>#REF!</v>
      </c>
      <c r="M378" s="68" t="e">
        <f>ROUND(COM!I378,1)</f>
        <v>#REF!</v>
      </c>
      <c r="N378" s="68" t="e">
        <f>ROUND(COM!J378,1)</f>
        <v>#REF!</v>
      </c>
      <c r="O378" s="68" t="e">
        <f>ROUND(COM!K378,1)</f>
        <v>#REF!</v>
      </c>
      <c r="P378" s="68" t="e">
        <f>ROUND(COM!L378,1)</f>
        <v>#REF!</v>
      </c>
      <c r="Q378" s="68" t="e">
        <f>ROUND(COM!M378,1)</f>
        <v>#REF!</v>
      </c>
      <c r="R378" s="68" t="e">
        <f>ROUND(COM!N378,1)</f>
        <v>#REF!</v>
      </c>
      <c r="S378" s="68" t="e">
        <f>ROUND(COM!O378,1)</f>
        <v>#REF!</v>
      </c>
      <c r="T378" s="68" t="e">
        <f>ROUND(COM!P378,1)</f>
        <v>#REF!</v>
      </c>
      <c r="U378" s="68" t="e">
        <f>ROUND(COM!Q378,1)</f>
        <v>#REF!</v>
      </c>
      <c r="V378" s="68" t="e">
        <f>ROUND(COM!R378,1)</f>
        <v>#REF!</v>
      </c>
      <c r="W378" s="68" t="e">
        <f>ROUND(COM!S378,1)</f>
        <v>#REF!</v>
      </c>
      <c r="X378" s="111" t="e">
        <f t="shared" si="25"/>
        <v>#REF!</v>
      </c>
    </row>
    <row r="379" spans="1:24" ht="18.75" x14ac:dyDescent="0.25">
      <c r="A379" s="77">
        <v>311</v>
      </c>
      <c r="B379" s="78">
        <v>55</v>
      </c>
      <c r="C379" s="78">
        <v>920</v>
      </c>
      <c r="D379" s="79">
        <v>70499</v>
      </c>
      <c r="E379" s="80" t="s">
        <v>176</v>
      </c>
      <c r="F379" s="81" t="s">
        <v>306</v>
      </c>
      <c r="G379" s="38"/>
      <c r="H379" s="38"/>
      <c r="I379" s="38"/>
      <c r="J379" s="38"/>
      <c r="K379" s="38"/>
      <c r="L379" s="68" t="e">
        <f>ROUND(COM!H379,1)</f>
        <v>#REF!</v>
      </c>
      <c r="M379" s="68" t="e">
        <f>ROUND(COM!I379,1)</f>
        <v>#REF!</v>
      </c>
      <c r="N379" s="68" t="e">
        <f>ROUND(COM!J379,1)</f>
        <v>#REF!</v>
      </c>
      <c r="O379" s="68" t="e">
        <f>ROUND(COM!K379,1)</f>
        <v>#REF!</v>
      </c>
      <c r="P379" s="68" t="e">
        <f>ROUND(COM!L379,1)</f>
        <v>#REF!</v>
      </c>
      <c r="Q379" s="68" t="e">
        <f>ROUND(COM!M379,1)</f>
        <v>#REF!</v>
      </c>
      <c r="R379" s="68" t="e">
        <f>ROUND(COM!N379,1)</f>
        <v>#REF!</v>
      </c>
      <c r="S379" s="68" t="e">
        <f>ROUND(COM!O379,1)</f>
        <v>#REF!</v>
      </c>
      <c r="T379" s="68" t="e">
        <f>ROUND(COM!P379,1)</f>
        <v>#REF!</v>
      </c>
      <c r="U379" s="68" t="e">
        <f>ROUND(COM!Q379,1)</f>
        <v>#REF!</v>
      </c>
      <c r="V379" s="68" t="e">
        <f>ROUND(COM!R379,1)</f>
        <v>#REF!</v>
      </c>
      <c r="W379" s="68" t="e">
        <f>ROUND(COM!S379,1)</f>
        <v>#REF!</v>
      </c>
      <c r="X379" s="111" t="e">
        <f t="shared" si="25"/>
        <v>#REF!</v>
      </c>
    </row>
    <row r="380" spans="1:24" ht="18.75" x14ac:dyDescent="0.25">
      <c r="A380" s="77">
        <v>321</v>
      </c>
      <c r="B380" s="78">
        <v>55</v>
      </c>
      <c r="C380" s="78">
        <v>930</v>
      </c>
      <c r="D380" s="79">
        <v>70499</v>
      </c>
      <c r="E380" s="80" t="s">
        <v>176</v>
      </c>
      <c r="F380" s="81" t="s">
        <v>307</v>
      </c>
      <c r="G380" s="38"/>
      <c r="H380" s="38"/>
      <c r="I380" s="38"/>
      <c r="J380" s="38"/>
      <c r="K380" s="38"/>
      <c r="L380" s="68" t="e">
        <f>ROUND(COM!H380,1)</f>
        <v>#REF!</v>
      </c>
      <c r="M380" s="68" t="e">
        <f>ROUND(COM!I380,1)</f>
        <v>#REF!</v>
      </c>
      <c r="N380" s="68" t="e">
        <f>ROUND(COM!J380,1)</f>
        <v>#REF!</v>
      </c>
      <c r="O380" s="68" t="e">
        <f>ROUND(COM!K380,1)</f>
        <v>#REF!</v>
      </c>
      <c r="P380" s="68" t="e">
        <f>ROUND(COM!L380,1)</f>
        <v>#REF!</v>
      </c>
      <c r="Q380" s="68" t="e">
        <f>ROUND(COM!M380,1)</f>
        <v>#REF!</v>
      </c>
      <c r="R380" s="68" t="e">
        <f>ROUND(COM!N380,1)</f>
        <v>#REF!</v>
      </c>
      <c r="S380" s="68" t="e">
        <f>ROUND(COM!O380,1)</f>
        <v>#REF!</v>
      </c>
      <c r="T380" s="68" t="e">
        <f>ROUND(COM!P380,1)</f>
        <v>#REF!</v>
      </c>
      <c r="U380" s="68" t="e">
        <f>ROUND(COM!Q380,1)</f>
        <v>#REF!</v>
      </c>
      <c r="V380" s="68" t="e">
        <f>ROUND(COM!R380,1)</f>
        <v>#REF!</v>
      </c>
      <c r="W380" s="68" t="e">
        <f>ROUND(COM!S380,1)</f>
        <v>#REF!</v>
      </c>
      <c r="X380" s="111" t="e">
        <f t="shared" si="25"/>
        <v>#REF!</v>
      </c>
    </row>
    <row r="381" spans="1:24" ht="18.75" x14ac:dyDescent="0.25">
      <c r="A381" s="63">
        <v>311</v>
      </c>
      <c r="B381" s="64">
        <v>55</v>
      </c>
      <c r="C381" s="64">
        <v>920</v>
      </c>
      <c r="D381" s="65">
        <v>70499</v>
      </c>
      <c r="E381" s="66" t="s">
        <v>173</v>
      </c>
      <c r="F381" s="67" t="s">
        <v>132</v>
      </c>
      <c r="G381" s="38"/>
      <c r="H381" s="38"/>
      <c r="I381" s="38"/>
      <c r="J381" s="38"/>
      <c r="K381" s="38"/>
      <c r="L381" s="68" t="e">
        <f>ROUND(COM!H381,1)</f>
        <v>#REF!</v>
      </c>
      <c r="M381" s="68" t="e">
        <f>ROUND(COM!I381,1)</f>
        <v>#REF!</v>
      </c>
      <c r="N381" s="68" t="e">
        <f>ROUND(COM!J381,1)</f>
        <v>#REF!</v>
      </c>
      <c r="O381" s="68" t="e">
        <f>ROUND(COM!K381,1)</f>
        <v>#REF!</v>
      </c>
      <c r="P381" s="68" t="e">
        <f>ROUND(COM!L381,1)</f>
        <v>#REF!</v>
      </c>
      <c r="Q381" s="68" t="e">
        <f>ROUND(COM!M381,1)</f>
        <v>#REF!</v>
      </c>
      <c r="R381" s="68" t="e">
        <f>ROUND(COM!N381,1)</f>
        <v>#REF!</v>
      </c>
      <c r="S381" s="68" t="e">
        <f>ROUND(COM!O381,1)</f>
        <v>#REF!</v>
      </c>
      <c r="T381" s="68" t="e">
        <f>ROUND(COM!P381,1)</f>
        <v>#REF!</v>
      </c>
      <c r="U381" s="68" t="e">
        <f>ROUND(COM!Q381,1)</f>
        <v>#REF!</v>
      </c>
      <c r="V381" s="68" t="e">
        <f>ROUND(COM!R381,1)</f>
        <v>#REF!</v>
      </c>
      <c r="W381" s="68" t="e">
        <f>ROUND(COM!S381,1)</f>
        <v>#REF!</v>
      </c>
      <c r="X381" s="111" t="e">
        <f t="shared" si="25"/>
        <v>#REF!</v>
      </c>
    </row>
    <row r="382" spans="1:24" ht="37.5" x14ac:dyDescent="0.25">
      <c r="A382" s="63">
        <v>321</v>
      </c>
      <c r="B382" s="64">
        <v>55</v>
      </c>
      <c r="C382" s="64">
        <v>930</v>
      </c>
      <c r="D382" s="65">
        <v>70499</v>
      </c>
      <c r="E382" s="66" t="s">
        <v>173</v>
      </c>
      <c r="F382" s="67" t="s">
        <v>133</v>
      </c>
      <c r="G382" s="38" t="s">
        <v>277</v>
      </c>
      <c r="H382" s="38"/>
      <c r="I382" s="38"/>
      <c r="J382" s="38"/>
      <c r="K382" s="38"/>
      <c r="L382" s="68" t="e">
        <f>ROUND(COM!H382,1)</f>
        <v>#REF!</v>
      </c>
      <c r="M382" s="68" t="e">
        <f>ROUND(COM!I382,1)</f>
        <v>#REF!</v>
      </c>
      <c r="N382" s="68" t="e">
        <f>ROUND(COM!J382,1)</f>
        <v>#REF!</v>
      </c>
      <c r="O382" s="68" t="e">
        <f>ROUND(COM!K382,1)</f>
        <v>#REF!</v>
      </c>
      <c r="P382" s="68" t="e">
        <f>ROUND(COM!L382,1)</f>
        <v>#REF!</v>
      </c>
      <c r="Q382" s="68" t="e">
        <f>ROUND(COM!M382,1)</f>
        <v>#REF!</v>
      </c>
      <c r="R382" s="68" t="e">
        <f>ROUND(COM!N382,1)</f>
        <v>#REF!</v>
      </c>
      <c r="S382" s="68" t="e">
        <f>ROUND(COM!O382,1)</f>
        <v>#REF!</v>
      </c>
      <c r="T382" s="68" t="e">
        <f>ROUND(COM!P382,1)</f>
        <v>#REF!</v>
      </c>
      <c r="U382" s="68" t="e">
        <f>ROUND(COM!Q382,1)</f>
        <v>#REF!</v>
      </c>
      <c r="V382" s="68" t="e">
        <f>ROUND(COM!R382,1)</f>
        <v>#REF!</v>
      </c>
      <c r="W382" s="68" t="e">
        <f>ROUND(COM!S382,1)</f>
        <v>#REF!</v>
      </c>
      <c r="X382" s="111" t="e">
        <f t="shared" si="25"/>
        <v>#REF!</v>
      </c>
    </row>
    <row r="383" spans="1:24" ht="37.5" x14ac:dyDescent="0.25">
      <c r="A383" s="4">
        <v>311</v>
      </c>
      <c r="B383" s="52">
        <v>55</v>
      </c>
      <c r="C383" s="52">
        <v>920</v>
      </c>
      <c r="D383" s="7">
        <v>70499</v>
      </c>
      <c r="E383" s="20" t="s">
        <v>172</v>
      </c>
      <c r="F383" s="38" t="s">
        <v>134</v>
      </c>
      <c r="G383" s="38"/>
      <c r="H383" s="38"/>
      <c r="I383" s="38"/>
      <c r="J383" s="38"/>
      <c r="K383" s="38"/>
      <c r="L383" s="68" t="e">
        <f>ROUND(COM!H383,1)</f>
        <v>#REF!</v>
      </c>
      <c r="M383" s="68" t="e">
        <f>ROUND(COM!I383,1)</f>
        <v>#REF!</v>
      </c>
      <c r="N383" s="68" t="e">
        <f>ROUND(COM!J383,1)</f>
        <v>#REF!</v>
      </c>
      <c r="O383" s="68" t="e">
        <f>ROUND(COM!K383,1)</f>
        <v>#REF!</v>
      </c>
      <c r="P383" s="68" t="e">
        <f>ROUND(COM!L383,1)</f>
        <v>#REF!</v>
      </c>
      <c r="Q383" s="68" t="e">
        <f>ROUND(COM!M383,1)</f>
        <v>#REF!</v>
      </c>
      <c r="R383" s="68" t="e">
        <f>ROUND(COM!N383,1)</f>
        <v>#REF!</v>
      </c>
      <c r="S383" s="68" t="e">
        <f>ROUND(COM!O383,1)</f>
        <v>#REF!</v>
      </c>
      <c r="T383" s="68" t="e">
        <f>ROUND(COM!P383,1)</f>
        <v>#REF!</v>
      </c>
      <c r="U383" s="68" t="e">
        <f>ROUND(COM!Q383,1)</f>
        <v>#REF!</v>
      </c>
      <c r="V383" s="68" t="e">
        <f>ROUND(COM!R383,1)</f>
        <v>#REF!</v>
      </c>
      <c r="W383" s="68" t="e">
        <f>ROUND(COM!S383,1)</f>
        <v>#REF!</v>
      </c>
      <c r="X383" s="111" t="e">
        <f t="shared" si="25"/>
        <v>#REF!</v>
      </c>
    </row>
    <row r="384" spans="1:24" ht="37.5" x14ac:dyDescent="0.25">
      <c r="A384" s="4">
        <v>311</v>
      </c>
      <c r="B384" s="52">
        <v>55</v>
      </c>
      <c r="C384" s="52">
        <v>920</v>
      </c>
      <c r="D384" s="7">
        <v>70499</v>
      </c>
      <c r="E384" s="20" t="s">
        <v>170</v>
      </c>
      <c r="F384" s="38" t="s">
        <v>135</v>
      </c>
      <c r="G384" s="38"/>
      <c r="H384" s="38"/>
      <c r="I384" s="38"/>
      <c r="J384" s="38"/>
      <c r="K384" s="38"/>
      <c r="L384" s="68" t="e">
        <f>ROUND(COM!H384,1)</f>
        <v>#REF!</v>
      </c>
      <c r="M384" s="68" t="e">
        <f>ROUND(COM!I384,1)</f>
        <v>#REF!</v>
      </c>
      <c r="N384" s="68" t="e">
        <f>ROUND(COM!J384,1)</f>
        <v>#REF!</v>
      </c>
      <c r="O384" s="68" t="e">
        <f>ROUND(COM!K384,1)</f>
        <v>#REF!</v>
      </c>
      <c r="P384" s="68" t="e">
        <f>ROUND(COM!L384,1)</f>
        <v>#REF!</v>
      </c>
      <c r="Q384" s="68" t="e">
        <f>ROUND(COM!M384,1)</f>
        <v>#REF!</v>
      </c>
      <c r="R384" s="68" t="e">
        <f>ROUND(COM!N384,1)</f>
        <v>#REF!</v>
      </c>
      <c r="S384" s="68" t="e">
        <f>ROUND(COM!O384,1)</f>
        <v>#REF!</v>
      </c>
      <c r="T384" s="68" t="e">
        <f>ROUND(COM!P384,1)</f>
        <v>#REF!</v>
      </c>
      <c r="U384" s="68" t="e">
        <f>ROUND(COM!Q384,1)</f>
        <v>#REF!</v>
      </c>
      <c r="V384" s="68" t="e">
        <f>ROUND(COM!R384,1)</f>
        <v>#REF!</v>
      </c>
      <c r="W384" s="68" t="e">
        <f>ROUND(COM!S384,1)</f>
        <v>#REF!</v>
      </c>
      <c r="X384" s="111" t="e">
        <f t="shared" si="25"/>
        <v>#REF!</v>
      </c>
    </row>
    <row r="385" spans="1:24" ht="37.5" x14ac:dyDescent="0.25">
      <c r="A385" s="4">
        <v>311</v>
      </c>
      <c r="B385" s="52">
        <v>55</v>
      </c>
      <c r="C385" s="52">
        <v>920</v>
      </c>
      <c r="D385" s="7">
        <v>70499</v>
      </c>
      <c r="E385" s="20" t="s">
        <v>172</v>
      </c>
      <c r="F385" s="38" t="s">
        <v>136</v>
      </c>
      <c r="G385" s="38"/>
      <c r="H385" s="38"/>
      <c r="I385" s="38"/>
      <c r="J385" s="38"/>
      <c r="K385" s="38"/>
      <c r="L385" s="68" t="e">
        <f>ROUND(COM!H385,1)</f>
        <v>#REF!</v>
      </c>
      <c r="M385" s="68" t="e">
        <f>ROUND(COM!I385,1)</f>
        <v>#REF!</v>
      </c>
      <c r="N385" s="68" t="e">
        <f>ROUND(COM!J385,1)</f>
        <v>#REF!</v>
      </c>
      <c r="O385" s="68" t="e">
        <f>ROUND(COM!K385,1)</f>
        <v>#REF!</v>
      </c>
      <c r="P385" s="68" t="e">
        <f>ROUND(COM!L385,1)</f>
        <v>#REF!</v>
      </c>
      <c r="Q385" s="68" t="e">
        <f>ROUND(COM!M385,1)</f>
        <v>#REF!</v>
      </c>
      <c r="R385" s="68" t="e">
        <f>ROUND(COM!N385,1)</f>
        <v>#REF!</v>
      </c>
      <c r="S385" s="68" t="e">
        <f>ROUND(COM!O385,1)</f>
        <v>#REF!</v>
      </c>
      <c r="T385" s="68" t="e">
        <f>ROUND(COM!P385,1)</f>
        <v>#REF!</v>
      </c>
      <c r="U385" s="68" t="e">
        <f>ROUND(COM!Q385,1)</f>
        <v>#REF!</v>
      </c>
      <c r="V385" s="68" t="e">
        <f>ROUND(COM!R385,1)</f>
        <v>#REF!</v>
      </c>
      <c r="W385" s="68" t="e">
        <f>ROUND(COM!S385,1)</f>
        <v>#REF!</v>
      </c>
      <c r="X385" s="111" t="e">
        <f t="shared" si="25"/>
        <v>#REF!</v>
      </c>
    </row>
    <row r="386" spans="1:24" ht="37.5" x14ac:dyDescent="0.25">
      <c r="A386" s="4">
        <v>321</v>
      </c>
      <c r="B386" s="52">
        <v>55</v>
      </c>
      <c r="C386" s="52">
        <v>930</v>
      </c>
      <c r="D386" s="7">
        <v>70499</v>
      </c>
      <c r="E386" s="20" t="s">
        <v>172</v>
      </c>
      <c r="F386" s="38" t="s">
        <v>137</v>
      </c>
      <c r="G386" s="38"/>
      <c r="H386" s="38"/>
      <c r="I386" s="38"/>
      <c r="J386" s="38"/>
      <c r="K386" s="38"/>
      <c r="L386" s="68" t="e">
        <f>ROUND(COM!H386,1)</f>
        <v>#REF!</v>
      </c>
      <c r="M386" s="68" t="e">
        <f>ROUND(COM!I386,1)</f>
        <v>#REF!</v>
      </c>
      <c r="N386" s="68" t="e">
        <f>ROUND(COM!J386,1)</f>
        <v>#REF!</v>
      </c>
      <c r="O386" s="68" t="e">
        <f>ROUND(COM!K386,1)</f>
        <v>#REF!</v>
      </c>
      <c r="P386" s="68" t="e">
        <f>ROUND(COM!L386,1)</f>
        <v>#REF!</v>
      </c>
      <c r="Q386" s="68" t="e">
        <f>ROUND(COM!M386,1)</f>
        <v>#REF!</v>
      </c>
      <c r="R386" s="68" t="e">
        <f>ROUND(COM!N386,1)</f>
        <v>#REF!</v>
      </c>
      <c r="S386" s="68" t="e">
        <f>ROUND(COM!O386,1)</f>
        <v>#REF!</v>
      </c>
      <c r="T386" s="68" t="e">
        <f>ROUND(COM!P386,1)</f>
        <v>#REF!</v>
      </c>
      <c r="U386" s="68" t="e">
        <f>ROUND(COM!Q386,1)</f>
        <v>#REF!</v>
      </c>
      <c r="V386" s="68" t="e">
        <f>ROUND(COM!R386,1)</f>
        <v>#REF!</v>
      </c>
      <c r="W386" s="68" t="e">
        <f>ROUND(COM!S386,1)</f>
        <v>#REF!</v>
      </c>
      <c r="X386" s="111" t="e">
        <f t="shared" si="25"/>
        <v>#REF!</v>
      </c>
    </row>
    <row r="387" spans="1:24" ht="18.75" x14ac:dyDescent="0.25">
      <c r="A387" s="4">
        <v>311</v>
      </c>
      <c r="B387" s="52">
        <v>55</v>
      </c>
      <c r="C387" s="52">
        <v>920</v>
      </c>
      <c r="D387" s="7">
        <v>70499</v>
      </c>
      <c r="E387" s="20" t="s">
        <v>176</v>
      </c>
      <c r="F387" s="38" t="s">
        <v>138</v>
      </c>
      <c r="G387" s="38"/>
      <c r="H387" s="38"/>
      <c r="I387" s="38"/>
      <c r="J387" s="38"/>
      <c r="K387" s="38"/>
      <c r="L387" s="68" t="e">
        <f>ROUND(COM!H387,1)</f>
        <v>#REF!</v>
      </c>
      <c r="M387" s="68" t="e">
        <f>ROUND(COM!I387,1)</f>
        <v>#REF!</v>
      </c>
      <c r="N387" s="68" t="e">
        <f>ROUND(COM!J387,1)</f>
        <v>#REF!</v>
      </c>
      <c r="O387" s="68" t="e">
        <f>ROUND(COM!K387,1)</f>
        <v>#REF!</v>
      </c>
      <c r="P387" s="68" t="e">
        <f>ROUND(COM!L387,1)</f>
        <v>#REF!</v>
      </c>
      <c r="Q387" s="68" t="e">
        <f>ROUND(COM!M387,1)</f>
        <v>#REF!</v>
      </c>
      <c r="R387" s="68" t="e">
        <f>ROUND(COM!N387,1)</f>
        <v>#REF!</v>
      </c>
      <c r="S387" s="68" t="e">
        <f>ROUND(COM!O387,1)</f>
        <v>#REF!</v>
      </c>
      <c r="T387" s="68" t="e">
        <f>ROUND(COM!P387,1)</f>
        <v>#REF!</v>
      </c>
      <c r="U387" s="68" t="e">
        <f>ROUND(COM!Q387,1)</f>
        <v>#REF!</v>
      </c>
      <c r="V387" s="68" t="e">
        <f>ROUND(COM!R387,1)</f>
        <v>#REF!</v>
      </c>
      <c r="W387" s="68" t="e">
        <f>ROUND(COM!S387,1)</f>
        <v>#REF!</v>
      </c>
      <c r="X387" s="111" t="e">
        <f t="shared" si="25"/>
        <v>#REF!</v>
      </c>
    </row>
    <row r="388" spans="1:24" ht="18.75" x14ac:dyDescent="0.25">
      <c r="A388" s="4">
        <v>321</v>
      </c>
      <c r="B388" s="52">
        <v>55</v>
      </c>
      <c r="C388" s="52">
        <v>930</v>
      </c>
      <c r="D388" s="7">
        <v>70499</v>
      </c>
      <c r="E388" s="20" t="s">
        <v>176</v>
      </c>
      <c r="F388" s="38" t="s">
        <v>139</v>
      </c>
      <c r="G388" s="38"/>
      <c r="H388" s="38"/>
      <c r="I388" s="38"/>
      <c r="J388" s="38"/>
      <c r="K388" s="38"/>
      <c r="L388" s="68" t="e">
        <f>ROUND(COM!H388,1)</f>
        <v>#REF!</v>
      </c>
      <c r="M388" s="68" t="e">
        <f>ROUND(COM!I388,1)</f>
        <v>#REF!</v>
      </c>
      <c r="N388" s="68" t="e">
        <f>ROUND(COM!J388,1)</f>
        <v>#REF!</v>
      </c>
      <c r="O388" s="68" t="e">
        <f>ROUND(COM!K388,1)</f>
        <v>#REF!</v>
      </c>
      <c r="P388" s="68" t="e">
        <f>ROUND(COM!L388,1)</f>
        <v>#REF!</v>
      </c>
      <c r="Q388" s="68" t="e">
        <f>ROUND(COM!M388,1)</f>
        <v>#REF!</v>
      </c>
      <c r="R388" s="68" t="e">
        <f>ROUND(COM!N388,1)</f>
        <v>#REF!</v>
      </c>
      <c r="S388" s="68" t="e">
        <f>ROUND(COM!O388,1)</f>
        <v>#REF!</v>
      </c>
      <c r="T388" s="68" t="e">
        <f>ROUND(COM!P388,1)</f>
        <v>#REF!</v>
      </c>
      <c r="U388" s="68" t="e">
        <f>ROUND(COM!Q388,1)</f>
        <v>#REF!</v>
      </c>
      <c r="V388" s="68" t="e">
        <f>ROUND(COM!R388,1)</f>
        <v>#REF!</v>
      </c>
      <c r="W388" s="68" t="e">
        <f>ROUND(COM!S388,1)</f>
        <v>#REF!</v>
      </c>
      <c r="X388" s="111" t="e">
        <f t="shared" si="25"/>
        <v>#REF!</v>
      </c>
    </row>
    <row r="389" spans="1:24" ht="37.5" x14ac:dyDescent="0.25">
      <c r="A389" s="77">
        <v>321</v>
      </c>
      <c r="B389" s="78">
        <v>55</v>
      </c>
      <c r="C389" s="78">
        <v>930</v>
      </c>
      <c r="D389" s="79">
        <v>70499</v>
      </c>
      <c r="E389" s="80" t="s">
        <v>172</v>
      </c>
      <c r="F389" s="81" t="s">
        <v>317</v>
      </c>
      <c r="G389" s="38"/>
      <c r="H389" s="38"/>
      <c r="I389" s="38"/>
      <c r="J389" s="38"/>
      <c r="K389" s="38"/>
      <c r="L389" s="68" t="e">
        <f>ROUND(COM!H389,1)</f>
        <v>#REF!</v>
      </c>
      <c r="M389" s="68" t="e">
        <f>ROUND(COM!I389,1)</f>
        <v>#REF!</v>
      </c>
      <c r="N389" s="68" t="e">
        <f>ROUND(COM!J389,1)</f>
        <v>#REF!</v>
      </c>
      <c r="O389" s="68" t="e">
        <f>ROUND(COM!K389,1)</f>
        <v>#REF!</v>
      </c>
      <c r="P389" s="68" t="e">
        <f>ROUND(COM!L389,1)</f>
        <v>#REF!</v>
      </c>
      <c r="Q389" s="68" t="e">
        <f>ROUND(COM!M389,1)</f>
        <v>#REF!</v>
      </c>
      <c r="R389" s="68" t="e">
        <f>ROUND(COM!N389,1)</f>
        <v>#REF!</v>
      </c>
      <c r="S389" s="68" t="e">
        <f>ROUND(COM!O389,1)</f>
        <v>#REF!</v>
      </c>
      <c r="T389" s="68" t="e">
        <f>ROUND(COM!P389,1)</f>
        <v>#REF!</v>
      </c>
      <c r="U389" s="68" t="e">
        <f>ROUND(COM!Q389,1)</f>
        <v>#REF!</v>
      </c>
      <c r="V389" s="68" t="e">
        <f>ROUND(COM!R389,1)</f>
        <v>#REF!</v>
      </c>
      <c r="W389" s="68" t="e">
        <f>ROUND(COM!S389,1)</f>
        <v>#REF!</v>
      </c>
      <c r="X389" s="111" t="e">
        <f t="shared" si="25"/>
        <v>#REF!</v>
      </c>
    </row>
    <row r="390" spans="1:24" ht="37.5" x14ac:dyDescent="0.25">
      <c r="A390" s="77">
        <v>321</v>
      </c>
      <c r="B390" s="78">
        <v>55</v>
      </c>
      <c r="C390" s="78">
        <v>930</v>
      </c>
      <c r="D390" s="79">
        <v>70499</v>
      </c>
      <c r="E390" s="80" t="s">
        <v>174</v>
      </c>
      <c r="F390" s="81" t="s">
        <v>316</v>
      </c>
      <c r="G390" s="38"/>
      <c r="H390" s="38"/>
      <c r="I390" s="38"/>
      <c r="J390" s="38"/>
      <c r="K390" s="38"/>
      <c r="L390" s="68" t="e">
        <f>ROUND(COM!H390,1)</f>
        <v>#REF!</v>
      </c>
      <c r="M390" s="68" t="e">
        <f>ROUND(COM!I390,1)</f>
        <v>#REF!</v>
      </c>
      <c r="N390" s="68" t="e">
        <f>ROUND(COM!J390,1)</f>
        <v>#REF!</v>
      </c>
      <c r="O390" s="68" t="e">
        <f>ROUND(COM!K390,1)</f>
        <v>#REF!</v>
      </c>
      <c r="P390" s="68" t="e">
        <f>ROUND(COM!L390,1)</f>
        <v>#REF!</v>
      </c>
      <c r="Q390" s="68" t="e">
        <f>ROUND(COM!M390,1)</f>
        <v>#REF!</v>
      </c>
      <c r="R390" s="68" t="e">
        <f>ROUND(COM!N390,1)</f>
        <v>#REF!</v>
      </c>
      <c r="S390" s="68" t="e">
        <f>ROUND(COM!O390,1)</f>
        <v>#REF!</v>
      </c>
      <c r="T390" s="68" t="e">
        <f>ROUND(COM!P390,1)</f>
        <v>#REF!</v>
      </c>
      <c r="U390" s="68" t="e">
        <f>ROUND(COM!Q390,1)</f>
        <v>#REF!</v>
      </c>
      <c r="V390" s="68" t="e">
        <f>ROUND(COM!R390,1)</f>
        <v>#REF!</v>
      </c>
      <c r="W390" s="68" t="e">
        <f>ROUND(COM!S390,1)</f>
        <v>#REF!</v>
      </c>
      <c r="X390" s="111" t="e">
        <f t="shared" si="25"/>
        <v>#REF!</v>
      </c>
    </row>
    <row r="391" spans="1:24" ht="37.5" x14ac:dyDescent="0.25">
      <c r="A391" s="4">
        <v>321</v>
      </c>
      <c r="B391" s="52">
        <v>55</v>
      </c>
      <c r="C391" s="52">
        <v>930</v>
      </c>
      <c r="D391" s="7">
        <v>70499</v>
      </c>
      <c r="E391" s="20" t="s">
        <v>171</v>
      </c>
      <c r="F391" s="38" t="s">
        <v>318</v>
      </c>
      <c r="G391" s="38"/>
      <c r="H391" s="38"/>
      <c r="I391" s="38"/>
      <c r="J391" s="38"/>
      <c r="K391" s="38"/>
      <c r="L391" s="68" t="e">
        <f>ROUND(COM!H391,1)</f>
        <v>#REF!</v>
      </c>
      <c r="M391" s="68" t="e">
        <f>ROUND(COM!I391,1)</f>
        <v>#REF!</v>
      </c>
      <c r="N391" s="68" t="e">
        <f>ROUND(COM!J391,1)</f>
        <v>#REF!</v>
      </c>
      <c r="O391" s="68" t="e">
        <f>ROUND(COM!K391,1)</f>
        <v>#REF!</v>
      </c>
      <c r="P391" s="68" t="e">
        <f>ROUND(COM!L391,1)</f>
        <v>#REF!</v>
      </c>
      <c r="Q391" s="68" t="e">
        <f>ROUND(COM!M391,1)</f>
        <v>#REF!</v>
      </c>
      <c r="R391" s="68" t="e">
        <f>ROUND(COM!N391,1)</f>
        <v>#REF!</v>
      </c>
      <c r="S391" s="68" t="e">
        <f>ROUND(COM!O391,1)</f>
        <v>#REF!</v>
      </c>
      <c r="T391" s="68" t="e">
        <f>ROUND(COM!P391,1)</f>
        <v>#REF!</v>
      </c>
      <c r="U391" s="68" t="e">
        <f>ROUND(COM!Q391,1)</f>
        <v>#REF!</v>
      </c>
      <c r="V391" s="68" t="e">
        <f>ROUND(COM!R391,1)</f>
        <v>#REF!</v>
      </c>
      <c r="W391" s="68" t="e">
        <f>ROUND(COM!S391,1)</f>
        <v>#REF!</v>
      </c>
      <c r="X391" s="111" t="e">
        <f t="shared" si="25"/>
        <v>#REF!</v>
      </c>
    </row>
    <row r="392" spans="1:24" ht="37.5" x14ac:dyDescent="0.25">
      <c r="A392" s="77">
        <v>321</v>
      </c>
      <c r="B392" s="78">
        <v>55</v>
      </c>
      <c r="C392" s="78">
        <v>930</v>
      </c>
      <c r="D392" s="79">
        <v>70499</v>
      </c>
      <c r="E392" s="80" t="s">
        <v>172</v>
      </c>
      <c r="F392" s="81" t="s">
        <v>309</v>
      </c>
      <c r="G392" s="38"/>
      <c r="H392" s="38"/>
      <c r="I392" s="38"/>
      <c r="J392" s="38"/>
      <c r="K392" s="38"/>
      <c r="L392" s="68" t="e">
        <f>ROUND(COM!H392,1)</f>
        <v>#REF!</v>
      </c>
      <c r="M392" s="68" t="e">
        <f>ROUND(COM!I392,1)</f>
        <v>#REF!</v>
      </c>
      <c r="N392" s="68" t="e">
        <f>ROUND(COM!J392,1)</f>
        <v>#REF!</v>
      </c>
      <c r="O392" s="68" t="e">
        <f>ROUND(COM!K392,1)</f>
        <v>#REF!</v>
      </c>
      <c r="P392" s="68" t="e">
        <f>ROUND(COM!L392,1)</f>
        <v>#REF!</v>
      </c>
      <c r="Q392" s="68" t="e">
        <f>ROUND(COM!M392,1)</f>
        <v>#REF!</v>
      </c>
      <c r="R392" s="68" t="e">
        <f>ROUND(COM!N392,1)</f>
        <v>#REF!</v>
      </c>
      <c r="S392" s="68" t="e">
        <f>ROUND(COM!O392,1)</f>
        <v>#REF!</v>
      </c>
      <c r="T392" s="68" t="e">
        <f>ROUND(COM!P392,1)</f>
        <v>#REF!</v>
      </c>
      <c r="U392" s="68" t="e">
        <f>ROUND(COM!Q392,1)</f>
        <v>#REF!</v>
      </c>
      <c r="V392" s="68" t="e">
        <f>ROUND(COM!R392,1)</f>
        <v>#REF!</v>
      </c>
      <c r="W392" s="68" t="e">
        <f>ROUND(COM!S392,1)</f>
        <v>#REF!</v>
      </c>
      <c r="X392" s="111" t="e">
        <f t="shared" si="25"/>
        <v>#REF!</v>
      </c>
    </row>
    <row r="393" spans="1:24" ht="37.5" x14ac:dyDescent="0.25">
      <c r="A393" s="77">
        <v>311</v>
      </c>
      <c r="B393" s="78">
        <v>55</v>
      </c>
      <c r="C393" s="78">
        <v>930</v>
      </c>
      <c r="D393" s="79">
        <v>70499</v>
      </c>
      <c r="E393" s="80" t="s">
        <v>172</v>
      </c>
      <c r="F393" s="81" t="s">
        <v>308</v>
      </c>
      <c r="G393" s="38"/>
      <c r="H393" s="38"/>
      <c r="I393" s="38"/>
      <c r="J393" s="38"/>
      <c r="K393" s="38"/>
      <c r="L393" s="68" t="e">
        <f>ROUND(COM!H393,1)</f>
        <v>#REF!</v>
      </c>
      <c r="M393" s="68" t="e">
        <f>ROUND(COM!I393,1)</f>
        <v>#REF!</v>
      </c>
      <c r="N393" s="68" t="e">
        <f>ROUND(COM!J393,1)</f>
        <v>#REF!</v>
      </c>
      <c r="O393" s="68" t="e">
        <f>ROUND(COM!K393,1)</f>
        <v>#REF!</v>
      </c>
      <c r="P393" s="68" t="e">
        <f>ROUND(COM!L393,1)</f>
        <v>#REF!</v>
      </c>
      <c r="Q393" s="68" t="e">
        <f>ROUND(COM!M393,1)</f>
        <v>#REF!</v>
      </c>
      <c r="R393" s="68" t="e">
        <f>ROUND(COM!N393,1)</f>
        <v>#REF!</v>
      </c>
      <c r="S393" s="68" t="e">
        <f>ROUND(COM!O393,1)</f>
        <v>#REF!</v>
      </c>
      <c r="T393" s="68" t="e">
        <f>ROUND(COM!P393,1)</f>
        <v>#REF!</v>
      </c>
      <c r="U393" s="68" t="e">
        <f>ROUND(COM!Q393,1)</f>
        <v>#REF!</v>
      </c>
      <c r="V393" s="68" t="e">
        <f>ROUND(COM!R393,1)</f>
        <v>#REF!</v>
      </c>
      <c r="W393" s="68" t="e">
        <f>ROUND(COM!S393,1)</f>
        <v>#REF!</v>
      </c>
      <c r="X393" s="111" t="e">
        <f t="shared" si="25"/>
        <v>#REF!</v>
      </c>
    </row>
    <row r="394" spans="1:24" ht="18.75" x14ac:dyDescent="0.25">
      <c r="A394" s="63">
        <v>311</v>
      </c>
      <c r="B394" s="64">
        <v>55</v>
      </c>
      <c r="C394" s="64">
        <v>920</v>
      </c>
      <c r="D394" s="65">
        <v>70499</v>
      </c>
      <c r="E394" s="66" t="s">
        <v>172</v>
      </c>
      <c r="F394" s="67" t="s">
        <v>140</v>
      </c>
      <c r="G394" s="38"/>
      <c r="H394" s="38"/>
      <c r="I394" s="38"/>
      <c r="J394" s="38"/>
      <c r="K394" s="38"/>
      <c r="L394" s="68" t="e">
        <f>ROUND(COM!H394,1)</f>
        <v>#REF!</v>
      </c>
      <c r="M394" s="68" t="e">
        <f>ROUND(COM!I394,1)</f>
        <v>#REF!</v>
      </c>
      <c r="N394" s="68" t="e">
        <f>ROUND(COM!J394,1)</f>
        <v>#REF!</v>
      </c>
      <c r="O394" s="68" t="e">
        <f>ROUND(COM!K394,1)</f>
        <v>#REF!</v>
      </c>
      <c r="P394" s="68" t="e">
        <f>ROUND(COM!L394,1)</f>
        <v>#REF!</v>
      </c>
      <c r="Q394" s="68" t="e">
        <f>ROUND(COM!M394,1)</f>
        <v>#REF!</v>
      </c>
      <c r="R394" s="68" t="e">
        <f>ROUND(COM!N394,1)</f>
        <v>#REF!</v>
      </c>
      <c r="S394" s="68" t="e">
        <f>ROUND(COM!O394,1)</f>
        <v>#REF!</v>
      </c>
      <c r="T394" s="68" t="e">
        <f>ROUND(COM!P394,1)</f>
        <v>#REF!</v>
      </c>
      <c r="U394" s="68" t="e">
        <f>ROUND(COM!Q394,1)</f>
        <v>#REF!</v>
      </c>
      <c r="V394" s="68" t="e">
        <f>ROUND(COM!R394,1)</f>
        <v>#REF!</v>
      </c>
      <c r="W394" s="68" t="e">
        <f>ROUND(COM!S394,1)</f>
        <v>#REF!</v>
      </c>
      <c r="X394" s="111" t="e">
        <f t="shared" si="25"/>
        <v>#REF!</v>
      </c>
    </row>
    <row r="395" spans="1:24" ht="18.75" x14ac:dyDescent="0.25">
      <c r="A395" s="63">
        <v>321</v>
      </c>
      <c r="B395" s="64">
        <v>55</v>
      </c>
      <c r="C395" s="64">
        <v>930</v>
      </c>
      <c r="D395" s="65">
        <v>70499</v>
      </c>
      <c r="E395" s="66" t="s">
        <v>172</v>
      </c>
      <c r="F395" s="67" t="s">
        <v>141</v>
      </c>
      <c r="G395" s="38"/>
      <c r="H395" s="38"/>
      <c r="I395" s="38"/>
      <c r="J395" s="38"/>
      <c r="K395" s="38"/>
      <c r="L395" s="68" t="e">
        <f>ROUND(COM!H395,1)</f>
        <v>#REF!</v>
      </c>
      <c r="M395" s="68" t="e">
        <f>ROUND(COM!I395,1)</f>
        <v>#REF!</v>
      </c>
      <c r="N395" s="68" t="e">
        <f>ROUND(COM!J395,1)</f>
        <v>#REF!</v>
      </c>
      <c r="O395" s="68" t="e">
        <f>ROUND(COM!K395,1)</f>
        <v>#REF!</v>
      </c>
      <c r="P395" s="68" t="e">
        <f>ROUND(COM!L395,1)</f>
        <v>#REF!</v>
      </c>
      <c r="Q395" s="68" t="e">
        <f>ROUND(COM!M395,1)</f>
        <v>#REF!</v>
      </c>
      <c r="R395" s="68" t="e">
        <f>ROUND(COM!N395,1)</f>
        <v>#REF!</v>
      </c>
      <c r="S395" s="68" t="e">
        <f>ROUND(COM!O395,1)</f>
        <v>#REF!</v>
      </c>
      <c r="T395" s="68" t="e">
        <f>ROUND(COM!P395,1)</f>
        <v>#REF!</v>
      </c>
      <c r="U395" s="68" t="e">
        <f>ROUND(COM!Q395,1)</f>
        <v>#REF!</v>
      </c>
      <c r="V395" s="68" t="e">
        <f>ROUND(COM!R395,1)</f>
        <v>#REF!</v>
      </c>
      <c r="W395" s="68" t="e">
        <f>ROUND(COM!S395,1)</f>
        <v>#REF!</v>
      </c>
      <c r="X395" s="111" t="e">
        <f t="shared" si="25"/>
        <v>#REF!</v>
      </c>
    </row>
    <row r="396" spans="1:24" ht="37.5" x14ac:dyDescent="0.25">
      <c r="A396" s="4">
        <v>311</v>
      </c>
      <c r="B396" s="52">
        <v>55</v>
      </c>
      <c r="C396" s="52">
        <v>920</v>
      </c>
      <c r="D396" s="7">
        <v>70499</v>
      </c>
      <c r="E396" s="20" t="s">
        <v>172</v>
      </c>
      <c r="F396" s="38" t="s">
        <v>184</v>
      </c>
      <c r="G396" s="38"/>
      <c r="H396" s="38"/>
      <c r="I396" s="38"/>
      <c r="J396" s="38"/>
      <c r="K396" s="38"/>
      <c r="L396" s="68" t="e">
        <f>ROUND(COM!H396,1)</f>
        <v>#REF!</v>
      </c>
      <c r="M396" s="68" t="e">
        <f>ROUND(COM!I396,1)</f>
        <v>#REF!</v>
      </c>
      <c r="N396" s="68" t="e">
        <f>ROUND(COM!J396,1)</f>
        <v>#REF!</v>
      </c>
      <c r="O396" s="68" t="e">
        <f>ROUND(COM!K396,1)</f>
        <v>#REF!</v>
      </c>
      <c r="P396" s="68" t="e">
        <f>ROUND(COM!L396,1)</f>
        <v>#REF!</v>
      </c>
      <c r="Q396" s="68" t="e">
        <f>ROUND(COM!M396,1)</f>
        <v>#REF!</v>
      </c>
      <c r="R396" s="68" t="e">
        <f>ROUND(COM!N396,1)</f>
        <v>#REF!</v>
      </c>
      <c r="S396" s="68" t="e">
        <f>ROUND(COM!O396,1)</f>
        <v>#REF!</v>
      </c>
      <c r="T396" s="68" t="e">
        <f>ROUND(COM!P396,1)</f>
        <v>#REF!</v>
      </c>
      <c r="U396" s="68" t="e">
        <f>ROUND(COM!Q396,1)</f>
        <v>#REF!</v>
      </c>
      <c r="V396" s="68" t="e">
        <f>ROUND(COM!R396,1)</f>
        <v>#REF!</v>
      </c>
      <c r="W396" s="68" t="e">
        <f>ROUND(COM!S396,1)</f>
        <v>#REF!</v>
      </c>
      <c r="X396" s="111" t="e">
        <f t="shared" si="25"/>
        <v>#REF!</v>
      </c>
    </row>
    <row r="397" spans="1:24" ht="37.5" x14ac:dyDescent="0.25">
      <c r="A397" s="4">
        <v>311</v>
      </c>
      <c r="B397" s="52">
        <v>55</v>
      </c>
      <c r="C397" s="52">
        <v>920</v>
      </c>
      <c r="D397" s="7">
        <v>70499</v>
      </c>
      <c r="E397" s="20" t="s">
        <v>172</v>
      </c>
      <c r="F397" s="38" t="s">
        <v>185</v>
      </c>
      <c r="G397" s="38"/>
      <c r="H397" s="38"/>
      <c r="I397" s="38"/>
      <c r="J397" s="38"/>
      <c r="K397" s="38"/>
      <c r="L397" s="68" t="e">
        <f>ROUND(COM!H397,1)</f>
        <v>#REF!</v>
      </c>
      <c r="M397" s="68" t="e">
        <f>ROUND(COM!I397,1)</f>
        <v>#REF!</v>
      </c>
      <c r="N397" s="68" t="e">
        <f>ROUND(COM!J397,1)</f>
        <v>#REF!</v>
      </c>
      <c r="O397" s="68" t="e">
        <f>ROUND(COM!K397,1)</f>
        <v>#REF!</v>
      </c>
      <c r="P397" s="68" t="e">
        <f>ROUND(COM!L397,1)</f>
        <v>#REF!</v>
      </c>
      <c r="Q397" s="68" t="e">
        <f>ROUND(COM!M397,1)</f>
        <v>#REF!</v>
      </c>
      <c r="R397" s="68" t="e">
        <f>ROUND(COM!N397,1)</f>
        <v>#REF!</v>
      </c>
      <c r="S397" s="68" t="e">
        <f>ROUND(COM!O397,1)</f>
        <v>#REF!</v>
      </c>
      <c r="T397" s="68" t="e">
        <f>ROUND(COM!P397,1)</f>
        <v>#REF!</v>
      </c>
      <c r="U397" s="68" t="e">
        <f>ROUND(COM!Q397,1)</f>
        <v>#REF!</v>
      </c>
      <c r="V397" s="68" t="e">
        <f>ROUND(COM!R397,1)</f>
        <v>#REF!</v>
      </c>
      <c r="W397" s="68" t="e">
        <f>ROUND(COM!S397,1)</f>
        <v>#REF!</v>
      </c>
      <c r="X397" s="111" t="e">
        <f t="shared" si="25"/>
        <v>#REF!</v>
      </c>
    </row>
    <row r="398" spans="1:24" ht="37.5" x14ac:dyDescent="0.25">
      <c r="A398" s="4">
        <v>321</v>
      </c>
      <c r="B398" s="52">
        <v>55</v>
      </c>
      <c r="C398" s="52">
        <v>930</v>
      </c>
      <c r="D398" s="7">
        <v>70499</v>
      </c>
      <c r="E398" s="20" t="s">
        <v>172</v>
      </c>
      <c r="F398" s="38" t="s">
        <v>186</v>
      </c>
      <c r="G398" s="38"/>
      <c r="H398" s="38"/>
      <c r="I398" s="38"/>
      <c r="J398" s="38"/>
      <c r="K398" s="38"/>
      <c r="L398" s="68" t="e">
        <f>ROUND(COM!H398,1)</f>
        <v>#REF!</v>
      </c>
      <c r="M398" s="68" t="e">
        <f>ROUND(COM!I398,1)</f>
        <v>#REF!</v>
      </c>
      <c r="N398" s="68" t="e">
        <f>ROUND(COM!J398,1)</f>
        <v>#REF!</v>
      </c>
      <c r="O398" s="68" t="e">
        <f>ROUND(COM!K398,1)</f>
        <v>#REF!</v>
      </c>
      <c r="P398" s="68" t="e">
        <f>ROUND(COM!L398,1)</f>
        <v>#REF!</v>
      </c>
      <c r="Q398" s="68" t="e">
        <f>ROUND(COM!M398,1)</f>
        <v>#REF!</v>
      </c>
      <c r="R398" s="68" t="e">
        <f>ROUND(COM!N398,1)</f>
        <v>#REF!</v>
      </c>
      <c r="S398" s="68" t="e">
        <f>ROUND(COM!O398,1)</f>
        <v>#REF!</v>
      </c>
      <c r="T398" s="68" t="e">
        <f>ROUND(COM!P398,1)</f>
        <v>#REF!</v>
      </c>
      <c r="U398" s="68" t="e">
        <f>ROUND(COM!Q398,1)</f>
        <v>#REF!</v>
      </c>
      <c r="V398" s="68" t="e">
        <f>ROUND(COM!R398,1)</f>
        <v>#REF!</v>
      </c>
      <c r="W398" s="68" t="e">
        <f>ROUND(COM!S398,1)</f>
        <v>#REF!</v>
      </c>
      <c r="X398" s="111" t="e">
        <f t="shared" si="25"/>
        <v>#REF!</v>
      </c>
    </row>
    <row r="399" spans="1:24" ht="37.5" x14ac:dyDescent="0.25">
      <c r="A399" s="4">
        <v>311</v>
      </c>
      <c r="B399" s="52">
        <v>55</v>
      </c>
      <c r="C399" s="52">
        <v>930</v>
      </c>
      <c r="D399" s="7">
        <v>70499</v>
      </c>
      <c r="E399" s="20" t="s">
        <v>172</v>
      </c>
      <c r="F399" s="38" t="s">
        <v>142</v>
      </c>
      <c r="G399" s="38"/>
      <c r="H399" s="38"/>
      <c r="I399" s="38"/>
      <c r="J399" s="38"/>
      <c r="K399" s="38"/>
      <c r="L399" s="68" t="e">
        <f>ROUND(COM!H399,1)</f>
        <v>#REF!</v>
      </c>
      <c r="M399" s="68" t="e">
        <f>ROUND(COM!I399,1)</f>
        <v>#REF!</v>
      </c>
      <c r="N399" s="68" t="e">
        <f>ROUND(COM!J399,1)</f>
        <v>#REF!</v>
      </c>
      <c r="O399" s="68" t="e">
        <f>ROUND(COM!K399,1)</f>
        <v>#REF!</v>
      </c>
      <c r="P399" s="68" t="e">
        <f>ROUND(COM!L399,1)</f>
        <v>#REF!</v>
      </c>
      <c r="Q399" s="68" t="e">
        <f>ROUND(COM!M399,1)</f>
        <v>#REF!</v>
      </c>
      <c r="R399" s="68" t="e">
        <f>ROUND(COM!N399,1)</f>
        <v>#REF!</v>
      </c>
      <c r="S399" s="68" t="e">
        <f>ROUND(COM!O399,1)</f>
        <v>#REF!</v>
      </c>
      <c r="T399" s="68" t="e">
        <f>ROUND(COM!P399,1)</f>
        <v>#REF!</v>
      </c>
      <c r="U399" s="68" t="e">
        <f>ROUND(COM!Q399,1)</f>
        <v>#REF!</v>
      </c>
      <c r="V399" s="68" t="e">
        <f>ROUND(COM!R399,1)</f>
        <v>#REF!</v>
      </c>
      <c r="W399" s="68" t="e">
        <f>ROUND(COM!S399,1)</f>
        <v>#REF!</v>
      </c>
      <c r="X399" s="111" t="e">
        <f t="shared" si="25"/>
        <v>#REF!</v>
      </c>
    </row>
    <row r="400" spans="1:24" ht="37.5" x14ac:dyDescent="0.25">
      <c r="A400" s="4">
        <v>321</v>
      </c>
      <c r="B400" s="52">
        <v>55</v>
      </c>
      <c r="C400" s="52">
        <v>930</v>
      </c>
      <c r="D400" s="7">
        <v>70499</v>
      </c>
      <c r="E400" s="20" t="s">
        <v>172</v>
      </c>
      <c r="F400" s="38" t="s">
        <v>143</v>
      </c>
      <c r="G400" s="38"/>
      <c r="H400" s="38"/>
      <c r="I400" s="38"/>
      <c r="J400" s="38"/>
      <c r="K400" s="38"/>
      <c r="L400" s="68" t="e">
        <f>ROUND(COM!H400,1)</f>
        <v>#REF!</v>
      </c>
      <c r="M400" s="68" t="e">
        <f>ROUND(COM!I400,1)</f>
        <v>#REF!</v>
      </c>
      <c r="N400" s="68" t="e">
        <f>ROUND(COM!J400,1)</f>
        <v>#REF!</v>
      </c>
      <c r="O400" s="68" t="e">
        <f>ROUND(COM!K400,1)</f>
        <v>#REF!</v>
      </c>
      <c r="P400" s="68" t="e">
        <f>ROUND(COM!L400,1)</f>
        <v>#REF!</v>
      </c>
      <c r="Q400" s="68" t="e">
        <f>ROUND(COM!M400,1)</f>
        <v>#REF!</v>
      </c>
      <c r="R400" s="68" t="e">
        <f>ROUND(COM!N400,1)</f>
        <v>#REF!</v>
      </c>
      <c r="S400" s="68" t="e">
        <f>ROUND(COM!O400,1)</f>
        <v>#REF!</v>
      </c>
      <c r="T400" s="68" t="e">
        <f>ROUND(COM!P400,1)</f>
        <v>#REF!</v>
      </c>
      <c r="U400" s="68" t="e">
        <f>ROUND(COM!Q400,1)</f>
        <v>#REF!</v>
      </c>
      <c r="V400" s="68" t="e">
        <f>ROUND(COM!R400,1)</f>
        <v>#REF!</v>
      </c>
      <c r="W400" s="68" t="e">
        <f>ROUND(COM!S400,1)</f>
        <v>#REF!</v>
      </c>
      <c r="X400" s="111" t="e">
        <f t="shared" si="25"/>
        <v>#REF!</v>
      </c>
    </row>
    <row r="401" spans="1:24" ht="37.5" x14ac:dyDescent="0.25">
      <c r="A401" s="4">
        <v>321</v>
      </c>
      <c r="B401" s="52">
        <v>55</v>
      </c>
      <c r="C401" s="52">
        <v>930</v>
      </c>
      <c r="D401" s="7">
        <v>70499</v>
      </c>
      <c r="E401" s="20" t="s">
        <v>172</v>
      </c>
      <c r="F401" s="38" t="s">
        <v>144</v>
      </c>
      <c r="G401" s="38"/>
      <c r="H401" s="38"/>
      <c r="I401" s="38"/>
      <c r="J401" s="38"/>
      <c r="K401" s="38"/>
      <c r="L401" s="68" t="e">
        <f>ROUND(COM!H401,1)</f>
        <v>#REF!</v>
      </c>
      <c r="M401" s="68" t="e">
        <f>ROUND(COM!I401,1)</f>
        <v>#REF!</v>
      </c>
      <c r="N401" s="68" t="e">
        <f>ROUND(COM!J401,1)</f>
        <v>#REF!</v>
      </c>
      <c r="O401" s="68" t="e">
        <f>ROUND(COM!K401,1)</f>
        <v>#REF!</v>
      </c>
      <c r="P401" s="68" t="e">
        <f>ROUND(COM!L401,1)</f>
        <v>#REF!</v>
      </c>
      <c r="Q401" s="68" t="e">
        <f>ROUND(COM!M401,1)</f>
        <v>#REF!</v>
      </c>
      <c r="R401" s="68" t="e">
        <f>ROUND(COM!N401,1)</f>
        <v>#REF!</v>
      </c>
      <c r="S401" s="68" t="e">
        <f>ROUND(COM!O401,1)</f>
        <v>#REF!</v>
      </c>
      <c r="T401" s="68" t="e">
        <f>ROUND(COM!P401,1)</f>
        <v>#REF!</v>
      </c>
      <c r="U401" s="68" t="e">
        <f>ROUND(COM!Q401,1)</f>
        <v>#REF!</v>
      </c>
      <c r="V401" s="68" t="e">
        <f>ROUND(COM!R401,1)</f>
        <v>#REF!</v>
      </c>
      <c r="W401" s="68" t="e">
        <f>ROUND(COM!S401,1)</f>
        <v>#REF!</v>
      </c>
      <c r="X401" s="111" t="e">
        <f t="shared" si="25"/>
        <v>#REF!</v>
      </c>
    </row>
    <row r="402" spans="1:24" ht="18.75" x14ac:dyDescent="0.25">
      <c r="A402" s="4">
        <v>311</v>
      </c>
      <c r="B402" s="52">
        <v>55</v>
      </c>
      <c r="C402" s="52">
        <v>930</v>
      </c>
      <c r="D402" s="7">
        <v>70499</v>
      </c>
      <c r="E402" s="20" t="s">
        <v>172</v>
      </c>
      <c r="F402" s="38" t="s">
        <v>193</v>
      </c>
      <c r="G402" s="38"/>
      <c r="H402" s="38"/>
      <c r="I402" s="38"/>
      <c r="J402" s="38"/>
      <c r="K402" s="38"/>
      <c r="L402" s="68" t="e">
        <f>ROUND(COM!H402,1)</f>
        <v>#REF!</v>
      </c>
      <c r="M402" s="68" t="e">
        <f>ROUND(COM!I402,1)</f>
        <v>#REF!</v>
      </c>
      <c r="N402" s="68" t="e">
        <f>ROUND(COM!J402,1)</f>
        <v>#REF!</v>
      </c>
      <c r="O402" s="68" t="e">
        <f>ROUND(COM!K402,1)</f>
        <v>#REF!</v>
      </c>
      <c r="P402" s="68" t="e">
        <f>ROUND(COM!L402,1)</f>
        <v>#REF!</v>
      </c>
      <c r="Q402" s="68" t="e">
        <f>ROUND(COM!M402,1)</f>
        <v>#REF!</v>
      </c>
      <c r="R402" s="68" t="e">
        <f>ROUND(COM!N402,1)</f>
        <v>#REF!</v>
      </c>
      <c r="S402" s="68" t="e">
        <f>ROUND(COM!O402,1)</f>
        <v>#REF!</v>
      </c>
      <c r="T402" s="68" t="e">
        <f>ROUND(COM!P402,1)</f>
        <v>#REF!</v>
      </c>
      <c r="U402" s="68" t="e">
        <f>ROUND(COM!Q402,1)</f>
        <v>#REF!</v>
      </c>
      <c r="V402" s="68" t="e">
        <f>ROUND(COM!R402,1)</f>
        <v>#REF!</v>
      </c>
      <c r="W402" s="68" t="e">
        <f>ROUND(COM!S402,1)</f>
        <v>#REF!</v>
      </c>
      <c r="X402" s="111"/>
    </row>
    <row r="403" spans="1:24" ht="18.75" x14ac:dyDescent="0.25">
      <c r="A403" s="4">
        <v>321</v>
      </c>
      <c r="B403" s="52">
        <v>55</v>
      </c>
      <c r="C403" s="52">
        <v>930</v>
      </c>
      <c r="D403" s="7">
        <v>70499</v>
      </c>
      <c r="E403" s="20" t="s">
        <v>172</v>
      </c>
      <c r="F403" s="46" t="s">
        <v>193</v>
      </c>
      <c r="G403" s="46"/>
      <c r="H403" s="46"/>
      <c r="I403" s="46"/>
      <c r="J403" s="46"/>
      <c r="K403" s="46"/>
      <c r="L403" s="68" t="e">
        <f>ROUND(COM!H403,1)</f>
        <v>#REF!</v>
      </c>
      <c r="M403" s="68" t="e">
        <f>ROUND(COM!I403,1)</f>
        <v>#REF!</v>
      </c>
      <c r="N403" s="68" t="e">
        <f>ROUND(COM!J403,1)</f>
        <v>#REF!</v>
      </c>
      <c r="O403" s="68" t="e">
        <f>ROUND(COM!K403,1)</f>
        <v>#REF!</v>
      </c>
      <c r="P403" s="68" t="e">
        <f>ROUND(COM!L403,1)</f>
        <v>#REF!</v>
      </c>
      <c r="Q403" s="68" t="e">
        <f>ROUND(COM!M403,1)</f>
        <v>#REF!</v>
      </c>
      <c r="R403" s="68" t="e">
        <f>ROUND(COM!N403,1)</f>
        <v>#REF!</v>
      </c>
      <c r="S403" s="68" t="e">
        <f>ROUND(COM!O403,1)</f>
        <v>#REF!</v>
      </c>
      <c r="T403" s="68" t="e">
        <f>ROUND(COM!P403,1)</f>
        <v>#REF!</v>
      </c>
      <c r="U403" s="68" t="e">
        <f>ROUND(COM!Q403,1)</f>
        <v>#REF!</v>
      </c>
      <c r="V403" s="68" t="e">
        <f>ROUND(COM!R403,1)</f>
        <v>#REF!</v>
      </c>
      <c r="W403" s="68" t="e">
        <f>ROUND(COM!S403,1)</f>
        <v>#REF!</v>
      </c>
      <c r="X403" s="111" t="e">
        <f t="shared" si="25"/>
        <v>#REF!</v>
      </c>
    </row>
    <row r="404" spans="1:24" ht="37.5" x14ac:dyDescent="0.25">
      <c r="A404" s="4">
        <v>321</v>
      </c>
      <c r="B404" s="52">
        <v>55</v>
      </c>
      <c r="C404" s="52">
        <v>930</v>
      </c>
      <c r="D404" s="7">
        <v>70499</v>
      </c>
      <c r="E404" s="20" t="s">
        <v>174</v>
      </c>
      <c r="F404" s="46" t="s">
        <v>267</v>
      </c>
      <c r="G404" s="46"/>
      <c r="H404" s="46"/>
      <c r="I404" s="46"/>
      <c r="J404" s="46"/>
      <c r="K404" s="46"/>
      <c r="L404" s="68" t="e">
        <f>ROUND(COM!H404,1)</f>
        <v>#REF!</v>
      </c>
      <c r="M404" s="68" t="e">
        <f>ROUND(COM!I404,1)</f>
        <v>#REF!</v>
      </c>
      <c r="N404" s="68" t="e">
        <f>ROUND(COM!J404,1)</f>
        <v>#REF!</v>
      </c>
      <c r="O404" s="68" t="e">
        <f>ROUND(COM!K404,1)</f>
        <v>#REF!</v>
      </c>
      <c r="P404" s="68" t="e">
        <f>ROUND(COM!L404,1)</f>
        <v>#REF!</v>
      </c>
      <c r="Q404" s="68" t="e">
        <f>ROUND(COM!M404,1)</f>
        <v>#REF!</v>
      </c>
      <c r="R404" s="68" t="e">
        <f>ROUND(COM!N404,1)</f>
        <v>#REF!</v>
      </c>
      <c r="S404" s="68" t="e">
        <f>ROUND(COM!O404,1)</f>
        <v>#REF!</v>
      </c>
      <c r="T404" s="68" t="e">
        <f>ROUND(COM!P404,1)</f>
        <v>#REF!</v>
      </c>
      <c r="U404" s="68" t="e">
        <f>ROUND(COM!Q404,1)</f>
        <v>#REF!</v>
      </c>
      <c r="V404" s="68" t="e">
        <f>ROUND(COM!R404,1)</f>
        <v>#REF!</v>
      </c>
      <c r="W404" s="68" t="e">
        <f>ROUND(COM!S404,1)</f>
        <v>#REF!</v>
      </c>
      <c r="X404" s="111" t="e">
        <f t="shared" si="25"/>
        <v>#REF!</v>
      </c>
    </row>
    <row r="405" spans="1:24" ht="18.75" x14ac:dyDescent="0.25">
      <c r="A405" s="4">
        <v>311</v>
      </c>
      <c r="B405" s="52">
        <v>55</v>
      </c>
      <c r="C405" s="52">
        <v>920</v>
      </c>
      <c r="D405" s="7">
        <v>70499</v>
      </c>
      <c r="E405" s="20" t="s">
        <v>176</v>
      </c>
      <c r="F405" s="46" t="s">
        <v>268</v>
      </c>
      <c r="G405" s="46"/>
      <c r="H405" s="46"/>
      <c r="I405" s="46"/>
      <c r="J405" s="46"/>
      <c r="K405" s="46"/>
      <c r="L405" s="68" t="e">
        <f>ROUND(COM!H405,1)</f>
        <v>#REF!</v>
      </c>
      <c r="M405" s="68" t="e">
        <f>ROUND(COM!I405,1)</f>
        <v>#REF!</v>
      </c>
      <c r="N405" s="68" t="e">
        <f>ROUND(COM!J405,1)</f>
        <v>#REF!</v>
      </c>
      <c r="O405" s="68" t="e">
        <f>ROUND(COM!K405,1)</f>
        <v>#REF!</v>
      </c>
      <c r="P405" s="68" t="e">
        <f>ROUND(COM!L405,1)</f>
        <v>#REF!</v>
      </c>
      <c r="Q405" s="68" t="e">
        <f>ROUND(COM!M405,1)</f>
        <v>#REF!</v>
      </c>
      <c r="R405" s="68" t="e">
        <f>ROUND(COM!N405,1)</f>
        <v>#REF!</v>
      </c>
      <c r="S405" s="68" t="e">
        <f>ROUND(COM!O405,1)</f>
        <v>#REF!</v>
      </c>
      <c r="T405" s="68" t="e">
        <f>ROUND(COM!P405,1)</f>
        <v>#REF!</v>
      </c>
      <c r="U405" s="68" t="e">
        <f>ROUND(COM!Q405,1)</f>
        <v>#REF!</v>
      </c>
      <c r="V405" s="68" t="e">
        <f>ROUND(COM!R405,1)</f>
        <v>#REF!</v>
      </c>
      <c r="W405" s="68" t="e">
        <f>ROUND(COM!S405,1)</f>
        <v>#REF!</v>
      </c>
      <c r="X405" s="111" t="e">
        <f t="shared" si="25"/>
        <v>#REF!</v>
      </c>
    </row>
    <row r="406" spans="1:24" ht="18.75" x14ac:dyDescent="0.25">
      <c r="A406" s="4">
        <v>321</v>
      </c>
      <c r="B406" s="52">
        <v>55</v>
      </c>
      <c r="C406" s="52">
        <v>930</v>
      </c>
      <c r="D406" s="7">
        <v>70499</v>
      </c>
      <c r="E406" s="20" t="s">
        <v>176</v>
      </c>
      <c r="F406" s="46" t="s">
        <v>269</v>
      </c>
      <c r="G406" s="46"/>
      <c r="H406" s="46"/>
      <c r="I406" s="46"/>
      <c r="J406" s="46"/>
      <c r="K406" s="46"/>
      <c r="L406" s="68" t="e">
        <f>ROUND(COM!H406,1)</f>
        <v>#REF!</v>
      </c>
      <c r="M406" s="68" t="e">
        <f>ROUND(COM!I406,1)</f>
        <v>#REF!</v>
      </c>
      <c r="N406" s="68" t="e">
        <f>ROUND(COM!J406,1)</f>
        <v>#REF!</v>
      </c>
      <c r="O406" s="68" t="e">
        <f>ROUND(COM!K406,1)</f>
        <v>#REF!</v>
      </c>
      <c r="P406" s="68" t="e">
        <f>ROUND(COM!L406,1)</f>
        <v>#REF!</v>
      </c>
      <c r="Q406" s="68" t="e">
        <f>ROUND(COM!M406,1)</f>
        <v>#REF!</v>
      </c>
      <c r="R406" s="68" t="e">
        <f>ROUND(COM!N406,1)</f>
        <v>#REF!</v>
      </c>
      <c r="S406" s="68" t="e">
        <f>ROUND(COM!O406,1)</f>
        <v>#REF!</v>
      </c>
      <c r="T406" s="68" t="e">
        <f>ROUND(COM!P406,1)</f>
        <v>#REF!</v>
      </c>
      <c r="U406" s="68" t="e">
        <f>ROUND(COM!Q406,1)</f>
        <v>#REF!</v>
      </c>
      <c r="V406" s="68" t="e">
        <f>ROUND(COM!R406,1)</f>
        <v>#REF!</v>
      </c>
      <c r="W406" s="68" t="e">
        <f>ROUND(COM!S406,1)</f>
        <v>#REF!</v>
      </c>
      <c r="X406" s="111" t="e">
        <f t="shared" ref="X406:X432" si="30">M406+O406+Q406+S406+U406+W406</f>
        <v>#REF!</v>
      </c>
    </row>
    <row r="407" spans="1:24" ht="37.5" x14ac:dyDescent="0.25">
      <c r="A407" s="4">
        <v>311</v>
      </c>
      <c r="B407" s="52">
        <v>55</v>
      </c>
      <c r="C407" s="52">
        <v>920</v>
      </c>
      <c r="D407" s="7">
        <v>70499</v>
      </c>
      <c r="E407" s="20" t="s">
        <v>176</v>
      </c>
      <c r="F407" s="46" t="s">
        <v>270</v>
      </c>
      <c r="G407" s="46"/>
      <c r="H407" s="46"/>
      <c r="I407" s="46"/>
      <c r="J407" s="46"/>
      <c r="K407" s="46"/>
      <c r="L407" s="68" t="e">
        <f>ROUND(COM!H407,1)</f>
        <v>#REF!</v>
      </c>
      <c r="M407" s="68" t="e">
        <f>ROUND(COM!I407,1)</f>
        <v>#REF!</v>
      </c>
      <c r="N407" s="68" t="e">
        <f>ROUND(COM!J407,1)</f>
        <v>#REF!</v>
      </c>
      <c r="O407" s="68" t="e">
        <f>ROUND(COM!K407,1)</f>
        <v>#REF!</v>
      </c>
      <c r="P407" s="68" t="e">
        <f>ROUND(COM!L407,1)</f>
        <v>#REF!</v>
      </c>
      <c r="Q407" s="68" t="e">
        <f>ROUND(COM!M407,1)</f>
        <v>#REF!</v>
      </c>
      <c r="R407" s="68" t="e">
        <f>ROUND(COM!N407,1)</f>
        <v>#REF!</v>
      </c>
      <c r="S407" s="68" t="e">
        <f>ROUND(COM!O407,1)</f>
        <v>#REF!</v>
      </c>
      <c r="T407" s="68" t="e">
        <f>ROUND(COM!P407,1)</f>
        <v>#REF!</v>
      </c>
      <c r="U407" s="68" t="e">
        <f>ROUND(COM!Q407,1)</f>
        <v>#REF!</v>
      </c>
      <c r="V407" s="68" t="e">
        <f>ROUND(COM!R407,1)</f>
        <v>#REF!</v>
      </c>
      <c r="W407" s="68" t="e">
        <f>ROUND(COM!S407,1)</f>
        <v>#REF!</v>
      </c>
      <c r="X407" s="111" t="e">
        <f t="shared" si="30"/>
        <v>#REF!</v>
      </c>
    </row>
    <row r="408" spans="1:24" ht="37.5" x14ac:dyDescent="0.25">
      <c r="A408" s="4">
        <v>321</v>
      </c>
      <c r="B408" s="52">
        <v>55</v>
      </c>
      <c r="C408" s="52">
        <v>930</v>
      </c>
      <c r="D408" s="7">
        <v>70499</v>
      </c>
      <c r="E408" s="20" t="s">
        <v>176</v>
      </c>
      <c r="F408" s="46" t="s">
        <v>271</v>
      </c>
      <c r="G408" s="46"/>
      <c r="H408" s="46"/>
      <c r="I408" s="46"/>
      <c r="J408" s="46"/>
      <c r="K408" s="46"/>
      <c r="L408" s="68" t="e">
        <f>ROUND(COM!H408,1)</f>
        <v>#REF!</v>
      </c>
      <c r="M408" s="68" t="e">
        <f>ROUND(COM!I408,1)</f>
        <v>#REF!</v>
      </c>
      <c r="N408" s="68" t="e">
        <f>ROUND(COM!J408,1)</f>
        <v>#REF!</v>
      </c>
      <c r="O408" s="68" t="e">
        <f>ROUND(COM!K408,1)</f>
        <v>#REF!</v>
      </c>
      <c r="P408" s="68" t="e">
        <f>ROUND(COM!L408,1)</f>
        <v>#REF!</v>
      </c>
      <c r="Q408" s="68" t="e">
        <f>ROUND(COM!M408,1)</f>
        <v>#REF!</v>
      </c>
      <c r="R408" s="68" t="e">
        <f>ROUND(COM!N408,1)</f>
        <v>#REF!</v>
      </c>
      <c r="S408" s="68" t="e">
        <f>ROUND(COM!O408,1)</f>
        <v>#REF!</v>
      </c>
      <c r="T408" s="68" t="e">
        <f>ROUND(COM!P408,1)</f>
        <v>#REF!</v>
      </c>
      <c r="U408" s="68" t="e">
        <f>ROUND(COM!Q408,1)</f>
        <v>#REF!</v>
      </c>
      <c r="V408" s="68" t="e">
        <f>ROUND(COM!R408,1)</f>
        <v>#REF!</v>
      </c>
      <c r="W408" s="68" t="e">
        <f>ROUND(COM!S408,1)</f>
        <v>#REF!</v>
      </c>
      <c r="X408" s="111" t="e">
        <f t="shared" si="30"/>
        <v>#REF!</v>
      </c>
    </row>
    <row r="409" spans="1:24" ht="37.5" x14ac:dyDescent="0.25">
      <c r="A409" s="4">
        <v>321</v>
      </c>
      <c r="B409" s="52">
        <v>55</v>
      </c>
      <c r="C409" s="52">
        <v>930</v>
      </c>
      <c r="D409" s="7">
        <v>70499</v>
      </c>
      <c r="E409" s="20" t="s">
        <v>419</v>
      </c>
      <c r="F409" s="38" t="s">
        <v>433</v>
      </c>
      <c r="G409" s="46"/>
      <c r="H409" s="46"/>
      <c r="I409" s="46"/>
      <c r="J409" s="46"/>
      <c r="K409" s="46"/>
      <c r="L409" s="68" t="e">
        <f>ROUND(COM!H409,1)</f>
        <v>#REF!</v>
      </c>
      <c r="M409" s="68" t="e">
        <f>ROUND(COM!I409,1)</f>
        <v>#REF!</v>
      </c>
      <c r="N409" s="68" t="e">
        <f>ROUND(COM!J409,1)</f>
        <v>#REF!</v>
      </c>
      <c r="O409" s="68" t="e">
        <f>ROUND(COM!K409,1)</f>
        <v>#REF!</v>
      </c>
      <c r="P409" s="68" t="e">
        <f>ROUND(COM!L409,1)</f>
        <v>#REF!</v>
      </c>
      <c r="Q409" s="68" t="e">
        <f>ROUND(COM!M409,1)</f>
        <v>#REF!</v>
      </c>
      <c r="R409" s="68" t="e">
        <f>ROUND(COM!N409,1)</f>
        <v>#REF!</v>
      </c>
      <c r="S409" s="68" t="e">
        <f>ROUND(COM!O409,1)</f>
        <v>#REF!</v>
      </c>
      <c r="T409" s="68" t="e">
        <f>ROUND(COM!P409,1)</f>
        <v>#REF!</v>
      </c>
      <c r="U409" s="68" t="e">
        <f>ROUND(COM!Q409,1)</f>
        <v>#REF!</v>
      </c>
      <c r="V409" s="68" t="e">
        <f>ROUND(COM!R409,1)</f>
        <v>#REF!</v>
      </c>
      <c r="W409" s="68" t="e">
        <f>ROUND(COM!S409,1)</f>
        <v>#REF!</v>
      </c>
      <c r="X409" s="111" t="e">
        <f t="shared" si="30"/>
        <v>#REF!</v>
      </c>
    </row>
    <row r="410" spans="1:24" ht="37.5" x14ac:dyDescent="0.25">
      <c r="A410" s="4">
        <v>311</v>
      </c>
      <c r="B410" s="52">
        <v>55</v>
      </c>
      <c r="C410" s="52">
        <v>910</v>
      </c>
      <c r="D410" s="7">
        <v>70499</v>
      </c>
      <c r="E410" s="20"/>
      <c r="F410" s="38" t="s">
        <v>405</v>
      </c>
      <c r="G410" s="46"/>
      <c r="H410" s="46"/>
      <c r="I410" s="46"/>
      <c r="J410" s="46"/>
      <c r="K410" s="46"/>
      <c r="L410" s="68" t="e">
        <f>ROUND(COM!H410,1)</f>
        <v>#REF!</v>
      </c>
      <c r="M410" s="68" t="e">
        <f>ROUND(COM!I410,1)</f>
        <v>#REF!</v>
      </c>
      <c r="N410" s="68" t="e">
        <f>ROUND(COM!J410,1)</f>
        <v>#REF!</v>
      </c>
      <c r="O410" s="68" t="e">
        <f>ROUND(COM!K410,1)</f>
        <v>#REF!</v>
      </c>
      <c r="P410" s="68" t="e">
        <f>ROUND(COM!L410,1)</f>
        <v>#REF!</v>
      </c>
      <c r="Q410" s="68" t="e">
        <f>ROUND(COM!M410,1)</f>
        <v>#REF!</v>
      </c>
      <c r="R410" s="68" t="e">
        <f>ROUND(COM!N410,1)</f>
        <v>#REF!</v>
      </c>
      <c r="S410" s="68" t="e">
        <f>ROUND(COM!O410,1)</f>
        <v>#REF!</v>
      </c>
      <c r="T410" s="68" t="e">
        <f>ROUND(COM!P410,1)</f>
        <v>#REF!</v>
      </c>
      <c r="U410" s="68" t="e">
        <f>ROUND(COM!Q410,1)</f>
        <v>#REF!</v>
      </c>
      <c r="V410" s="68" t="e">
        <f>ROUND(COM!R410,1)</f>
        <v>#REF!</v>
      </c>
      <c r="W410" s="68" t="e">
        <f>ROUND(COM!S410,1)</f>
        <v>#REF!</v>
      </c>
      <c r="X410" s="111"/>
    </row>
    <row r="411" spans="1:24" ht="56.25" x14ac:dyDescent="0.25">
      <c r="A411" s="4">
        <v>311</v>
      </c>
      <c r="B411" s="52">
        <v>55</v>
      </c>
      <c r="C411" s="52">
        <v>920</v>
      </c>
      <c r="D411" s="7">
        <v>70499</v>
      </c>
      <c r="E411" s="20" t="s">
        <v>173</v>
      </c>
      <c r="F411" s="38" t="s">
        <v>406</v>
      </c>
      <c r="G411" s="46"/>
      <c r="H411" s="46"/>
      <c r="I411" s="46"/>
      <c r="J411" s="46"/>
      <c r="K411" s="46"/>
      <c r="L411" s="68" t="e">
        <f>ROUND(COM!H411,1)</f>
        <v>#REF!</v>
      </c>
      <c r="M411" s="68" t="e">
        <f>ROUND(COM!I411,1)</f>
        <v>#REF!</v>
      </c>
      <c r="N411" s="68" t="e">
        <f>ROUND(COM!J411,1)</f>
        <v>#REF!</v>
      </c>
      <c r="O411" s="68" t="e">
        <f>ROUND(COM!K411,1)</f>
        <v>#REF!</v>
      </c>
      <c r="P411" s="68" t="e">
        <f>ROUND(COM!L411,1)</f>
        <v>#REF!</v>
      </c>
      <c r="Q411" s="68" t="e">
        <f>ROUND(COM!M411,1)</f>
        <v>#REF!</v>
      </c>
      <c r="R411" s="68" t="e">
        <f>ROUND(COM!N411,1)</f>
        <v>#REF!</v>
      </c>
      <c r="S411" s="68" t="e">
        <f>ROUND(COM!O411,1)</f>
        <v>#REF!</v>
      </c>
      <c r="T411" s="68" t="e">
        <f>ROUND(COM!P411,1)</f>
        <v>#REF!</v>
      </c>
      <c r="U411" s="68" t="e">
        <f>ROUND(COM!Q411,1)</f>
        <v>#REF!</v>
      </c>
      <c r="V411" s="68" t="e">
        <f>ROUND(COM!R411,1)</f>
        <v>#REF!</v>
      </c>
      <c r="W411" s="68" t="e">
        <f>ROUND(COM!S411,1)</f>
        <v>#REF!</v>
      </c>
      <c r="X411" s="111"/>
    </row>
    <row r="412" spans="1:24" ht="56.25" x14ac:dyDescent="0.25">
      <c r="A412" s="4">
        <v>321</v>
      </c>
      <c r="B412" s="52">
        <v>55</v>
      </c>
      <c r="C412" s="52">
        <v>930</v>
      </c>
      <c r="D412" s="7">
        <v>70499</v>
      </c>
      <c r="E412" s="20" t="s">
        <v>173</v>
      </c>
      <c r="F412" s="38" t="s">
        <v>407</v>
      </c>
      <c r="G412" s="46"/>
      <c r="H412" s="46"/>
      <c r="I412" s="46"/>
      <c r="J412" s="46"/>
      <c r="K412" s="46"/>
      <c r="L412" s="68" t="e">
        <f>ROUND(COM!H412,1)</f>
        <v>#REF!</v>
      </c>
      <c r="M412" s="68" t="e">
        <f>ROUND(COM!I412,1)</f>
        <v>#REF!</v>
      </c>
      <c r="N412" s="68" t="e">
        <f>ROUND(COM!J412,1)</f>
        <v>#REF!</v>
      </c>
      <c r="O412" s="68" t="e">
        <f>ROUND(COM!K412,1)</f>
        <v>#REF!</v>
      </c>
      <c r="P412" s="68" t="e">
        <f>ROUND(COM!L412,1)</f>
        <v>#REF!</v>
      </c>
      <c r="Q412" s="68" t="e">
        <f>ROUND(COM!M412,1)</f>
        <v>#REF!</v>
      </c>
      <c r="R412" s="68" t="e">
        <f>ROUND(COM!N412,1)</f>
        <v>#REF!</v>
      </c>
      <c r="S412" s="68" t="e">
        <f>ROUND(COM!O412,1)</f>
        <v>#REF!</v>
      </c>
      <c r="T412" s="68" t="e">
        <f>ROUND(COM!P412,1)</f>
        <v>#REF!</v>
      </c>
      <c r="U412" s="68" t="e">
        <f>ROUND(COM!Q412,1)</f>
        <v>#REF!</v>
      </c>
      <c r="V412" s="68" t="e">
        <f>ROUND(COM!R412,1)</f>
        <v>#REF!</v>
      </c>
      <c r="W412" s="68" t="e">
        <f>ROUND(COM!S412,1)</f>
        <v>#REF!</v>
      </c>
      <c r="X412" s="111" t="e">
        <f t="shared" si="30"/>
        <v>#REF!</v>
      </c>
    </row>
    <row r="413" spans="1:24" ht="37.5" x14ac:dyDescent="0.25">
      <c r="A413" s="4">
        <v>311</v>
      </c>
      <c r="B413" s="52">
        <v>55</v>
      </c>
      <c r="C413" s="52">
        <v>920</v>
      </c>
      <c r="D413" s="7">
        <v>70499</v>
      </c>
      <c r="E413" s="20" t="s">
        <v>172</v>
      </c>
      <c r="F413" s="38" t="s">
        <v>416</v>
      </c>
      <c r="G413" s="46"/>
      <c r="H413" s="46"/>
      <c r="I413" s="46"/>
      <c r="J413" s="46"/>
      <c r="K413" s="46"/>
      <c r="L413" s="68" t="e">
        <f>ROUND(COM!H413,1)</f>
        <v>#REF!</v>
      </c>
      <c r="M413" s="68" t="e">
        <f>ROUND(COM!I413,1)</f>
        <v>#REF!</v>
      </c>
      <c r="N413" s="68" t="e">
        <f>ROUND(COM!J413,1)</f>
        <v>#REF!</v>
      </c>
      <c r="O413" s="68" t="e">
        <f>ROUND(COM!K413,1)</f>
        <v>#REF!</v>
      </c>
      <c r="P413" s="68" t="e">
        <f>ROUND(COM!L413,1)</f>
        <v>#REF!</v>
      </c>
      <c r="Q413" s="68" t="e">
        <f>ROUND(COM!M413,1)</f>
        <v>#REF!</v>
      </c>
      <c r="R413" s="68" t="e">
        <f>ROUND(COM!N413,1)</f>
        <v>#REF!</v>
      </c>
      <c r="S413" s="68" t="e">
        <f>ROUND(COM!O413,1)</f>
        <v>#REF!</v>
      </c>
      <c r="T413" s="68" t="e">
        <f>ROUND(COM!P413,1)</f>
        <v>#REF!</v>
      </c>
      <c r="U413" s="68" t="e">
        <f>ROUND(COM!Q413,1)</f>
        <v>#REF!</v>
      </c>
      <c r="V413" s="68" t="e">
        <f>ROUND(COM!R413,1)</f>
        <v>#REF!</v>
      </c>
      <c r="W413" s="68" t="e">
        <f>ROUND(COM!S413,1)</f>
        <v>#REF!</v>
      </c>
      <c r="X413" s="111"/>
    </row>
    <row r="414" spans="1:24" ht="37.5" x14ac:dyDescent="0.25">
      <c r="A414" s="4">
        <v>321</v>
      </c>
      <c r="B414" s="52">
        <v>55</v>
      </c>
      <c r="C414" s="52">
        <v>930</v>
      </c>
      <c r="D414" s="7">
        <v>70499</v>
      </c>
      <c r="E414" s="20" t="s">
        <v>172</v>
      </c>
      <c r="F414" s="38" t="s">
        <v>417</v>
      </c>
      <c r="G414" s="46"/>
      <c r="H414" s="46"/>
      <c r="I414" s="46"/>
      <c r="J414" s="46"/>
      <c r="K414" s="46"/>
      <c r="L414" s="68" t="e">
        <f>ROUND(COM!H414,1)</f>
        <v>#REF!</v>
      </c>
      <c r="M414" s="68" t="e">
        <f>ROUND(COM!I414,1)</f>
        <v>#REF!</v>
      </c>
      <c r="N414" s="68" t="e">
        <f>ROUND(COM!J414,1)</f>
        <v>#REF!</v>
      </c>
      <c r="O414" s="68" t="e">
        <f>ROUND(COM!K414,1)</f>
        <v>#REF!</v>
      </c>
      <c r="P414" s="68" t="e">
        <f>ROUND(COM!L414,1)</f>
        <v>#REF!</v>
      </c>
      <c r="Q414" s="68" t="e">
        <f>ROUND(COM!M414,1)</f>
        <v>#REF!</v>
      </c>
      <c r="R414" s="68" t="e">
        <f>ROUND(COM!N414,1)</f>
        <v>#REF!</v>
      </c>
      <c r="S414" s="68" t="e">
        <f>ROUND(COM!O414,1)</f>
        <v>#REF!</v>
      </c>
      <c r="T414" s="68" t="e">
        <f>ROUND(COM!P414,1)</f>
        <v>#REF!</v>
      </c>
      <c r="U414" s="68" t="e">
        <f>ROUND(COM!Q414,1)</f>
        <v>#REF!</v>
      </c>
      <c r="V414" s="68" t="e">
        <f>ROUND(COM!R414,1)</f>
        <v>#REF!</v>
      </c>
      <c r="W414" s="68" t="e">
        <f>ROUND(COM!S414,1)</f>
        <v>#REF!</v>
      </c>
      <c r="X414" s="111"/>
    </row>
    <row r="415" spans="1:24" ht="18.75" x14ac:dyDescent="0.25">
      <c r="A415" s="4"/>
      <c r="B415" s="52"/>
      <c r="C415" s="52"/>
      <c r="D415" s="7"/>
      <c r="E415" s="20"/>
      <c r="F415" s="38"/>
      <c r="G415" s="46"/>
      <c r="H415" s="46"/>
      <c r="I415" s="46"/>
      <c r="J415" s="46"/>
      <c r="K415" s="46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111"/>
    </row>
    <row r="416" spans="1:24" ht="18.75" x14ac:dyDescent="0.25">
      <c r="A416" s="4"/>
      <c r="B416" s="52"/>
      <c r="C416" s="52"/>
      <c r="D416" s="7"/>
      <c r="E416" s="20"/>
      <c r="F416" s="38"/>
      <c r="G416" s="46"/>
      <c r="H416" s="46"/>
      <c r="I416" s="46"/>
      <c r="J416" s="46"/>
      <c r="K416" s="46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111"/>
    </row>
    <row r="417" spans="1:24" ht="18.75" x14ac:dyDescent="0.25">
      <c r="A417" s="4"/>
      <c r="B417" s="52"/>
      <c r="C417" s="52"/>
      <c r="D417" s="7"/>
      <c r="E417" s="20"/>
      <c r="F417" s="46"/>
      <c r="G417" s="46"/>
      <c r="H417" s="46"/>
      <c r="I417" s="46"/>
      <c r="J417" s="46"/>
      <c r="K417" s="46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111">
        <f t="shared" si="30"/>
        <v>0</v>
      </c>
    </row>
    <row r="418" spans="1:24" ht="18.75" x14ac:dyDescent="0.25">
      <c r="A418" s="4"/>
      <c r="B418" s="52"/>
      <c r="C418" s="52"/>
      <c r="D418" s="7"/>
      <c r="E418" s="20"/>
      <c r="F418" s="38"/>
      <c r="G418" s="38"/>
      <c r="H418" s="38"/>
      <c r="I418" s="38"/>
      <c r="J418" s="38"/>
      <c r="K418" s="3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111">
        <f t="shared" si="30"/>
        <v>0</v>
      </c>
    </row>
    <row r="419" spans="1:24" ht="18.75" x14ac:dyDescent="0.25">
      <c r="A419" s="4"/>
      <c r="B419" s="52"/>
      <c r="C419" s="52"/>
      <c r="D419" s="7"/>
      <c r="E419" s="20"/>
      <c r="F419" s="38"/>
      <c r="G419" s="38"/>
      <c r="H419" s="38"/>
      <c r="I419" s="38"/>
      <c r="J419" s="38"/>
      <c r="K419" s="3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111">
        <f t="shared" si="30"/>
        <v>0</v>
      </c>
    </row>
    <row r="420" spans="1:24" ht="18.75" x14ac:dyDescent="0.25">
      <c r="A420" s="56"/>
      <c r="B420" s="50"/>
      <c r="C420" s="50"/>
      <c r="D420" s="50"/>
      <c r="E420" s="54"/>
      <c r="F420" s="36" t="s">
        <v>435</v>
      </c>
      <c r="G420" s="36"/>
      <c r="H420" s="36"/>
      <c r="I420" s="36"/>
      <c r="J420" s="36"/>
      <c r="K420" s="36"/>
      <c r="L420" s="99" t="e">
        <f t="shared" ref="L420" si="31">L421</f>
        <v>#REF!</v>
      </c>
      <c r="M420" s="99" t="e">
        <f>M421</f>
        <v>#REF!</v>
      </c>
      <c r="N420" s="99" t="e">
        <f t="shared" ref="N420:W420" si="32">N421</f>
        <v>#REF!</v>
      </c>
      <c r="O420" s="99" t="e">
        <f t="shared" si="32"/>
        <v>#REF!</v>
      </c>
      <c r="P420" s="99" t="e">
        <f t="shared" si="32"/>
        <v>#REF!</v>
      </c>
      <c r="Q420" s="99" t="e">
        <f t="shared" si="32"/>
        <v>#REF!</v>
      </c>
      <c r="R420" s="99" t="e">
        <f t="shared" si="32"/>
        <v>#REF!</v>
      </c>
      <c r="S420" s="99" t="e">
        <f t="shared" si="32"/>
        <v>#REF!</v>
      </c>
      <c r="T420" s="99" t="e">
        <f t="shared" si="32"/>
        <v>#REF!</v>
      </c>
      <c r="U420" s="99" t="e">
        <f t="shared" si="32"/>
        <v>#REF!</v>
      </c>
      <c r="V420" s="99" t="e">
        <f t="shared" si="32"/>
        <v>#REF!</v>
      </c>
      <c r="W420" s="99" t="e">
        <f t="shared" si="32"/>
        <v>#REF!</v>
      </c>
      <c r="X420" s="111" t="e">
        <f t="shared" si="30"/>
        <v>#REF!</v>
      </c>
    </row>
    <row r="421" spans="1:24" ht="18.75" x14ac:dyDescent="0.25">
      <c r="A421" s="57"/>
      <c r="B421" s="51"/>
      <c r="C421" s="51"/>
      <c r="D421" s="51"/>
      <c r="E421" s="55"/>
      <c r="F421" s="37" t="s">
        <v>6</v>
      </c>
      <c r="G421" s="37"/>
      <c r="H421" s="37"/>
      <c r="I421" s="37"/>
      <c r="J421" s="37"/>
      <c r="K421" s="37"/>
      <c r="L421" s="100" t="e">
        <f>SUM(L422:L430)</f>
        <v>#REF!</v>
      </c>
      <c r="M421" s="100" t="e">
        <f t="shared" ref="M421:W421" si="33">SUM(M422:M430)</f>
        <v>#REF!</v>
      </c>
      <c r="N421" s="100" t="e">
        <f t="shared" si="33"/>
        <v>#REF!</v>
      </c>
      <c r="O421" s="100" t="e">
        <f t="shared" si="33"/>
        <v>#REF!</v>
      </c>
      <c r="P421" s="100" t="e">
        <f t="shared" si="33"/>
        <v>#REF!</v>
      </c>
      <c r="Q421" s="100" t="e">
        <f t="shared" si="33"/>
        <v>#REF!</v>
      </c>
      <c r="R421" s="100" t="e">
        <f t="shared" si="33"/>
        <v>#REF!</v>
      </c>
      <c r="S421" s="100" t="e">
        <f t="shared" si="33"/>
        <v>#REF!</v>
      </c>
      <c r="T421" s="100" t="e">
        <f t="shared" si="33"/>
        <v>#REF!</v>
      </c>
      <c r="U421" s="100" t="e">
        <f t="shared" si="33"/>
        <v>#REF!</v>
      </c>
      <c r="V421" s="100" t="e">
        <f t="shared" si="33"/>
        <v>#REF!</v>
      </c>
      <c r="W421" s="100" t="e">
        <f t="shared" si="33"/>
        <v>#REF!</v>
      </c>
      <c r="X421" s="111" t="e">
        <f t="shared" si="30"/>
        <v>#REF!</v>
      </c>
    </row>
    <row r="422" spans="1:24" ht="18.75" x14ac:dyDescent="0.25">
      <c r="A422" s="77">
        <v>311</v>
      </c>
      <c r="B422" s="78">
        <v>69</v>
      </c>
      <c r="C422" s="78">
        <v>920</v>
      </c>
      <c r="D422" s="79">
        <v>70499</v>
      </c>
      <c r="E422" s="80" t="s">
        <v>172</v>
      </c>
      <c r="F422" s="81" t="s">
        <v>301</v>
      </c>
      <c r="G422" s="46"/>
      <c r="H422" s="46"/>
      <c r="I422" s="46"/>
      <c r="J422" s="46"/>
      <c r="K422" s="46"/>
      <c r="L422" s="68" t="e">
        <f>ROUND(COM!H422,1)</f>
        <v>#REF!</v>
      </c>
      <c r="M422" s="68" t="e">
        <f>ROUND(COM!I422,1)</f>
        <v>#REF!</v>
      </c>
      <c r="N422" s="68" t="e">
        <f>ROUND(COM!J422,1)</f>
        <v>#REF!</v>
      </c>
      <c r="O422" s="68" t="e">
        <f>ROUND(COM!K422,1)</f>
        <v>#REF!</v>
      </c>
      <c r="P422" s="68" t="e">
        <f>ROUND(COM!L422,1)</f>
        <v>#REF!</v>
      </c>
      <c r="Q422" s="68" t="e">
        <f>ROUND(COM!M422,1)</f>
        <v>#REF!</v>
      </c>
      <c r="R422" s="68" t="e">
        <f>ROUND(COM!N422,1)</f>
        <v>#REF!</v>
      </c>
      <c r="S422" s="68" t="e">
        <f>ROUND(COM!O422,1)</f>
        <v>#REF!</v>
      </c>
      <c r="T422" s="68" t="e">
        <f>ROUND(COM!P422,1)</f>
        <v>#REF!</v>
      </c>
      <c r="U422" s="68" t="e">
        <f>ROUND(COM!Q422,1)</f>
        <v>#REF!</v>
      </c>
      <c r="V422" s="68" t="e">
        <f>ROUND(COM!R422,1)</f>
        <v>#REF!</v>
      </c>
      <c r="W422" s="68" t="e">
        <f>ROUND(COM!S422,1)</f>
        <v>#REF!</v>
      </c>
      <c r="X422" s="111" t="e">
        <f t="shared" si="30"/>
        <v>#REF!</v>
      </c>
    </row>
    <row r="423" spans="1:24" ht="18.75" x14ac:dyDescent="0.25">
      <c r="A423" s="77">
        <v>311</v>
      </c>
      <c r="B423" s="78">
        <v>69</v>
      </c>
      <c r="C423" s="78">
        <v>930</v>
      </c>
      <c r="D423" s="79">
        <v>70499</v>
      </c>
      <c r="E423" s="80" t="s">
        <v>172</v>
      </c>
      <c r="F423" s="81" t="s">
        <v>302</v>
      </c>
      <c r="G423" s="46"/>
      <c r="H423" s="46"/>
      <c r="I423" s="46"/>
      <c r="J423" s="46"/>
      <c r="K423" s="46"/>
      <c r="L423" s="68" t="e">
        <f>ROUND(COM!H423,1)</f>
        <v>#REF!</v>
      </c>
      <c r="M423" s="68" t="e">
        <f>ROUND(COM!I423,1)</f>
        <v>#REF!</v>
      </c>
      <c r="N423" s="68" t="e">
        <f>ROUND(COM!J423,1)</f>
        <v>#REF!</v>
      </c>
      <c r="O423" s="68" t="e">
        <f>ROUND(COM!K423,1)</f>
        <v>#REF!</v>
      </c>
      <c r="P423" s="68" t="e">
        <f>ROUND(COM!L423,1)</f>
        <v>#REF!</v>
      </c>
      <c r="Q423" s="68" t="e">
        <f>ROUND(COM!M423,1)</f>
        <v>#REF!</v>
      </c>
      <c r="R423" s="68" t="e">
        <f>ROUND(COM!N423,1)</f>
        <v>#REF!</v>
      </c>
      <c r="S423" s="68" t="e">
        <f>ROUND(COM!O423,1)</f>
        <v>#REF!</v>
      </c>
      <c r="T423" s="68" t="e">
        <f>ROUND(COM!P423,1)</f>
        <v>#REF!</v>
      </c>
      <c r="U423" s="68" t="e">
        <f>ROUND(COM!Q423,1)</f>
        <v>#REF!</v>
      </c>
      <c r="V423" s="68" t="e">
        <f>ROUND(COM!R423,1)</f>
        <v>#REF!</v>
      </c>
      <c r="W423" s="68" t="e">
        <f>ROUND(COM!S423,1)</f>
        <v>#REF!</v>
      </c>
      <c r="X423" s="111" t="e">
        <f t="shared" si="30"/>
        <v>#REF!</v>
      </c>
    </row>
    <row r="424" spans="1:24" ht="37.5" x14ac:dyDescent="0.25">
      <c r="A424" s="77">
        <v>311</v>
      </c>
      <c r="B424" s="78">
        <v>69</v>
      </c>
      <c r="C424" s="78">
        <v>930</v>
      </c>
      <c r="D424" s="79">
        <v>70499</v>
      </c>
      <c r="E424" s="80" t="s">
        <v>172</v>
      </c>
      <c r="F424" s="81" t="s">
        <v>303</v>
      </c>
      <c r="G424" s="38"/>
      <c r="H424" s="38"/>
      <c r="I424" s="38"/>
      <c r="J424" s="38"/>
      <c r="K424" s="38"/>
      <c r="L424" s="68" t="e">
        <f>ROUND(COM!H424,1)</f>
        <v>#REF!</v>
      </c>
      <c r="M424" s="68" t="e">
        <f>ROUND(COM!I424,1)</f>
        <v>#REF!</v>
      </c>
      <c r="N424" s="68" t="e">
        <f>ROUND(COM!J424,1)</f>
        <v>#REF!</v>
      </c>
      <c r="O424" s="68" t="e">
        <f>ROUND(COM!K424,1)</f>
        <v>#REF!</v>
      </c>
      <c r="P424" s="68" t="e">
        <f>ROUND(COM!L424,1)</f>
        <v>#REF!</v>
      </c>
      <c r="Q424" s="68" t="e">
        <f>ROUND(COM!M424,1)</f>
        <v>#REF!</v>
      </c>
      <c r="R424" s="68" t="e">
        <f>ROUND(COM!N424,1)</f>
        <v>#REF!</v>
      </c>
      <c r="S424" s="68" t="e">
        <f>ROUND(COM!O424,1)</f>
        <v>#REF!</v>
      </c>
      <c r="T424" s="68" t="e">
        <f>ROUND(COM!P424,1)</f>
        <v>#REF!</v>
      </c>
      <c r="U424" s="68" t="e">
        <f>ROUND(COM!Q424,1)</f>
        <v>#REF!</v>
      </c>
      <c r="V424" s="68" t="e">
        <f>ROUND(COM!R424,1)</f>
        <v>#REF!</v>
      </c>
      <c r="W424" s="68" t="e">
        <f>ROUND(COM!S424,1)</f>
        <v>#REF!</v>
      </c>
      <c r="X424" s="111" t="e">
        <f t="shared" si="30"/>
        <v>#REF!</v>
      </c>
    </row>
    <row r="425" spans="1:24" ht="18.75" x14ac:dyDescent="0.25">
      <c r="A425" s="4">
        <v>311</v>
      </c>
      <c r="B425" s="52">
        <v>69</v>
      </c>
      <c r="C425" s="52">
        <v>930</v>
      </c>
      <c r="D425" s="7">
        <v>70499</v>
      </c>
      <c r="E425" s="20" t="s">
        <v>172</v>
      </c>
      <c r="F425" s="38" t="s">
        <v>278</v>
      </c>
      <c r="G425" s="38"/>
      <c r="H425" s="38"/>
      <c r="I425" s="38"/>
      <c r="J425" s="38"/>
      <c r="K425" s="38"/>
      <c r="L425" s="68" t="e">
        <f>ROUND(COM!H425,1)</f>
        <v>#REF!</v>
      </c>
      <c r="M425" s="68" t="e">
        <f>ROUND(COM!I425,1)</f>
        <v>#REF!</v>
      </c>
      <c r="N425" s="68" t="e">
        <f>ROUND(COM!J425,1)</f>
        <v>#REF!</v>
      </c>
      <c r="O425" s="68" t="e">
        <f>ROUND(COM!K425,1)</f>
        <v>#REF!</v>
      </c>
      <c r="P425" s="68" t="e">
        <f>ROUND(COM!L425,1)</f>
        <v>#REF!</v>
      </c>
      <c r="Q425" s="68" t="e">
        <f>ROUND(COM!M425,1)</f>
        <v>#REF!</v>
      </c>
      <c r="R425" s="68" t="e">
        <f>ROUND(COM!N425,1)</f>
        <v>#REF!</v>
      </c>
      <c r="S425" s="68" t="e">
        <f>ROUND(COM!O425,1)</f>
        <v>#REF!</v>
      </c>
      <c r="T425" s="68" t="e">
        <f>ROUND(COM!P425,1)</f>
        <v>#REF!</v>
      </c>
      <c r="U425" s="68" t="e">
        <f>ROUND(COM!Q425,1)</f>
        <v>#REF!</v>
      </c>
      <c r="V425" s="68" t="e">
        <f>ROUND(COM!R425,1)</f>
        <v>#REF!</v>
      </c>
      <c r="W425" s="68" t="e">
        <f>ROUND(COM!S425,1)</f>
        <v>#REF!</v>
      </c>
      <c r="X425" s="111" t="e">
        <f t="shared" si="30"/>
        <v>#REF!</v>
      </c>
    </row>
    <row r="426" spans="1:24" ht="18.75" x14ac:dyDescent="0.25">
      <c r="A426" s="4"/>
      <c r="B426" s="52"/>
      <c r="C426" s="52"/>
      <c r="D426" s="7"/>
      <c r="E426" s="20"/>
      <c r="F426" s="38"/>
      <c r="G426" s="38"/>
      <c r="H426" s="38"/>
      <c r="I426" s="38"/>
      <c r="J426" s="38"/>
      <c r="K426" s="3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111"/>
    </row>
    <row r="427" spans="1:24" ht="18.75" x14ac:dyDescent="0.25">
      <c r="A427" s="4"/>
      <c r="B427" s="52"/>
      <c r="C427" s="52"/>
      <c r="D427" s="7"/>
      <c r="E427" s="20"/>
      <c r="F427" s="38"/>
      <c r="G427" s="38"/>
      <c r="H427" s="38"/>
      <c r="I427" s="38"/>
      <c r="J427" s="38"/>
      <c r="K427" s="3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111"/>
    </row>
    <row r="428" spans="1:24" ht="18.75" x14ac:dyDescent="0.25">
      <c r="A428" s="4"/>
      <c r="B428" s="52"/>
      <c r="C428" s="52"/>
      <c r="D428" s="7"/>
      <c r="E428" s="20"/>
      <c r="F428" s="38"/>
      <c r="G428" s="38"/>
      <c r="H428" s="38"/>
      <c r="I428" s="38"/>
      <c r="J428" s="38"/>
      <c r="K428" s="3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111"/>
    </row>
    <row r="429" spans="1:24" ht="18.75" x14ac:dyDescent="0.25">
      <c r="A429" s="4"/>
      <c r="B429" s="52"/>
      <c r="C429" s="52"/>
      <c r="D429" s="7"/>
      <c r="E429" s="20"/>
      <c r="F429" s="38"/>
      <c r="G429" s="38"/>
      <c r="H429" s="38"/>
      <c r="I429" s="38"/>
      <c r="J429" s="38"/>
      <c r="K429" s="3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111"/>
    </row>
    <row r="430" spans="1:24" ht="18.75" x14ac:dyDescent="0.25">
      <c r="A430" s="4"/>
      <c r="B430" s="52"/>
      <c r="C430" s="52"/>
      <c r="D430" s="7"/>
      <c r="E430" s="20"/>
      <c r="F430" s="38"/>
      <c r="G430" s="38"/>
      <c r="H430" s="38"/>
      <c r="I430" s="38"/>
      <c r="J430" s="38"/>
      <c r="K430" s="3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111">
        <f t="shared" si="30"/>
        <v>0</v>
      </c>
    </row>
    <row r="431" spans="1:24" ht="37.5" x14ac:dyDescent="0.25">
      <c r="A431" s="56"/>
      <c r="B431" s="50"/>
      <c r="C431" s="50"/>
      <c r="D431" s="50"/>
      <c r="E431" s="54"/>
      <c r="F431" s="40" t="s">
        <v>145</v>
      </c>
      <c r="G431" s="40"/>
      <c r="H431" s="40"/>
      <c r="I431" s="40"/>
      <c r="J431" s="40"/>
      <c r="K431" s="40"/>
      <c r="L431" s="99" t="e">
        <f>L432</f>
        <v>#REF!</v>
      </c>
      <c r="M431" s="99" t="e">
        <f>M432</f>
        <v>#REF!</v>
      </c>
      <c r="N431" s="99" t="e">
        <f t="shared" ref="M431:W432" si="34">N432</f>
        <v>#REF!</v>
      </c>
      <c r="O431" s="99" t="e">
        <f t="shared" si="34"/>
        <v>#REF!</v>
      </c>
      <c r="P431" s="99" t="e">
        <f t="shared" si="34"/>
        <v>#REF!</v>
      </c>
      <c r="Q431" s="99" t="e">
        <f t="shared" si="34"/>
        <v>#REF!</v>
      </c>
      <c r="R431" s="99" t="e">
        <f t="shared" si="34"/>
        <v>#REF!</v>
      </c>
      <c r="S431" s="99" t="e">
        <f t="shared" si="34"/>
        <v>#REF!</v>
      </c>
      <c r="T431" s="99" t="e">
        <f t="shared" si="34"/>
        <v>#REF!</v>
      </c>
      <c r="U431" s="99" t="e">
        <f t="shared" si="34"/>
        <v>#REF!</v>
      </c>
      <c r="V431" s="99" t="e">
        <f t="shared" si="34"/>
        <v>#REF!</v>
      </c>
      <c r="W431" s="99" t="e">
        <f t="shared" si="34"/>
        <v>#REF!</v>
      </c>
      <c r="X431" s="111" t="e">
        <f t="shared" si="30"/>
        <v>#REF!</v>
      </c>
    </row>
    <row r="432" spans="1:24" ht="18.75" x14ac:dyDescent="0.25">
      <c r="A432" s="57"/>
      <c r="B432" s="51"/>
      <c r="C432" s="51"/>
      <c r="D432" s="51"/>
      <c r="E432" s="55"/>
      <c r="F432" s="37" t="s">
        <v>6</v>
      </c>
      <c r="G432" s="37"/>
      <c r="H432" s="37"/>
      <c r="I432" s="37"/>
      <c r="J432" s="37"/>
      <c r="K432" s="37"/>
      <c r="L432" s="100" t="e">
        <f>L433</f>
        <v>#REF!</v>
      </c>
      <c r="M432" s="100" t="e">
        <f t="shared" si="34"/>
        <v>#REF!</v>
      </c>
      <c r="N432" s="100" t="e">
        <f t="shared" si="34"/>
        <v>#REF!</v>
      </c>
      <c r="O432" s="100" t="e">
        <f t="shared" si="34"/>
        <v>#REF!</v>
      </c>
      <c r="P432" s="100" t="e">
        <f t="shared" si="34"/>
        <v>#REF!</v>
      </c>
      <c r="Q432" s="100" t="e">
        <f t="shared" si="34"/>
        <v>#REF!</v>
      </c>
      <c r="R432" s="100" t="e">
        <f t="shared" si="34"/>
        <v>#REF!</v>
      </c>
      <c r="S432" s="100" t="e">
        <f t="shared" si="34"/>
        <v>#REF!</v>
      </c>
      <c r="T432" s="100" t="e">
        <f t="shared" si="34"/>
        <v>#REF!</v>
      </c>
      <c r="U432" s="100" t="e">
        <f t="shared" si="34"/>
        <v>#REF!</v>
      </c>
      <c r="V432" s="100" t="e">
        <f t="shared" si="34"/>
        <v>#REF!</v>
      </c>
      <c r="W432" s="100" t="e">
        <f t="shared" si="34"/>
        <v>#REF!</v>
      </c>
      <c r="X432" s="111" t="e">
        <f t="shared" si="30"/>
        <v>#REF!</v>
      </c>
    </row>
    <row r="433" spans="1:24" ht="18.75" x14ac:dyDescent="0.25">
      <c r="A433" s="88">
        <v>311</v>
      </c>
      <c r="B433" s="89">
        <v>65</v>
      </c>
      <c r="C433" s="89">
        <v>930</v>
      </c>
      <c r="D433" s="90">
        <v>70499</v>
      </c>
      <c r="E433" s="91" t="s">
        <v>172</v>
      </c>
      <c r="F433" s="109" t="s">
        <v>146</v>
      </c>
      <c r="G433" s="127" t="s">
        <v>353</v>
      </c>
      <c r="H433" s="127"/>
      <c r="I433" s="127"/>
      <c r="J433" s="127"/>
      <c r="K433" s="127"/>
      <c r="L433" s="68" t="e">
        <f>ROUND(COM!H433,1)</f>
        <v>#REF!</v>
      </c>
      <c r="M433" s="68" t="e">
        <f>ROUND(COM!I433,1)</f>
        <v>#REF!</v>
      </c>
      <c r="N433" s="68" t="e">
        <f>ROUND(COM!J433,1)</f>
        <v>#REF!</v>
      </c>
      <c r="O433" s="68" t="e">
        <f>ROUND(COM!K433,1)</f>
        <v>#REF!</v>
      </c>
      <c r="P433" s="68" t="e">
        <f>ROUND(COM!L433,1)</f>
        <v>#REF!</v>
      </c>
      <c r="Q433" s="68" t="e">
        <f>ROUND(COM!M433,1)</f>
        <v>#REF!</v>
      </c>
      <c r="R433" s="68" t="e">
        <f>ROUND(COM!N433,1)</f>
        <v>#REF!</v>
      </c>
      <c r="S433" s="68" t="e">
        <f>ROUND(COM!O433,1)</f>
        <v>#REF!</v>
      </c>
      <c r="T433" s="68" t="e">
        <f>ROUND(COM!P433,1)</f>
        <v>#REF!</v>
      </c>
      <c r="U433" s="68" t="e">
        <f>ROUND(COM!Q433,1)</f>
        <v>#REF!</v>
      </c>
      <c r="V433" s="68" t="e">
        <f>ROUND(COM!R433,1)</f>
        <v>#REF!</v>
      </c>
      <c r="W433" s="68" t="e">
        <f>ROUND(COM!S433,1)</f>
        <v>#REF!</v>
      </c>
      <c r="X433" s="111" t="e">
        <f>M433+O433+Q433+S433+U433+W433</f>
        <v>#REF!</v>
      </c>
    </row>
    <row r="434" spans="1:24" s="121" customFormat="1" ht="18.75" x14ac:dyDescent="0.25">
      <c r="A434" s="114"/>
      <c r="B434" s="115"/>
      <c r="C434" s="115"/>
      <c r="D434" s="116"/>
      <c r="E434" s="117"/>
      <c r="F434" s="139"/>
      <c r="G434" s="140"/>
      <c r="H434" s="140"/>
      <c r="I434" s="140"/>
      <c r="J434" s="140"/>
      <c r="K434" s="140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20"/>
    </row>
    <row r="435" spans="1:24" s="121" customFormat="1" ht="18.75" x14ac:dyDescent="0.25">
      <c r="A435" s="114"/>
      <c r="B435" s="115"/>
      <c r="C435" s="115"/>
      <c r="D435" s="116"/>
      <c r="E435" s="117"/>
      <c r="F435" s="139"/>
      <c r="G435" s="140"/>
      <c r="H435" s="140"/>
      <c r="I435" s="140"/>
      <c r="J435" s="140"/>
      <c r="K435" s="140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20"/>
    </row>
    <row r="436" spans="1:24" s="121" customFormat="1" ht="18.75" x14ac:dyDescent="0.25">
      <c r="A436" s="114"/>
      <c r="B436" s="115"/>
      <c r="C436" s="115"/>
      <c r="D436" s="116"/>
      <c r="E436" s="117"/>
      <c r="F436" s="139"/>
      <c r="G436" s="140"/>
      <c r="H436" s="140"/>
      <c r="I436" s="140"/>
      <c r="J436" s="140"/>
      <c r="K436" s="140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20"/>
    </row>
    <row r="437" spans="1:24" s="121" customFormat="1" ht="18.75" x14ac:dyDescent="0.25">
      <c r="A437" s="114"/>
      <c r="B437" s="115"/>
      <c r="C437" s="115"/>
      <c r="D437" s="116"/>
      <c r="E437" s="117"/>
      <c r="F437" s="139"/>
      <c r="G437" s="140"/>
      <c r="H437" s="140"/>
      <c r="I437" s="140"/>
      <c r="J437" s="140"/>
      <c r="K437" s="140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20"/>
    </row>
    <row r="438" spans="1:24" s="121" customFormat="1" ht="18.75" x14ac:dyDescent="0.25">
      <c r="A438" s="114"/>
      <c r="B438" s="115"/>
      <c r="C438" s="115"/>
      <c r="D438" s="116"/>
      <c r="E438" s="117"/>
      <c r="F438" s="139"/>
      <c r="G438" s="139"/>
      <c r="H438" s="139"/>
      <c r="I438" s="139"/>
      <c r="J438" s="139"/>
      <c r="K438" s="13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20">
        <f t="shared" ref="X438:X451" si="35">M438+O438+Q438+S438+U438+W438</f>
        <v>0</v>
      </c>
    </row>
    <row r="439" spans="1:24" ht="18.75" x14ac:dyDescent="0.25">
      <c r="A439" s="56"/>
      <c r="B439" s="50"/>
      <c r="C439" s="50"/>
      <c r="D439" s="50"/>
      <c r="E439" s="54"/>
      <c r="F439" s="36" t="s">
        <v>147</v>
      </c>
      <c r="G439" s="36"/>
      <c r="H439" s="36"/>
      <c r="I439" s="36"/>
      <c r="J439" s="36"/>
      <c r="K439" s="36"/>
      <c r="L439" s="99" t="e">
        <f>L440</f>
        <v>#REF!</v>
      </c>
      <c r="M439" s="99" t="e">
        <f t="shared" ref="M439:W439" si="36">M440</f>
        <v>#REF!</v>
      </c>
      <c r="N439" s="99" t="e">
        <f t="shared" si="36"/>
        <v>#REF!</v>
      </c>
      <c r="O439" s="99" t="e">
        <f t="shared" si="36"/>
        <v>#REF!</v>
      </c>
      <c r="P439" s="99" t="e">
        <f t="shared" si="36"/>
        <v>#REF!</v>
      </c>
      <c r="Q439" s="99" t="e">
        <f t="shared" si="36"/>
        <v>#REF!</v>
      </c>
      <c r="R439" s="99" t="e">
        <f t="shared" si="36"/>
        <v>#REF!</v>
      </c>
      <c r="S439" s="99" t="e">
        <f t="shared" si="36"/>
        <v>#REF!</v>
      </c>
      <c r="T439" s="99" t="e">
        <f t="shared" si="36"/>
        <v>#REF!</v>
      </c>
      <c r="U439" s="99" t="e">
        <f t="shared" si="36"/>
        <v>#REF!</v>
      </c>
      <c r="V439" s="99" t="e">
        <f t="shared" si="36"/>
        <v>#REF!</v>
      </c>
      <c r="W439" s="99" t="e">
        <f t="shared" si="36"/>
        <v>#REF!</v>
      </c>
      <c r="X439" s="111" t="e">
        <f t="shared" si="35"/>
        <v>#REF!</v>
      </c>
    </row>
    <row r="440" spans="1:24" ht="18.75" x14ac:dyDescent="0.25">
      <c r="A440" s="57"/>
      <c r="B440" s="51"/>
      <c r="C440" s="51"/>
      <c r="D440" s="51"/>
      <c r="E440" s="55"/>
      <c r="F440" s="37" t="s">
        <v>6</v>
      </c>
      <c r="G440" s="37"/>
      <c r="H440" s="37"/>
      <c r="I440" s="37"/>
      <c r="J440" s="37"/>
      <c r="K440" s="37"/>
      <c r="L440" s="100" t="e">
        <f>SUM(L441:L447)</f>
        <v>#REF!</v>
      </c>
      <c r="M440" s="100" t="e">
        <f t="shared" ref="M440:W440" si="37">SUM(M441:M447)</f>
        <v>#REF!</v>
      </c>
      <c r="N440" s="100" t="e">
        <f t="shared" si="37"/>
        <v>#REF!</v>
      </c>
      <c r="O440" s="100" t="e">
        <f t="shared" si="37"/>
        <v>#REF!</v>
      </c>
      <c r="P440" s="100" t="e">
        <f t="shared" si="37"/>
        <v>#REF!</v>
      </c>
      <c r="Q440" s="100" t="e">
        <f t="shared" si="37"/>
        <v>#REF!</v>
      </c>
      <c r="R440" s="100" t="e">
        <f t="shared" si="37"/>
        <v>#REF!</v>
      </c>
      <c r="S440" s="100" t="e">
        <f t="shared" si="37"/>
        <v>#REF!</v>
      </c>
      <c r="T440" s="100" t="e">
        <f t="shared" si="37"/>
        <v>#REF!</v>
      </c>
      <c r="U440" s="100" t="e">
        <f t="shared" si="37"/>
        <v>#REF!</v>
      </c>
      <c r="V440" s="100" t="e">
        <f t="shared" si="37"/>
        <v>#REF!</v>
      </c>
      <c r="W440" s="100" t="e">
        <f t="shared" si="37"/>
        <v>#REF!</v>
      </c>
      <c r="X440" s="111" t="e">
        <f t="shared" si="35"/>
        <v>#REF!</v>
      </c>
    </row>
    <row r="441" spans="1:24" ht="37.5" x14ac:dyDescent="0.25">
      <c r="A441" s="88">
        <v>311</v>
      </c>
      <c r="B441" s="89">
        <v>74</v>
      </c>
      <c r="C441" s="89">
        <v>920</v>
      </c>
      <c r="D441" s="90">
        <v>70499</v>
      </c>
      <c r="E441" s="91" t="s">
        <v>172</v>
      </c>
      <c r="F441" s="125" t="s">
        <v>23</v>
      </c>
      <c r="G441" s="125"/>
      <c r="H441" s="125"/>
      <c r="I441" s="125"/>
      <c r="J441" s="125"/>
      <c r="K441" s="125"/>
      <c r="L441" s="68" t="e">
        <f>ROUND(COM!H441,1)</f>
        <v>#REF!</v>
      </c>
      <c r="M441" s="68" t="e">
        <f>ROUND(COM!I441,1)</f>
        <v>#REF!</v>
      </c>
      <c r="N441" s="68" t="e">
        <f>ROUND(COM!J441,1)</f>
        <v>#REF!</v>
      </c>
      <c r="O441" s="68" t="e">
        <f>ROUND(COM!K441,1)</f>
        <v>#REF!</v>
      </c>
      <c r="P441" s="68" t="e">
        <f>ROUND(COM!L441,1)</f>
        <v>#REF!</v>
      </c>
      <c r="Q441" s="68" t="e">
        <f>ROUND(COM!M441,1)</f>
        <v>#REF!</v>
      </c>
      <c r="R441" s="68" t="e">
        <f>ROUND(COM!N441,1)</f>
        <v>#REF!</v>
      </c>
      <c r="S441" s="68" t="e">
        <f>ROUND(COM!O441,1)</f>
        <v>#REF!</v>
      </c>
      <c r="T441" s="68" t="e">
        <f>ROUND(COM!P441,1)</f>
        <v>#REF!</v>
      </c>
      <c r="U441" s="68" t="e">
        <f>ROUND(COM!Q441,1)</f>
        <v>#REF!</v>
      </c>
      <c r="V441" s="68" t="e">
        <f>ROUND(COM!R441,1)</f>
        <v>#REF!</v>
      </c>
      <c r="W441" s="68" t="e">
        <f>ROUND(COM!S441,1)</f>
        <v>#REF!</v>
      </c>
      <c r="X441" s="111" t="e">
        <f t="shared" si="35"/>
        <v>#REF!</v>
      </c>
    </row>
    <row r="442" spans="1:24" ht="37.5" x14ac:dyDescent="0.25">
      <c r="A442" s="88">
        <v>311</v>
      </c>
      <c r="B442" s="89">
        <v>74</v>
      </c>
      <c r="C442" s="89">
        <v>930</v>
      </c>
      <c r="D442" s="90">
        <v>70499</v>
      </c>
      <c r="E442" s="91" t="s">
        <v>172</v>
      </c>
      <c r="F442" s="92" t="s">
        <v>24</v>
      </c>
      <c r="G442" s="126" t="s">
        <v>380</v>
      </c>
      <c r="H442" s="126"/>
      <c r="I442" s="126"/>
      <c r="J442" s="126"/>
      <c r="K442" s="126"/>
      <c r="L442" s="68" t="e">
        <f>ROUND(COM!H442,1)</f>
        <v>#REF!</v>
      </c>
      <c r="M442" s="68" t="e">
        <f>ROUND(COM!I442,1)</f>
        <v>#REF!</v>
      </c>
      <c r="N442" s="68" t="e">
        <f>ROUND(COM!J442,1)</f>
        <v>#REF!</v>
      </c>
      <c r="O442" s="68" t="e">
        <f>ROUND(COM!K442,1)</f>
        <v>#REF!</v>
      </c>
      <c r="P442" s="68" t="e">
        <f>ROUND(COM!L442,1)</f>
        <v>#REF!</v>
      </c>
      <c r="Q442" s="68" t="e">
        <f>ROUND(COM!M442,1)</f>
        <v>#REF!</v>
      </c>
      <c r="R442" s="68" t="e">
        <f>ROUND(COM!N442,1)</f>
        <v>#REF!</v>
      </c>
      <c r="S442" s="68" t="e">
        <f>ROUND(COM!O442,1)</f>
        <v>#REF!</v>
      </c>
      <c r="T442" s="68" t="e">
        <f>ROUND(COM!P442,1)</f>
        <v>#REF!</v>
      </c>
      <c r="U442" s="68" t="e">
        <f>ROUND(COM!Q442,1)</f>
        <v>#REF!</v>
      </c>
      <c r="V442" s="68" t="e">
        <f>ROUND(COM!R442,1)</f>
        <v>#REF!</v>
      </c>
      <c r="W442" s="68" t="e">
        <f>ROUND(COM!S442,1)</f>
        <v>#REF!</v>
      </c>
      <c r="X442" s="111" t="e">
        <f t="shared" si="35"/>
        <v>#REF!</v>
      </c>
    </row>
    <row r="443" spans="1:24" s="121" customFormat="1" ht="18.75" x14ac:dyDescent="0.25">
      <c r="A443" s="114"/>
      <c r="B443" s="115"/>
      <c r="C443" s="115"/>
      <c r="D443" s="116"/>
      <c r="E443" s="117"/>
      <c r="F443" s="118"/>
      <c r="G443" s="141"/>
      <c r="H443" s="141"/>
      <c r="I443" s="141"/>
      <c r="J443" s="141"/>
      <c r="K443" s="141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20"/>
    </row>
    <row r="444" spans="1:24" s="121" customFormat="1" ht="18.75" x14ac:dyDescent="0.25">
      <c r="A444" s="114"/>
      <c r="B444" s="115"/>
      <c r="C444" s="115"/>
      <c r="D444" s="116"/>
      <c r="E444" s="117"/>
      <c r="F444" s="118"/>
      <c r="G444" s="141"/>
      <c r="H444" s="141"/>
      <c r="I444" s="141"/>
      <c r="J444" s="141"/>
      <c r="K444" s="141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20"/>
    </row>
    <row r="445" spans="1:24" s="121" customFormat="1" ht="18.75" x14ac:dyDescent="0.25">
      <c r="A445" s="114"/>
      <c r="B445" s="115"/>
      <c r="C445" s="115"/>
      <c r="D445" s="116"/>
      <c r="E445" s="117"/>
      <c r="F445" s="118"/>
      <c r="G445" s="141"/>
      <c r="H445" s="141"/>
      <c r="I445" s="141"/>
      <c r="J445" s="141"/>
      <c r="K445" s="141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20"/>
    </row>
    <row r="446" spans="1:24" s="121" customFormat="1" ht="18.75" x14ac:dyDescent="0.25">
      <c r="A446" s="114"/>
      <c r="B446" s="115"/>
      <c r="C446" s="115"/>
      <c r="D446" s="116"/>
      <c r="E446" s="117"/>
      <c r="F446" s="118"/>
      <c r="G446" s="141"/>
      <c r="H446" s="141"/>
      <c r="I446" s="141"/>
      <c r="J446" s="141"/>
      <c r="K446" s="141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20"/>
    </row>
    <row r="447" spans="1:24" s="121" customFormat="1" ht="18.75" x14ac:dyDescent="0.25">
      <c r="A447" s="114"/>
      <c r="B447" s="115"/>
      <c r="C447" s="115"/>
      <c r="D447" s="116"/>
      <c r="E447" s="117"/>
      <c r="F447" s="118"/>
      <c r="G447" s="118"/>
      <c r="H447" s="118"/>
      <c r="I447" s="118"/>
      <c r="J447" s="118"/>
      <c r="K447" s="118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20">
        <f t="shared" si="35"/>
        <v>0</v>
      </c>
    </row>
    <row r="448" spans="1:24" ht="37.5" x14ac:dyDescent="0.25">
      <c r="A448" s="56"/>
      <c r="B448" s="50"/>
      <c r="C448" s="50"/>
      <c r="D448" s="50"/>
      <c r="E448" s="54"/>
      <c r="F448" s="69" t="s">
        <v>148</v>
      </c>
      <c r="G448" s="36"/>
      <c r="H448" s="36"/>
      <c r="I448" s="36"/>
      <c r="J448" s="36"/>
      <c r="K448" s="36"/>
      <c r="L448" s="99" t="e">
        <f>L449</f>
        <v>#REF!</v>
      </c>
      <c r="M448" s="99" t="e">
        <f>M449</f>
        <v>#REF!</v>
      </c>
      <c r="N448" s="99" t="e">
        <f>N449</f>
        <v>#REF!</v>
      </c>
      <c r="O448" s="99" t="e">
        <f t="shared" ref="O448:W448" si="38">O449</f>
        <v>#REF!</v>
      </c>
      <c r="P448" s="99" t="e">
        <f t="shared" si="38"/>
        <v>#REF!</v>
      </c>
      <c r="Q448" s="99" t="e">
        <f t="shared" si="38"/>
        <v>#REF!</v>
      </c>
      <c r="R448" s="99" t="e">
        <f t="shared" si="38"/>
        <v>#REF!</v>
      </c>
      <c r="S448" s="99" t="e">
        <f t="shared" si="38"/>
        <v>#REF!</v>
      </c>
      <c r="T448" s="99" t="e">
        <f t="shared" si="38"/>
        <v>#REF!</v>
      </c>
      <c r="U448" s="99" t="e">
        <f t="shared" si="38"/>
        <v>#REF!</v>
      </c>
      <c r="V448" s="99" t="e">
        <f t="shared" si="38"/>
        <v>#REF!</v>
      </c>
      <c r="W448" s="99" t="e">
        <f t="shared" si="38"/>
        <v>#REF!</v>
      </c>
      <c r="X448" s="111" t="e">
        <f t="shared" si="35"/>
        <v>#REF!</v>
      </c>
    </row>
    <row r="449" spans="1:24" ht="18.75" x14ac:dyDescent="0.25">
      <c r="A449" s="57"/>
      <c r="B449" s="51"/>
      <c r="C449" s="51"/>
      <c r="D449" s="51"/>
      <c r="E449" s="55"/>
      <c r="F449" s="37" t="s">
        <v>6</v>
      </c>
      <c r="G449" s="37"/>
      <c r="H449" s="37"/>
      <c r="I449" s="37"/>
      <c r="J449" s="37"/>
      <c r="K449" s="37"/>
      <c r="L449" s="100" t="e">
        <f>SUM(L450:L459)</f>
        <v>#REF!</v>
      </c>
      <c r="M449" s="100" t="e">
        <f t="shared" ref="M449:W449" si="39">SUM(M450:M459)</f>
        <v>#REF!</v>
      </c>
      <c r="N449" s="100" t="e">
        <f>SUM(N450:N459)</f>
        <v>#REF!</v>
      </c>
      <c r="O449" s="100" t="e">
        <f t="shared" si="39"/>
        <v>#REF!</v>
      </c>
      <c r="P449" s="100" t="e">
        <f t="shared" si="39"/>
        <v>#REF!</v>
      </c>
      <c r="Q449" s="100" t="e">
        <f t="shared" si="39"/>
        <v>#REF!</v>
      </c>
      <c r="R449" s="100" t="e">
        <f t="shared" si="39"/>
        <v>#REF!</v>
      </c>
      <c r="S449" s="100" t="e">
        <f t="shared" si="39"/>
        <v>#REF!</v>
      </c>
      <c r="T449" s="100" t="e">
        <f t="shared" si="39"/>
        <v>#REF!</v>
      </c>
      <c r="U449" s="100" t="e">
        <f t="shared" si="39"/>
        <v>#REF!</v>
      </c>
      <c r="V449" s="100" t="e">
        <f t="shared" si="39"/>
        <v>#REF!</v>
      </c>
      <c r="W449" s="100" t="e">
        <f t="shared" si="39"/>
        <v>#REF!</v>
      </c>
      <c r="X449" s="111" t="e">
        <f t="shared" si="35"/>
        <v>#REF!</v>
      </c>
    </row>
    <row r="450" spans="1:24" ht="18.75" x14ac:dyDescent="0.25">
      <c r="A450" s="63">
        <v>311</v>
      </c>
      <c r="B450" s="64">
        <v>67</v>
      </c>
      <c r="C450" s="64">
        <v>910</v>
      </c>
      <c r="D450" s="65">
        <v>70259</v>
      </c>
      <c r="E450" s="66"/>
      <c r="F450" s="67" t="s">
        <v>149</v>
      </c>
      <c r="G450" s="38"/>
      <c r="H450" s="38"/>
      <c r="I450" s="38"/>
      <c r="J450" s="38"/>
      <c r="K450" s="38"/>
      <c r="L450" s="68" t="e">
        <f>ROUND(COM!H450,1)</f>
        <v>#REF!</v>
      </c>
      <c r="M450" s="68" t="e">
        <f>ROUND(COM!I450,1)</f>
        <v>#REF!</v>
      </c>
      <c r="N450" s="68" t="e">
        <f>ROUND(COM!J450,1)</f>
        <v>#REF!</v>
      </c>
      <c r="O450" s="68" t="e">
        <f>ROUND(COM!K450,1)</f>
        <v>#REF!</v>
      </c>
      <c r="P450" s="68" t="e">
        <f>ROUND(COM!L450,1)</f>
        <v>#REF!</v>
      </c>
      <c r="Q450" s="68" t="e">
        <f>ROUND(COM!M450,1)</f>
        <v>#REF!</v>
      </c>
      <c r="R450" s="68" t="e">
        <f>ROUND(COM!N450,1)</f>
        <v>#REF!</v>
      </c>
      <c r="S450" s="68" t="e">
        <f>ROUND(COM!O450,1)</f>
        <v>#REF!</v>
      </c>
      <c r="T450" s="68" t="e">
        <f>ROUND(COM!P450,1)</f>
        <v>#REF!</v>
      </c>
      <c r="U450" s="68" t="e">
        <f>ROUND(COM!Q450,1)</f>
        <v>#REF!</v>
      </c>
      <c r="V450" s="68" t="e">
        <f>ROUND(COM!R450,1)</f>
        <v>#REF!</v>
      </c>
      <c r="W450" s="68" t="e">
        <f>ROUND(COM!S450,1)</f>
        <v>#REF!</v>
      </c>
      <c r="X450" s="111" t="e">
        <f t="shared" si="35"/>
        <v>#REF!</v>
      </c>
    </row>
    <row r="451" spans="1:24" ht="18.75" x14ac:dyDescent="0.25">
      <c r="A451" s="63">
        <v>311</v>
      </c>
      <c r="B451" s="64">
        <v>67</v>
      </c>
      <c r="C451" s="64">
        <v>920</v>
      </c>
      <c r="D451" s="65">
        <v>70259</v>
      </c>
      <c r="E451" s="66" t="s">
        <v>173</v>
      </c>
      <c r="F451" s="67" t="s">
        <v>150</v>
      </c>
      <c r="G451" s="38"/>
      <c r="H451" s="38"/>
      <c r="I451" s="38"/>
      <c r="J451" s="38"/>
      <c r="K451" s="38"/>
      <c r="L451" s="68" t="e">
        <f>ROUND(COM!H451,1)</f>
        <v>#REF!</v>
      </c>
      <c r="M451" s="68" t="e">
        <f>ROUND(COM!I451,1)</f>
        <v>#REF!</v>
      </c>
      <c r="N451" s="68" t="e">
        <f>ROUND(COM!J451,1)</f>
        <v>#REF!</v>
      </c>
      <c r="O451" s="68" t="e">
        <f>ROUND(COM!K451,1)</f>
        <v>#REF!</v>
      </c>
      <c r="P451" s="68" t="e">
        <f>ROUND(COM!L451,1)</f>
        <v>#REF!</v>
      </c>
      <c r="Q451" s="68" t="e">
        <f>ROUND(COM!M451,1)</f>
        <v>#REF!</v>
      </c>
      <c r="R451" s="68" t="e">
        <f>ROUND(COM!N451,1)</f>
        <v>#REF!</v>
      </c>
      <c r="S451" s="68" t="e">
        <f>ROUND(COM!O451,1)</f>
        <v>#REF!</v>
      </c>
      <c r="T451" s="68" t="e">
        <f>ROUND(COM!P451,1)</f>
        <v>#REF!</v>
      </c>
      <c r="U451" s="68" t="e">
        <f>ROUND(COM!Q451,1)</f>
        <v>#REF!</v>
      </c>
      <c r="V451" s="68" t="e">
        <f>ROUND(COM!R451,1)</f>
        <v>#REF!</v>
      </c>
      <c r="W451" s="68" t="e">
        <f>ROUND(COM!S451,1)</f>
        <v>#REF!</v>
      </c>
      <c r="X451" s="111" t="e">
        <f t="shared" si="35"/>
        <v>#REF!</v>
      </c>
    </row>
    <row r="452" spans="1:24" ht="37.5" x14ac:dyDescent="0.25">
      <c r="A452" s="63">
        <v>311</v>
      </c>
      <c r="B452" s="64">
        <v>67</v>
      </c>
      <c r="C452" s="64">
        <v>910</v>
      </c>
      <c r="D452" s="65">
        <v>70259</v>
      </c>
      <c r="E452" s="66"/>
      <c r="F452" s="67" t="s">
        <v>408</v>
      </c>
      <c r="G452" s="38"/>
      <c r="H452" s="38"/>
      <c r="I452" s="38"/>
      <c r="J452" s="38"/>
      <c r="K452" s="38"/>
      <c r="L452" s="68" t="e">
        <f>ROUND(COM!H452,1)</f>
        <v>#REF!</v>
      </c>
      <c r="M452" s="68" t="e">
        <f>ROUND(COM!I452,1)</f>
        <v>#REF!</v>
      </c>
      <c r="N452" s="68" t="e">
        <f>ROUND(COM!J452,1)</f>
        <v>#REF!</v>
      </c>
      <c r="O452" s="68" t="e">
        <f>ROUND(COM!K452,1)</f>
        <v>#REF!</v>
      </c>
      <c r="P452" s="68" t="e">
        <f>ROUND(COM!L452,1)</f>
        <v>#REF!</v>
      </c>
      <c r="Q452" s="68" t="e">
        <f>ROUND(COM!M452,1)</f>
        <v>#REF!</v>
      </c>
      <c r="R452" s="68" t="e">
        <f>ROUND(COM!N452,1)</f>
        <v>#REF!</v>
      </c>
      <c r="S452" s="68" t="e">
        <f>ROUND(COM!O452,1)</f>
        <v>#REF!</v>
      </c>
      <c r="T452" s="68" t="e">
        <f>ROUND(COM!P452,1)</f>
        <v>#REF!</v>
      </c>
      <c r="U452" s="68" t="e">
        <f>ROUND(COM!Q452,1)</f>
        <v>#REF!</v>
      </c>
      <c r="V452" s="68" t="e">
        <f>ROUND(COM!R452,1)</f>
        <v>#REF!</v>
      </c>
      <c r="W452" s="68" t="e">
        <f>ROUND(COM!S452,1)</f>
        <v>#REF!</v>
      </c>
      <c r="X452" s="111"/>
    </row>
    <row r="453" spans="1:24" ht="37.5" x14ac:dyDescent="0.25">
      <c r="A453" s="63">
        <v>311</v>
      </c>
      <c r="B453" s="64">
        <v>67</v>
      </c>
      <c r="C453" s="64">
        <v>920</v>
      </c>
      <c r="D453" s="65">
        <v>70259</v>
      </c>
      <c r="E453" s="66" t="s">
        <v>173</v>
      </c>
      <c r="F453" s="67" t="s">
        <v>409</v>
      </c>
      <c r="G453" s="38"/>
      <c r="H453" s="38"/>
      <c r="I453" s="38"/>
      <c r="J453" s="38"/>
      <c r="K453" s="38"/>
      <c r="L453" s="68" t="e">
        <f>ROUND(COM!H453,1)</f>
        <v>#REF!</v>
      </c>
      <c r="M453" s="68" t="e">
        <f>ROUND(COM!I453,1)</f>
        <v>#REF!</v>
      </c>
      <c r="N453" s="68" t="e">
        <f>ROUND(COM!J453,1)</f>
        <v>#REF!</v>
      </c>
      <c r="O453" s="68" t="e">
        <f>ROUND(COM!K453,1)</f>
        <v>#REF!</v>
      </c>
      <c r="P453" s="68" t="e">
        <f>ROUND(COM!L453,1)</f>
        <v>#REF!</v>
      </c>
      <c r="Q453" s="68" t="e">
        <f>ROUND(COM!M453,1)</f>
        <v>#REF!</v>
      </c>
      <c r="R453" s="68" t="e">
        <f>ROUND(COM!N453,1)</f>
        <v>#REF!</v>
      </c>
      <c r="S453" s="68" t="e">
        <f>ROUND(COM!O453,1)</f>
        <v>#REF!</v>
      </c>
      <c r="T453" s="68" t="e">
        <f>ROUND(COM!P453,1)</f>
        <v>#REF!</v>
      </c>
      <c r="U453" s="68" t="e">
        <f>ROUND(COM!Q453,1)</f>
        <v>#REF!</v>
      </c>
      <c r="V453" s="68" t="e">
        <f>ROUND(COM!R453,1)</f>
        <v>#REF!</v>
      </c>
      <c r="W453" s="68" t="e">
        <f>ROUND(COM!S453,1)</f>
        <v>#REF!</v>
      </c>
      <c r="X453" s="111"/>
    </row>
    <row r="454" spans="1:24" ht="37.5" x14ac:dyDescent="0.25">
      <c r="A454" s="63">
        <v>311</v>
      </c>
      <c r="B454" s="64">
        <v>67</v>
      </c>
      <c r="C454" s="64">
        <v>930</v>
      </c>
      <c r="D454" s="65">
        <v>70259</v>
      </c>
      <c r="E454" s="66" t="s">
        <v>173</v>
      </c>
      <c r="F454" s="67" t="s">
        <v>410</v>
      </c>
      <c r="G454" s="38"/>
      <c r="H454" s="38"/>
      <c r="I454" s="38"/>
      <c r="J454" s="38"/>
      <c r="K454" s="38"/>
      <c r="L454" s="68" t="e">
        <f>ROUND(COM!H454,1)</f>
        <v>#REF!</v>
      </c>
      <c r="M454" s="68" t="e">
        <f>ROUND(COM!I454,1)</f>
        <v>#REF!</v>
      </c>
      <c r="N454" s="68" t="e">
        <f>ROUND(COM!J454,1)</f>
        <v>#REF!</v>
      </c>
      <c r="O454" s="68" t="e">
        <f>ROUND(COM!K454,1)</f>
        <v>#REF!</v>
      </c>
      <c r="P454" s="68" t="e">
        <f>ROUND(COM!L454,1)</f>
        <v>#REF!</v>
      </c>
      <c r="Q454" s="68" t="e">
        <f>ROUND(COM!M454,1)</f>
        <v>#REF!</v>
      </c>
      <c r="R454" s="68" t="e">
        <f>ROUND(COM!N454,1)</f>
        <v>#REF!</v>
      </c>
      <c r="S454" s="68" t="e">
        <f>ROUND(COM!O454,1)</f>
        <v>#REF!</v>
      </c>
      <c r="T454" s="68" t="e">
        <f>ROUND(COM!P454,1)</f>
        <v>#REF!</v>
      </c>
      <c r="U454" s="68" t="e">
        <f>ROUND(COM!Q454,1)</f>
        <v>#REF!</v>
      </c>
      <c r="V454" s="68" t="e">
        <f>ROUND(COM!R454,1)</f>
        <v>#REF!</v>
      </c>
      <c r="W454" s="68" t="e">
        <f>ROUND(COM!S454,1)</f>
        <v>#REF!</v>
      </c>
      <c r="X454" s="111"/>
    </row>
    <row r="455" spans="1:24" s="121" customFormat="1" ht="18.75" x14ac:dyDescent="0.25">
      <c r="A455" s="114"/>
      <c r="B455" s="115"/>
      <c r="C455" s="115"/>
      <c r="D455" s="116"/>
      <c r="E455" s="117"/>
      <c r="F455" s="118"/>
      <c r="G455" s="118"/>
      <c r="H455" s="118"/>
      <c r="I455" s="118"/>
      <c r="J455" s="118"/>
      <c r="K455" s="118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20"/>
    </row>
    <row r="456" spans="1:24" s="121" customFormat="1" ht="18.75" x14ac:dyDescent="0.25">
      <c r="A456" s="114"/>
      <c r="B456" s="115"/>
      <c r="C456" s="115"/>
      <c r="D456" s="116"/>
      <c r="E456" s="117"/>
      <c r="F456" s="118"/>
      <c r="G456" s="118"/>
      <c r="H456" s="118"/>
      <c r="I456" s="118"/>
      <c r="J456" s="118"/>
      <c r="K456" s="118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20"/>
    </row>
    <row r="457" spans="1:24" s="121" customFormat="1" ht="18.75" x14ac:dyDescent="0.25">
      <c r="A457" s="114"/>
      <c r="B457" s="115"/>
      <c r="C457" s="115"/>
      <c r="D457" s="116"/>
      <c r="E457" s="117"/>
      <c r="F457" s="118"/>
      <c r="G457" s="118"/>
      <c r="H457" s="118"/>
      <c r="I457" s="118"/>
      <c r="J457" s="118"/>
      <c r="K457" s="118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20"/>
    </row>
    <row r="458" spans="1:24" s="121" customFormat="1" ht="18.75" x14ac:dyDescent="0.25">
      <c r="A458" s="114"/>
      <c r="B458" s="115"/>
      <c r="C458" s="115"/>
      <c r="D458" s="116"/>
      <c r="E458" s="117"/>
      <c r="F458" s="118"/>
      <c r="G458" s="118"/>
      <c r="H458" s="118"/>
      <c r="I458" s="118"/>
      <c r="J458" s="118"/>
      <c r="K458" s="118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20"/>
    </row>
    <row r="459" spans="1:24" s="121" customFormat="1" ht="18.75" x14ac:dyDescent="0.25">
      <c r="A459" s="114"/>
      <c r="B459" s="115"/>
      <c r="C459" s="115"/>
      <c r="D459" s="116"/>
      <c r="E459" s="117"/>
      <c r="F459" s="118"/>
      <c r="G459" s="118"/>
      <c r="H459" s="118"/>
      <c r="I459" s="118"/>
      <c r="J459" s="118"/>
      <c r="K459" s="118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42"/>
    </row>
    <row r="460" spans="1:24" ht="18.75" x14ac:dyDescent="0.25">
      <c r="A460" s="23"/>
      <c r="B460" s="24"/>
      <c r="C460" s="24"/>
      <c r="D460" s="24"/>
      <c r="E460" s="25"/>
      <c r="F460" s="45" t="s">
        <v>151</v>
      </c>
      <c r="G460" s="45"/>
      <c r="H460" s="103">
        <v>1087285.7912199998</v>
      </c>
      <c r="I460" s="175">
        <v>0.57966841830503002</v>
      </c>
      <c r="J460" s="103">
        <v>35170096.484683499</v>
      </c>
      <c r="K460" s="175">
        <v>0.69802956330843535</v>
      </c>
      <c r="L460" s="103" t="e">
        <f>L7+L39+L69+L78+L95+L127+L136+L160+L254+L305+L338+L358+L420+L431+L439+L448</f>
        <v>#REF!</v>
      </c>
      <c r="M460" s="103" t="e">
        <f>M7+M39+M69+M78+M95+M127+M136+M160+M254+M305+M338+M358+M420+M431+M439+M448</f>
        <v>#REF!</v>
      </c>
      <c r="N460" s="103" t="e">
        <f>N7+N39+N69+N78+N95+N127+N136+N160+N254+N305+N338+N358+N420+N431+N439+N448</f>
        <v>#REF!</v>
      </c>
      <c r="O460" s="103" t="e">
        <f>O7+O39+O69+O78+O95+O127+O136+O160+O254+O305+O338+O358+O420+O431+O439+O448</f>
        <v>#REF!</v>
      </c>
      <c r="P460" s="103" t="e">
        <f t="shared" ref="P460:V460" si="40">P7+P39+P69+P78+P95+P127+P136+P160+P254+P305+P338+P358+P420+P431+P439+P448</f>
        <v>#REF!</v>
      </c>
      <c r="Q460" s="103" t="e">
        <f>Q7+Q39+Q69+Q78+Q95+Q127+Q136+Q160+Q254+Q305+Q338+Q358+Q420+Q431+Q439+Q448</f>
        <v>#REF!</v>
      </c>
      <c r="R460" s="103" t="e">
        <f t="shared" si="40"/>
        <v>#REF!</v>
      </c>
      <c r="S460" s="103" t="e">
        <f t="shared" si="40"/>
        <v>#REF!</v>
      </c>
      <c r="T460" s="103" t="e">
        <f t="shared" si="40"/>
        <v>#REF!</v>
      </c>
      <c r="U460" s="103" t="e">
        <f t="shared" si="40"/>
        <v>#REF!</v>
      </c>
      <c r="V460" s="103" t="e">
        <f t="shared" si="40"/>
        <v>#REF!</v>
      </c>
      <c r="W460" s="103" t="e">
        <f>W7+W39+W69+W78+W95+W127+W136+W160+W254+W305+W338+W358+W420+W431+W439+W448</f>
        <v>#REF!</v>
      </c>
    </row>
    <row r="461" spans="1:24" ht="16.5" x14ac:dyDescent="0.25">
      <c r="A461" s="6"/>
      <c r="B461" s="12"/>
      <c r="C461" s="12"/>
      <c r="D461" s="12"/>
      <c r="E461" s="12"/>
      <c r="F461" s="13"/>
      <c r="G461" s="13"/>
      <c r="H461" s="13"/>
      <c r="I461" s="13"/>
      <c r="J461" s="13"/>
      <c r="K461" s="13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</row>
    <row r="462" spans="1:24" ht="18.75" x14ac:dyDescent="0.25">
      <c r="A462" s="6"/>
      <c r="B462" s="12"/>
      <c r="C462" s="12" t="s">
        <v>182</v>
      </c>
      <c r="D462" s="12"/>
      <c r="E462" s="12"/>
      <c r="F462" s="14" t="s">
        <v>152</v>
      </c>
      <c r="G462" s="14"/>
      <c r="H462" s="14"/>
      <c r="I462" s="14"/>
      <c r="J462" s="14"/>
      <c r="K462" s="14"/>
      <c r="L462" s="68" t="e">
        <f>#REF!*COM!$H$4</f>
        <v>#REF!</v>
      </c>
      <c r="M462" s="68" t="e">
        <f>#REF!*COM!$H$4</f>
        <v>#REF!</v>
      </c>
      <c r="N462" s="68" t="e">
        <f>#REF!*COM!$J$4</f>
        <v>#REF!</v>
      </c>
      <c r="O462" s="68" t="e">
        <f>#REF!*COM!$J$4</f>
        <v>#REF!</v>
      </c>
      <c r="P462" s="68" t="e">
        <f>#REF!*COM!$L$4</f>
        <v>#REF!</v>
      </c>
      <c r="Q462" s="68" t="e">
        <f>#REF!*COM!$L$4</f>
        <v>#REF!</v>
      </c>
      <c r="R462" s="68" t="e">
        <f>#REF!*COM!$N$4</f>
        <v>#REF!</v>
      </c>
      <c r="S462" s="68" t="e">
        <f>#REF!*COM!$N$4</f>
        <v>#REF!</v>
      </c>
      <c r="T462" s="68" t="e">
        <f>#REF!*COM!$P$4</f>
        <v>#REF!</v>
      </c>
      <c r="U462" s="68" t="e">
        <f>#REF!*COM!$P$4</f>
        <v>#REF!</v>
      </c>
      <c r="V462" s="68" t="e">
        <f>#REF!*COM!$R$4</f>
        <v>#REF!</v>
      </c>
      <c r="W462" s="68" t="e">
        <f>#REF!*COM!$R$4</f>
        <v>#REF!</v>
      </c>
    </row>
    <row r="463" spans="1:24" ht="18.75" x14ac:dyDescent="0.25">
      <c r="A463" s="6"/>
      <c r="B463" s="12"/>
      <c r="C463" s="12" t="s">
        <v>183</v>
      </c>
      <c r="D463" s="12"/>
      <c r="E463" s="12"/>
      <c r="F463" s="14" t="s">
        <v>153</v>
      </c>
      <c r="G463" s="14"/>
      <c r="H463" s="14"/>
      <c r="I463" s="14"/>
      <c r="J463" s="14"/>
      <c r="K463" s="14"/>
      <c r="L463" s="68" t="e">
        <f>#REF!*COM!$H$4</f>
        <v>#REF!</v>
      </c>
      <c r="M463" s="68" t="e">
        <f>#REF!*COM!$H$4</f>
        <v>#REF!</v>
      </c>
      <c r="N463" s="68" t="e">
        <f>#REF!*COM!$J$4</f>
        <v>#REF!</v>
      </c>
      <c r="O463" s="68" t="e">
        <f>#REF!*COM!$J$4</f>
        <v>#REF!</v>
      </c>
      <c r="P463" s="68" t="e">
        <f>#REF!*COM!$L$4</f>
        <v>#REF!</v>
      </c>
      <c r="Q463" s="68" t="e">
        <f>#REF!*COM!$L$4</f>
        <v>#REF!</v>
      </c>
      <c r="R463" s="68" t="e">
        <f>#REF!*COM!$N$4</f>
        <v>#REF!</v>
      </c>
      <c r="S463" s="68" t="e">
        <f>#REF!*COM!$N$4</f>
        <v>#REF!</v>
      </c>
      <c r="T463" s="68" t="e">
        <f>#REF!*COM!$P$4</f>
        <v>#REF!</v>
      </c>
      <c r="U463" s="68" t="e">
        <f>#REF!*COM!$P$4</f>
        <v>#REF!</v>
      </c>
      <c r="V463" s="68" t="e">
        <f>#REF!*COM!$R$4</f>
        <v>#REF!</v>
      </c>
      <c r="W463" s="68" t="e">
        <f>#REF!*COM!$R$4</f>
        <v>#REF!</v>
      </c>
    </row>
    <row r="464" spans="1:24" ht="18.75" x14ac:dyDescent="0.25">
      <c r="A464" s="6"/>
      <c r="B464" s="12"/>
      <c r="C464" s="12"/>
      <c r="D464" s="12"/>
      <c r="E464" s="12"/>
      <c r="F464" s="13"/>
      <c r="G464" s="13"/>
      <c r="H464" s="13"/>
      <c r="I464" s="13"/>
      <c r="J464" s="13"/>
      <c r="K464" s="13"/>
      <c r="L464" s="104"/>
      <c r="M464" s="104"/>
      <c r="N464" s="68"/>
      <c r="O464" s="68"/>
      <c r="P464" s="104"/>
      <c r="Q464" s="104"/>
      <c r="R464" s="104"/>
      <c r="S464" s="104"/>
      <c r="T464" s="104"/>
      <c r="U464" s="104"/>
      <c r="V464" s="104"/>
      <c r="W464" s="104"/>
    </row>
    <row r="465" spans="1:24" ht="18.75" x14ac:dyDescent="0.25">
      <c r="A465" s="26">
        <v>321</v>
      </c>
      <c r="B465" s="26"/>
      <c r="C465" s="26">
        <v>930</v>
      </c>
      <c r="D465" s="27"/>
      <c r="E465" s="33"/>
      <c r="F465" s="14" t="s">
        <v>154</v>
      </c>
      <c r="G465" s="14"/>
      <c r="H465" s="14"/>
      <c r="I465" s="14"/>
      <c r="J465" s="14"/>
      <c r="K465" s="14"/>
      <c r="L465" s="68" t="e">
        <f>#REF!*COM!$H$4</f>
        <v>#REF!</v>
      </c>
      <c r="M465" s="68" t="e">
        <f>#REF!*COM!$H$4</f>
        <v>#REF!</v>
      </c>
      <c r="N465" s="68" t="e">
        <f>#REF!*COM!$J$4</f>
        <v>#REF!</v>
      </c>
      <c r="O465" s="68" t="e">
        <f>#REF!*COM!$J$4</f>
        <v>#REF!</v>
      </c>
      <c r="P465" s="68" t="e">
        <f>#REF!*COM!$L$4</f>
        <v>#REF!</v>
      </c>
      <c r="Q465" s="68" t="e">
        <f>#REF!*COM!$L$4</f>
        <v>#REF!</v>
      </c>
      <c r="R465" s="68" t="e">
        <f>#REF!*COM!$N$4</f>
        <v>#REF!</v>
      </c>
      <c r="S465" s="68" t="e">
        <f>#REF!*COM!$N$4</f>
        <v>#REF!</v>
      </c>
      <c r="T465" s="68" t="e">
        <f>#REF!*COM!$P$4</f>
        <v>#REF!</v>
      </c>
      <c r="U465" s="68" t="e">
        <f>#REF!*COM!$P$4</f>
        <v>#REF!</v>
      </c>
      <c r="V465" s="68" t="e">
        <f>#REF!*COM!$R$4</f>
        <v>#REF!</v>
      </c>
      <c r="W465" s="68" t="e">
        <f>#REF!*COM!$R$4</f>
        <v>#REF!</v>
      </c>
    </row>
    <row r="466" spans="1:24" ht="18.75" x14ac:dyDescent="0.25">
      <c r="A466" s="28">
        <v>321</v>
      </c>
      <c r="B466" s="28"/>
      <c r="C466" s="28">
        <v>920</v>
      </c>
      <c r="D466" s="29"/>
      <c r="E466" s="6"/>
      <c r="F466" s="14" t="s">
        <v>155</v>
      </c>
      <c r="G466" s="14"/>
      <c r="H466" s="14"/>
      <c r="I466" s="14"/>
      <c r="J466" s="14"/>
      <c r="K466" s="14"/>
      <c r="L466" s="68" t="e">
        <f>#REF!*COM!$H$4</f>
        <v>#REF!</v>
      </c>
      <c r="M466" s="68" t="e">
        <f>#REF!*COM!$H$4</f>
        <v>#REF!</v>
      </c>
      <c r="N466" s="68" t="e">
        <f>#REF!*COM!$J$4</f>
        <v>#REF!</v>
      </c>
      <c r="O466" s="68" t="e">
        <f>#REF!*COM!$J$4</f>
        <v>#REF!</v>
      </c>
      <c r="P466" s="68" t="e">
        <f>#REF!*COM!$L$4</f>
        <v>#REF!</v>
      </c>
      <c r="Q466" s="68" t="e">
        <f>#REF!*COM!$L$4</f>
        <v>#REF!</v>
      </c>
      <c r="R466" s="68" t="e">
        <f>#REF!*COM!$N$4</f>
        <v>#REF!</v>
      </c>
      <c r="S466" s="68" t="e">
        <f>#REF!*COM!$N$4</f>
        <v>#REF!</v>
      </c>
      <c r="T466" s="68" t="e">
        <f>#REF!*COM!$P$4</f>
        <v>#REF!</v>
      </c>
      <c r="U466" s="68" t="e">
        <f>#REF!*COM!$P$4</f>
        <v>#REF!</v>
      </c>
      <c r="V466" s="68" t="e">
        <f>#REF!*COM!$R$4</f>
        <v>#REF!</v>
      </c>
      <c r="W466" s="68" t="e">
        <f>#REF!*COM!$R$4</f>
        <v>#REF!</v>
      </c>
    </row>
    <row r="467" spans="1:24" ht="18.75" x14ac:dyDescent="0.25">
      <c r="A467" s="30"/>
      <c r="B467" s="31"/>
      <c r="C467" s="31"/>
      <c r="D467" s="32"/>
      <c r="E467" s="35"/>
      <c r="F467" s="14" t="s">
        <v>156</v>
      </c>
      <c r="G467" s="14"/>
      <c r="H467" s="14"/>
      <c r="I467" s="14"/>
      <c r="J467" s="14"/>
      <c r="K467" s="14"/>
      <c r="L467" s="68" t="e">
        <f>#REF!*COM!$H$4</f>
        <v>#REF!</v>
      </c>
      <c r="M467" s="68" t="e">
        <f>#REF!*COM!$H$4</f>
        <v>#REF!</v>
      </c>
      <c r="N467" s="68" t="e">
        <f>#REF!*COM!$J$4</f>
        <v>#REF!</v>
      </c>
      <c r="O467" s="68" t="e">
        <f>#REF!*COM!$J$4</f>
        <v>#REF!</v>
      </c>
      <c r="P467" s="68" t="e">
        <f>#REF!*COM!$L$4</f>
        <v>#REF!</v>
      </c>
      <c r="Q467" s="68" t="e">
        <f>#REF!*COM!$L$4</f>
        <v>#REF!</v>
      </c>
      <c r="R467" s="68" t="e">
        <f>#REF!*COM!$N$4</f>
        <v>#REF!</v>
      </c>
      <c r="S467" s="68" t="e">
        <f>#REF!*COM!$N$4</f>
        <v>#REF!</v>
      </c>
      <c r="T467" s="68" t="e">
        <f>#REF!*COM!$P$4</f>
        <v>#REF!</v>
      </c>
      <c r="U467" s="68" t="e">
        <f>#REF!*COM!$P$4</f>
        <v>#REF!</v>
      </c>
      <c r="V467" s="68" t="e">
        <f>#REF!*COM!$R$4</f>
        <v>#REF!</v>
      </c>
      <c r="W467" s="68" t="e">
        <f>#REF!*COM!$R$4</f>
        <v>#REF!</v>
      </c>
    </row>
    <row r="468" spans="1:24" ht="18.75" x14ac:dyDescent="0.25">
      <c r="A468" s="26">
        <v>311</v>
      </c>
      <c r="B468" s="26"/>
      <c r="C468" s="26">
        <v>930</v>
      </c>
      <c r="D468" s="27"/>
      <c r="E468" s="33"/>
      <c r="F468" s="14" t="s">
        <v>157</v>
      </c>
      <c r="G468" s="14"/>
      <c r="H468" s="14"/>
      <c r="I468" s="14"/>
      <c r="J468" s="14"/>
      <c r="K468" s="14"/>
      <c r="L468" s="68" t="e">
        <f>#REF!*COM!$H$4</f>
        <v>#REF!</v>
      </c>
      <c r="M468" s="68" t="e">
        <f>#REF!*COM!$H$4</f>
        <v>#REF!</v>
      </c>
      <c r="N468" s="68" t="e">
        <f>#REF!*COM!$J$4</f>
        <v>#REF!</v>
      </c>
      <c r="O468" s="68" t="e">
        <f>#REF!*COM!$J$4</f>
        <v>#REF!</v>
      </c>
      <c r="P468" s="68" t="e">
        <f>#REF!*COM!$L$4</f>
        <v>#REF!</v>
      </c>
      <c r="Q468" s="68" t="e">
        <f>#REF!*COM!$L$4</f>
        <v>#REF!</v>
      </c>
      <c r="R468" s="68" t="e">
        <f>#REF!*COM!$N$4</f>
        <v>#REF!</v>
      </c>
      <c r="S468" s="68" t="e">
        <f>#REF!*COM!$N$4</f>
        <v>#REF!</v>
      </c>
      <c r="T468" s="68" t="e">
        <f>#REF!*COM!$P$4</f>
        <v>#REF!</v>
      </c>
      <c r="U468" s="68" t="e">
        <f>#REF!*COM!$P$4</f>
        <v>#REF!</v>
      </c>
      <c r="V468" s="68" t="e">
        <f>#REF!*COM!$R$4</f>
        <v>#REF!</v>
      </c>
      <c r="W468" s="68" t="e">
        <f>#REF!*COM!$R$4</f>
        <v>#REF!</v>
      </c>
    </row>
    <row r="469" spans="1:24" ht="18.75" x14ac:dyDescent="0.25">
      <c r="A469" s="28">
        <v>311</v>
      </c>
      <c r="B469" s="28"/>
      <c r="C469" s="28">
        <v>920</v>
      </c>
      <c r="D469" s="29"/>
      <c r="E469" s="6"/>
      <c r="F469" s="14" t="s">
        <v>158</v>
      </c>
      <c r="G469" s="14"/>
      <c r="H469" s="14"/>
      <c r="I469" s="14"/>
      <c r="J469" s="14"/>
      <c r="K469" s="14"/>
      <c r="L469" s="68" t="e">
        <f>#REF!*COM!$H$4</f>
        <v>#REF!</v>
      </c>
      <c r="M469" s="68" t="e">
        <f>#REF!*COM!$H$4</f>
        <v>#REF!</v>
      </c>
      <c r="N469" s="68" t="e">
        <f>#REF!*COM!$J$4</f>
        <v>#REF!</v>
      </c>
      <c r="O469" s="68" t="e">
        <f>#REF!*COM!$J$4</f>
        <v>#REF!</v>
      </c>
      <c r="P469" s="68" t="e">
        <f>#REF!*COM!$L$4</f>
        <v>#REF!</v>
      </c>
      <c r="Q469" s="68" t="e">
        <f>#REF!*COM!$L$4</f>
        <v>#REF!</v>
      </c>
      <c r="R469" s="68" t="e">
        <f>#REF!*COM!$N$4</f>
        <v>#REF!</v>
      </c>
      <c r="S469" s="68" t="e">
        <f>#REF!*COM!$N$4</f>
        <v>#REF!</v>
      </c>
      <c r="T469" s="68" t="e">
        <f>#REF!*COM!$P$4</f>
        <v>#REF!</v>
      </c>
      <c r="U469" s="68" t="e">
        <f>#REF!*COM!$P$4</f>
        <v>#REF!</v>
      </c>
      <c r="V469" s="68" t="e">
        <f>#REF!*COM!$R$4</f>
        <v>#REF!</v>
      </c>
      <c r="W469" s="68" t="e">
        <f>#REF!*COM!$R$4</f>
        <v>#REF!</v>
      </c>
    </row>
    <row r="470" spans="1:24" ht="18.75" x14ac:dyDescent="0.25">
      <c r="A470" s="30"/>
      <c r="B470" s="31"/>
      <c r="C470" s="31"/>
      <c r="D470" s="32"/>
      <c r="E470" s="34"/>
      <c r="F470" s="15" t="s">
        <v>159</v>
      </c>
      <c r="G470" s="15"/>
      <c r="H470" s="15"/>
      <c r="I470" s="15"/>
      <c r="J470" s="15"/>
      <c r="K470" s="15"/>
      <c r="L470" s="68" t="e">
        <f>#REF!*COM!$H$4</f>
        <v>#REF!</v>
      </c>
      <c r="M470" s="68" t="e">
        <f>#REF!*COM!$H$4</f>
        <v>#REF!</v>
      </c>
      <c r="N470" s="68" t="e">
        <f>#REF!*COM!$J$4</f>
        <v>#REF!</v>
      </c>
      <c r="O470" s="68" t="e">
        <f>#REF!*COM!$J$4</f>
        <v>#REF!</v>
      </c>
      <c r="P470" s="68" t="e">
        <f>#REF!*COM!$L$4</f>
        <v>#REF!</v>
      </c>
      <c r="Q470" s="68" t="e">
        <f>#REF!*COM!$L$4</f>
        <v>#REF!</v>
      </c>
      <c r="R470" s="68" t="e">
        <f>#REF!*COM!$N$4</f>
        <v>#REF!</v>
      </c>
      <c r="S470" s="68" t="e">
        <f>#REF!*COM!$N$4</f>
        <v>#REF!</v>
      </c>
      <c r="T470" s="68" t="e">
        <f>#REF!*COM!$P$4</f>
        <v>#REF!</v>
      </c>
      <c r="U470" s="68" t="e">
        <f>#REF!*COM!$P$4</f>
        <v>#REF!</v>
      </c>
      <c r="V470" s="68" t="e">
        <f>#REF!*COM!$R$4</f>
        <v>#REF!</v>
      </c>
      <c r="W470" s="68" t="e">
        <f>#REF!*COM!$R$4</f>
        <v>#REF!</v>
      </c>
      <c r="X470"/>
    </row>
    <row r="471" spans="1:24" ht="18.75" x14ac:dyDescent="0.3">
      <c r="A471" s="16"/>
      <c r="B471" s="16"/>
      <c r="C471" s="16"/>
      <c r="D471" s="16"/>
      <c r="E471" s="16"/>
      <c r="F471" s="17"/>
      <c r="G471" s="17"/>
      <c r="H471" s="17"/>
      <c r="I471" s="17"/>
      <c r="J471" s="17"/>
      <c r="K471" s="17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/>
    </row>
    <row r="474" spans="1:24" ht="15" x14ac:dyDescent="0.25">
      <c r="X474"/>
    </row>
  </sheetData>
  <mergeCells count="46">
    <mergeCell ref="G41:G42"/>
    <mergeCell ref="G16:G17"/>
    <mergeCell ref="G21:G22"/>
    <mergeCell ref="G26:G27"/>
    <mergeCell ref="G28:G29"/>
    <mergeCell ref="G30:G31"/>
    <mergeCell ref="G177:G178"/>
    <mergeCell ref="G44:G45"/>
    <mergeCell ref="G46:G47"/>
    <mergeCell ref="G58:G59"/>
    <mergeCell ref="G140:G141"/>
    <mergeCell ref="G151:G152"/>
    <mergeCell ref="G163:G164"/>
    <mergeCell ref="G165:G167"/>
    <mergeCell ref="G168:G170"/>
    <mergeCell ref="G171:G172"/>
    <mergeCell ref="G173:G174"/>
    <mergeCell ref="G175:G176"/>
    <mergeCell ref="G217:G218"/>
    <mergeCell ref="G179:G181"/>
    <mergeCell ref="G184:G186"/>
    <mergeCell ref="G187:G189"/>
    <mergeCell ref="G190:G192"/>
    <mergeCell ref="G193:G194"/>
    <mergeCell ref="G195:G196"/>
    <mergeCell ref="G197:G198"/>
    <mergeCell ref="G203:G204"/>
    <mergeCell ref="G207:G208"/>
    <mergeCell ref="G209:G210"/>
    <mergeCell ref="G211:G212"/>
    <mergeCell ref="G314:G316"/>
    <mergeCell ref="G326:G327"/>
    <mergeCell ref="G350:G352"/>
    <mergeCell ref="H5:K5"/>
    <mergeCell ref="G234:G236"/>
    <mergeCell ref="G237:G239"/>
    <mergeCell ref="G240:G241"/>
    <mergeCell ref="G242:G243"/>
    <mergeCell ref="G309:G311"/>
    <mergeCell ref="G312:G313"/>
    <mergeCell ref="G219:G220"/>
    <mergeCell ref="G221:G223"/>
    <mergeCell ref="G224:G225"/>
    <mergeCell ref="G227:G228"/>
    <mergeCell ref="G229:G230"/>
    <mergeCell ref="G231:G2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COM</vt:lpstr>
      <vt:lpstr>СОМ (без формул)</vt:lpstr>
      <vt:lpstr>Приложение 8</vt:lpstr>
      <vt:lpstr>СОМ(без формул до десятых) 24</vt:lpstr>
      <vt:lpstr>'Приложение 8'!Заголовки_для_печати</vt:lpstr>
      <vt:lpstr>'Приложение 8'!Область_печати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Жамиля Арнакунова</dc:creator>
  <cp:lastModifiedBy>Эржан Бактыбеков</cp:lastModifiedBy>
  <cp:lastPrinted>2026-01-23T05:12:45Z</cp:lastPrinted>
  <dcterms:created xsi:type="dcterms:W3CDTF">2023-09-11T10:52:44Z</dcterms:created>
  <dcterms:modified xsi:type="dcterms:W3CDTF">2026-01-23T05:13:52Z</dcterms:modified>
</cp:coreProperties>
</file>