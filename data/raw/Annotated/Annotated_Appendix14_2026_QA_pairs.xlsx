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natalia/CVUT/NLP/KGbudget/"/>
    </mc:Choice>
  </mc:AlternateContent>
  <xr:revisionPtr revIDLastSave="0" documentId="13_ncr:1_{D67461E9-F3CA-6344-B9E5-06B27F3C6769}" xr6:coauthVersionLast="47" xr6:coauthVersionMax="47" xr10:uidLastSave="{00000000-0000-0000-0000-000000000000}"/>
  <bookViews>
    <workbookView xWindow="1000" yWindow="660" windowWidth="28400" windowHeight="18460" activeTab="8" xr2:uid="{00000000-000D-0000-FFFF-FFFF00000000}"/>
  </bookViews>
  <sheets>
    <sheet name="Annotations" sheetId="1" r:id="rId1"/>
    <sheet name="prilojenie_11_4" sheetId="2" r:id="rId2"/>
    <sheet name="Working table" sheetId="4" r:id="rId3"/>
    <sheet name="Sheet6" sheetId="10" r:id="rId4"/>
    <sheet name="Sheet4" sheetId="6" r:id="rId5"/>
    <sheet name="Sheet3" sheetId="5" r:id="rId6"/>
    <sheet name="Sheet2" sheetId="8" r:id="rId7"/>
    <sheet name="Sheet1" sheetId="7" r:id="rId8"/>
    <sheet name="QA pairs" sheetId="3" r:id="rId9"/>
  </sheets>
  <definedNames>
    <definedName name="_xlnm._FilterDatabase" localSheetId="1" hidden="1">prilojenie_11_4!$A$5:$M$884</definedName>
    <definedName name="_xlnm._FilterDatabase" localSheetId="2" hidden="1">'Working table'!$A$5:$N$887</definedName>
    <definedName name="evaluated_results_v1" localSheetId="7">Sheet1!$A$1:$I$1766</definedName>
    <definedName name="evaluated_results_v1_1" localSheetId="6">Sheet2!$A$1:$BL$1766</definedName>
    <definedName name="JR_PAGE_ANCHOR_0_1" localSheetId="2">'Working table'!#REF!</definedName>
    <definedName name="JR_PAGE_ANCHOR_0_1">prilojenie_11_4!#REF!</definedName>
    <definedName name="_xlnm.Print_Area" localSheetId="1">prilojenie_11_4!$A$1:$M$884</definedName>
    <definedName name="_xlnm.Print_Area" localSheetId="2">'Working table'!$B$1:$N$884</definedName>
    <definedName name="_xlnm.Print_Titles" localSheetId="1">prilojenie_11_4!$5:$6</definedName>
    <definedName name="_xlnm.Print_Titles" localSheetId="2">'Working table'!$5:$6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5" l="1"/>
  <c r="H3" i="5"/>
  <c r="K25" i="3"/>
  <c r="A878" i="4"/>
  <c r="A874" i="4"/>
  <c r="A870" i="4"/>
  <c r="A858" i="4"/>
  <c r="A854" i="4"/>
  <c r="A850" i="4"/>
  <c r="A845" i="4"/>
  <c r="A841" i="4"/>
  <c r="A822" i="4"/>
  <c r="A818" i="4"/>
  <c r="A806" i="4"/>
  <c r="A800" i="4"/>
  <c r="A786" i="4"/>
  <c r="A782" i="4"/>
  <c r="A754" i="4"/>
  <c r="A749" i="4"/>
  <c r="A742" i="4"/>
  <c r="A729" i="4"/>
  <c r="A723" i="4"/>
  <c r="A715" i="4"/>
  <c r="A711" i="4"/>
  <c r="A696" i="4"/>
  <c r="A692" i="4"/>
  <c r="A688" i="4"/>
  <c r="A684" i="4"/>
  <c r="A675" i="4"/>
  <c r="A668" i="4"/>
  <c r="A656" i="4"/>
  <c r="A647" i="4"/>
  <c r="A639" i="4"/>
  <c r="A631" i="4"/>
  <c r="A598" i="4"/>
  <c r="A578" i="4"/>
  <c r="A546" i="4"/>
  <c r="A539" i="4"/>
  <c r="A487" i="4"/>
  <c r="A483" i="4"/>
  <c r="A474" i="4"/>
  <c r="A412" i="4"/>
  <c r="A344" i="4"/>
  <c r="A326" i="4"/>
  <c r="A310" i="4"/>
  <c r="A251" i="4"/>
  <c r="A247" i="4"/>
  <c r="A190" i="4"/>
  <c r="A161" i="4"/>
  <c r="A152" i="4"/>
  <c r="A143" i="4"/>
  <c r="A125" i="4"/>
  <c r="A121" i="4"/>
  <c r="A116" i="4"/>
  <c r="A95" i="4"/>
  <c r="A87" i="4"/>
  <c r="A76" i="4"/>
  <c r="A59" i="4"/>
  <c r="A35" i="4"/>
  <c r="A29" i="4"/>
  <c r="A22" i="4"/>
  <c r="A16" i="4"/>
  <c r="A7" i="4"/>
  <c r="G11" i="7" a="1"/>
  <c r="G11" i="7" s="1"/>
  <c r="I46" i="5"/>
  <c r="I159" i="5"/>
  <c r="I165" i="5"/>
  <c r="I169" i="5"/>
  <c r="I163" i="5"/>
  <c r="I150" i="5"/>
  <c r="I162" i="5"/>
  <c r="I147" i="5"/>
  <c r="I167" i="5"/>
  <c r="I170" i="5"/>
  <c r="I160" i="5"/>
  <c r="I73" i="5"/>
  <c r="I166" i="5"/>
  <c r="I98" i="5"/>
  <c r="I132" i="5"/>
  <c r="I87" i="5"/>
  <c r="I144" i="5"/>
  <c r="I93" i="5"/>
  <c r="I109" i="5"/>
  <c r="I151" i="5"/>
  <c r="I106" i="5"/>
  <c r="I119" i="5"/>
  <c r="I133" i="5"/>
  <c r="I116" i="5"/>
  <c r="I139" i="5"/>
  <c r="I164" i="5"/>
  <c r="I79" i="5"/>
  <c r="I149" i="5"/>
  <c r="I102" i="5"/>
  <c r="I96" i="5"/>
  <c r="I168" i="5"/>
  <c r="I80" i="5"/>
  <c r="I107" i="5"/>
  <c r="I95" i="5"/>
  <c r="I84" i="5"/>
  <c r="I161" i="5"/>
  <c r="I131" i="5"/>
  <c r="I136" i="5"/>
  <c r="I115" i="5"/>
  <c r="I118" i="5"/>
  <c r="I88" i="5"/>
  <c r="I128" i="5"/>
  <c r="I156" i="5"/>
  <c r="I81" i="5"/>
  <c r="I145" i="5"/>
  <c r="I99" i="5"/>
  <c r="I158" i="5"/>
  <c r="I68" i="5"/>
  <c r="I71" i="5"/>
  <c r="I76" i="5"/>
  <c r="I89" i="5"/>
  <c r="I101" i="5"/>
  <c r="I82" i="5"/>
  <c r="I111" i="5"/>
  <c r="I100" i="5"/>
  <c r="I123" i="5"/>
  <c r="I124" i="5"/>
  <c r="I97" i="5"/>
  <c r="I140" i="5"/>
  <c r="I108" i="5"/>
  <c r="I126" i="5"/>
  <c r="I94" i="5"/>
  <c r="I130" i="5"/>
  <c r="I74" i="5"/>
  <c r="I86" i="5"/>
  <c r="I113" i="5"/>
  <c r="I78" i="5"/>
  <c r="I69" i="5"/>
  <c r="I75" i="5"/>
  <c r="I138" i="5"/>
  <c r="I103" i="5"/>
  <c r="I155" i="5"/>
  <c r="I85" i="5"/>
  <c r="I117" i="5"/>
  <c r="I137" i="5"/>
  <c r="I122" i="5"/>
  <c r="I135" i="5"/>
  <c r="I154" i="5"/>
  <c r="I141" i="5"/>
  <c r="I72" i="5"/>
  <c r="I91" i="5"/>
  <c r="I110" i="5"/>
  <c r="I90" i="5"/>
  <c r="I157" i="5"/>
  <c r="I77" i="5"/>
  <c r="I142" i="5"/>
  <c r="I143" i="5"/>
  <c r="I120" i="5"/>
  <c r="I70" i="5"/>
  <c r="I114" i="5"/>
  <c r="I146" i="5"/>
  <c r="I104" i="5"/>
  <c r="I112" i="5"/>
  <c r="I153" i="5"/>
  <c r="I134" i="5"/>
  <c r="I105" i="5"/>
  <c r="I148" i="5"/>
  <c r="I92" i="5"/>
  <c r="I121" i="5"/>
  <c r="I129" i="5"/>
  <c r="I152" i="5"/>
  <c r="I127" i="5"/>
  <c r="I125" i="5"/>
  <c r="I67" i="5"/>
  <c r="I83" i="5"/>
  <c r="I66" i="5"/>
  <c r="I47" i="5"/>
  <c r="I48" i="5"/>
  <c r="I49" i="5"/>
  <c r="I50" i="5"/>
  <c r="I51" i="5"/>
  <c r="I52" i="5"/>
  <c r="I53" i="5"/>
  <c r="I54" i="5"/>
  <c r="I55" i="5"/>
  <c r="I56" i="5"/>
  <c r="I57" i="5"/>
  <c r="I58" i="5"/>
  <c r="I59" i="5"/>
  <c r="I60" i="5"/>
  <c r="I61" i="5"/>
  <c r="I62" i="5"/>
  <c r="I63" i="5"/>
  <c r="I64" i="5"/>
  <c r="I65" i="5"/>
  <c r="I40" i="5"/>
  <c r="I44" i="5"/>
  <c r="I39" i="5"/>
  <c r="I43" i="5"/>
  <c r="I45" i="5"/>
  <c r="I17" i="5"/>
  <c r="I22" i="5"/>
  <c r="I25" i="5"/>
  <c r="I42" i="5"/>
  <c r="I23" i="5"/>
  <c r="I19" i="5"/>
  <c r="I27" i="5"/>
  <c r="I21" i="5"/>
  <c r="I29" i="5"/>
  <c r="I33" i="5"/>
  <c r="I41" i="5"/>
  <c r="I28" i="5"/>
  <c r="I31" i="5"/>
  <c r="I15" i="5"/>
  <c r="I14" i="5"/>
  <c r="I30" i="5"/>
  <c r="I6" i="5"/>
  <c r="I13" i="5"/>
  <c r="I35" i="5"/>
  <c r="I8" i="5"/>
  <c r="I36" i="5"/>
  <c r="I34" i="5"/>
  <c r="I37" i="5"/>
  <c r="I11" i="5"/>
  <c r="I7" i="5"/>
  <c r="I26" i="5"/>
  <c r="I38" i="5"/>
  <c r="I5" i="5"/>
  <c r="I32" i="5"/>
  <c r="I4" i="5"/>
  <c r="I18" i="5"/>
  <c r="I24" i="5"/>
  <c r="I10" i="5"/>
  <c r="I16" i="5"/>
  <c r="I12" i="5"/>
  <c r="I20" i="5"/>
  <c r="I9" i="5"/>
  <c r="E171" i="5"/>
  <c r="F171" i="5"/>
  <c r="F173" i="5" s="1"/>
  <c r="H145" i="5"/>
  <c r="H47" i="5"/>
  <c r="H140" i="5"/>
  <c r="H75" i="5"/>
  <c r="H48" i="5"/>
  <c r="H15" i="5"/>
  <c r="H141" i="5"/>
  <c r="H107" i="5"/>
  <c r="H127" i="5"/>
  <c r="H105" i="5"/>
  <c r="H126" i="5"/>
  <c r="H73" i="5"/>
  <c r="H7" i="5"/>
  <c r="H115" i="5"/>
  <c r="H138" i="5"/>
  <c r="H111" i="5"/>
  <c r="H95" i="5"/>
  <c r="H49" i="5"/>
  <c r="H39" i="5"/>
  <c r="H130" i="5"/>
  <c r="H124" i="5"/>
  <c r="H94" i="5"/>
  <c r="H30" i="5"/>
  <c r="H43" i="5"/>
  <c r="H29" i="5"/>
  <c r="H147" i="5"/>
  <c r="H118" i="5"/>
  <c r="H122" i="5"/>
  <c r="H31" i="5"/>
  <c r="H123" i="5"/>
  <c r="H155" i="5"/>
  <c r="H154" i="5"/>
  <c r="H88" i="5"/>
  <c r="H153" i="5"/>
  <c r="H146" i="5"/>
  <c r="H114" i="5"/>
  <c r="H6" i="5"/>
  <c r="H103" i="5"/>
  <c r="H19" i="5"/>
  <c r="H50" i="5"/>
  <c r="H170" i="5"/>
  <c r="H51" i="5"/>
  <c r="H97" i="5"/>
  <c r="H52" i="5"/>
  <c r="H117" i="5"/>
  <c r="H132" i="5"/>
  <c r="H33" i="5"/>
  <c r="H89" i="5"/>
  <c r="H53" i="5"/>
  <c r="H8" i="5"/>
  <c r="H151" i="5"/>
  <c r="H116" i="5"/>
  <c r="H54" i="5"/>
  <c r="H125" i="5"/>
  <c r="H67" i="5"/>
  <c r="H121" i="5"/>
  <c r="H83" i="5"/>
  <c r="H168" i="5"/>
  <c r="H66" i="5"/>
  <c r="H162" i="5"/>
  <c r="H120" i="5"/>
  <c r="H25" i="5"/>
  <c r="H167" i="5"/>
  <c r="H142" i="5"/>
  <c r="H17" i="5"/>
  <c r="H152" i="5"/>
  <c r="H55" i="5"/>
  <c r="H13" i="5"/>
  <c r="H56" i="5"/>
  <c r="H164" i="5"/>
  <c r="H129" i="5"/>
  <c r="H57" i="5"/>
  <c r="H40" i="5"/>
  <c r="H58" i="5"/>
  <c r="H16" i="5"/>
  <c r="H42" i="5"/>
  <c r="H59" i="5"/>
  <c r="H44" i="5"/>
  <c r="H60" i="5"/>
  <c r="H136" i="5"/>
  <c r="H143" i="5"/>
  <c r="H163" i="5"/>
  <c r="H5" i="5"/>
  <c r="H9" i="5"/>
  <c r="H4" i="5"/>
  <c r="H101" i="5"/>
  <c r="H76" i="5"/>
  <c r="H150" i="5"/>
  <c r="H166" i="5"/>
  <c r="H165" i="5"/>
  <c r="H128" i="5"/>
  <c r="H148" i="5"/>
  <c r="H18" i="5"/>
  <c r="H22" i="5"/>
  <c r="H21" i="5"/>
  <c r="H113" i="5"/>
  <c r="H46" i="5"/>
  <c r="H27" i="5"/>
  <c r="H158" i="5"/>
  <c r="H96" i="5"/>
  <c r="H161" i="5"/>
  <c r="H149" i="5"/>
  <c r="H157" i="5"/>
  <c r="H45" i="5"/>
  <c r="H79" i="5"/>
  <c r="H61" i="5"/>
  <c r="H156" i="5"/>
  <c r="H14" i="5"/>
  <c r="H92" i="5"/>
  <c r="H38" i="5"/>
  <c r="H32" i="5"/>
  <c r="H80" i="5"/>
  <c r="H77" i="5"/>
  <c r="H23" i="5"/>
  <c r="H160" i="5"/>
  <c r="H108" i="5"/>
  <c r="H74" i="5"/>
  <c r="H119" i="5"/>
  <c r="H106" i="5"/>
  <c r="H90" i="5"/>
  <c r="H98" i="5"/>
  <c r="H169" i="5"/>
  <c r="H86" i="5"/>
  <c r="H91" i="5"/>
  <c r="H84" i="5"/>
  <c r="H85" i="5"/>
  <c r="H62" i="5"/>
  <c r="H102" i="5"/>
  <c r="H93" i="5"/>
  <c r="H41" i="5"/>
  <c r="H144" i="5"/>
  <c r="H100" i="5"/>
  <c r="H11" i="5"/>
  <c r="H109" i="5"/>
  <c r="H134" i="5"/>
  <c r="H104" i="5"/>
  <c r="H131" i="5"/>
  <c r="H99" i="5"/>
  <c r="H63" i="5"/>
  <c r="H112" i="5"/>
  <c r="H71" i="5"/>
  <c r="H12" i="5"/>
  <c r="H133" i="5"/>
  <c r="H135" i="5"/>
  <c r="H87" i="5"/>
  <c r="H37" i="5"/>
  <c r="H137" i="5"/>
  <c r="H36" i="5"/>
  <c r="H70" i="5"/>
  <c r="H24" i="5"/>
  <c r="H68" i="5"/>
  <c r="H159" i="5"/>
  <c r="H28" i="5"/>
  <c r="H26" i="5"/>
  <c r="H34" i="5"/>
  <c r="H139" i="5"/>
  <c r="H78" i="5"/>
  <c r="H82" i="5"/>
  <c r="H69" i="5"/>
  <c r="H110" i="5"/>
  <c r="H10" i="5"/>
  <c r="H20" i="5"/>
  <c r="H35" i="5"/>
  <c r="H64" i="5"/>
  <c r="H65" i="5"/>
  <c r="H72" i="5"/>
  <c r="H81" i="5"/>
  <c r="H885" i="4"/>
  <c r="G885" i="4"/>
  <c r="G884" i="4"/>
  <c r="P656" i="4"/>
  <c r="N238" i="4"/>
  <c r="M238" i="4"/>
  <c r="L238" i="4"/>
  <c r="N237" i="4"/>
  <c r="M237" i="4"/>
  <c r="L237" i="4"/>
  <c r="N236" i="4"/>
  <c r="M236" i="4"/>
  <c r="L236" i="4"/>
  <c r="N235" i="4"/>
  <c r="M235" i="4"/>
  <c r="L235" i="4"/>
  <c r="N234" i="4"/>
  <c r="M234" i="4"/>
  <c r="L234" i="4"/>
  <c r="N233" i="4"/>
  <c r="M233" i="4"/>
  <c r="L233" i="4"/>
  <c r="N230" i="4"/>
  <c r="M230" i="4"/>
  <c r="L230" i="4"/>
  <c r="N210" i="4"/>
  <c r="M210" i="4"/>
  <c r="L210" i="4"/>
  <c r="N208" i="4"/>
  <c r="M208" i="4"/>
  <c r="L208" i="4"/>
  <c r="L204" i="4"/>
  <c r="N202" i="4"/>
  <c r="M202" i="4"/>
  <c r="L202" i="4"/>
  <c r="N201" i="4"/>
  <c r="M201" i="4"/>
  <c r="L201" i="4"/>
  <c r="N200" i="4"/>
  <c r="M200" i="4"/>
  <c r="L200" i="4"/>
  <c r="N199" i="4"/>
  <c r="M199" i="4"/>
  <c r="L199" i="4"/>
  <c r="N198" i="4"/>
  <c r="M198" i="4"/>
  <c r="L198" i="4"/>
  <c r="N197" i="4"/>
  <c r="M197" i="4"/>
  <c r="L197" i="4"/>
  <c r="M196" i="4"/>
  <c r="L196" i="4"/>
  <c r="F884" i="2"/>
  <c r="O656" i="2"/>
  <c r="M238" i="2"/>
  <c r="L238" i="2"/>
  <c r="K238" i="2"/>
  <c r="M237" i="2"/>
  <c r="L237" i="2"/>
  <c r="K237" i="2"/>
  <c r="M236" i="2"/>
  <c r="L236" i="2"/>
  <c r="K236" i="2"/>
  <c r="M235" i="2"/>
  <c r="L235" i="2"/>
  <c r="K235" i="2"/>
  <c r="M234" i="2"/>
  <c r="L234" i="2"/>
  <c r="K234" i="2"/>
  <c r="M233" i="2"/>
  <c r="L233" i="2"/>
  <c r="K233" i="2"/>
  <c r="M230" i="2"/>
  <c r="L230" i="2"/>
  <c r="K230" i="2"/>
  <c r="M210" i="2"/>
  <c r="L210" i="2"/>
  <c r="K210" i="2"/>
  <c r="M208" i="2"/>
  <c r="L208" i="2"/>
  <c r="K208" i="2"/>
  <c r="K204" i="2"/>
  <c r="M202" i="2"/>
  <c r="L202" i="2"/>
  <c r="K202" i="2"/>
  <c r="M201" i="2"/>
  <c r="L201" i="2"/>
  <c r="K201" i="2"/>
  <c r="M200" i="2"/>
  <c r="L200" i="2"/>
  <c r="K200" i="2"/>
  <c r="M199" i="2"/>
  <c r="L199" i="2"/>
  <c r="K199" i="2"/>
  <c r="M198" i="2"/>
  <c r="L198" i="2"/>
  <c r="K198" i="2"/>
  <c r="M197" i="2"/>
  <c r="L197" i="2"/>
  <c r="K197" i="2"/>
  <c r="L196" i="2"/>
  <c r="K196" i="2"/>
  <c r="H171" i="5" l="1"/>
  <c r="H886" i="4"/>
  <c r="H887"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8D0527-5686-7042-A094-0AA7CF69B23B}" name="evaluated_results_v1" type="6" refreshedVersion="8" background="1" saveData="1">
    <textPr codePage="65001" sourceFile="/Users/natalia/CVUT/NLP/KGbudget/results/evaluated_results_v1.csv" delimited="0">
      <textFields count="9">
        <textField/>
        <textField position="415"/>
        <textField position="464"/>
        <textField position="471"/>
        <textField position="473"/>
        <textField position="475"/>
        <textField position="477"/>
        <textField position="481"/>
        <textField position="485"/>
      </textFields>
    </textPr>
  </connection>
  <connection id="2" xr16:uid="{767B0EC6-6785-6A43-92CE-D190460D2894}" name="evaluated_results_v11" type="6" refreshedVersion="8" background="1" saveData="1">
    <textPr codePage="65001" sourceFile="/Users/natalia/CVUT/NLP/KGbudget/results/evaluated_results_v1.csv" tab="0" comma="1" consecutive="1">
      <textFields count="12">
        <textField/>
        <textField/>
        <textField/>
        <textField/>
        <textField/>
        <textField/>
        <textField/>
        <textField/>
        <textField/>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<sst xmlns="http://schemas.openxmlformats.org/spreadsheetml/2006/main" count="21619" uniqueCount="5889">
  <si>
    <t>Annotation Summary — Приложение 14 (2026)</t>
  </si>
  <si>
    <t>Property</t>
  </si>
  <si>
    <t>Value</t>
  </si>
  <si>
    <t>Notes</t>
  </si>
  <si>
    <t>Source File</t>
  </si>
  <si>
    <t>Приложение 14 (2026) ver4.xlsx</t>
  </si>
  <si>
    <t>Original file from minfin.kg</t>
  </si>
  <si>
    <t>Fiscal Year</t>
  </si>
  <si>
    <t>2026</t>
  </si>
  <si>
    <t>Appendix 14 (renumbered from 11 to 14 in 2025)</t>
  </si>
  <si>
    <t>Sheet Name</t>
  </si>
  <si>
    <t>prilojenie_11_4</t>
  </si>
  <si>
    <t>Total Rows</t>
  </si>
  <si>
    <t>884</t>
  </si>
  <si>
    <t>Data starts at row 7</t>
  </si>
  <si>
    <t>Total Columns</t>
  </si>
  <si>
    <t>28</t>
  </si>
  <si>
    <t>Annotation cols added at 27-28</t>
  </si>
  <si>
    <t>Financial Columns</t>
  </si>
  <si>
    <t>6-8</t>
  </si>
  <si>
    <t>Years: 2026, 2027, 2028</t>
  </si>
  <si>
    <t>Indicator Column</t>
  </si>
  <si>
    <t>9</t>
  </si>
  <si>
    <t>Called "Индикаторы результативности" in 2023-2024, "Показатели результативности" in 2026</t>
  </si>
  <si>
    <t>Merged Cell Ranges</t>
  </si>
  <si>
    <t>1004</t>
  </si>
  <si>
    <t>Major source of parsing difficulty</t>
  </si>
  <si>
    <t>Financial Unit</t>
  </si>
  <si>
    <t>тыс. сом (thousands of som)</t>
  </si>
  <si>
    <t>Note: 2026 header drops space: "тыс.сом"</t>
  </si>
  <si>
    <t>Row Classification Summary</t>
  </si>
  <si>
    <t>Row Type</t>
  </si>
  <si>
    <t>Count</t>
  </si>
  <si>
    <t>Description</t>
  </si>
  <si>
    <t>MEASURE</t>
  </si>
  <si>
    <t>399</t>
  </si>
  <si>
    <t>Budget measure (has measure code in col 3)</t>
  </si>
  <si>
    <t>INDICATOR</t>
  </si>
  <si>
    <t>201</t>
  </si>
  <si>
    <t>Performance indicator continuation row</t>
  </si>
  <si>
    <t>PROGRAM</t>
  </si>
  <si>
    <t>156</t>
  </si>
  <si>
    <t>Budget program (no measure code)</t>
  </si>
  <si>
    <t>MINISTRY</t>
  </si>
  <si>
    <t>60</t>
  </si>
  <si>
    <t>Ministry/agency header row</t>
  </si>
  <si>
    <t>TOTAL</t>
  </si>
  <si>
    <t>Subtotal/total row</t>
  </si>
  <si>
    <t>OTHER</t>
  </si>
  <si>
    <t>1</t>
  </si>
  <si>
    <t>Unclassified row</t>
  </si>
  <si>
    <t>EMPTY</t>
  </si>
  <si>
    <t>Empty row</t>
  </si>
  <si>
    <t>Noise &amp; Structural Issues for NLP Processing</t>
  </si>
  <si>
    <t>Issue</t>
  </si>
  <si>
    <t>Severity</t>
  </si>
  <si>
    <t>Merged Cells</t>
  </si>
  <si>
    <t>HIGH</t>
  </si>
  <si>
    <t>Extensive use of merged cells (1000-1900 ranges). Causes MergedCell errors with naive openpyxl iteration. Must use values_only=True or check cell type.</t>
  </si>
  <si>
    <t>Column Layout Change</t>
  </si>
  <si>
    <t>2023-2024: 5 financial year columns (cols 6-10), indicators at col 11. 2025-2026: 3 financial year columns (cols 6-8), indicators at col 9. Target columns shift across years.</t>
  </si>
  <si>
    <t>Header Terminology Change</t>
  </si>
  <si>
    <t>MEDIUM</t>
  </si>
  <si>
    <t>"Индикаторы результативности" (2023-2025) renamed to "Показатели результативности" (2026). Same meaning, different wording.</t>
  </si>
  <si>
    <t>Appendix Renumbering</t>
  </si>
  <si>
    <t>Appendix 11 in 2023-2024 becomes Appendix 14 in 2025-2026. Sheet internal name stays "prilojenie_11_4" in 2025-2026.</t>
  </si>
  <si>
    <t>Ministry Row Format Change</t>
  </si>
  <si>
    <t>2023: Ministry name merged into col 1 (e.g. "11  Жогорку Кенеш..."). 2024-2026: Ministry code in col 1, name in col 2 separately.</t>
  </si>
  <si>
    <t>Abbreviation Variation</t>
  </si>
  <si>
    <t>"КР" vs "Кыргызской Республики", "подвед. учр." vs "подведомственные учреждения". Inconsistent across years.</t>
  </si>
  <si>
    <t>Whitespace Noise</t>
  </si>
  <si>
    <t>LOW</t>
  </si>
  <si>
    <t>Trailing spaces in cell values, especially in 2023. Some cells have embedded newlines within text.</t>
  </si>
  <si>
    <t>Quote Style Variation</t>
  </si>
  <si>
    <t>Mix of straight quotes ("") and guillemets («») across years and within years.</t>
  </si>
  <si>
    <t>Floating Point Artifacts</t>
  </si>
  <si>
    <t>Some financial values show Python float artifacts (e.g. 13041.400000000001 instead of 13041.4). Affects value comparison.</t>
  </si>
  <si>
    <t>Program Code Format</t>
  </si>
  <si>
    <t>2023-2024 use bare numbers (1, 113). 2025-2026 use zero-padded (001, 113). Affects code-based matching.</t>
  </si>
  <si>
    <t xml:space="preserve">                                                                            Приложение 14
                                                                            к Закону Кыргызской Республики
                                                                            «О республиканском бюджете Кыргызской Республики
                                                                            на 2026 год и плановый период 2027–2028 годов»</t>
  </si>
  <si>
    <t>Бюджеты министерств и ведомств на программной основе</t>
  </si>
  <si>
    <t>Код
ГРБС</t>
  </si>
  <si>
    <t>Код
прог.</t>
  </si>
  <si>
    <t>Код
меры</t>
  </si>
  <si>
    <t>Код
иниц.</t>
  </si>
  <si>
    <t>Бюджетные программы/ Бюджетные меры</t>
  </si>
  <si>
    <t>Финансирование (тыс.сом)</t>
  </si>
  <si>
    <t>Показатели результативности</t>
  </si>
  <si>
    <t>Ед. изм-я</t>
  </si>
  <si>
    <t>Базовый год</t>
  </si>
  <si>
    <t>Целевые значения</t>
  </si>
  <si>
    <t>Annotation Notes</t>
  </si>
  <si>
    <t>2027</t>
  </si>
  <si>
    <t>2028</t>
  </si>
  <si>
    <t>11</t>
  </si>
  <si>
    <t>Жогорку Кенеш Кыргызской Республики</t>
  </si>
  <si>
    <t>001</t>
  </si>
  <si>
    <t>Управление и администрирование</t>
  </si>
  <si>
    <t>Доля подписанных Президентом законопроектов от количества принятых Жогорку Кенешем в текущем сессионном периоде</t>
  </si>
  <si>
    <t>%</t>
  </si>
  <si>
    <t>01</t>
  </si>
  <si>
    <t>Управление и администрирование отрасли на центральном уровне</t>
  </si>
  <si>
    <t>Ознакомление населения с текущей деятельностью парламента (доля законопроектов, доступных для предварительного ознакомления)</t>
  </si>
  <si>
    <t>коэф.</t>
  </si>
  <si>
    <t>Количество штатных единиц на одного постоянно работающего депутата</t>
  </si>
  <si>
    <t>ед.</t>
  </si>
  <si>
    <t xml:space="preserve">Количество действующих документов о сотрудничестве с парламентами других стран </t>
  </si>
  <si>
    <t>Количество депутатских комиссий, созданных в текущем периоде, работа которых была завершена</t>
  </si>
  <si>
    <t>113</t>
  </si>
  <si>
    <t>Обеспечение информацией о деятельности, контроля исполнения, кадров, организация и взаимодействие со СМИ</t>
  </si>
  <si>
    <t>Количество принятых постановлений Жогорку Кенешем Кыргызской Республики</t>
  </si>
  <si>
    <t>Законодательное обеспечение реформ, необходимых для устойчивого развития общества и государства</t>
  </si>
  <si>
    <t>Итог по ведомству:</t>
  </si>
  <si>
    <t>12</t>
  </si>
  <si>
    <t>Администрация Президента Кыргызской Республики</t>
  </si>
  <si>
    <t>122</t>
  </si>
  <si>
    <t xml:space="preserve">Администрация Президента КР </t>
  </si>
  <si>
    <t>Отношение расходов по бюджетной мере к общим расходам республиканского бюджета</t>
  </si>
  <si>
    <t>Contains abbreviation "КР"; Has leading/trailing whitespace</t>
  </si>
  <si>
    <t xml:space="preserve">Экспертно-аналитическое, информационное, правовое, протокольное, организационное, документационное  обеспечение функционирования Президента КР </t>
  </si>
  <si>
    <t>02</t>
  </si>
  <si>
    <t>Обеспечение деятельности Президента Кыргызской Республики согласно Закону Кыргызской Республики «О гарантиях деятельности Президента Кыргызской Республики»</t>
  </si>
  <si>
    <t>Полнота обеспеченности</t>
  </si>
  <si>
    <t>Uses guillemet quotes «»</t>
  </si>
  <si>
    <t>04</t>
  </si>
  <si>
    <t>Координация и принятие решений в вопросах делимитации и демаркации государственных границ</t>
  </si>
  <si>
    <t>Количество проведенных встреч по вопросам делимитации и демаркации госграниц</t>
  </si>
  <si>
    <t>13</t>
  </si>
  <si>
    <t>Архив Президента Кыргызской Республики</t>
  </si>
  <si>
    <t>Доля документов архивного фонда Президента Кыргызской Республики,находящихся в нормативных условиях, обеспечивающих их постоянное хранение</t>
  </si>
  <si>
    <t>Доля документов архивного фонда Президента Кыргызской Республики, находящихся в нормативных условиях, обеспечивающих их постоянное хранение</t>
  </si>
  <si>
    <t>Доля оцифрованных архивных документов аудиовизуал.фото (от общ. кол-ва)</t>
  </si>
  <si>
    <t>Доля принятых в архив новых документов (в общем колич-ве докум-в Архивного фонда)</t>
  </si>
  <si>
    <t>Доля архивных документов прошедших научную обработку (от общего кол-ва)</t>
  </si>
  <si>
    <t>14</t>
  </si>
  <si>
    <t>Фонды Президента и Кабинета Министров Кыргызской Республики</t>
  </si>
  <si>
    <t>142</t>
  </si>
  <si>
    <t>Фонд Президента и Резерный фонд Кабинета Министров</t>
  </si>
  <si>
    <t>Количество распоряжений</t>
  </si>
  <si>
    <t>Оказание государственной поддержки в случае возникновения непредвиденных расходов по экономическим, социально-культурным и другим мероприятиям, а также чрезвычайным событиям.</t>
  </si>
  <si>
    <t>Количество изданных распоряжений на оказание финансовой помощи</t>
  </si>
  <si>
    <t>Оказание государственной поддержки в случае возникновения непридвиденных расходов, связанных с социально-культурными и другими мероприятиями, проводимых в республике</t>
  </si>
  <si>
    <t>15</t>
  </si>
  <si>
    <t xml:space="preserve">Управление делами Президента Кыргызской Республики </t>
  </si>
  <si>
    <t>152</t>
  </si>
  <si>
    <t>Обеспечение и координация деятельности по реализации единой государственной политики</t>
  </si>
  <si>
    <t>Соотношение фактических расходов к запланированным</t>
  </si>
  <si>
    <t>Обеспечение деятельности Президента КР, Председателя Кабинета Министров и Администрации Президента КР</t>
  </si>
  <si>
    <t>Количество обслуживаемых смет</t>
  </si>
  <si>
    <t>Contains abbreviation "КР"</t>
  </si>
  <si>
    <t>03</t>
  </si>
  <si>
    <t>Программное и техническое обеспчение единого канала связи государственных учреждений и обеспечение прозрачности выборов референдумов</t>
  </si>
  <si>
    <t xml:space="preserve">Количество государственных учреждений </t>
  </si>
  <si>
    <t>Обеспчение и организация мероприятий по нараждению государственными наградами лиц, внесших вклад в защиту и укрепление государства и демократического общества, единства народа, а также заслуг в различных видах деятельности перед государством и народом.</t>
  </si>
  <si>
    <t>Количество изготавливаемых наград</t>
  </si>
  <si>
    <t>шт.</t>
  </si>
  <si>
    <t>05</t>
  </si>
  <si>
    <t>Транспортное обеспечение экс Президента КР и бывших руководителей Кыргызской ССР</t>
  </si>
  <si>
    <t xml:space="preserve">Количество лиц </t>
  </si>
  <si>
    <t>чел.</t>
  </si>
  <si>
    <t>06</t>
  </si>
  <si>
    <t>Обеспечение организация саммитов и других госзначимых мероприятий</t>
  </si>
  <si>
    <t>Количество государственных значимых мероприятий</t>
  </si>
  <si>
    <t>07</t>
  </si>
  <si>
    <t xml:space="preserve">Обеспечение деятельности должностных лиц, возложенных на УДПКР </t>
  </si>
  <si>
    <t xml:space="preserve">Процент исполнения бюджета без нарушений </t>
  </si>
  <si>
    <t>08</t>
  </si>
  <si>
    <t xml:space="preserve">Обеспечение высокого уровня предоставления государственных услуг </t>
  </si>
  <si>
    <t>Доля специальных средств к общей сумме расходов организации</t>
  </si>
  <si>
    <t>Has leading/trailing whitespace</t>
  </si>
  <si>
    <t>09</t>
  </si>
  <si>
    <t xml:space="preserve">Предоставление транспортных услуг в государственном секторе </t>
  </si>
  <si>
    <t xml:space="preserve">Количество обслуживаемых автомашин за счет республиканского бюджета </t>
  </si>
  <si>
    <t xml:space="preserve">количество обслуживаемых автомашин за счет специальных средств </t>
  </si>
  <si>
    <t>«Обслуживание официальных делегаций»</t>
  </si>
  <si>
    <t xml:space="preserve">Количество рейсов </t>
  </si>
  <si>
    <t>153</t>
  </si>
  <si>
    <t xml:space="preserve">Организация и координация деятельности </t>
  </si>
  <si>
    <t xml:space="preserve">Поддержка инициатив в области образования  и науки и других проектов, направленных на развитие  личностных качеств молодежи. </t>
  </si>
  <si>
    <t xml:space="preserve">Количество изданных распоряжений на выделение средств из фонда </t>
  </si>
  <si>
    <t>Восстановление здоровья населения</t>
  </si>
  <si>
    <t xml:space="preserve">Уровень повышения качества лечения </t>
  </si>
  <si>
    <t xml:space="preserve">Формирование инновационной модели среднего образования </t>
  </si>
  <si>
    <t>Уровень успеваемости учащихся от общего количества детей</t>
  </si>
  <si>
    <t>«Обеспечение деятельности Администрации Президента Кыргызской Республики и Жогорку Кенеша Кыргызской Республики»</t>
  </si>
  <si>
    <t xml:space="preserve">Соотношение расходов организации к общей обслуживающей площади </t>
  </si>
  <si>
    <t>тыс.сомов</t>
  </si>
  <si>
    <t>154</t>
  </si>
  <si>
    <t>Создание и развитие Национального корпуса кыргызского языка</t>
  </si>
  <si>
    <t>Поддержание существующей сети государственных дошкольных образовательных организаций</t>
  </si>
  <si>
    <t>Количество детей</t>
  </si>
  <si>
    <t>155</t>
  </si>
  <si>
    <t>Реализация государственной политики и осуществление межотраслевой координации в области информатизации, электронного управления, электронной подписи, электронного правительства, электронных услуг, электрической и почтовой связи, включая радио и телевизионное вещание</t>
  </si>
  <si>
    <t>Повышение  качества  услуг и приобщение населения к профессиональному искусству</t>
  </si>
  <si>
    <t xml:space="preserve">Количество обслуживаемых мероприятий государственного протокола </t>
  </si>
  <si>
    <t>Регистрация населения и актов гражданского состояния</t>
  </si>
  <si>
    <t>Количество выданных документов государственной важности</t>
  </si>
  <si>
    <t>Разработка и сопровождение программного продукта</t>
  </si>
  <si>
    <t>Количество созданных и сопровождаемых программ</t>
  </si>
  <si>
    <t>16</t>
  </si>
  <si>
    <t>Верховный суд Кыргызской Республики</t>
  </si>
  <si>
    <t>Процент исполнения бюджета без нарушений</t>
  </si>
  <si>
    <t>Обеспечение прозрачности бюджета Высшей школы правосудия при Верховном суде Кыргызской Республики</t>
  </si>
  <si>
    <t>Управление и администрирование отрасли на территориальном уровне</t>
  </si>
  <si>
    <t>Процент исполнения бюджета Судебного департамента при Верховном суде Кыргызской Республики без нарушений и неоправданных задержек</t>
  </si>
  <si>
    <t>162</t>
  </si>
  <si>
    <t>Эффективное продвижение экономической дипломатии</t>
  </si>
  <si>
    <t>Количество возвращенных дел по причине некачественного правосудия в местных судах</t>
  </si>
  <si>
    <t>Осуществление правосудия по гражданским, уголовным и административно-экономическим делам</t>
  </si>
  <si>
    <t>Количество отмененных дел в связи с неправильным применением норм материального права или существенным  нарушением процессуального права</t>
  </si>
  <si>
    <t>166</t>
  </si>
  <si>
    <t>Управление и общая координация развития сельскохозяйственной отрасли</t>
  </si>
  <si>
    <t>Усиление прозрачности и профессионализма судейского корпуса</t>
  </si>
  <si>
    <t>ед</t>
  </si>
  <si>
    <t>Укрепление кадрового потенциала в судебной системе Кыргызской Республики</t>
  </si>
  <si>
    <t>Повышения уровня профессионализма</t>
  </si>
  <si>
    <t>167</t>
  </si>
  <si>
    <t>Планирование, обеспечение, по экономическому, социальному прогнозированию и инвестиций внешних связей в сфере развития сельского хозяйства, также формирования и мониторинга финансовых ресурсов, бухгалтерских учетов, отчетностейи контроля</t>
  </si>
  <si>
    <t>Место Кыргызстана в рейтинге Глобального индекса конкурентоспособности Всемирного экономического форума (в т.ч. по показателю «независимость судов»)</t>
  </si>
  <si>
    <t>индекс</t>
  </si>
  <si>
    <t>Независимый отбор судей Советом по отбору судей КР</t>
  </si>
  <si>
    <t>Обеспечение безопасности и охрана зданий судов</t>
  </si>
  <si>
    <t>Обеспечение безопасности для участников сторон судебных процессов</t>
  </si>
  <si>
    <t>кол-во</t>
  </si>
  <si>
    <t>Осуществление правосудия</t>
  </si>
  <si>
    <t>Создание условий для участников сторон судебных процессов / количество модернизированных и построенных новых зданий для местных судов Кыргызской Республики отвечающих утвержденным нормативам для служебных помещений судов</t>
  </si>
  <si>
    <t>Обеспечение надлежащего профессионального уровня судей, работников местных судов</t>
  </si>
  <si>
    <t>10</t>
  </si>
  <si>
    <t>Обеспечение деятельности служб судебных приставов</t>
  </si>
  <si>
    <t>Внедрение технических средств и системы безопасности зданий судов</t>
  </si>
  <si>
    <t>Обеспечение деятельности института исполнительного производства</t>
  </si>
  <si>
    <t>Совершенствование взаимодействия модели исполнения судебных решений / Увеличение доли исполнения судебных решений</t>
  </si>
  <si>
    <t xml:space="preserve">Создание необходимых условий труда для осуществления правосудия </t>
  </si>
  <si>
    <t>Доля граждан, считающих организацию работы судов неудовлетворительной, в том числе опрошенных</t>
  </si>
  <si>
    <t>17</t>
  </si>
  <si>
    <t>Счетная палата Кыргызской Республики</t>
  </si>
  <si>
    <t xml:space="preserve">Представление отчета Счетной палаты Кыргызской Республики в Жогорку Кенеш Кыргызской Республики </t>
  </si>
  <si>
    <t>Обеспечение финансирования мероприятия</t>
  </si>
  <si>
    <t>Материально-техническое обеспечение</t>
  </si>
  <si>
    <t>Доля сотрудников, повысивших квалификацию от общего количества сотрудников</t>
  </si>
  <si>
    <t>Количество, рассмотренных проектов нормативно-правовых актов, проектов межведомственных соглашений</t>
  </si>
  <si>
    <t>Количество, рассмотренных проектов постановлений Совета Счетной палаты</t>
  </si>
  <si>
    <t>172</t>
  </si>
  <si>
    <t>Проведение государственного аудита</t>
  </si>
  <si>
    <t>Количество запланированных аудиторских мероприятий</t>
  </si>
  <si>
    <t xml:space="preserve">Аудит и аудит эффективности: оценка исполнения республиканского бюджета, составления и исполнения местного бюджета, внебюджетных  и специальных средств, использования государственной  и муниципальной собственности, обеспечение и реализация международных стандартов государственного аудита. </t>
  </si>
  <si>
    <t>Процент фактического исполнения запланированных аудиторских мероприятий</t>
  </si>
  <si>
    <t>18</t>
  </si>
  <si>
    <t>Центральная комиссия по выборам и проведению референдумов Кыргызской Республики</t>
  </si>
  <si>
    <t>Отношение расходов на заработную плату по Программе 001 к сумме расходов на заработную плату по всем программам</t>
  </si>
  <si>
    <t xml:space="preserve">Отношение расходов на заработную плату по Программе 001 к сумме расходов на заработную плату по всем программам </t>
  </si>
  <si>
    <t>182</t>
  </si>
  <si>
    <t>Внедрение электронной системы фискализации налоговых процедур</t>
  </si>
  <si>
    <t>Процент освоения средств, выделенных на бюджетную программу</t>
  </si>
  <si>
    <t>Организация подготовки и проведение выборов Президента, депутатов ЖК КР, депутатов местных кенешей, глав исполнительных органов местного самоуправления</t>
  </si>
  <si>
    <t>Подведение итогов  голосований и определения результата выборов</t>
  </si>
  <si>
    <t>183</t>
  </si>
  <si>
    <t xml:space="preserve">Разработка системы мониторинга и оценки развития регионов и оценка деятельности Полномочных представителей Правительства Кыргызской Республики, местных государственных администраций, мэрий городов Бишкек и Ош </t>
  </si>
  <si>
    <t>Количество разработанных обучающих программ и информационных материалов</t>
  </si>
  <si>
    <t>Разработка обучающих и информационных программ и проведение регулярного обучения членов избирательных комиссий, резерва, а также иных участников избирательного процесса.</t>
  </si>
  <si>
    <t>Процент участников прошедших обучение по разработанным программам</t>
  </si>
  <si>
    <t>19</t>
  </si>
  <si>
    <t>Генеральная прокуратура Кыргызской Республики</t>
  </si>
  <si>
    <t>Обеспечение прозрачности бюджета</t>
  </si>
  <si>
    <t>Обеспечение прозрачности бюджета/Обеспечение финансирования мероприятий ГПКР</t>
  </si>
  <si>
    <t>Обеспечение прозрачности бюджета/Обеспечение финансирования мероприятий территориальных подразделений ГПКР</t>
  </si>
  <si>
    <t>192</t>
  </si>
  <si>
    <t xml:space="preserve">Надзор за  исполнением законов по противодействию коррупции </t>
  </si>
  <si>
    <t>Сумма возмещенного по актам реагирования  ущерба (сом)</t>
  </si>
  <si>
    <t>сом</t>
  </si>
  <si>
    <t xml:space="preserve">Надзор за исполнением законов в сфере экономики, государственного управления, в сфере социальной защиты граждан и детей, в сфере правоохранительных органов и органов контроля </t>
  </si>
  <si>
    <t>кол/во проведенных проверок (всего)</t>
  </si>
  <si>
    <t>внесенных актов прокурорского реогирования</t>
  </si>
  <si>
    <t>наказанных в адм/м, дисц.порядке лиц</t>
  </si>
  <si>
    <t>193</t>
  </si>
  <si>
    <t xml:space="preserve">Надзор за следствием и оперативно-розыскной деятельностью </t>
  </si>
  <si>
    <t>Количество проведенных проверок (всего выявлено нарушений)</t>
  </si>
  <si>
    <t xml:space="preserve">Надзор за следствием в прокуратуре и оперативно-розыскной деятельностью в таможенной службе, в органах национальной безопасности, в органах внутренних дел, исполнения наказания </t>
  </si>
  <si>
    <t>количество проверенных материалов об отказе возбуждении УД, выявленных укрытых преступлений (всего)</t>
  </si>
  <si>
    <t>кол/во отмененных необоснованных решений следователей, кол/во внесенных представлений</t>
  </si>
  <si>
    <t>внесено представлений</t>
  </si>
  <si>
    <t>194</t>
  </si>
  <si>
    <t>Судебно-правовая реформа</t>
  </si>
  <si>
    <t>Количество принятых участий на судебных процессах</t>
  </si>
  <si>
    <t>Надзор за исполнением судебных решений и пробации уголовного и гражданского судопроизводства</t>
  </si>
  <si>
    <t>кол/во обвинительных приговоров 1-й инстанции</t>
  </si>
  <si>
    <t>кол/во внесенных аппеляционных, кассац/х и надзорных представлений</t>
  </si>
  <si>
    <t>сумма ущерба по искам</t>
  </si>
  <si>
    <t>Надзор и формирование (свод статистики по всей правоохранительной системе) уголовно-правовой статистики о преступности, лиц их совершивших и следственной работы правоохранительных органов</t>
  </si>
  <si>
    <t>по результатам  провед/х проверок: внесено представлений</t>
  </si>
  <si>
    <t>возбуждено дисцип/х производств</t>
  </si>
  <si>
    <t>привлечено дисцип/х ответственности</t>
  </si>
  <si>
    <t>Разработка, внедрение и модернизация АИС «Единый реестр преступлений и проступков» и «Единый реестр нарушений» для правоохранительной системы</t>
  </si>
  <si>
    <t>кол/во проведенных проверок по достоверности и формированию уголовно- правовой статистики на местах 
(в т.ч. поднадзорными органами)</t>
  </si>
  <si>
    <t>20</t>
  </si>
  <si>
    <t>Военная прокуратура Кыргызской Республики</t>
  </si>
  <si>
    <t>Качественный контроль и эффективное управление за деятельностью органов Военной прокуратуры Кыргызской Республики</t>
  </si>
  <si>
    <t>Качество проведенных проверок и проведенных занятий, выступлений в СМИ на центральном уровне, согласно утвержденного плана</t>
  </si>
  <si>
    <t>Качество проведенных проверок и проведенных занятий, выступлений в СМИ на территориальном уровне, согласно утвержденного плана</t>
  </si>
  <si>
    <t>21</t>
  </si>
  <si>
    <t xml:space="preserve"> Омбудсмен (Акыйкатчы)  Кыргызской Республики</t>
  </si>
  <si>
    <t>Восстановление нарушенных прав человека (к общему количеству заявителей с нарушением прав)</t>
  </si>
  <si>
    <t>22</t>
  </si>
  <si>
    <t>Министерство юстиции Кыргызской Республики</t>
  </si>
  <si>
    <t>Индекс доверия населения</t>
  </si>
  <si>
    <t>Своевременное исполнение сметы, открытия финансовых средств, осуществление юридического и консультативного сопровождения инвестиционных инфраструктур и иных проектов инициируемых Кабинетом Министров Кыргызской Республики</t>
  </si>
  <si>
    <t>222</t>
  </si>
  <si>
    <t>Осуществление государственной регистрации, перерегистрации и регистрацию прекращения деятельности юридических лиц и филиалов (представительств), средств массовой информации, создаваемых на территории области, а также предоставление наториальных услуг населению</t>
  </si>
  <si>
    <t>Количество гос.регистрации, пере-регистрации и прекращение, апостилирований и нотариальных действий</t>
  </si>
  <si>
    <t>Осуществление государственной регистрации, перерегистрации и регистрацию прекращения деятельности юридических лиц и координации нотариальной деятельности в сфере исходящих документов от Кыргызской Республики</t>
  </si>
  <si>
    <t>Количество апостилированных документов</t>
  </si>
  <si>
    <t>Количество легализованных документов</t>
  </si>
  <si>
    <t>Количество государственных нотариальных действий</t>
  </si>
  <si>
    <t>Количество государственной регистрации, перерегистрации и прекращение</t>
  </si>
  <si>
    <t>223</t>
  </si>
  <si>
    <t>Осуществление гарантированной государством юридической помощи</t>
  </si>
  <si>
    <t>Доля обработанных запросов от количества поступивших запросов</t>
  </si>
  <si>
    <t>Оказание государственной гарантированной юридической помощи гражданам Кыргызской Республики</t>
  </si>
  <si>
    <t>Количество обработанных запросов</t>
  </si>
  <si>
    <t>224</t>
  </si>
  <si>
    <t>Исполнение уголовных наказаний, не связанных  с изоляцией от общества, и принудительных мер уголовно-правового воздействия в порядке, установленном уголовно-исполнительным законодательством, а также осуществление надзора за лицами, условно-досрочного освобожденными от отбывания наказания в виде лишениясвободы на определенный срок</t>
  </si>
  <si>
    <t>Исправление и переобучение граждан, совершивших правонарушение, а также социальное интеграция осужденных лиц</t>
  </si>
  <si>
    <t>Исполнение уголовных наказаний, не связанных с изоляцией от общества, и принудительных мер уголовно-правового воздействия в порядке, установленным исполнительным законодательством</t>
  </si>
  <si>
    <t>225</t>
  </si>
  <si>
    <t>Осуществление судебно-экспертной деятельности</t>
  </si>
  <si>
    <t>Осуществление судебных экспертиз</t>
  </si>
  <si>
    <t>Количество проведенных экспертиз</t>
  </si>
  <si>
    <t>229</t>
  </si>
  <si>
    <t>Осуществление деятельности по представлению интересов КР, Кабмина КР в международных и местных судебных органах</t>
  </si>
  <si>
    <t>Отношение выигранных судебных дел к их общему количеству</t>
  </si>
  <si>
    <t>Защита и представление прав и интересов Кабинета Министров КР, а также КР в международных и местных судебных органов</t>
  </si>
  <si>
    <t>Количество выигранных судебных дел</t>
  </si>
  <si>
    <t>Совершенствование правовой политики в нормотворчестве</t>
  </si>
  <si>
    <t>Разработка проектов НПА</t>
  </si>
  <si>
    <t>23</t>
  </si>
  <si>
    <t>Министерство иностранных дел Кыргызской Республики</t>
  </si>
  <si>
    <t>232</t>
  </si>
  <si>
    <t>Представление интересов КР и ее граждан зарубежом</t>
  </si>
  <si>
    <t xml:space="preserve">Деятельность Посольств и Постоянных представителей, генеральных консульств, консульских агентств и визовых пунктов   </t>
  </si>
  <si>
    <t>Количество внешнеполитических мероприятий на высшем и высоком уровне</t>
  </si>
  <si>
    <t>233</t>
  </si>
  <si>
    <t>Предоставление высшего образования в области международных отношений</t>
  </si>
  <si>
    <t>Предоставление высшего профессионального, послевузовского и дополнительного профессионального образования в области международных отношений</t>
  </si>
  <si>
    <t>Процент трудоустройства и удержания в профессии выпускников академии</t>
  </si>
  <si>
    <t>24</t>
  </si>
  <si>
    <t>Резервные и другие фонды территорий</t>
  </si>
  <si>
    <t>242</t>
  </si>
  <si>
    <t>Исполнение республиканского бюджета</t>
  </si>
  <si>
    <t>Фонд развития Иссык-Кульской области</t>
  </si>
  <si>
    <t>социально-экономическое развития области</t>
  </si>
  <si>
    <t>Фонды развития районов</t>
  </si>
  <si>
    <t>развитие инфраструктуры районов</t>
  </si>
  <si>
    <t>Фонды развития областей</t>
  </si>
  <si>
    <t>развитие инфраструктуры областей</t>
  </si>
  <si>
    <t>Резервный фонд полномочного представителя Правительства Кыргызской Республики в областях</t>
  </si>
  <si>
    <t>Решение важных вопросов в областях</t>
  </si>
  <si>
    <t>Резервный фонд акимов</t>
  </si>
  <si>
    <t>Решение важных вопросов в районах</t>
  </si>
  <si>
    <t>Фонд финансирования подготовки проектов государственно-частного партнерства</t>
  </si>
  <si>
    <t xml:space="preserve">Социально-экономическое развитие </t>
  </si>
  <si>
    <t>25</t>
  </si>
  <si>
    <t>Министерство финансов Кыргызской Республики</t>
  </si>
  <si>
    <t>253</t>
  </si>
  <si>
    <t>Эффективное управление государственными финансами</t>
  </si>
  <si>
    <t>Полнота финансирования защищенных статей от установленных плановых показателей</t>
  </si>
  <si>
    <t>Переподготовка и повышение квалификации сотрудников госуправления и органов МСУ по вопросам эффективного управления госфинансами</t>
  </si>
  <si>
    <t>Количество слушателей</t>
  </si>
  <si>
    <t xml:space="preserve">Обеспечение эффективности государственных закупок </t>
  </si>
  <si>
    <t>Степень удовлетворенности закупающих организаций и поставщиков (подрядчиков) оказанной помощью</t>
  </si>
  <si>
    <t>оценка</t>
  </si>
  <si>
    <t xml:space="preserve">Доля объявлений о государственных закупках на Портале госзакупок от общего числа предоставленной информации в Департамент </t>
  </si>
  <si>
    <t>доля</t>
  </si>
  <si>
    <t>Среднее количество участников в процессе закупок (отношение общего количества поданных заявок к общему количеству объявлений о госзакупках)</t>
  </si>
  <si>
    <t>Общее время бесперебойного функционирования Портала в течение года</t>
  </si>
  <si>
    <t>оценка PEFA (PI-24) Закупки</t>
  </si>
  <si>
    <t>Осуществление государственного контроля и надзора за операциями с драгоценными металлами и драгоценными камнями на территории КР</t>
  </si>
  <si>
    <t>Доля экспертных заключений, подготовленных в установленные сроки</t>
  </si>
  <si>
    <t xml:space="preserve">Учет, анализ и управление бюджетными кредитами </t>
  </si>
  <si>
    <t>Выполнение плановых показателей по возврату средств государственных заемных средств</t>
  </si>
  <si>
    <t>млн.сом</t>
  </si>
  <si>
    <t>Проведение внутреннего аудита и внутреннего контроля в  бюджетных учреждениях, государственных и муниципальных предприятиях/Осуществление внутреннего аудита</t>
  </si>
  <si>
    <t xml:space="preserve">Проведение внутреннего аудита и внутреннего контроля в бюджетных учреждениях, государственных и муниципальных предприятиях /Осуществление внутреннего аудита </t>
  </si>
  <si>
    <t>Обеспечение эффективности проведения централизованных закупок</t>
  </si>
  <si>
    <t>Количество проведенных централизованных закупок</t>
  </si>
  <si>
    <t>254</t>
  </si>
  <si>
    <t>Администрирование государственных доходов</t>
  </si>
  <si>
    <t>Процент выполнения плановых показателей сбора налогов и других платежей</t>
  </si>
  <si>
    <t>Процент выполнения плановых показателей сбора таможенных платжей, сборов и других видов платежей (%)</t>
  </si>
  <si>
    <t>Налоговое администрирование на центральном уровне</t>
  </si>
  <si>
    <t>Процент выполнения плановых показателей сбора налогов,страховых взносов и других платежей</t>
  </si>
  <si>
    <t>Обеспечение полноты и своевременности поступлений налогов, страховых взносов и других платежей на территориальном уровне</t>
  </si>
  <si>
    <t>Себестоимость 1 сома собранного налога( расходы ГНс /К общему объему налоговых  поступлений)</t>
  </si>
  <si>
    <t>Управление и таможенное администрирование на центральном уровне</t>
  </si>
  <si>
    <t>Процент выполнения плановых показателей сбора таможенных платежей, сборов и других видов платежей</t>
  </si>
  <si>
    <t>Администрирование таможенного дела, обеспечение полноты и своевременности поступления таможенных платежей, сборов и других видов платежей на подведомственном уровне</t>
  </si>
  <si>
    <t xml:space="preserve">Себестоимость одного сом собранных таможенных платежей и сборов (расходы ГТС, общая сумма поступлений платежей и сборов за год)	</t>
  </si>
  <si>
    <t>Сопровождение и обеспечение информационных систем (ГУ «Салык Сервис»)</t>
  </si>
  <si>
    <t>Реализация поставленных задач</t>
  </si>
  <si>
    <t>255</t>
  </si>
  <si>
    <t>Противодействие финансированию террористической деятельности и легализации (отмыванию) преступных доходов</t>
  </si>
  <si>
    <t>Количество сформированных и направленных обобщенных материалов и информации в компетентные органы</t>
  </si>
  <si>
    <t>Обеспечение координации и общего руководства противодействием финансированию террористической деятельности и легализации (отмыванию) преступных доходов</t>
  </si>
  <si>
    <t>Оценка рисков и отраслевая политика а также проведение оперативного и стратегического анализа и применение целевых финансовых санкций.</t>
  </si>
  <si>
    <t>Количество полученных и обработанных запросов из правоохранительных органов</t>
  </si>
  <si>
    <t>Количество обработанных сообщений об операциях</t>
  </si>
  <si>
    <t>тыс. шт.</t>
  </si>
  <si>
    <t>Обучение субъектов системы противодействия финансированию террористической деятельности и легализации (отмыванию) преступных доходов КР</t>
  </si>
  <si>
    <t>Количество прошедщих обучение субъектов системы противодействия финансированию террористической деятельности и легализации (отмыванию) преступных доходов КР</t>
  </si>
  <si>
    <t>992</t>
  </si>
  <si>
    <t>Реализация проектов государственных инвестиций</t>
  </si>
  <si>
    <t>26</t>
  </si>
  <si>
    <t xml:space="preserve">Министерство финансов Кыргызской Республики (Общегосударственные программы, мероприятия и выплаты) </t>
  </si>
  <si>
    <t>262</t>
  </si>
  <si>
    <t>Пенсионное обеспечение и компенсации за счет бюджетных средств</t>
  </si>
  <si>
    <t>Количество нарушений по задержке выплаты пенсий, финансируемых за счёт республиканского бюджета</t>
  </si>
  <si>
    <t>Обеспечение базовой части пенсии</t>
  </si>
  <si>
    <t>Количество нарушений по задержке выплаты пенсий, финансируемых за счет республиканского бюджета</t>
  </si>
  <si>
    <t>Пенсионное обеспечение военнослужащих, выплата сотрудникам органов внутренних дел и членам их семей единовременного пособия</t>
  </si>
  <si>
    <t>Льготное (досрочное) пенсионное обеспечение отдельных категорий населения и выплата надбавок к пенсиям</t>
  </si>
  <si>
    <t>263</t>
  </si>
  <si>
    <t>Общегосударственные программы</t>
  </si>
  <si>
    <t>Объем средств, предусмотренных на выполнение общегосударственных программ</t>
  </si>
  <si>
    <t>Реализация Национальной программы развития государственного языка и совершенствования языковой политики в КР</t>
  </si>
  <si>
    <t>Объем средств, предусмотренных на реализацию Национальной программы развития государственного языка и совершенствования языковой политики в Кыргызской Республики</t>
  </si>
  <si>
    <t>Цифровая экономика</t>
  </si>
  <si>
    <t>Объем средств, предусмотренных на Цифровую экономику</t>
  </si>
  <si>
    <t>Автоматизировано-информационная система «Единый реестр правонарушений», в том числе Автоматизировано-информационная система «Безопасный город»</t>
  </si>
  <si>
    <t>Объем средств, предусмотренных на автоматизировано-информационную систему «Единый реестр правонарушений», в том числе Автоматизировано-информационная система «Безопасный город»</t>
  </si>
  <si>
    <t>Взносы в международные организации</t>
  </si>
  <si>
    <t>Объем средств, предусмотренных на взносы в международные организации</t>
  </si>
  <si>
    <t>Государственный долг</t>
  </si>
  <si>
    <t>Объем средств, предусмотренных на обслуживание государственного долга</t>
  </si>
  <si>
    <t>Возмещение и возврат НДС</t>
  </si>
  <si>
    <t>Объем средств, предусмотренных на возмещение и возврат НДС</t>
  </si>
  <si>
    <t>Исполнение решений суда</t>
  </si>
  <si>
    <t>Объем средств, предусмотренных на исполнение решений суда</t>
  </si>
  <si>
    <t>Оплата услуг банков</t>
  </si>
  <si>
    <t>Выполнение обязательств по оплате услуг банка</t>
  </si>
  <si>
    <t>Субсидирование процентных ставок коммерческих банков</t>
  </si>
  <si>
    <t>Объем средств по субсидированию процентных ставок</t>
  </si>
  <si>
    <t>Развитие приграничных территорий</t>
  </si>
  <si>
    <t>Процент реализации плана по развитию приграничных территорий</t>
  </si>
  <si>
    <t>ОАО «Государственная ипотечная компания»</t>
  </si>
  <si>
    <t>Исполнение бюджета по ОАО «Государственная ипотечная компания»</t>
  </si>
  <si>
    <t>Фискализация</t>
  </si>
  <si>
    <t>Исполнение бюджета мероприятий по фискализации</t>
  </si>
  <si>
    <t>Финансирование проектов экономического развития и накопленные финансовые резервы</t>
  </si>
  <si>
    <t>Объем средств предусмотренных на финансирование проектов экономического развития и накопленные финансовые резервы</t>
  </si>
  <si>
    <t>ОАО «Айыл Банк»</t>
  </si>
  <si>
    <t>Исполнение бюджета по ОАО «Айыл Банк»</t>
  </si>
  <si>
    <t>27</t>
  </si>
  <si>
    <t>Государственная программа по обеспечению безопасности и социально-экономического развития Баткенской области</t>
  </si>
  <si>
    <t>Объем средств, предусмотренный на государственную программу по обеспечению безопасности и социально-экономического развития Баткенской области</t>
  </si>
  <si>
    <t>34</t>
  </si>
  <si>
    <t>ОАО «Элдик Банк»</t>
  </si>
  <si>
    <t>Исполнение бюджета по ОАО «Элдик Банк»</t>
  </si>
  <si>
    <t>37</t>
  </si>
  <si>
    <t>Льготное кредитование малого и среднего предпринимательства</t>
  </si>
  <si>
    <t>Выплата обязательств</t>
  </si>
  <si>
    <t>39</t>
  </si>
  <si>
    <t>Стабилизационный фонд КР</t>
  </si>
  <si>
    <t>Перечисление средств в Стабилизационный фонд</t>
  </si>
  <si>
    <t>ОАО «Электрические станции»</t>
  </si>
  <si>
    <t>Исполнение бюджета по капитализации  ОАО «Электрические станции»</t>
  </si>
  <si>
    <t>45</t>
  </si>
  <si>
    <t>Льготное финансирование Баткенской области</t>
  </si>
  <si>
    <t>46</t>
  </si>
  <si>
    <t>ОАО «Чакан ГЭС» (Орто-Токой)</t>
  </si>
  <si>
    <t>Исполнение бюджета по бюджетному кредиту ОАО «Чакан ГЭС»</t>
  </si>
  <si>
    <t>50</t>
  </si>
  <si>
    <t>Оказание помощи пострадавшим субъектам предпринимательства в Баткенской области</t>
  </si>
  <si>
    <t>54</t>
  </si>
  <si>
    <t>ОАО «Национальная электрическая сеть Кыргызстана»</t>
  </si>
  <si>
    <t>Исполнение бюджета по ОАО «Национальная электрическая сеть Кыргызстана»</t>
  </si>
  <si>
    <t>58</t>
  </si>
  <si>
    <t>Льготное финансирование по газификации</t>
  </si>
  <si>
    <t>59</t>
  </si>
  <si>
    <t>ОАО «Государственная страховая организация»</t>
  </si>
  <si>
    <t>Исполнение бюджета по капитализации ОАО «Государственная страховая организация»</t>
  </si>
  <si>
    <t>66</t>
  </si>
  <si>
    <t>ОАО «Государственная лизинговая компания»</t>
  </si>
  <si>
    <t>Исполнение бюджета по капитализации ОАО «Государственная лизинговая компания»</t>
  </si>
  <si>
    <t>67</t>
  </si>
  <si>
    <t>ОАО «Кыргызнефтегаз»</t>
  </si>
  <si>
    <t>Исполнение бюджета по ОАО «Кыргызнефтегаз»</t>
  </si>
  <si>
    <t>69</t>
  </si>
  <si>
    <t>ГП «Бишкекский штамповочный завод»</t>
  </si>
  <si>
    <t>Исполнение бюджета по бюджетному кредиту ГП «Бишкекский штамповочный завод»</t>
  </si>
  <si>
    <t>71</t>
  </si>
  <si>
    <t>«Льготное кредитование для развития дошкольного образования»</t>
  </si>
  <si>
    <t>Исполнение бюджета по льготному кредитованию для развития дошкольного образования</t>
  </si>
  <si>
    <t>72</t>
  </si>
  <si>
    <t>Вклад кыргызской стороны в уставной капитал Совместной проектной компании по строительству железной дороги Китай-Кыргызстан-Узбекистан</t>
  </si>
  <si>
    <t>Исполнение бюджета по вкладу кыргызской стороны в уставной капитал Совместной проектной компании по строительству железной дороги Китай-Кыргызстан-Узбекистан</t>
  </si>
  <si>
    <t>76</t>
  </si>
  <si>
    <t>Финансирование мероприятий по климату</t>
  </si>
  <si>
    <t>Исполнение бюджета по финансированию мероприятий по климату</t>
  </si>
  <si>
    <t>79</t>
  </si>
  <si>
    <t>«Финансирование объединенных товаропроизводителей»</t>
  </si>
  <si>
    <t>Исполнение бюджета по финансированию объединенных товаропроизводителей</t>
  </si>
  <si>
    <t>93</t>
  </si>
  <si>
    <t>ОАО «Государственный финансовый холдинг»</t>
  </si>
  <si>
    <t>Исполнение бюджета по капитализации ОАО «Государственный финансовый холдинг»</t>
  </si>
  <si>
    <t>264</t>
  </si>
  <si>
    <t>Государственные программы, мероприятия и выплаты</t>
  </si>
  <si>
    <t>Объем средств, предусмотренных на государственные программы, мероприятия и выплаты</t>
  </si>
  <si>
    <t>Капитальные вложения</t>
  </si>
  <si>
    <t>Объем средств, предусмотренных на капитальные вложения</t>
  </si>
  <si>
    <t>Повышение социальных выплат</t>
  </si>
  <si>
    <t>Объем средств предусмотренных на повышение социальных выплат</t>
  </si>
  <si>
    <t>Выравнивающие трансферты</t>
  </si>
  <si>
    <t>Исполнение бюджета по выравнивающим трансфертам</t>
  </si>
  <si>
    <t>Целевые трансферты</t>
  </si>
  <si>
    <t>Объем средств, предусмотренных на целевые трансферты</t>
  </si>
  <si>
    <t>Стимулирующие гранты</t>
  </si>
  <si>
    <t>Объем средств, предусмотренных по стимулирующим грантам</t>
  </si>
  <si>
    <t>Учреждения, переданные из местного бюджета на республиканский бюджет</t>
  </si>
  <si>
    <t xml:space="preserve">Объем средств, предусмотренных на учреждения, переданные из местного бюджета на республиканский бюджет </t>
  </si>
  <si>
    <t>Учреждения, переданные из районного бюджета на республиканский бюджет</t>
  </si>
  <si>
    <t xml:space="preserve">Объем средств, предусмотренных на учреждения, переданные из районного бюджета на республиканский бюджет </t>
  </si>
  <si>
    <t>Государственный бюджетный резерв</t>
  </si>
  <si>
    <t>Объем средств, предусмотренных на государственный бюджетный резерв</t>
  </si>
  <si>
    <t>Спецсчет МЧС КР</t>
  </si>
  <si>
    <t>Объем средств, предусмотренных на специальный счет</t>
  </si>
  <si>
    <t>Развитие семеноводства и питомниководства в Кыргызской Республике</t>
  </si>
  <si>
    <t>Исполнение бюджета по развитию семеноводства и питомниководства в Кыргызской Республике</t>
  </si>
  <si>
    <t>Развитие племенного скотоводства в Кыргызской Республике</t>
  </si>
  <si>
    <t>Исполнение бюджета по развитию племенного скотоводства в Кыргызской Республике</t>
  </si>
  <si>
    <t>Субсидирование процентных ставок (строительство современного кожевенного завода)</t>
  </si>
  <si>
    <t>Выполнение обязательств по субсидированию процентных ставок</t>
  </si>
  <si>
    <t>265</t>
  </si>
  <si>
    <t>Трансферты Фонду ОМС при ПКР</t>
  </si>
  <si>
    <t>Доля расходов на ПМСП в общих расходах по другим программам</t>
  </si>
  <si>
    <t>Количество посещений к врачам ГСВ на 1 жителя</t>
  </si>
  <si>
    <t>Уровень удовлетворенности пациентов (по оценочной карте)</t>
  </si>
  <si>
    <t>Гранты другим единицам сектора государственного управления</t>
  </si>
  <si>
    <t>Процент соответствия количества фактически функционирующих бригад СМП к утвержденному количеству</t>
  </si>
  <si>
    <t>Конституционный суд Кыргызской Республики</t>
  </si>
  <si>
    <t>272</t>
  </si>
  <si>
    <t>Обеспечение конституционного правосудия и повышение потенциала Конституционного суда</t>
  </si>
  <si>
    <t>Количество рассмотренных дел по обеспечению конституционности</t>
  </si>
  <si>
    <t>Осуществление конституционного правосудия</t>
  </si>
  <si>
    <t>Министерство экономики и коммерции Кыргызской Республики</t>
  </si>
  <si>
    <t>Процент исполнения бюджета без нарушения (ед.изм.процент)</t>
  </si>
  <si>
    <t xml:space="preserve">Правовая экспертиза проектов нормативных правовых актов </t>
  </si>
  <si>
    <t xml:space="preserve">Проценты реализованных договоренностей в рамках межправительственных комиссий </t>
  </si>
  <si>
    <t>Проведение оценки проектов ПГИ</t>
  </si>
  <si>
    <t>Процент сотрудников прошедших обучение из бюджетных средств (ед.изм. процент)</t>
  </si>
  <si>
    <t>282</t>
  </si>
  <si>
    <t>Благоприятная нормативно-правовая среда  для активизации приоритетных сфер экономики</t>
  </si>
  <si>
    <t>Продвижение отечественных товаров на рынок Турции</t>
  </si>
  <si>
    <t>Объем экспорта Кыргызской Республики в Турцию</t>
  </si>
  <si>
    <t>млн.долл.
США</t>
  </si>
  <si>
    <t>Содействие в разработке программы комплексного развития регионов, в том числе составление экономических прогнозов</t>
  </si>
  <si>
    <t xml:space="preserve">Количество созданных новых рабочих мест </t>
  </si>
  <si>
    <t xml:space="preserve">Осуществление мер по применению оздоровительных процедур банкротства с целью сохранения производства должника </t>
  </si>
  <si>
    <t>Количество банкротов, в отношении которых применены оздоровительные процедуры</t>
  </si>
  <si>
    <t>Создание благоприятной предпринимательской среды путем принятия соответствующих НПА в сфере предпринимательской деятельности (Развитие и поддержка предпринимательской деятельности, внедрение новых подходов в системе анализа АРВ, лицензионно-разрешительной  и контрольно-надзорной сферах)</t>
  </si>
  <si>
    <t>Инвистиции в основной капитал в сфере туризма</t>
  </si>
  <si>
    <t>Антимонпольное администрирование на центральном уровне</t>
  </si>
  <si>
    <t>Защита прав потребителя при получении гос платных услуг/недопущенные необоснованного изменения тарифов, исключение из себестоимости услуг</t>
  </si>
  <si>
    <t>Контроль за непровомерным окозанием услуг, не включенных в Единный Реестр госуслуг и их подведомственными учреждениями, оказываемых госорганами.</t>
  </si>
  <si>
    <t>Доля выявленных нарушений от общего количества рассмотренных заявлений ЗПП</t>
  </si>
  <si>
    <t>Доля нарушений требовыаний закона КР Об обеспечении единства измерений от общего количества средств</t>
  </si>
  <si>
    <t>Количества запланированных мероприятий по контролю за соблюдением конкурентного законодательство</t>
  </si>
  <si>
    <t>Общая координация на региональном уровне</t>
  </si>
  <si>
    <t>Количество проведенных анализов, обзоров и подготовка аналитической информации для оценки состояния конкуренции на товарных  рынках КР</t>
  </si>
  <si>
    <t xml:space="preserve">Количество мониторингов цен на социально значимые товары, на которые может быть введено временное </t>
  </si>
  <si>
    <t>283</t>
  </si>
  <si>
    <t>Макроэкономическая  политика, стратегическое планирование и координация донорской помощи</t>
  </si>
  <si>
    <t>Повышение эффективности экономического управления, а также создание условий для устойчивого экономического развития</t>
  </si>
  <si>
    <t>Отклонение прогнозных значений макропоказателей (темп роста ВВП) от фактических значений</t>
  </si>
  <si>
    <t>±5</t>
  </si>
  <si>
    <t>Темп роста объемов экспорта в процентах к предыдущему году</t>
  </si>
  <si>
    <t>Разработка единой государственной политики развития регионов</t>
  </si>
  <si>
    <t>Темп роста текстильного производства, производства одежды и обуви, кожи и прочих кожаных изделий</t>
  </si>
  <si>
    <t>Количество НПА с сфере технического регулирования и метрологии</t>
  </si>
  <si>
    <t>Количество утвержденных стратегических документов и планов</t>
  </si>
  <si>
    <t>Количество стран, с которыми подписаны и ратифицированы соглашения об избежании двойного налогообложения</t>
  </si>
  <si>
    <t>+1</t>
  </si>
  <si>
    <t>Количество принятых НПА в сфере предпринимательской деятельности</t>
  </si>
  <si>
    <t>Содействие в формировании Единого реестра гос.услуг, выработка рекомендаций по совершенствованию законодательства и механизма</t>
  </si>
  <si>
    <t>Поступления в республиканский бюджет (внедрение электронной системы фискализации налоговых процедур)</t>
  </si>
  <si>
    <t>Количество принятых НПА в сфере антимонопольного регулирования, защите и развитии конкуренции, ценообразования, защиты прав потребителей</t>
  </si>
  <si>
    <t>Осуществление закупок товаров, работ, услуг и консультационных услуг без нарушения</t>
  </si>
  <si>
    <t>284</t>
  </si>
  <si>
    <t xml:space="preserve">Устойчивый рост экспорта с расширением его географии, а также номенклатуры товаров </t>
  </si>
  <si>
    <t>Формирование благоприятной нормативно-правовой среды для сокращения технических барьеров и активации экспортного потенциала. Развитие Халал индустрии</t>
  </si>
  <si>
    <t>Создание условий для развития халал индустрии в Кыргызской Республике посредством разработки системных документов</t>
  </si>
  <si>
    <t>Реализация мер и сервисов по продвижению и развитию экспорта КР</t>
  </si>
  <si>
    <t>Более 120 компаний (пользователей) ежегодно получают услуги по торговой аналитике и продвижению экспорта</t>
  </si>
  <si>
    <t>Разработано и опубликовано более 24 материалов по обзору рыночных возможностей, профилей рынка и секторов, руководств по входу на целевые рынки</t>
  </si>
  <si>
    <t>Более 60 компаний ежегодно проходят обучение по вопросам экспорта в рамках программы «Караван экспорт»</t>
  </si>
  <si>
    <t>Организовано участие и обеспечено содействие в проведении переговоров экспортеров в не менее 6 международных выставках</t>
  </si>
  <si>
    <t>Обучены представители более 120 компаний</t>
  </si>
  <si>
    <t xml:space="preserve">Обеспечить соблюдение международных обязательств КР перед ВТО и эффективное использование преимуществ участия КР в рамках многосторонней торговой системе </t>
  </si>
  <si>
    <t>Объем внешнеторгового оборота Кыргызской Республики со странами ВТО</t>
  </si>
  <si>
    <t>Продвижение отечественных товаров на рынок КНР</t>
  </si>
  <si>
    <t>Объем экспорта Кыргызской Республики в КНР</t>
  </si>
  <si>
    <t>Повышение уровня гармоницазии национальных стандартов с международными и европейскими нормами и защита интересов государства и граждан от последствий недостоверных результатов измерений</t>
  </si>
  <si>
    <t>Разработка межгосударственных стандартов на основе национальных стандартов, в целях защиты интересов бизнеса</t>
  </si>
  <si>
    <t xml:space="preserve">Участие в межлабораторных  сличениях  с Национальными институтами других стран по видам измерений </t>
  </si>
  <si>
    <t>Участие в работах межгосударственных технических комитетах по стандартизации (МТК)  и метрологии по пищевой продукции</t>
  </si>
  <si>
    <t xml:space="preserve">Обеспечение единства и прослеживаемости измерений путем рекалибровки национальных эталонов по видам измерений  </t>
  </si>
  <si>
    <t>Подтверждение соответствия требования международных стандарта ISO/IEC 17011</t>
  </si>
  <si>
    <t xml:space="preserve">Подтверждение компетентности органов оценке соответствия </t>
  </si>
  <si>
    <t>287</t>
  </si>
  <si>
    <t>Развитие небанковского финансового рынка</t>
  </si>
  <si>
    <t>Надзор за небанковским финансовым  рынком</t>
  </si>
  <si>
    <t>Объем эмиссии на фондовом рынке</t>
  </si>
  <si>
    <t>млрд.сом</t>
  </si>
  <si>
    <t>Объем торгов</t>
  </si>
  <si>
    <t>Объем страховых премий по обязательным и добровольным видам страхования</t>
  </si>
  <si>
    <t>Объем средств пенсионных накоплений НПФ</t>
  </si>
  <si>
    <t>Количество зарегистрированных  аудиторских организаций</t>
  </si>
  <si>
    <t xml:space="preserve">Надзор за небанковским финансовым рынком на региональном уровне </t>
  </si>
  <si>
    <t>Объем сделок с ценными бумагами</t>
  </si>
  <si>
    <t>Количество  сделок с ценными бумагами</t>
  </si>
  <si>
    <t>288</t>
  </si>
  <si>
    <t>Эффективное управление государственным имуществом</t>
  </si>
  <si>
    <t>Продвижение отечественных товаров на рынок Узбекистана</t>
  </si>
  <si>
    <t>Объем экспорта Кыргызской Республики в Узбекистан</t>
  </si>
  <si>
    <t>31</t>
  </si>
  <si>
    <t>Министерство науки, высшего образования и инноваций Кыргызской Республики</t>
  </si>
  <si>
    <t>Отношение количества выполненных мероприятий к общему количеству мероприятий Госпрограммы</t>
  </si>
  <si>
    <t>312</t>
  </si>
  <si>
    <t>Развитие науки, инноваций и интеллектуальной собственности</t>
  </si>
  <si>
    <t>Поддержка  и стимулирование научно-исследовательской, инновационной деятельности и правовая охрана интеллектуальной собственности</t>
  </si>
  <si>
    <t>Общее количество охраняемых на территории Кыргызской Республики объектов интеллектуальной собственности</t>
  </si>
  <si>
    <t xml:space="preserve">Формирование экосистемы интеллектуальной собственности и инноваций для развития рынка объектов интеллектуальной собственности и инновационной продукции </t>
  </si>
  <si>
    <t>Количество инновационных, стартап и других социально значимых проектов</t>
  </si>
  <si>
    <t>313</t>
  </si>
  <si>
    <t xml:space="preserve">Содействие улучшению качественного состава научных и научно-педагогических кадров, повышению эффективности их подготовки </t>
  </si>
  <si>
    <t xml:space="preserve">Организация работы диссертационных и экспертных советов, присуждение ученых степеней, присвоение ученых званий </t>
  </si>
  <si>
    <t>Отношение количества расмотренных в срок диссертационных работ и аттестационных дел к общему количеству поступивших дел</t>
  </si>
  <si>
    <t>314</t>
  </si>
  <si>
    <t xml:space="preserve">Высшее и Среднее профессиональное образование </t>
  </si>
  <si>
    <t>Поддержание функционирования сети,   инклюзивное образование и воспитание учащихся среднего профессионального образования</t>
  </si>
  <si>
    <t>Процент охвата молодежи средним профессиональным образованием (от населения в возрасте 17- 20 лет)</t>
  </si>
  <si>
    <t>Поддержание функционирования и развитие сети организаций высшего профессионального образования</t>
  </si>
  <si>
    <t>Доля обучающихся по госзаказу к общему числу учащихся в вузах</t>
  </si>
  <si>
    <t>Доля студентов, обучающихся на контрактной основе</t>
  </si>
  <si>
    <t>315</t>
  </si>
  <si>
    <t xml:space="preserve">Государственная поддержка прикладных исследований и разработок </t>
  </si>
  <si>
    <t>Развитие прикладной науки</t>
  </si>
  <si>
    <t>Количество публикаций в периодических научных изданиях, индексируемых системами Scopus, Web of Science,  Рост impact фактора (индекс цитируемости научных исследований)</t>
  </si>
  <si>
    <t xml:space="preserve">Развитие институционального потенциала и повышение качества вузовской науки </t>
  </si>
  <si>
    <t>Количество внедряемых научных результатов в производство, социальную жизнь по итогам выполнения НИОКР</t>
  </si>
  <si>
    <t>Министерство просвещения Кыргызской Республики</t>
  </si>
  <si>
    <t>342</t>
  </si>
  <si>
    <t>Дошкольное образование и предшкольная подготовка</t>
  </si>
  <si>
    <t>Охват детей дошкольным образованием</t>
  </si>
  <si>
    <t>Поддержание функционирования сети дошкольных образовательных организаций</t>
  </si>
  <si>
    <t>Доля детей в возрасте 0-3 лет, охваченных всеми формами раннего развития</t>
  </si>
  <si>
    <t xml:space="preserve">Доля детей  в возрасте 3-6 лет, охваченных всеми формами дошкольного образования </t>
  </si>
  <si>
    <t>343</t>
  </si>
  <si>
    <t>Школьное образование</t>
  </si>
  <si>
    <t>Охват детей средним общим образованием, от общего количества детей 6-17 лет</t>
  </si>
  <si>
    <t xml:space="preserve">Поддержание функционирования сети общеобразовательных, внешкольных образовательных организаций, интернатов, детских домов, издательств при МОН КР, библиотеки  </t>
  </si>
  <si>
    <t>Доля детей в системе интернатного и детдомов к общему количеству детей (по учреждениям МОН)</t>
  </si>
  <si>
    <t>Процент охвата детей внешкольным образованием от общего количества детей</t>
  </si>
  <si>
    <t>Показатели среднего бала ОРТ по стране</t>
  </si>
  <si>
    <t>балл</t>
  </si>
  <si>
    <t>Повышение качества образования</t>
  </si>
  <si>
    <t>Охват учителей программами повышение квалификации</t>
  </si>
  <si>
    <t>344</t>
  </si>
  <si>
    <t>Начальное и среднее профессиональное образование</t>
  </si>
  <si>
    <t>Доля трудоустройства выпускников на основе проведенного анализа трудоустроенных выпускников (в первый год после выпуска и закрепившихся в течение года по данным отслеживания выпускников)</t>
  </si>
  <si>
    <t xml:space="preserve">Поддержание функционирования сети организаций начального профессионального образования </t>
  </si>
  <si>
    <t>Процент охвата молодежи начальным профессиональным образованием (от населения в возрасте 15-18 лет)</t>
  </si>
  <si>
    <t>Удельный вес педагогических кадров, прошедших повышение квалификации по разработке образовательных программ и модулей (НПО)</t>
  </si>
  <si>
    <t>Процент охвата молодежи начальным профессиональным образованием (от населения в возрасте 15-20 лет)</t>
  </si>
  <si>
    <t>Министерство здравоохранения Кыргызской Республики</t>
  </si>
  <si>
    <t xml:space="preserve">Индекс доверия населения </t>
  </si>
  <si>
    <t>Показатель младенческой смертности на 1000 живорожденных</t>
  </si>
  <si>
    <t>случаев на 1000 живорожденных</t>
  </si>
  <si>
    <t>Смертность детей в возрасте до пяти лет</t>
  </si>
  <si>
    <t xml:space="preserve">Показатель неонатальной смертности (ЦУР) </t>
  </si>
  <si>
    <t>Смертность от болезней системы кровообращения</t>
  </si>
  <si>
    <t>на 100 тыс. населения</t>
  </si>
  <si>
    <t>Национальная программа развития Кыргызской Республики до 2026 года</t>
  </si>
  <si>
    <t>Количество ОЗ в которых внедрено электронное здравоохранение</t>
  </si>
  <si>
    <t>372</t>
  </si>
  <si>
    <t>Программа «Общественное здравоохранение»</t>
  </si>
  <si>
    <t>Аккредитация  лабораторий по ISO 17025, ISO 15189-2009</t>
  </si>
  <si>
    <t xml:space="preserve">Профилактические меры по обеспечению безопасности здоровья человека(пищевой продукции, воды, воздуха в помещениях, радиационного фона) </t>
  </si>
  <si>
    <t>Внедрение и освоение методов исследований по всем показателям безопасности продукции в соответствии с требованиями технических регламентов ТС/ЕАЭС в аккредитованных лобораториях</t>
  </si>
  <si>
    <t>Готовность ЦПЗиГСЭН по реагированию на чрезвычайные ситуации  связанные с  химическими, биологическими, радиоактивными рисками  с использованием современных оборудований</t>
  </si>
  <si>
    <t>Количество отобранных проб (вода, воздух, пищевая продукция и т д.)</t>
  </si>
  <si>
    <t xml:space="preserve">Охват поднадзорных объектов с высокой степенью риска,  полдежащих лаборатоной экспертизе в рамках санитарно-эпидемиологического наздора </t>
  </si>
  <si>
    <t xml:space="preserve">Политика иммунизации населения </t>
  </si>
  <si>
    <t>Доля детей до 2 лет, охваченных  вакцинным комплексом</t>
  </si>
  <si>
    <t>Доля вакцинированных лиц по эпидемиологическим показаниям для предотвращения особо опасных и карантинных инфекций (от бешенства, чумы, клещевого вирусного энцефалита)</t>
  </si>
  <si>
    <t>процент от подлежаще-го континген-та</t>
  </si>
  <si>
    <t>Информационная работа с населением по вопросам укрепления здоровья</t>
  </si>
  <si>
    <t>Количество приоритетных заболеваний, охваченных информационными кампаниями</t>
  </si>
  <si>
    <t>Количество выездов КУЗ в 1600 сел для обучения СКЗ в год</t>
  </si>
  <si>
    <t>Профилактика,диагностика,лечение и уход при ВИЧ-инфекции</t>
  </si>
  <si>
    <t>доля выявленных лиц, живущих с ВИЧ от оценочного числа</t>
  </si>
  <si>
    <t>Доля лиц, живущих с ВИЧ, получающих антиретровирусную терапию от числа выявленных</t>
  </si>
  <si>
    <t>Доля лиц, живущих с ВИЧ, получающих антиретровирусную терапию с подавленной вирусной нагрузкой</t>
  </si>
  <si>
    <t xml:space="preserve">Профилактические меры по санитарной охране и обеспечение эпидемиологического и зоо-энтомологического надзора в природно-очаговых территориях страны </t>
  </si>
  <si>
    <t>Обеспечение зоолого-пространственного мониторинга природно-очаговых территорий</t>
  </si>
  <si>
    <t>т/га</t>
  </si>
  <si>
    <t xml:space="preserve">Проведение оздоровительных мероприятий на участках с установленными признаками эпизоотий </t>
  </si>
  <si>
    <t xml:space="preserve">Обеспечение  контроля качества лабораторной диагностики социально-значимых инфекционных заболеваний ВИЧ, бруцеллез, гепатиты, сифилис </t>
  </si>
  <si>
    <t>Проведение испытаний препоратов для диагностики социально-значимых инфекционных заболеваний при их сертификации</t>
  </si>
  <si>
    <t>обращение</t>
  </si>
  <si>
    <t>по факту</t>
  </si>
  <si>
    <t>Проведение внешней оценки качества в  государственных и  частных лабораториях по диагностике социально-значимых инфекций</t>
  </si>
  <si>
    <t>373</t>
  </si>
  <si>
    <t>Программа «Организация предоставления услуг здравоохранения»</t>
  </si>
  <si>
    <t>Доля организаций здравоохранения, внедривших электронные медицинские карты пациента на всех уровнях здравоохранения</t>
  </si>
  <si>
    <t xml:space="preserve">Улучшение качества  медицинских услуг, оказываемых государственными организациями здравоохранения с упором на развитие ПМСП </t>
  </si>
  <si>
    <t xml:space="preserve">Повсеместное внедрение индикаторов качества ПМСП (приказ МЗ КР №1417 от 28.11.2023г.«Об утверждении Национальных индикаторов качества медицинских услуг по приоритетным направлениям на уровне ПМСП и методологии их расчета») </t>
  </si>
  <si>
    <t>Доля населения, использующие онлайн-сервисы при обращении за услугами здравоохранения</t>
  </si>
  <si>
    <t>Раннее выявление больных с сахарным диабетом</t>
  </si>
  <si>
    <t>Количество зарегистрированных с сахарным диабетом</t>
  </si>
  <si>
    <t>Охват  инсулинами больных с сахарным диабетом</t>
  </si>
  <si>
    <t>Повышение уровня информированности и потенциала организации здравоохранения по вопросам обращения лекарственных средств</t>
  </si>
  <si>
    <t>Количество прослеживаемых лекарственных средств на основе цифровой маркировки ввозимых в КР</t>
  </si>
  <si>
    <t>Заготовка компонентов и препаратов крови</t>
  </si>
  <si>
    <t>Объем заготовленных компонентов и препаратов крови</t>
  </si>
  <si>
    <t>литр</t>
  </si>
  <si>
    <t>Охрана здоровья матери и ребенка</t>
  </si>
  <si>
    <t>Доля женщин из медико-социальной группы риска, использующих внутриматочную спираль</t>
  </si>
  <si>
    <t>Доля женщин из медико-социальной группы риска, применяющих оральные контрацептивы</t>
  </si>
  <si>
    <t>Уровень абортов на 1000 женщин репродуктивного возраста</t>
  </si>
  <si>
    <t>Доля беременных, вставших на учет в первые 12 недель беременности</t>
  </si>
  <si>
    <t>Распространенность анемии</t>
  </si>
  <si>
    <t>Восстановление здоровья населения и интеграция в обществе</t>
  </si>
  <si>
    <t>Количество пациентов, получивших  реабилитационную помощь</t>
  </si>
  <si>
    <t>Предоставление дорогостоящей и высокотехнологичной помощи, а также сопроводительных и консультативных мероприятий (ЦМ и ФВТ)</t>
  </si>
  <si>
    <t>Количество пациентов,  получающих дорогостоящую и высокотехнологичной помощи в рамках программы ФВТ 
(эндопротезы, клапаны сердца, стенды, оклюдеры,оксигинираторы, сосудистые протезы)</t>
  </si>
  <si>
    <t>Организация судебно-медицинских экспертиз</t>
  </si>
  <si>
    <t>Количество проведенных судебно-медицинских экспертиз в отношении  умерших  лиц от количества запросов правоохранительных органов</t>
  </si>
  <si>
    <t>Количество проведенных судебно-медицинских экспертиз в отношении потерпевших, обвиняемых и других лиц</t>
  </si>
  <si>
    <t>374</t>
  </si>
  <si>
    <t>Программа «Медицинское образование и управление человеческими ресурсами в здравоохранении»</t>
  </si>
  <si>
    <t>Обеспеченность организаций здравоохравнения специалистами с медицинским профессиональным образованием</t>
  </si>
  <si>
    <t>Подготовка специалистов с высшим медицинским образованием</t>
  </si>
  <si>
    <t>Количество выпускников КГМА подготовленных за счет республиканского бюджета на додипломном уровне</t>
  </si>
  <si>
    <t>Количество выпускников КГМА  подготовленных за счет республиканского бюджета на последипломном уровне</t>
  </si>
  <si>
    <t>Повышение квалификации работников в сфере здравоохранения</t>
  </si>
  <si>
    <t>Количество специалистов,  прошедших переподготовку и повышение квалификаций за счет республиканского бюджета КГМИПиПК</t>
  </si>
  <si>
    <t xml:space="preserve">Количество выпускников  КГМИПиПК, подготовленных за счет республиканского бюджета на последипломном уровне </t>
  </si>
  <si>
    <t>Развитие сестринского образования в соответствии с новыми требованиями и потребностями здравоохранения</t>
  </si>
  <si>
    <t>Количество выпускников медколледжей, подготовленных за счет республиканского бюджета</t>
  </si>
  <si>
    <t>375</t>
  </si>
  <si>
    <t>Предоставление услуг первично-медико санитарной помощи</t>
  </si>
  <si>
    <t>Обеспечение доступности экстренной (скорой) медицинской помощи населению республики</t>
  </si>
  <si>
    <t xml:space="preserve"> Процент соответствия количества фактически функционирующих бригад СМП к утвержденному количеству</t>
  </si>
  <si>
    <t>Обеспечение доступности базовых медицинских услуг на уровне первичной медико-санитарной помощи населению республики</t>
  </si>
  <si>
    <t>Доля детей до 1 года прошедших скрининг на железодефицитную анемию, по итогам оценки</t>
  </si>
  <si>
    <t>Доля проведенных в организациях здравоохранения ПМСП бесплатно в первом триместре беременности анализов мочи на бессимптомную бактериурию (окраска мочи по Граму, микроскопия осадка мочи, бактериальный посев средней порции мочи), по итогам оценки</t>
  </si>
  <si>
    <t>Доля проведенных бесплатно в организациях здравоохранения ПМСП анализов крови на определение гликированного гемоглобина пациентам с диагнозом: сахарный диабет, по итогам оценки</t>
  </si>
  <si>
    <t>Обеспечение доступности стоматологической помощи населению в рамках Программы государственных гарантий по обеспечению граждан медико-санитарной помощью</t>
  </si>
  <si>
    <t>Охват беременных женщин, вставших на учет по поводу беременности для профилактических осмотров у стоматолога</t>
  </si>
  <si>
    <t>Доля санированных беременных женщин, вставших на учет по поводу беременности из числа выявленных при профилактическом осмотре</t>
  </si>
  <si>
    <t xml:space="preserve"> Доля детей до 10 лет, прошедших профилактический осмотр из числа организованной группы (школы, детсады) </t>
  </si>
  <si>
    <t>Доля детей до 10 лет, прошедших санацию полости рта из числа выявленных при профилактическом осмотре</t>
  </si>
  <si>
    <t>376</t>
  </si>
  <si>
    <t>Предоставление услуг медицинскими учреждениями на стационарном уровне</t>
  </si>
  <si>
    <t>Обеспечение доступности медицинских услуг населению республики на уровне стационарной помощи в рамках Программы государственных гарантий</t>
  </si>
  <si>
    <t>Доля населения, получивших лечение по социальным льготам</t>
  </si>
  <si>
    <t>Доля детей,получивших лечение в отделениях краткосрочного пребывания, к общему количеству пролеченных детей в общепрофильных стационарах</t>
  </si>
  <si>
    <t>Соотношение фактически пролеченных случаев к плану базового года</t>
  </si>
  <si>
    <t>Доля   населения, получивших льготное лечение по медицинским показаниям</t>
  </si>
  <si>
    <t>Обеспечение доступности медицинской помощи по борьбе с туберкулезом, оказываемой организациями здравоохранения стационарного уровня</t>
  </si>
  <si>
    <t>Обеспечение доступности медицинских услуг на уровне специализированной онкологической и гематологической помощи</t>
  </si>
  <si>
    <t xml:space="preserve">Обеспечение доступности медицинских услуг на уровне специализированной кардиохирургической помощи </t>
  </si>
  <si>
    <t>Обеспечение доступности медицинских услуг на уровне специализированной психиатрической помощи</t>
  </si>
  <si>
    <t>377</t>
  </si>
  <si>
    <t>Обеспечение доступа к льготному гемодиализному лечению</t>
  </si>
  <si>
    <t>Количество пациентов получающих льготное гемодиализное лечение</t>
  </si>
  <si>
    <t>Обеспечение доступа к льготному гемодиализному лечению остронуждающихся пациентов с терминальной стадией хронической почечной недостаточности пятой стадии</t>
  </si>
  <si>
    <t>Количество пациентов с терминальной стадией хронической почечной недостаточности, получающих бюджетный гемодиализ в  организациях здравоохранения</t>
  </si>
  <si>
    <t>38</t>
  </si>
  <si>
    <t>Министерство труда, социального обеспечения и миграции Кыргызской Республики</t>
  </si>
  <si>
    <t>382</t>
  </si>
  <si>
    <t xml:space="preserve">Поддержка семей и детей, находящиеся в трудной жизненной ситуации </t>
  </si>
  <si>
    <t>Обеспечение пособиями детей: при рождении ребенка и нуждающихся семей, имеющих детей в возрасте до 16 лет</t>
  </si>
  <si>
    <t>Охват детей единовременной выплатой при рождении ребенка «Балага суйунчу»</t>
  </si>
  <si>
    <t>Соотношение размера ежемесячнонго пособия нуждающимся гражданам (семьям), имеющим детей в возрасте до 16 лет - «Уй-булого комок» текущего года по тоношению к базовому году</t>
  </si>
  <si>
    <t>Соотношение размера гарантированного минимального дохода текущего года по отношению к базовому году</t>
  </si>
  <si>
    <t>Обеспечение лиц, не имеющих права на пенсионное обеспечение, ежемесячными социальными пособиями, а также лиц пострадавших в событиях 2010 года и Аксыйского события в 2002 г. дополнительными ежемесячными пособиями</t>
  </si>
  <si>
    <t>Соотношение размера пособий для детей с ОВЗ к базовой части пенсии</t>
  </si>
  <si>
    <t>Соотношение размеров пособий для ЛОВЗ с детсва к базовой части пенсии (не менее 170%)</t>
  </si>
  <si>
    <t>Соотношение размера ЕСП пожилых граждан к базовой части пенсии</t>
  </si>
  <si>
    <t>Соотношение размера дополнительного ежемесячного социального пособия к расчетному показателю</t>
  </si>
  <si>
    <t>Развитие социальных услуг для детей, находящихся в трудной жизненной ситуации, в рамках государственного социального заказа</t>
  </si>
  <si>
    <t>Наличие центра</t>
  </si>
  <si>
    <t>Поддержка созданных ранее центров</t>
  </si>
  <si>
    <t>Повышение потенциала сотрудников территориальных и подведомственных подразделений</t>
  </si>
  <si>
    <t>Численность сотрудников, охваченных обучением не менее 100 сотрудников по системе Министерства</t>
  </si>
  <si>
    <t xml:space="preserve">Развитие института приемных (фостерных) семей </t>
  </si>
  <si>
    <t>Численность подготовленных приемных семей</t>
  </si>
  <si>
    <t>Численность размещенных детей в приемных семьях</t>
  </si>
  <si>
    <t>Возвращение (репатриация) детей, оставшихся без попечения родителей, являющихся гражданами КР на территории иностранного государства</t>
  </si>
  <si>
    <t>Численность возвращенных детей</t>
  </si>
  <si>
    <t>Наличие обмена знаниями и опытом в области защиты и ухода за детьми, а также укрепления института семьи, находящихся в ТЖС</t>
  </si>
  <si>
    <t>Численность детей, охваченных мониторингом об условиях жизни и воспитании детей в иностранных семьях (США)</t>
  </si>
  <si>
    <t>Численность детей, охваченных мониторингом об условиях жизни и воспитании детей в семьях граждан государств-участников СНГ</t>
  </si>
  <si>
    <t>Оказание консультативно-психологической помощи абонентам по телефону, в том числе детям</t>
  </si>
  <si>
    <t>Количество поступивших звонков от абонентов, в том числе от детей</t>
  </si>
  <si>
    <t>абонент</t>
  </si>
  <si>
    <t>Государственный детский депозит «Келечекке салым»</t>
  </si>
  <si>
    <t>Количество детей, охваченных государственным детским депозитом «Келечекке салым»</t>
  </si>
  <si>
    <t>Выплата ежемесячного пособия гражданам, проживающим в населенных пунктах, расположенных в высокогорных и отдаленных труднодоступных зонах, на отдельных приграничных территориях, имеющих особый статус, с рождения третьего и каждого последующего ребенка до достижения ими возраста 3 лет</t>
  </si>
  <si>
    <t>Соотношение размера ежемесячного пособия «Бийик толуу аймактардын жашоочулурына комок» текущего года по отношению к базовому году</t>
  </si>
  <si>
    <t>Обеспечение единовременной социальной выплатой в размере прожиточного минимума на душу населения уязвимым и целевым группам пострадавших в результате чрезвычайных ситуаций либо в условиях чрезвычайного положения и отдаленных труднодоступных зонах</t>
  </si>
  <si>
    <t>Процентное соотношение охвата единовременной социальной выплатой в размере прожиточного минимума на душу населения уязвимым и целевым группам пострадавшихв результате чрезвычайных ситуаций либо в условиях чрезвычайного положения к предыдущему году (не менее 80%)</t>
  </si>
  <si>
    <t>383</t>
  </si>
  <si>
    <t>Социальная защита лиц с ограничеными возможностями здоровья (ЛОВЗ) и пожилых граждан</t>
  </si>
  <si>
    <t>Улучшение системы оценки инвалидности и реабилитация ЛОВЗ</t>
  </si>
  <si>
    <t>Количество обученных врачей- экспертов по Международной классификации функционирования (МКФ)</t>
  </si>
  <si>
    <t>Реабилитация лиц с ограниченными возможностями здоровья (ЛОВЗ)</t>
  </si>
  <si>
    <t>Количество ЛОВЗ охваченых реабилитацией</t>
  </si>
  <si>
    <t>Количество обученных врачей</t>
  </si>
  <si>
    <t>Предоставление услуг в социальных стационарных  учреждениях</t>
  </si>
  <si>
    <t>Количество обслуживаемых</t>
  </si>
  <si>
    <t>Общая сумма расходов (респ.бюджет)</t>
  </si>
  <si>
    <t>Сумма на обслуживание одного получателя услуг в месяц</t>
  </si>
  <si>
    <t>Предоставление социальных услуг пожилым гражданам и лицам с ограниченными возможностями здоровья (ЛОВЗ), в рамках государственного социального заказа</t>
  </si>
  <si>
    <t xml:space="preserve">Количество ЛОВЗ охваченых услугами в рамках госсоцзаказа </t>
  </si>
  <si>
    <t>Количество пожилых граждан охваченых услугами в рамках госсоцзаказа</t>
  </si>
  <si>
    <t>Обеспечение ЛОВЗ техническими средствами для реабилитации (протезно-ортопедические изделия, технические вспомогательные средства и иные специализированные средства)</t>
  </si>
  <si>
    <t>Доля ЛОВЗ, обеспеченных кресло-колясками от общего числа обратившихся</t>
  </si>
  <si>
    <t>Количество обученных специалистов</t>
  </si>
  <si>
    <t>Количество изготовленных протезно-ортопедических изделий</t>
  </si>
  <si>
    <t>Обеспечение ЛОВЗ путевками на санаторно-курортное лечение, а также услугой сурдоперевода лиц с инвалидностью слуха и речи</t>
  </si>
  <si>
    <t>Доля ЛОВЗ, обеспеченных санаторно-курортными путевками от общего количества поступивших заявлений</t>
  </si>
  <si>
    <t>Доля ЛОВЗ по слуху и речи получившие услуги сурдопереводчика из общей численности обратившихся</t>
  </si>
  <si>
    <t>Социальная поддержка матерям, ухаживающим за детьми с ограниченными возможностьями здоровья, нуждающихся в постоянном уходе и надзоре</t>
  </si>
  <si>
    <t>Количество ЛОВЗ старше 18 лет охваченных услугами персональных ассистентов</t>
  </si>
  <si>
    <t>Количество детей с ОВЗ охваченных услугами персональных ассистентов</t>
  </si>
  <si>
    <t>384</t>
  </si>
  <si>
    <t>Предоставление денежных компенсаций отдельным категориям граждан и социальные гарантии</t>
  </si>
  <si>
    <t>Обеспечение выплат ежемесячных денежных компенсаций 25 категориям граждан, а также ежемесячной стипендии ветеранам Великой Отечественной войны</t>
  </si>
  <si>
    <t>Количество лиц, получивших денежные компенсации, взамен льгот</t>
  </si>
  <si>
    <t>Количество ветеранов ВОВ, получивших ежемесячную пожизненную стипендию</t>
  </si>
  <si>
    <t>Обеспечение выплат ежегодного единовременного денежного пособия к 9 мая ветеранам Великой Отечественной войны</t>
  </si>
  <si>
    <t>Количество ветеранов ВОВ, получиввших ежегодное дополнительное денежное пособие к 9 маю</t>
  </si>
  <si>
    <t>Количество ветеранов ВОВ, получивших единовременное денежное пособие к 9 маю</t>
  </si>
  <si>
    <t xml:space="preserve">Обеспечение выплат ритуального пособия (на погребение) </t>
  </si>
  <si>
    <t>Размеры ритуального пособия (погребение) не ниже уровня базового года</t>
  </si>
  <si>
    <t xml:space="preserve"> Возмещение семьям и близким родственникам военнослужащих, пропавших без вести в годы ВОВ, расходов, связанных с оплатой проезда к месту их захоренения и обратно</t>
  </si>
  <si>
    <t>Количество семей и близких родственников, получивших компенсацию расходов на проезд к месту захоронения и обратно</t>
  </si>
  <si>
    <t>385</t>
  </si>
  <si>
    <t xml:space="preserve">Содействие занятости населения и социальная поддержка безработных </t>
  </si>
  <si>
    <t xml:space="preserve">Пассивные и активные меры политики содействия занятости </t>
  </si>
  <si>
    <t>Количество получающих пособия</t>
  </si>
  <si>
    <t>Доля безработных граждан, трудоустроенных после обучения, переобучения повышения квалификации</t>
  </si>
  <si>
    <t>Количество безработных охваченных по линии оплачиваемых общественных работ (ООР)</t>
  </si>
  <si>
    <t>тыс. чел.</t>
  </si>
  <si>
    <t>Количество граждан получивших консультацию по профориентации</t>
  </si>
  <si>
    <t>Количество граждан получивших социальную помощь на основе социального контракта</t>
  </si>
  <si>
    <t>Интеграция безработных в число занятого населения</t>
  </si>
  <si>
    <t>Количество безработных, трудоусттроенных в результате посещения Ярмарки вакансий</t>
  </si>
  <si>
    <t>Содействие в трудоустройстве</t>
  </si>
  <si>
    <t>Обеспечение выплат пособия по беременности и родам с одиннадцатого рабочего дня</t>
  </si>
  <si>
    <t>Соотношение среднемесячного размера пособия по беременности и родам к 10 расчетным показателям, в % (в условиях не высокогорья)</t>
  </si>
  <si>
    <t>Соотношение среднемесячного размера пособия по беременности и родам к средмесячной заработной плате, в % (в условиях высокогорья)</t>
  </si>
  <si>
    <t>386</t>
  </si>
  <si>
    <t>Социальная защита жертв от семейного и гендерного насилия</t>
  </si>
  <si>
    <t>Развитие услуг  социальных служб/кризисных центров  по оказанию помощи лицам, пострадавшим от гендерного и семейного насилия и внедрение коррекционных программ для лиц, совершивших семейное насилие</t>
  </si>
  <si>
    <t>Количество лиц, получившие социальные услуги (психологические, медицинские, услуги шелтера): пострадавшие от семейного насилия и совершившие семейное насилие</t>
  </si>
  <si>
    <t>Академия государственного управления при Президенте Кыргызской Республики</t>
  </si>
  <si>
    <t>392</t>
  </si>
  <si>
    <t>Предоставление высшего профессионального образования Академией Государственного управления при Президенте Кыргызской Республики</t>
  </si>
  <si>
    <t>Реализация учебных программ</t>
  </si>
  <si>
    <t>Годовой объем обучающихся студентов</t>
  </si>
  <si>
    <t>Подготовка квалифицированного кадрового персонала ВПО</t>
  </si>
  <si>
    <t>Доля студентов занявших призовые места на соревнованиях, конкурсах республиканского и международных уровней</t>
  </si>
  <si>
    <t>393</t>
  </si>
  <si>
    <t>Повышение квалификации государственных и муниципальных служащих</t>
  </si>
  <si>
    <t>Проведение тренингов</t>
  </si>
  <si>
    <t>Количество привлеченных государственных служащих на повышении квалификации</t>
  </si>
  <si>
    <t>40</t>
  </si>
  <si>
    <t>Общественное объединение «Республиканский Совет ветеранов войны, вооруженных сил, правоохранительных органов и труженников тыла Кыргызской Республики»</t>
  </si>
  <si>
    <t>402</t>
  </si>
  <si>
    <t>Внесение предложений по защите материальных и социальных прав ветеранов и ветеранских организаций</t>
  </si>
  <si>
    <t>Содействие по обеспечению и по повышению жизненного уровня ветеранов, ветеранских организаций</t>
  </si>
  <si>
    <t>Внесение предложений в государственные органы по повышению жизненного уровня ветеранов а также совершенствованию законодательства в области социальной защиты ветеранов и ветеранских организаций</t>
  </si>
  <si>
    <t>41</t>
  </si>
  <si>
    <t>Министерство водных ресурсов, сельского хозяйства и перерабатывающей промышленности Кыргызской Республики</t>
  </si>
  <si>
    <t>Доля реализованных мероприятий в рамках утвержденных отраслевых программ</t>
  </si>
  <si>
    <t>Доля мероприятий госпрограмм, реализованных на региональном уровне</t>
  </si>
  <si>
    <t>412</t>
  </si>
  <si>
    <t>Развитие животноводства, обеспечение ветеринарной и фитосанитарной безопасности</t>
  </si>
  <si>
    <t>Научно-исследовательская работа в области животноводства</t>
  </si>
  <si>
    <t xml:space="preserve">Исследование по научно-технической программе в области пастбищ и животноводства </t>
  </si>
  <si>
    <t>Сохранение и увеличение рыбных запасов</t>
  </si>
  <si>
    <t>Объем производства товарной рыбы (аквакультура)</t>
  </si>
  <si>
    <t>тонна</t>
  </si>
  <si>
    <t>Выпуск молоди (зарыбление) в водоемы Кыргызской Республики</t>
  </si>
  <si>
    <t>Учет и контроль за качеством и безопасностью ветеринарных  лекарственных средств</t>
  </si>
  <si>
    <t>Количество государственных регистраций  ветеринарных лекарственных средств</t>
  </si>
  <si>
    <t>Количество экспертизы качества ветеринарных лекарственных средств</t>
  </si>
  <si>
    <t>Осуществление государственного надзора за соблюдением ветеринарных и фитосанитарных норм</t>
  </si>
  <si>
    <t>Количество проверок субъектов АПК на соблюдение ветеринарных и фитосанитарных норм</t>
  </si>
  <si>
    <t>Проведение противоэпизоотических мероприятий и  ветеринарная диагностика животных</t>
  </si>
  <si>
    <t>Кол-во зарегистрированных вспышек заболевании животных</t>
  </si>
  <si>
    <t>Количество провакцинированных животных</t>
  </si>
  <si>
    <t>голов</t>
  </si>
  <si>
    <t>Количество проведенных ветеринарно-диагностических исследований</t>
  </si>
  <si>
    <t>Проведение идентификации сельскохозяйственных животных</t>
  </si>
  <si>
    <t>Количество идентифицированных сельскохозяйственных животных</t>
  </si>
  <si>
    <t>413</t>
  </si>
  <si>
    <t xml:space="preserve"> Государственная поддержка и развитие растениеводства           </t>
  </si>
  <si>
    <t xml:space="preserve">Проведение мероприятий по борьбе с болезнями растений и вредителями, а также обеспечение сельского хозяйства минеральными удобрениями и пестицидами </t>
  </si>
  <si>
    <t>Площади химической обработки сельскохозяйственных угодий против саранчовых вредителей и   АББ</t>
  </si>
  <si>
    <t>Площадь обследования сельхозугодий на выявление саранчовых вредителей и АББ</t>
  </si>
  <si>
    <t xml:space="preserve">Обеспеченность минеральными удобрениями и пестицидами в % к потребности </t>
  </si>
  <si>
    <t xml:space="preserve">Количество лабораторных экспертиз и исследований </t>
  </si>
  <si>
    <t>Развитие органического сельского хозяйства и  производства  сельскохозяйственной биотехнологии</t>
  </si>
  <si>
    <t xml:space="preserve">Обработка площадей земель сельскохозяйственных назначений биологическими средствами по КР          </t>
  </si>
  <si>
    <t xml:space="preserve">Проведение полевой инспекции, экспертизы  зерна, испытание сортов и сохранение генетических ресурсов растений </t>
  </si>
  <si>
    <t>Площадь полевых инспекций семенных посевов в % к общей посевной площади сельскохозяйственных культур</t>
  </si>
  <si>
    <t>Доля сертифицированного семенного материала от общего объёма используемых семян</t>
  </si>
  <si>
    <t>Количество сельскохозяйственных генотипов, охваченных испытаниями и сохранением в генетическом банке</t>
  </si>
  <si>
    <t>Обьем обследованных и проанализированных образцов зерна, поступающих от фермерских и крестьянских хозяйств, государственных резервов и комбинатов хлебопродуктов</t>
  </si>
  <si>
    <t xml:space="preserve">Научно-исследовательская работа в области земледелия и растениеводства </t>
  </si>
  <si>
    <t xml:space="preserve">Количество исследованных научно-технических программ в области земледелия и растениеводства </t>
  </si>
  <si>
    <t>Развитие механизации сельского хозяйства</t>
  </si>
  <si>
    <t>Количество сельскохозяйственной техники выданных сельхозсубьектам по лизинговым кредитным проектам</t>
  </si>
  <si>
    <t>Количество обновленных машинно-тракторных парков</t>
  </si>
  <si>
    <t>Финансирование для содействия механизации сельского хозяйства в Кыргызской Республике (ИБР)</t>
  </si>
  <si>
    <t>Количество сельхозпроизводителей, получивших технику по проекту</t>
  </si>
  <si>
    <t xml:space="preserve">Доля обновлённого парка техники в общей структуре машинно-тракторного фонда </t>
  </si>
  <si>
    <t>414</t>
  </si>
  <si>
    <t>Государственная поддержка и развитие ирригации</t>
  </si>
  <si>
    <t>Регулирование отношении в сфере управления и использования водных ресурсов и водных обьектов</t>
  </si>
  <si>
    <t>Улучшение мелиоративного состояние земель</t>
  </si>
  <si>
    <t>Содержание и капитальный ремонт государственных водохозяйственных объектов</t>
  </si>
  <si>
    <t>Восстановление ирригационных каналов</t>
  </si>
  <si>
    <t>км</t>
  </si>
  <si>
    <t>Ремонт  ГТС, улучшение урегулирования объема подачи воды</t>
  </si>
  <si>
    <t>Капитальный ремонт и замена насосных станций и  агрегатов</t>
  </si>
  <si>
    <t>Подача поливной воды на орошение</t>
  </si>
  <si>
    <t>млн3</t>
  </si>
  <si>
    <t xml:space="preserve">Надзор и контроль за использованием водных  объектов и охрана земель </t>
  </si>
  <si>
    <t>Доля объектов, приведённых в соответствие с нормативами после проверок</t>
  </si>
  <si>
    <t>Общая площадь восстановленных или защищённых земель и водных объектов по результатам контроля</t>
  </si>
  <si>
    <t>Создание условий устойчивого развития, питьевого водоснабжения и водоотведения и населенных пунктов</t>
  </si>
  <si>
    <t>Доля населения, обеспеченного централизованными системами питьевого водоснабжения и водоотведения</t>
  </si>
  <si>
    <t>Готовность Нарынской программы SEFF</t>
  </si>
  <si>
    <t xml:space="preserve">Уровень готовности к реализации Нарынской SEFF </t>
  </si>
  <si>
    <t>Дополнительное финансирование программы развития сельского водоснабжения  и санитарии в Нарынской  области (АБР)</t>
  </si>
  <si>
    <t>Доля сельского населения, обеспеченного устойчивым доступом к питьевой воде и доля обеспеченных санитарной инфраструктурой домохозяйств в Нарынской области</t>
  </si>
  <si>
    <t>415</t>
  </si>
  <si>
    <t>Цифровизация сельского хозяйства</t>
  </si>
  <si>
    <t>Уровень доступности информационных систем</t>
  </si>
  <si>
    <t>Обеспечение бесперебойной работы информационных систем</t>
  </si>
  <si>
    <t>Реализация проекта «Повышение устойчивости водных ресурсов к изменению климата и стихийным бедствиям» (АБР)</t>
  </si>
  <si>
    <t>Доля восстановленных, модернизированных и защищённых водохозяйственных объектов, уязвимых к климатическим рискам</t>
  </si>
  <si>
    <t>Реализация проекта «Развитие орошаемого земледелия в Иссык-Кульской и Нарынской областях»</t>
  </si>
  <si>
    <t>Доля населения, обеспеченного доступом к улучшенным системам водоснабжения и водоотведения, устойчивым к изменению климата</t>
  </si>
  <si>
    <t xml:space="preserve">Реализация проекта  «Улучшение сельского водоснабжения и санитарии Баткенской и Таласской областях (ИБР, СФР)АРИС </t>
  </si>
  <si>
    <t>Доля сельского населения, обеспеченного устойчивым доступом к питьевой воде и доля обеспеченных санитарной инфраструктурой домохозяйств в Баткенской и Таласской областях</t>
  </si>
  <si>
    <t>Uses guillemet quotes «»; Has leading/trailing whitespace</t>
  </si>
  <si>
    <t>Реализация проекта «Развитие сельского водоснабжения и санитарии в Нарынской области»  (АБР, АРИС)</t>
  </si>
  <si>
    <t>Реализация проекта «Готовность Нарынской программы» SEFF (АБР)</t>
  </si>
  <si>
    <t>Уровень готовности к реализации Нарынской SEFF</t>
  </si>
  <si>
    <t>Реализация проекта «Управление сточными водами Иссык Куля» (АБР)</t>
  </si>
  <si>
    <t>Доля сельского населения, обеспеченного устойчивым доступом к питьевой воде в рамках данного проекта</t>
  </si>
  <si>
    <t xml:space="preserve">Проект «Повышение устойчивости к изменению климата через управления внутрихозяйственными подземными водами» SEFF (АБР) </t>
  </si>
  <si>
    <t>42</t>
  </si>
  <si>
    <t>Государственное агентство гражданской авиации при Кабинете Министров Кыргызской Республики</t>
  </si>
  <si>
    <t>Обеспечение потребности регулярными пассажирскими перевозками населения воздушным транспортом  в международном направлении</t>
  </si>
  <si>
    <t xml:space="preserve">Обеспечение потребности  населения в грузоперевозках воздушным транспортом </t>
  </si>
  <si>
    <t>Обеспечение потребности регулярными пассажирскими перевозками населения воздушным транспортом внутри республики</t>
  </si>
  <si>
    <t>423</t>
  </si>
  <si>
    <t xml:space="preserve">Подготовка квалифицированных специалистов для авиационного и водного транспорта </t>
  </si>
  <si>
    <t>Среднее профессиональное образование для гражданской авиации в соответствии с государственным заказом на бюджетной основе</t>
  </si>
  <si>
    <t>Выпуск дипломированных специалистов со средним профессиональным образованием</t>
  </si>
  <si>
    <t>43</t>
  </si>
  <si>
    <t>Министерство транспорта и коммуникаций Кыргызской Республики</t>
  </si>
  <si>
    <t>432</t>
  </si>
  <si>
    <t>Поддержание автомобильных дорог общего пользования в рабочем состоянии</t>
  </si>
  <si>
    <t>Уровень удовлетворенности пользователей качеством автомобильных дорог общего пользования</t>
  </si>
  <si>
    <t>Подготовка проектно-изыскательских работ и экспертизы для ремонтных работ</t>
  </si>
  <si>
    <t>улучшение качество дорог, максимальное обеспечение коммуникациями, освещениями</t>
  </si>
  <si>
    <t>Капитальный ремонт дорог (строительство мостов и дорог); Средний ремонт; Разметка проезжей части, установка дорожных знаков и светофоров</t>
  </si>
  <si>
    <t>Увеличение протяженности  отремонитрованных дорог общего пользования</t>
  </si>
  <si>
    <t>Текущий ремонт (ямочный ремонт, профилировка, планировка и т.д)</t>
  </si>
  <si>
    <t xml:space="preserve">Отремонтированные дороги общего пользование </t>
  </si>
  <si>
    <t>м2</t>
  </si>
  <si>
    <t>Зимнее и летнее содержание автомобильных дорог</t>
  </si>
  <si>
    <t>Обеспечения  инертными материалами (песок, соль, ГСМ и.т.д) для безопасного проезда транспортных средств по автомобильным дорогам в зимнее время</t>
  </si>
  <si>
    <t>Административные расходы на содержание автомобильных дорог (ЗП и содержание АУП)</t>
  </si>
  <si>
    <t xml:space="preserve">	Исполнения планового прогноза на доходность, увеличение доходности исполнения средств ДФ для строительства, ремонта и содержание а/д</t>
  </si>
  <si>
    <t>Улучшение материально-технической базы для обеспечения безопасности на автомобильных дорогах</t>
  </si>
  <si>
    <t>Экономия средств и увеличения объема работ и производительности труда</t>
  </si>
  <si>
    <t>433</t>
  </si>
  <si>
    <t>Реабилитация международных транспортных коридоров</t>
  </si>
  <si>
    <t>Реабилитация международных транспортных коридоров западного направления (Ош-Баткен-Исфана)</t>
  </si>
  <si>
    <t>Общая протяженность международных транспортных корридоров</t>
  </si>
  <si>
    <t>Протяженность реабилитированных участков (нараст. итог)</t>
  </si>
  <si>
    <t>Протяженность (км)/доля дорог, от общей длины международного транспортного коридора Ош - Баткен - Исфана</t>
  </si>
  <si>
    <t>Реабилитация международных транспортных коридоров  западного направления (Тараз-Талас-Суусамыр)</t>
  </si>
  <si>
    <t>Протяженность реабилитированных участковг (нараст. итог)</t>
  </si>
  <si>
    <t xml:space="preserve">Протяженность (км)/доля дорог, от общей длины международного транспортного коридора (Тараз-Талас-Суусамыр) </t>
  </si>
  <si>
    <t>Доля выполненных строительных работ от общей</t>
  </si>
  <si>
    <t xml:space="preserve">Обеспечение безопасного проезда через р.Урмарал, путем реконструкции существующего моста </t>
  </si>
  <si>
    <t>Реабилитация международных транспортных коридоров восточного направления  (Балыкчы-Каракол-Балыкчы)</t>
  </si>
  <si>
    <t>Общая протяженность проектного участка</t>
  </si>
  <si>
    <t>Протяженность (км)/доля дорог, от общей длины международного транспортного коридора Иссык-Кульской кольцевой дороги</t>
  </si>
  <si>
    <t>Общая протяженность международных транспортных коридоров</t>
  </si>
  <si>
    <t>Протяженность реабилитированных участков</t>
  </si>
  <si>
    <t>Протяженность (км)/доля дорог, от общей длины международного транспортного коридора Тюп- Кеген</t>
  </si>
  <si>
    <t>«Электрификация городского транспорта»</t>
  </si>
  <si>
    <t>434</t>
  </si>
  <si>
    <t>Развитие автомобильных перевозок Кыргызской Республики</t>
  </si>
  <si>
    <t>Регулирование и контроль автомобильных перевозок</t>
  </si>
  <si>
    <t>Охват регулярным пассажирским сообщением населенных пунктов Кыргызской Республики</t>
  </si>
  <si>
    <t>Перевезено пассажиров в международном сообщении</t>
  </si>
  <si>
    <t>Охват автодорог весогабаритным контролем транспортных средств</t>
  </si>
  <si>
    <t>44</t>
  </si>
  <si>
    <t>Министерство культуры, информации  и молодежной политики Кыргызской Республики</t>
  </si>
  <si>
    <t>442</t>
  </si>
  <si>
    <t>Сохранение и развитие культуры, искусства, информационной среды и молодежной политики</t>
  </si>
  <si>
    <t>Повышение доступности и качества услуг учреждений культуры и реализация молодежной политики</t>
  </si>
  <si>
    <t xml:space="preserve">Количество обследованных, документированных объектов и утвержденных проектов охранной зоны территории объектов историко-культурного наследия </t>
  </si>
  <si>
    <t>количество посетителей государственных театрально-зрелищных учреждений</t>
  </si>
  <si>
    <t>Количество постановок  государственных театрально-зрелищных учреждений</t>
  </si>
  <si>
    <t>Количество посетителей библиотек, музеев и домов культуры</t>
  </si>
  <si>
    <t>Количество проведенных мероприятий библиотек, музеев и домов  культуры</t>
  </si>
  <si>
    <t>Сохранение, развитие и популяризация национальной кинематографии</t>
  </si>
  <si>
    <t>Количество выпущенных фильмов, сериалов и количество отечественных фильмов участвовавших в международных кинофестивалях</t>
  </si>
  <si>
    <t>Процент населения посетивших киносеансы в год (от общего числа населения)</t>
  </si>
  <si>
    <t>Развитие информационной среды</t>
  </si>
  <si>
    <t>Количество выпущенной в эфире Социального пакета телеканалов аудиовизуальной продукции (социальные видеоролики, аудиоролики, телепередачи, новостные сюжеты, прямые эфиры и др.), направленные на освещение государственных программ, стратегий, планов мероприятий</t>
  </si>
  <si>
    <t>Доведение информации населению КР и зарубежной аудитории от официальных источников государственной власти КР</t>
  </si>
  <si>
    <t>Общее количество выпускаемой информации и аналитических материалов, перевод материалов на иностранные языки</t>
  </si>
  <si>
    <t>Реализация мероприятий по сохранению, изучению и проведению археологических раскопок объектов историко-культурного наследия «Көөнө тарых сырлары»</t>
  </si>
  <si>
    <t>Количество вновь выявленных, оформленных паспортов, задокументированных объектов историко-культурного наследия</t>
  </si>
  <si>
    <t xml:space="preserve">Количество объектов историко-культурного наследия, исследованных, проведенных археологических раскопок, ремонтно-реставрационных, консервационных работ и улучшенной инфраструктуры на территории </t>
  </si>
  <si>
    <t>443</t>
  </si>
  <si>
    <t>Образование в сфере культуры и искусства</t>
  </si>
  <si>
    <t xml:space="preserve">Повышение квалификации педагогического состава учебных заведений </t>
  </si>
  <si>
    <t>Количество выпускников, прошедших образовательную программу дополнительного образования (ДМШ, ДШИ, ДХШ)</t>
  </si>
  <si>
    <t>Поддержка дошкольных образовательных организаций культуры и искусства</t>
  </si>
  <si>
    <t xml:space="preserve">Количество детей в возрасте 3-7 лет, охваченных всеми формами дошкольного образования </t>
  </si>
  <si>
    <t>Министерство чрезвычайных ситуаций Кыргызской Республики</t>
  </si>
  <si>
    <t>Исполнение бюджета по Цифровой экономике</t>
  </si>
  <si>
    <t>452</t>
  </si>
  <si>
    <t>Прогнозирование опасных природных процессов и явлений</t>
  </si>
  <si>
    <t>Осуществление мониторинга и анализа опасных природных, техногенных процессов и явлений, выполнение научно-исследовательской работы на отдельных опасных участках</t>
  </si>
  <si>
    <t>Оправдываемость прогнозов по проведению мониторинга первоочередных, предупредительных работ</t>
  </si>
  <si>
    <t>Оправдываемость прогнозов опасных природных явлений и процессов</t>
  </si>
  <si>
    <t>Реализация проекта государственных инвестиций; Повышение устойчивости к рискам стихийным бедствиям КР</t>
  </si>
  <si>
    <t>Освоение</t>
  </si>
  <si>
    <t>Выпуск всех видов прогнозов, предоставление специализированной гидрометеорологической информации и информация о загрязнении окружающей среды</t>
  </si>
  <si>
    <t>Увеличение заблаговременности выпускаемых гидрометеорологических прогнозов</t>
  </si>
  <si>
    <t>сутка</t>
  </si>
  <si>
    <t>453</t>
  </si>
  <si>
    <t>Предупреждение и ликвидация чрезвычайных ситуаций</t>
  </si>
  <si>
    <t>Проведение первоочередных  превентивных, аварийно-восстнановительных, защитных мероприятий; строительство и эксплуатация селезащитных инженерных сооружений.</t>
  </si>
  <si>
    <t xml:space="preserve">Количество защищенных жилых домов/год     </t>
  </si>
  <si>
    <t>Количество  сельхозугодий (га)/ год</t>
  </si>
  <si>
    <t>Проведение комплексного мониторинга хвостохранилищ и горных отвалов бывшего уранодобывающего производства, предупредительных защитных аварийно-восстановительных и реабилитационных работ</t>
  </si>
  <si>
    <t>Проведение мониторинга и содержание объектов</t>
  </si>
  <si>
    <t>Количество реабилитированных объектов урановых хвостохранилищ</t>
  </si>
  <si>
    <t>Процент укомплектованности служб чрезвычайных ситуаций оборудованием, необходимым для своевременной ликвидации чрезвычайных ситуаций</t>
  </si>
  <si>
    <t>Снижения уровня материального ущерба</t>
  </si>
  <si>
    <t>454</t>
  </si>
  <si>
    <t>Подготовка органов самоуправления, сил Гражданской защиты и населения к действиям в чрезвычайных ситуациях</t>
  </si>
  <si>
    <t>Подготовка и переподготовка специалистов гражданской защиты, органов самоуправления и населения к действиям в чрезвычайных ситуациях</t>
  </si>
  <si>
    <t>Количество подготовленных специалистов по ГЗ</t>
  </si>
  <si>
    <t>Подготовка и переподготовка специалистов по водолазному делу, продение подводно-технических, поисково-спасательных, научно-исследовательских и экспертных работ на всех водных объектах.</t>
  </si>
  <si>
    <t>Количество подготовленных специалистов по водолазному делу</t>
  </si>
  <si>
    <t>455</t>
  </si>
  <si>
    <t>Управление материальными ценностями государственного и мобилизационного резерва</t>
  </si>
  <si>
    <t>Управление материальными ценностями государственного и мобилизационного резерва (администрирование)</t>
  </si>
  <si>
    <t>Обеспечение мобилизационных нужд Кыргызской Республики</t>
  </si>
  <si>
    <t>Организация закладок, накопления, хранения и использования госматрезервов</t>
  </si>
  <si>
    <t>Накопления материальных ценностей (гос.резерв)</t>
  </si>
  <si>
    <t>Накопления материальных ценностей (моб.резерв)</t>
  </si>
  <si>
    <t>456</t>
  </si>
  <si>
    <t>Управление, обеспечение сохранение и развития лесных ресурсов</t>
  </si>
  <si>
    <t>Координирование и формирование условий в сфере лесного хозяйства</t>
  </si>
  <si>
    <t>Количество выращенного посадочного материала лесных растений</t>
  </si>
  <si>
    <t>Воспроизводство лесных ресурсов, охрана лесов от лесонарушений</t>
  </si>
  <si>
    <t>Отношение площади обработанных против вредителей лесов к общей площади зараженных вредителями лесов</t>
  </si>
  <si>
    <t>Приживаемость культур</t>
  </si>
  <si>
    <t>Проведение лесоустройство, охотоустройства, камеральных работ, инвентаризации лесов</t>
  </si>
  <si>
    <t>Площадь земель объектов лесоустройства</t>
  </si>
  <si>
    <t>Площадь земель объектов охотоустройства</t>
  </si>
  <si>
    <t>Проведение камеральных работ</t>
  </si>
  <si>
    <t>Инвентаризация лесов</t>
  </si>
  <si>
    <t>Центрально-Азиатский институт прикладных исследований Земли</t>
  </si>
  <si>
    <t>Количество  разрешенных   трудовых спорах</t>
  </si>
  <si>
    <t xml:space="preserve">Доля сотрудников служб обеспечения от общей численности сотрудников ЦА </t>
  </si>
  <si>
    <t>462</t>
  </si>
  <si>
    <t>Исследование опасных природных ресурсов, климата и водных ресурсов и геоэкологии и создание системы мониторинга</t>
  </si>
  <si>
    <t>Исследование геодинамических процессов и георисков в Кыргызстане и трансграничных регионах со странами Центрально-Азиатскими странами</t>
  </si>
  <si>
    <t xml:space="preserve">Количество научных публикаций , рекомендаций, конференций, расширения сети мониторинга , пополнение базы данных </t>
  </si>
  <si>
    <t>47</t>
  </si>
  <si>
    <t>Государственное агенство физической культуры и спорта при Кабинете Министров Кыргызской Республики</t>
  </si>
  <si>
    <t>472</t>
  </si>
  <si>
    <t>Развитие массового спорта и высшего спорта</t>
  </si>
  <si>
    <t>Развитие физической культуры и высшего спорта</t>
  </si>
  <si>
    <t>Увеличение спортивных объектов а также капитальный ремонт зданий</t>
  </si>
  <si>
    <t>Развитие спортивной инфраструктуры</t>
  </si>
  <si>
    <t>Количество проведенных мероприятий по популяризации, пропоганды, активного образа жизни и развития спорта среди населения страны</t>
  </si>
  <si>
    <t>Количество завоеванных призовых мест на спортивной арене (медали)</t>
  </si>
  <si>
    <t>48</t>
  </si>
  <si>
    <t>Государственная служба испонения наказаний при при Кабинете Министров Кыргызской Республики</t>
  </si>
  <si>
    <t>482</t>
  </si>
  <si>
    <t>Планирование, управление, администрирование и содержание осужденных и заключенных по стражу</t>
  </si>
  <si>
    <t>Отношение расходов на заработную плату к сумме расходов на заработную плату по всем программам</t>
  </si>
  <si>
    <t>Организация деятельности по исполнению наказаний осужденных на местах лишения свободы</t>
  </si>
  <si>
    <t>Организация порядка и условий отбывания наказаний в УИС</t>
  </si>
  <si>
    <t>Органнизация исполнения наказаний осужденных в лечебных учреждениях</t>
  </si>
  <si>
    <t>Оказание первичной медико-санитарной помощи осужденным</t>
  </si>
  <si>
    <t>Поддержание дошкольных учреждений и ее расширение</t>
  </si>
  <si>
    <t>Поддержание дошкольных учреждений и расширение</t>
  </si>
  <si>
    <t>483</t>
  </si>
  <si>
    <t>Предупреждение и пересечение таможенных правонарушений</t>
  </si>
  <si>
    <t>Охрана и оборона исправительных учреждений и конвоирование осужденных</t>
  </si>
  <si>
    <t>Охрана и оборона исправительных учреждений  и конвоирование осужденных</t>
  </si>
  <si>
    <t>Обеспечение конвоирования судебных учреждений</t>
  </si>
  <si>
    <t>Обеспечение конвоированием судебных учреждений</t>
  </si>
  <si>
    <t>49</t>
  </si>
  <si>
    <t>Общественное объединение «Кыргызское общество слепых и глухих»</t>
  </si>
  <si>
    <t>492</t>
  </si>
  <si>
    <t>Обеспечение равных прав и возможностей  в обществе для инвалидов по зрению и слуху</t>
  </si>
  <si>
    <t>Содержание спецбиблиотеки</t>
  </si>
  <si>
    <t>Общий книжный фонд, в т.ч. обеспеченность спец библиотеки необходимой литературой по системе Брайля, рельефно-точечным шрифтом</t>
  </si>
  <si>
    <t xml:space="preserve">Количество посетителей цифрового зала </t>
  </si>
  <si>
    <t>Количество записанного книжного фонда на электронных носителях</t>
  </si>
  <si>
    <t>Приобретение тифлосурдосредств инвалидам по зрению и слуху для реабилитации  и интеграции в здоровое общество</t>
  </si>
  <si>
    <t>Обеспеченность тифлосурдосредствами инвалидов по зрению и слуху</t>
  </si>
  <si>
    <t>493</t>
  </si>
  <si>
    <t xml:space="preserve">Социальная защита  работающих инвалидов по зрению и слуху                                                    </t>
  </si>
  <si>
    <t>Возмещение налогов и сборов , НДС   по Кыргызскому обществу слепых и глухих</t>
  </si>
  <si>
    <t>Объем производства и реализации на учебно-производственных предприятиях Кыргызского общества слепых и глухих</t>
  </si>
  <si>
    <t>Получение прибыли от производства в учебно-производственных предприятиях Кыргызского общества слепых и глухих</t>
  </si>
  <si>
    <t>Возмещение  отчислений в Социальный фонд от работодателя (17,25%) по Кыргызскому обществу слепых и глухих</t>
  </si>
  <si>
    <t>Занятость инвалидов по зрению и слуху работой на учебно-производственных предприятиях Кыргызского общества слепых и глухих всего/ЛОВЗ</t>
  </si>
  <si>
    <t xml:space="preserve">Рост среднемесячной оплаты труда инвалидов по зрению и слуху </t>
  </si>
  <si>
    <t>Национальная комиссия по государственному языку и языковой политике при Президенте Кыргызской Республики</t>
  </si>
  <si>
    <t>502</t>
  </si>
  <si>
    <t>ГУ «Кыргызтест»  единый измеритель определения уровня владения государственным, официальными международным языками</t>
  </si>
  <si>
    <t xml:space="preserve">Оценка уровня владения государственным и официальным языками </t>
  </si>
  <si>
    <t>Количество протестированных</t>
  </si>
  <si>
    <t>Создание специальных программ, социальных и рекламных  роликов, направленных на повышение престижа госязыка</t>
  </si>
  <si>
    <t>51</t>
  </si>
  <si>
    <t>Государственное агентство по земельным ресурсам, кадастру, геодезии и картографии при Кабинете Министров Кыргызской Республики</t>
  </si>
  <si>
    <t>512</t>
  </si>
  <si>
    <t>Государственная поддержка и развитие земельных ресурсов</t>
  </si>
  <si>
    <t>Регулирование отношений в области земельных ресурсов, по землеустройству и регистрации прав на недвижимое имущества, земельному кадастру</t>
  </si>
  <si>
    <t>Количество оказанных государственных услуг по землеустройству и регистрации прав на недвижимое имущество, земельному кадастру</t>
  </si>
  <si>
    <t>Выполнение проектно-изыскательных обследовательских работ по землеустройству</t>
  </si>
  <si>
    <t>Объем проведенной инвентаризации земель</t>
  </si>
  <si>
    <t xml:space="preserve">«Обеспечение выполнения геодезических и картографических работ» </t>
  </si>
  <si>
    <t>Каталоги координат и высот геодезических пунктов в системах координат СК-42, СК-95 и Kyrg-06 на листы карты масштаба 1:200 000</t>
  </si>
  <si>
    <t>каталог</t>
  </si>
  <si>
    <t xml:space="preserve">Количество созданных и обновленных  государственных  топографических  карт  масштабного  ряда  </t>
  </si>
  <si>
    <t>лист</t>
  </si>
  <si>
    <t>«Обеспечение работ по делимитации и демаркации государственной границы»</t>
  </si>
  <si>
    <t>Пункты GPS-сети второго порядка и исходные пункты нулевого и первого порядков повышенной точности</t>
  </si>
  <si>
    <t>пункт</t>
  </si>
  <si>
    <t>Цифровые топографические карты необходимого  масштабного  ряда при  обновлении на приграничных территориях</t>
  </si>
  <si>
    <t>52</t>
  </si>
  <si>
    <t>Государственное агентство по регистрации транспортных средств и водительского состава при Кабинете Министров Кыргызской Республики</t>
  </si>
  <si>
    <t>522</t>
  </si>
  <si>
    <t>Политика в сфере регистрации транспортных средств и водительского состава</t>
  </si>
  <si>
    <t>Количество выданных правоудостоверяющих документов</t>
  </si>
  <si>
    <t>Регистрация и перерегистрация транспортных средств, прав и ограничений на транспортные средства и водительского состава</t>
  </si>
  <si>
    <t>Количество выданных государственных регистрационных номерных знаков</t>
  </si>
  <si>
    <t>53</t>
  </si>
  <si>
    <t>Государственное агентство по управлению государственным имуществом при Кабинете Министров Кыргызской Республики</t>
  </si>
  <si>
    <t>532</t>
  </si>
  <si>
    <t>Реализация государственной политики по эффективному управлению и приватизации государственного имущества</t>
  </si>
  <si>
    <t>Управление объектами государственного имущества и систематизированный учет объектов государственной собственности</t>
  </si>
  <si>
    <t>Охват государственного имущества в системе единого автоматизированного учета</t>
  </si>
  <si>
    <t>Государственное учреждение «Фонд зеленой энергетики» при Кабинете Министров Кыргызской Республики</t>
  </si>
  <si>
    <t>Определение количества земель пригодных для использования ВИЭ</t>
  </si>
  <si>
    <t>55</t>
  </si>
  <si>
    <t>Министерство энергетики Кыргызской Республики</t>
  </si>
  <si>
    <t>554</t>
  </si>
  <si>
    <t>Создание экономических стимулов для развития сектора энергетики</t>
  </si>
  <si>
    <t>Тарифное регулирование сектора энергетики</t>
  </si>
  <si>
    <t>Установлено тарифов на электрическую энергию</t>
  </si>
  <si>
    <t>Установлено тарифов на тепловую энергию</t>
  </si>
  <si>
    <t>Установлено тарифов на газ</t>
  </si>
  <si>
    <t>Осуществление контроля соблюдения законодательства в секторе энергетики</t>
  </si>
  <si>
    <t xml:space="preserve">	Проведено проверок лицензиатов от их общего количества</t>
  </si>
  <si>
    <t>555</t>
  </si>
  <si>
    <t>Мониторинг и контроль по энергетическому, горному надзору и промышленной безопасности</t>
  </si>
  <si>
    <t>Обеспечение безопасности в энергосистеме</t>
  </si>
  <si>
    <t>Доля снижения электротравматизма на предприятиях ТЭК</t>
  </si>
  <si>
    <t>556</t>
  </si>
  <si>
    <t>Развитие научно-технического потенциала</t>
  </si>
  <si>
    <t>Повышение надежности и эффективности функционирования технических средств топливно- энергетического комплекса</t>
  </si>
  <si>
    <t>Разработка практических рекомендаций по повышению надежности и эффективности функционирования электротехнического оборудования</t>
  </si>
  <si>
    <t>Проведения энергетического обследования эффективности использования электроэнергии в бюджетных организациях</t>
  </si>
  <si>
    <t xml:space="preserve">Экономия финансирования выделенного бюджетным учреждениям по статье «Оплата за электроэнергию» </t>
  </si>
  <si>
    <t>56</t>
  </si>
  <si>
    <t>Государственное агентство по контролю за производством и оборотом этилового спирта, алкогольной продукции при Кабинете Министров Кыргызской Республики</t>
  </si>
  <si>
    <t>57</t>
  </si>
  <si>
    <t>Национальное агентство по инвестициям при Президенте Кыргызской Республики</t>
  </si>
  <si>
    <t>572</t>
  </si>
  <si>
    <t>Привлечение прямых иностранных инвестиций в республику</t>
  </si>
  <si>
    <t>Привлечение, продвижение и сопровождение прямых иностранных инвестиций</t>
  </si>
  <si>
    <t>Объем привлечённых прямых иностранных инвестиций</t>
  </si>
  <si>
    <t>Инициирование и координация проектов государственно-частного партнерства (ГЧП), распространение механизма ГЧП в Кыргызской Республике</t>
  </si>
  <si>
    <t>Количество новых проектов ГЧП</t>
  </si>
  <si>
    <t>Привлечение дополнительных средств в фонд финансирования проектов ГЧП ежегодно</t>
  </si>
  <si>
    <t>Государственное агентство по защите персональных данных при Кабинете Министров Кыргызской Республики</t>
  </si>
  <si>
    <t xml:space="preserve">План мероприятий и действий Агентства на 2026 год </t>
  </si>
  <si>
    <t>582</t>
  </si>
  <si>
    <t xml:space="preserve"> Реализация программ дополнительного образования граждан по вопросам защиты персональных данных, информационной безопасности, цифровой гигиены, цифровых навыков</t>
  </si>
  <si>
    <t>Обучение и повышение квалификации граждан</t>
  </si>
  <si>
    <t>Государственное агентство по делам государственной службы и местного самоуправления при Кабинете Министров Кыргызской Республики</t>
  </si>
  <si>
    <t>Доля рекомендаций, исполненных государственными органами и органами местного самоуправления по итогам мониторинга, от общего числа органов, где проведен мониторинг</t>
  </si>
  <si>
    <t>592</t>
  </si>
  <si>
    <t>Совершенствование государственной кадровой политики</t>
  </si>
  <si>
    <t xml:space="preserve">Обеспечение равного доступа при поступлении и прохождении на государственную службу </t>
  </si>
  <si>
    <t>Доля административных государственных должностей, замещенных из кадрового резерва</t>
  </si>
  <si>
    <t>Доля административных муниципальных  должностей, замещенных из кадрового резерва</t>
  </si>
  <si>
    <t xml:space="preserve">Внедрение (анализ, поддержка и сопровождение) информационной  системы управления человеческими  ресурсами  в сфере государственной службы Кыргызской Республики </t>
  </si>
  <si>
    <t>Доля государственных органов и ОМСУ  подключенных к модулю  «Аналитический блок» АИС Е-кызмат</t>
  </si>
  <si>
    <t>Доля органов МСУ подключенных к модулю «ЕРМИ» АИС Санарип Аймак</t>
  </si>
  <si>
    <t>Доля органов МСУ подключенных к модулю «Очередность выдачи земельных участков под ИЖС» АИС Санарип Аймак</t>
  </si>
  <si>
    <t>593</t>
  </si>
  <si>
    <t>Совершенствование системы местного самоуправления</t>
  </si>
  <si>
    <t>Координация и поддержка деятельности органов МСУ</t>
  </si>
  <si>
    <t xml:space="preserve">Количество исполнительных органов МСУ где внедрены лучшие практики по решению вопросов местного значения </t>
  </si>
  <si>
    <t xml:space="preserve">Министерство строительства, архитектуры и жилищно-коммунального хозяйства Кыргызской Республики </t>
  </si>
  <si>
    <t>603</t>
  </si>
  <si>
    <t>Осуществление государственного контроля и надзора за архитектурно-строительной деятельностью</t>
  </si>
  <si>
    <t>Осуществление комплексного контроля за объектами строительства</t>
  </si>
  <si>
    <t xml:space="preserve">Обеспечение надлежащего качества  и безопасности объектов строительства </t>
  </si>
  <si>
    <t>64</t>
  </si>
  <si>
    <t>Национальное агентство по делам религий и межэтнических отношений при Президенте Кыргызской Республики</t>
  </si>
  <si>
    <t>Сотрудничество с сообществом в религиозной сфере, сотрудничество с религиозными организациями,  Проведение исследований в регионах страны, для глубинного изучения религиозной ситуации, с целью обеспечения государственной безопасности; Подготовка аналитических отчетов, разработка и публикация информационно-практических и методических материалов</t>
  </si>
  <si>
    <t>Количество исследовательских продуктов (аналитические отчеты, информационно-практические материалы, статьи, доклады, буклеты, методические пособия) в религиозной сфере</t>
  </si>
  <si>
    <t>65</t>
  </si>
  <si>
    <t>Министерство природных ресурсов, экологии и технического надзора Кыргызской Республики</t>
  </si>
  <si>
    <t>652</t>
  </si>
  <si>
    <t>Обеспечение экологического контроля, безопасности и мониторинга</t>
  </si>
  <si>
    <t>Снижение рисков для окружающей среды и здоровьянаселения от опасных, токсичных химических веществ и источников ионизирующего излучения</t>
  </si>
  <si>
    <t>Осуществление надзора и контроля охраны окружающей среды и рациональное использование природных ресурсов</t>
  </si>
  <si>
    <t>Общее количество проверок</t>
  </si>
  <si>
    <t>Количество составленных протоколов</t>
  </si>
  <si>
    <t>Сумма наложенных и взысканных штрафов/исков по итогам проведенных проверок</t>
  </si>
  <si>
    <t>Координация деятельности по химической, биологической, радиационной и ядерной безопасности</t>
  </si>
  <si>
    <t>Соотношение заявлений на выдачу лицензий и выданные лецензии</t>
  </si>
  <si>
    <t>Соотношение заявлении на экспертное заключение к выданным экспертным заключениям на ввоз/вывоз товаров двойного назначения</t>
  </si>
  <si>
    <t>Развитие системы мониторинга за состоянием окружающей среды</t>
  </si>
  <si>
    <t>Количество отобранных проб на качество копонентов окружающей среды</t>
  </si>
  <si>
    <t xml:space="preserve">Количество  проведенных лабораторных  исследований  </t>
  </si>
  <si>
    <t>Количество проведенных исследований на качество радиационного фона</t>
  </si>
  <si>
    <t>653</t>
  </si>
  <si>
    <t>Сохранение биоразнообразия</t>
  </si>
  <si>
    <t>Количество устроенных солонцов для диких животных в ООПТ</t>
  </si>
  <si>
    <t>Координация деятельности ООПТ и пропаганда вопросов по сохранению экосистем, мероприятия по сохранению биоразнообразия на территории ООПТ, а также проведение научной деятельности, сохранение и воспроизводство объектов биоразнообразия</t>
  </si>
  <si>
    <t>Площадь особо охраняемых природных территорий</t>
  </si>
  <si>
    <t xml:space="preserve">Количество проведенных научных работ  </t>
  </si>
  <si>
    <t>Кол-во мероприятий по выявлению и предотвращению распространения заболеваний диких животных</t>
  </si>
  <si>
    <t>Количество установленных информационных аншлагов и панно за год/всего. Для информированности местного населения, в целях предупреждения и минимизации фактов нарушений природоохранного законодательства</t>
  </si>
  <si>
    <t>Количества выданных государственных охотничьих удотоверений. Для упоряжочения количества охотников с ведением базы данных охотников в республике</t>
  </si>
  <si>
    <t>654</t>
  </si>
  <si>
    <t>Развитие гидрометеослужбы</t>
  </si>
  <si>
    <t>Выпуск всех видов прогнозов, предоставление специализированной гидрометеорологической тнформации и информации о загрязнении окружающей среды</t>
  </si>
  <si>
    <t>Золото</t>
  </si>
  <si>
    <t>Уголь</t>
  </si>
  <si>
    <t>655</t>
  </si>
  <si>
    <t>Государственный заказ по недропользованию</t>
  </si>
  <si>
    <t>Поиск и оценка месторождений различных видов полезных ископаемых</t>
  </si>
  <si>
    <t>Площадь проведения геолого-поисковых работ от общей площади запланированных работ</t>
  </si>
  <si>
    <t>Обеспечение доступности геологической информации, анализ и обобщение геологических материалов</t>
  </si>
  <si>
    <t>Перенос геологических материалов на цифровые носители от общего количества материалов в геол. архиве</t>
  </si>
  <si>
    <t>Создание базы данных по всем видам геолого-геохимических поисков</t>
  </si>
  <si>
    <t>68</t>
  </si>
  <si>
    <t xml:space="preserve">Секретариат Национальной комиссии Кыргызской Республики по делам ЮНЕСКО  </t>
  </si>
  <si>
    <t>Процент исполнения республиканского бюджета</t>
  </si>
  <si>
    <t>Процент исполнения индикаторов результативности программ Секретариата Нацкомиссии по делам ЮНЕСКО</t>
  </si>
  <si>
    <t>Министерство цифрового развития и инновационных технологий Кыргызской Республики</t>
  </si>
  <si>
    <t>693</t>
  </si>
  <si>
    <t>Развитие электрической и почтовой связи</t>
  </si>
  <si>
    <t>Количество выданных сертификатов соответствия</t>
  </si>
  <si>
    <t>Осуществление регулирования в области электрической и почтовой связи</t>
  </si>
  <si>
    <t>Количество выделенных нумераций</t>
  </si>
  <si>
    <t>Количество выданных и продленных частотных присвоений</t>
  </si>
  <si>
    <t>Количество продленных лицензий</t>
  </si>
  <si>
    <t>Количество выделенных лицензий</t>
  </si>
  <si>
    <t>Количество лицензиатов в области электрической и почтовой связи</t>
  </si>
  <si>
    <t>Выдача сертификатов соответствия на оборудование и услуги связи</t>
  </si>
  <si>
    <t>Количество измерений средств, дающие радиочастотного излучение или являющиеся источником высококачественных электромагнитных волн</t>
  </si>
  <si>
    <t>Подбор радиочастот доступных к выделению</t>
  </si>
  <si>
    <t>Количество подобранных запросов на получение информации по подбору радиочастот доступных к выделению</t>
  </si>
  <si>
    <t>696</t>
  </si>
  <si>
    <t>Обеспечение сохранности документов архивного фонда КР</t>
  </si>
  <si>
    <t>Повышение качества и безопасности при хранении архивных документов</t>
  </si>
  <si>
    <t>Обеспечение физического сохранения архивных документов на постоянном хранении с целью соблюдения нормативов и стандартов</t>
  </si>
  <si>
    <t>70</t>
  </si>
  <si>
    <t>Национальный институт стратегических инициатив при Президенте Кыргызской Республики</t>
  </si>
  <si>
    <t>Процент исполнения индикаторов результативности НИСИ при ПКР</t>
  </si>
  <si>
    <t>702</t>
  </si>
  <si>
    <t>Аналитическая, научная и информационная поддержка деятельности высших органов власти</t>
  </si>
  <si>
    <t>Количесто разработанных аналитических отчетов и рекомендаций</t>
  </si>
  <si>
    <t>Проведение исследований в приоритетных сферах экономики внутренней и внешней политики</t>
  </si>
  <si>
    <t xml:space="preserve">Количество исследовательских продуктов (аналитические записки,рекомендации, статьи, справки, методические вклады </t>
  </si>
  <si>
    <t>74</t>
  </si>
  <si>
    <t>Национальный статистический комитет Кыргызской Республики</t>
  </si>
  <si>
    <t>Индекс доверия населения (в разрезе министерств)</t>
  </si>
  <si>
    <t>742</t>
  </si>
  <si>
    <t>Обеспечение качественного и достоверного статистического учета</t>
  </si>
  <si>
    <t>Индекс удовлетворенности пользователей к официальной статистической информации</t>
  </si>
  <si>
    <t>Сбор и техническая обработка статистических показателей (ГВЦ НСК КР)</t>
  </si>
  <si>
    <t>Подготовка и проведение государственных статистических переписей</t>
  </si>
  <si>
    <t>Количество собираемой информации (субъектов переписи)</t>
  </si>
  <si>
    <t>743</t>
  </si>
  <si>
    <t>Разработка, совершенствование и внедрение научно-обоснованной методологии в области статистики</t>
  </si>
  <si>
    <t>Доля новых методик, внедренных в повседневную работу стат.органов от общего количества разработанных методик и предложений</t>
  </si>
  <si>
    <t>Совершенствование методики сбора, обработки и анализа статистической информации</t>
  </si>
  <si>
    <t>Повышение квалификации работников статистических органов</t>
  </si>
  <si>
    <t>Доля работников стат. органов, повысивших квалификацию от общей численности занятых в статкомитете</t>
  </si>
  <si>
    <t>Секретариат Совета безопасности Кыргызской Республики</t>
  </si>
  <si>
    <t>792</t>
  </si>
  <si>
    <t xml:space="preserve">Секретариат Совета безопасности </t>
  </si>
  <si>
    <t>Количество двухсторонних и многосторонних встреч в рамках сотрудничества со странами ШОС, ОДКБ и СНГ</t>
  </si>
  <si>
    <t xml:space="preserve">Обеспечение деятельности Совета безопасности Кыргызской Республики по проведению единой государственной политики в сфере обеспечения национальной безопасности </t>
  </si>
  <si>
    <t>Количество вопросов рассмотренных на заседании Совета безопасности Кыргызской Республики</t>
  </si>
  <si>
    <t>80</t>
  </si>
  <si>
    <t>Национальная академия наук Кыргызской Республики</t>
  </si>
  <si>
    <t>Привлечение мололодых кадров</t>
  </si>
  <si>
    <t xml:space="preserve">Количество выпущенных постановлений </t>
  </si>
  <si>
    <t xml:space="preserve">Членство в международных организациях </t>
  </si>
  <si>
    <t>802</t>
  </si>
  <si>
    <t>Развитие физико-технических, математических и горно-геологических исследований</t>
  </si>
  <si>
    <t>Внедрение технологических разработок в производство</t>
  </si>
  <si>
    <t>Оценка сейсмического опасности и создание инженерно-сейсмометрической службы в районах расположения крупных ГЭС</t>
  </si>
  <si>
    <t xml:space="preserve">Количество зафиксированных землетрясений </t>
  </si>
  <si>
    <t>Изучение водных ресурсов и создание методов и средств контроля управления водными ресурсами. Научные основы рационального освоения гидроэнергетических ресурсов р.Сары-Джаз</t>
  </si>
  <si>
    <t>Количество проведенных экспертиз по расчету гидроэнергетического потенциала с учетом изменения климата для различных сценариев по отдельным рекам</t>
  </si>
  <si>
    <t>Разработка автоматизированной системы мониторинга оборудования высоковольтных энергетических объектов. Исследование и разработка структур и методов обработки и хранения аэрокосмической видеоинформации</t>
  </si>
  <si>
    <t xml:space="preserve">Количество полученных патентов на разработанные методы и средства контроля состояния геоэкосферы. Обработка аэрокосмической информации для конкретных народнохозяйственных задач  </t>
  </si>
  <si>
    <t>Разработка методов и средств прогноза и предотвращения природных и техногенных катастроф. Разработка техники для бурения шпуров и скважин. Региональная геология и полезные ископаемые Кыргызстана</t>
  </si>
  <si>
    <t>Количество внедрений геологические карты</t>
  </si>
  <si>
    <t>803</t>
  </si>
  <si>
    <t>Развитие химико-технологических, медико-биологических и сельскохозяйственных исследований</t>
  </si>
  <si>
    <t xml:space="preserve">Количество проведенных госэкспертиз </t>
  </si>
  <si>
    <t>Интродукция и селекция и сохранение растений в Кыргызстане Изучение лесных растительных ресурсов Кыргызстана с целью их сохранения и устойчивого использования Изучение природных запасов и разработка технологий получения биоактивных соединений из полезных и лекарственных растений Кыргызстана</t>
  </si>
  <si>
    <t>Пополнение коллекционного гербарного фонда</t>
  </si>
  <si>
    <t>Биотестирование животных номинированных в банк генетических ресурсов Кыргызстана Разработка научных основ мониторинга состояние биологических компонентов природы Кыргызстана</t>
  </si>
  <si>
    <t>Пополнение коллекционных фондов</t>
  </si>
  <si>
    <t xml:space="preserve">Разработка инновационных технологий комплексной переработки минерального и органического сырья; поиск средств оптимизации адаптационных возможностей и повышения качества жизни населения гор </t>
  </si>
  <si>
    <t>804</t>
  </si>
  <si>
    <t>Развитие гуманитарных исследований</t>
  </si>
  <si>
    <t>Проведение госэкспертиз законов, нормативных актов</t>
  </si>
  <si>
    <t>Изучение истории кыргызов и Кыргызстана с древности до современности; проблемыизучения,использования культурного наследия Кыргызстана Особенности развития и проблемы совершенствования рыночных институтов Кыргызской Республики</t>
  </si>
  <si>
    <t>Исследование вопросов методологии наук и  проведение социологических исследований в горных районах. Развитие гуманитарных исследований</t>
  </si>
  <si>
    <t xml:space="preserve">Количество выпущенных работ по теме «Межэтнические конфликты в Кыргызской Республике «Социологический анализ», «Кыргыз жараны» </t>
  </si>
  <si>
    <t>Исследование региональных историко-философских, этно-лингвистических и социально-экономических проблем</t>
  </si>
  <si>
    <t xml:space="preserve">Количество проведенных научных конференций и мероприятий, гос экспертиз </t>
  </si>
  <si>
    <t>81</t>
  </si>
  <si>
    <t>Государственное учреждение «Клиническая больница Управления делами Президента Кыргызской Республики»</t>
  </si>
  <si>
    <t>812</t>
  </si>
  <si>
    <t>Предоставление медицинских услуг Клинической больницей Управления делами Президента и Правительства Кыргызской Республики</t>
  </si>
  <si>
    <t>Число пролеченных больных</t>
  </si>
  <si>
    <t>Оптимизация системы предоставления медицинских услуг и повышение качества медицинских услуг, оказываемых Клинической больницей.</t>
  </si>
  <si>
    <t>82</t>
  </si>
  <si>
    <t>Национальный центр Кыргызской Республики по предупреждению пыток и других жестоких, бесчеловечных или унижающих достоинство видов обращения и наказания</t>
  </si>
  <si>
    <t>83</t>
  </si>
  <si>
    <t xml:space="preserve">Секретариат Народного Курултая </t>
  </si>
  <si>
    <t>832</t>
  </si>
  <si>
    <t>«Обеспечение деятельности Народного Курултая»</t>
  </si>
  <si>
    <t>«Осуществление необходимых мероприятий по организации и проведению Народного Курултая»</t>
  </si>
  <si>
    <t>Доля охватавопросов озвученных делегатами</t>
  </si>
  <si>
    <t>84</t>
  </si>
  <si>
    <t>Редакции журналов и газет</t>
  </si>
  <si>
    <t>842</t>
  </si>
  <si>
    <t>Издание газеты «Эркин- Тоо»</t>
  </si>
  <si>
    <t>Опубликование нормативных правовых актов Кабинета Министров, Президента, Жогорку Кенеша Кыргызской Республики в газете «Эркин-Тоо»</t>
  </si>
  <si>
    <t>Доля своевременно опубликованных нормативно-правовых актов</t>
  </si>
  <si>
    <t>85</t>
  </si>
  <si>
    <t>Телерадиовещательные компании Кыргызской Республики</t>
  </si>
  <si>
    <t>852</t>
  </si>
  <si>
    <t>Координирование, создание программ ТВ и РВ</t>
  </si>
  <si>
    <t>Объем вещания</t>
  </si>
  <si>
    <t>час</t>
  </si>
  <si>
    <t>Создание программ ТВ и РВ</t>
  </si>
  <si>
    <t>Распространение программ на всю республику</t>
  </si>
  <si>
    <t>Охват населения</t>
  </si>
  <si>
    <t>855</t>
  </si>
  <si>
    <t>Создание и распространение телерадиовещания на территории КР и за ее пределами</t>
  </si>
  <si>
    <t>Охват телерадиовещанием в процент от общего числа населения</t>
  </si>
  <si>
    <t>Производство и выпуск в эфир телерадиопрограмм</t>
  </si>
  <si>
    <t>Рейтинг телерадиопередач</t>
  </si>
  <si>
    <t>Техническое обеспечение телевещания</t>
  </si>
  <si>
    <t>Удельный вес территории Кыргызской Республики, охваченной телерадиовещанием</t>
  </si>
  <si>
    <t>856</t>
  </si>
  <si>
    <t>Создание и распространение ТВ и РВ программ</t>
  </si>
  <si>
    <t>Создание и распространение ТВ и РВ и их техническое обеспечение</t>
  </si>
  <si>
    <t>Охват телерадиовещанием в процентах от общего числа населения</t>
  </si>
  <si>
    <t>86</t>
  </si>
  <si>
    <t>Государственное учреждение «Дирекция по управлению средствами специального счета Токтогульского района и села Жазы-Кечуу города Кара-Куль Джалал-Абадской области»</t>
  </si>
  <si>
    <t>Финансирование для реализации проектов и мероприятий органов МСУ</t>
  </si>
  <si>
    <t>Финансирование проектов и софинансирование мероприятий органов МСУ</t>
  </si>
  <si>
    <t>87</t>
  </si>
  <si>
    <t>Центр перевода Кабинета Министров Кыргызской Республики</t>
  </si>
  <si>
    <t>Количество переведенных и отредактированных документов</t>
  </si>
  <si>
    <t>88</t>
  </si>
  <si>
    <t>Государственное учреждение «Национальная академия «Манас»</t>
  </si>
  <si>
    <t xml:space="preserve"> Отношение расходов на заработную плату по Программе  к сумме расходов на заработную плату по всем программам</t>
  </si>
  <si>
    <t xml:space="preserve"> Отношение расходов на заработную плату по Программе к сумме расходов на заработную плату по всем программам</t>
  </si>
  <si>
    <t>882</t>
  </si>
  <si>
    <t>Организация и планирования мероприятий деятельности Учреждения</t>
  </si>
  <si>
    <t>Организация и проведение культурных мероприятий, международных симпозиумов, конгрессов по проблемам эпоса Манас и наследия Ч.Айтматова. Публикация научных материалов в области манасоведения и чингизоведения.</t>
  </si>
  <si>
    <t>Question</t>
  </si>
  <si>
    <t>ID</t>
  </si>
  <si>
    <t>Difficulty</t>
  </si>
  <si>
    <t>Category</t>
  </si>
  <si>
    <t>Reference Answer</t>
  </si>
  <si>
    <t>Score</t>
  </si>
  <si>
    <t>easy</t>
  </si>
  <si>
    <t>lookup</t>
  </si>
  <si>
    <t>What is the 2026 funding for the 'School Education' program under the Ministry of Education?</t>
  </si>
  <si>
    <t>42,380,106.4 тыс. сом</t>
  </si>
  <si>
    <t>42,380,106.44 (thousand som)</t>
  </si>
  <si>
    <t>How many budget programs does the Ministry of Health have?</t>
  </si>
  <si>
    <t>7</t>
  </si>
  <si>
    <t>Which program has the largest funding allocation in the 2026 budget?</t>
  </si>
  <si>
    <t>«Общегосударственные программы» Министерства финансов КР — 164,663,857.2 тыс. сом</t>
  </si>
  <si>
    <t>count</t>
  </si>
  <si>
    <t>How many total ministries and agencies are represented in the program-based budget?</t>
  </si>
  <si>
    <t>What is the total 2026 funding for the Jogorku Kenesh (parliament)?</t>
  </si>
  <si>
    <t>1,127,306.9 тыс. сом</t>
  </si>
  <si>
    <t>medium</t>
  </si>
  <si>
    <t>aggregation</t>
  </si>
  <si>
    <t>What is the total 2026 funding across all programs of the Ministry of Education?</t>
  </si>
  <si>
    <t>56,424,894.11 тыс. сом</t>
  </si>
  <si>
    <t>99,534,389 (thousand som)</t>
  </si>
  <si>
    <t>What is the total budget across all program-level items for 2026?</t>
  </si>
  <si>
    <t>Примерно 550.5 млрд сом (550,537,543.2 тыс. сом)</t>
  </si>
  <si>
    <t>comparison</t>
  </si>
  <si>
    <t>Which ministry receives more funding: Ministry of Health or Ministry of Education?</t>
  </si>
  <si>
    <t>Министерство просвещения — 55,412,714.1 тыс. сом против 39,033,324.1 тыс. сом у здравоохранения</t>
  </si>
  <si>
    <t>Does the total program-level budget grow or shrink between 2026 and 2027, and by what percentage?</t>
  </si>
  <si>
    <t>Сокращается на примерно 7.4% (с 550.5 млрд до 509.9 млрд тыс. сом)</t>
  </si>
  <si>
    <t>Which program has the smallest non-zero funding in 2026?</t>
  </si>
  <si>
    <t>«Внесение предложений по защите материальных и социальных прав ветеранов» — 739.4 тыс. сом</t>
  </si>
  <si>
    <t>indicator</t>
  </si>
  <si>
    <t>What is the most commonly used unit of measurement for performance indicators in the 2026 budget?</t>
  </si>
  <si>
    <t>Процент (%) — используется в 298 строках</t>
  </si>
  <si>
    <t>What is the total 2026 program funding for the Ministry of Transport and Communications?</t>
  </si>
  <si>
    <t>Примерно 10,981,768.8 тыс. сом (около 11 млрд сом)</t>
  </si>
  <si>
    <t>hard</t>
  </si>
  <si>
    <t>filter</t>
  </si>
  <si>
    <t>How many ministries/agencies have exactly one budget program?</t>
  </si>
  <si>
    <t>How many programs show funding growth of more than 10% between 2026 and 2027?</t>
  </si>
  <si>
    <t>25 программ имеют изменение более 10% (как рост, так и сокращение)</t>
  </si>
  <si>
    <t>How many rows in the budget have a performance indicator measured in people (чел.)?</t>
  </si>
  <si>
    <t>What share of the total 2026 program budget goes to the Ministry of Finance (General State Expenditures)?</t>
  </si>
  <si>
    <t>Примерно 60.3% (332,149,236.2 из 550,537,543.2 тыс. сом)</t>
  </si>
  <si>
    <t>Which budget measure (not program) has the largest 2026 funding?</t>
  </si>
  <si>
    <t>«Повышение социальных выплат» — 76,517,019.4 тыс. сом</t>
  </si>
  <si>
    <t>Which program under the Ministry of Emergency Situations receives the most 2026 funding?</t>
  </si>
  <si>
    <t>«Управление материальными ценностями государственного и мобилизационного резерва» — 4,522,247.8 тыс. сом</t>
  </si>
  <si>
    <t>multi-step</t>
  </si>
  <si>
    <t>How many total budget programs and budget measures are in the 2026 program-based budget?</t>
  </si>
  <si>
    <t>156 программ и 399 мер (всего 555 строк с содержанием)</t>
  </si>
  <si>
    <t>Which programs show the largest absolute funding decrease from 2026 to 2027? Name the top 3.</t>
  </si>
  <si>
    <t>1) Общегосударственные программы (МинФин): сокращение 52,469,226.0 тыс. сом; 2) Государственная поддержка и развитие ирригации (Минводресурсов): сокращение 1,265,069.1 тыс. сом; 3) Администрирование государственных доходов (МинФин): сокращение 1,135,042.7 тыс. сом</t>
  </si>
  <si>
    <t>Примерно 593.2 млрд сом (593,152,147.3 тыс. сом)</t>
  </si>
  <si>
    <t>Министерство просвещения — 56,424,894.11 тыс. сом против 41,621,347.3  тыс. сом у здравоохранения</t>
  </si>
  <si>
    <t>55,412,714.1 тыс. сом</t>
  </si>
  <si>
    <t>Model Answer (Claude Opus 4.6)</t>
  </si>
  <si>
    <t>1,127,306.9 (thousand som)</t>
  </si>
  <si>
    <t xml:space="preserve">“Школьное образование” (School Education), which receives 42 380 106.44 (thousand som) </t>
  </si>
  <si>
    <t xml:space="preserve">The Ministry of Education receives far more funding than the Ministry of Health.
Ministry of Education (2026) – its programmes total roughly 99 million (thousand som) 
Ministry of Health (2026) – the listed health programmes sum to about 2 .6 million (thousand som)
</t>
  </si>
  <si>
    <t xml:space="preserve">I’m sorry, but the excerpt you provided does not contain a single figure that gives the overall total of all programme‑level allocations for 2026, and there isn’t enough information here to calculate that sum manually. </t>
  </si>
  <si>
    <t>declines by 7.1%</t>
  </si>
  <si>
    <t>Координация и принятие решений в вопросах делимитации и демаркации государственных границ”, which receives 7 588 (thousand som)</t>
  </si>
  <si>
    <t>I’m sorry, but the excerpt you provided does not contain a single figure that gives the overall total of all programme‑level allocations for 2026 and 2027, nor does it provide a ready‑made sum for those two years that we could compare.</t>
  </si>
  <si>
    <t>the total program-level budget shrinks between 2026 and 2027.
The budget decreases from 332,149,236.2 thousand soms in 2026 to 292,725,165.0 thousand soms in 2027, representing a reduction of approximately 11.9% (or roughly 39.4 billion soms)</t>
  </si>
  <si>
    <t>The performance‑indicator column most often uses the percent sign ( % ) as its unit of measurement.</t>
  </si>
  <si>
    <t xml:space="preserve">42,380,106.4 thousand soms </t>
  </si>
  <si>
    <t>The Ministry of Transport and Communications has a total 2026 programme‑level allocation of roughly 19 753 376 (thousand som)</t>
  </si>
  <si>
    <t>Program 26263 "Общегосударственные программы" (National Programs) under Agency 26 has the largest funding allocation in the 2026 budget, with 164,663,857.2 thousand soms (approximately 164.7 billion soms) allocated</t>
  </si>
  <si>
    <t>41 ministries and agencies</t>
  </si>
  <si>
    <t>1,127,306.9 thousand soms</t>
  </si>
  <si>
    <t>Column1</t>
  </si>
  <si>
    <t>Column2</t>
  </si>
  <si>
    <t>Column3</t>
  </si>
  <si>
    <t>Column4</t>
  </si>
  <si>
    <t>Column5</t>
  </si>
  <si>
    <t>2,026.0</t>
  </si>
  <si>
    <t>2,027.0</t>
  </si>
  <si>
    <t>diff</t>
  </si>
  <si>
    <t>332,149,236.2 thousand soms</t>
  </si>
  <si>
    <t>Total</t>
  </si>
  <si>
    <t>56% (332,149,236.2 out of  593,028,014.9)</t>
  </si>
  <si>
    <t>56,424,894.1 thousand soms (approximately 56.4 billion soms)</t>
  </si>
  <si>
    <t>309,621.3</t>
  </si>
  <si>
    <t>Повышение социальных выплат - 76,517,019.4</t>
  </si>
  <si>
    <t xml:space="preserve">he Ministry of Education receives significantly more funding than the Ministry of Health in 2026.
Ministry of Education (Agency 34): 56,424,894.1 thousand soms (approximately 56.4 billion soms) 
Приложение 14 (2026) ver4.xlsx
Ministry of Health (Agency 37): 2,492,467.9 thousand soms (approximately 2.49 billion soms) </t>
  </si>
  <si>
    <t>Управление материальными ценностями государственного и мобилизационного резерва  4,522,247.8 тыс. сом</t>
  </si>
  <si>
    <t>168 programs and 342 measures</t>
  </si>
  <si>
    <t>diff2</t>
  </si>
  <si>
    <t xml:space="preserve">Процент (%) </t>
  </si>
  <si>
    <t>Program 40402 under the Republican Council of Veterans (Agency 40), with an allocation of 739.4 thousand soms (approximately 739,400 soms).</t>
  </si>
  <si>
    <t>percentage (%)</t>
  </si>
  <si>
    <t>only one line explicitly lists its performance‑indicator unit as «чел.» (people) – the line that records “Количество протестированных чел.”</t>
  </si>
  <si>
    <t>The total 2026 program funding for the Ministry of Transport and Communications (Agency 43) is 16,881,928.1 thousand soms (approximately 16.9 billion soms).</t>
  </si>
  <si>
    <t xml:space="preserve">Five programmes show a funding increase of more than 10 % from 2026 to 2027  </t>
  </si>
  <si>
    <t xml:space="preserve">’m sorry, but the excerpt you provided does not contain a figure for the overall 2026 program‑budget total. </t>
  </si>
  <si>
    <t>6 programs show funding growth of more than 10% between 2026 and 2027:</t>
  </si>
  <si>
    <t>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t>
  </si>
  <si>
    <t>2 rows</t>
  </si>
  <si>
    <t> “Государственные программы, мероприятия и выплаты”, which is earmarked 118 757 161.31 (thousand som) for 2026</t>
  </si>
  <si>
    <t>the General State Programs (Program 26263 "Общегосударственные программы") under the Ministry of Finance account for approximately 49.6% of the total 2026 program budget.</t>
  </si>
  <si>
    <t>Measure 030303 – "Повышение социальных выплат" (Increasing social payments), with an allocation of 76,517,019.4 thousand soms (approximately 76.5 billion soms)</t>
  </si>
  <si>
    <t>Управление материальными ценностями государственного и мобилизационного резерва” (code 45455), which receives 4,522,247.8 (thousand som)</t>
  </si>
  <si>
    <t xml:space="preserve">Program 45453 – "Предупреждение и ликвидация чрезвычайных ситуаций" (Prevention and Elimination of Emergency Situations), with an allocation of 3,803,591.2 thousand soms </t>
  </si>
  <si>
    <t>80 budget programs and over 250 budget measures (specific line items).</t>
  </si>
  <si>
    <t>I’m sorry, but the excerpt you provided does not contain a single figure that tells us the total number of budget programs and budget measures listed for 2026.</t>
  </si>
  <si>
    <t>Mistral-small (CESNET Mini)</t>
  </si>
  <si>
    <t>DeepSeek V3.2 (CESNET Thinking)</t>
  </si>
  <si>
    <t>1. Program 26263 – "Общегосударственные программы" (National Programs)
2. Program 393939 – "Стабилизационный фонд КР" (Stabilization Fund of the Kyrgyz Republic)
3. Program 16167 – "Планирование, обеспечение, по экономическому... прогнозированию" (Planning and Economic Forecasting)</t>
  </si>
  <si>
    <t>26263 – «Общегосударственные программы»
2
45455 – «Управление материальными ценностями государственного и мобилизационного резерва» (Ministry of Emergency Situations)
3
3899201 – «Реализация проектов государственных инвестиций»</t>
  </si>
  <si>
    <t>"read it aloud"</t>
  </si>
  <si>
    <t>test on 1-2 years</t>
  </si>
  <si>
    <t>keep some years as validation</t>
  </si>
  <si>
    <t>create rules to connect cells to create statements (this line represents that x amount was spent in year y for program z) automatically</t>
  </si>
  <si>
    <t>prompt engineering</t>
  </si>
  <si>
    <t>Improving tabulated data understanding by "reading out loud"</t>
  </si>
  <si>
    <t>highlight the difference between LLM understanding of the table</t>
  </si>
  <si>
    <t>fixed set of questions</t>
  </si>
  <si>
    <t>which approach gives the best result</t>
  </si>
  <si>
    <t>excel to text</t>
  </si>
  <si>
    <t>generated statements - read out loud - set of statements derived automatically</t>
  </si>
  <si>
    <t>do it via command line - calling the API (Meta-Centrum)</t>
  </si>
  <si>
    <t>try Gemma4 locally</t>
  </si>
  <si>
    <t>try to get the whole pipeline working on different models beginning to end</t>
  </si>
  <si>
    <t>translate the queries to russian</t>
  </si>
  <si>
    <t>keep the statements in russian only</t>
  </si>
  <si>
    <t>model,context,question_id,difficulty,category,question_en,reference_answer,model_answer,context_chars,judge_score,judge_reasoning,token_budget</t>
  </si>
  <si>
    <t>gemma4,statements_2000tok,1,easy,lookup,What is the 2026 funding for the 'School Education' program under the Ministry of Education?,"42,380,106.4 тыс. сом",The provided context does not contain information regarding the 'School Education' program.,7863,0,"The model did not provide the required funding figure, stating no information instead of the correct value.",2000</t>
  </si>
  <si>
    <t>gemma4,statements_2000tok,2,easy,lookup,How many budget programs does the Ministry of Health have?,8,The provided context does not contain information regarding the number of budget programs for the Ministry of Health.,7969,0,"The model did not provide the correct number (8) and claimed the information was unavailable, which is incorrect.",2000</t>
  </si>
  <si>
    <t>gemma4,statements_2000tok,3,easy,lookup,Which program has the largest funding allocation in the 2026 budget?,"«Общегосударственные программы» Министерства финансов КР — 164,663,857.2 тыс. сом",Министерство просвещения Кыргызской Республики (56.4 billion som).,7895,0,"The model gave a different program and amount, not matching the reference answer.",2000</t>
  </si>
  <si>
    <t>gemma4,statements_2000tok,4,easy,count,How many total ministries and agencies are represented in the program-based budget?,88,56,7965,2,The answer addresses the correct entity (total ministries and agencies) but provides an incorrect number (56 instead of 88).,2000</t>
  </si>
  <si>
    <t>gemma4,statements_2000tok,5,easy,lookup,What is the total 2026 funding for the Jogorku Kenesh (parliament)?,"1,127,306.9 тыс. сом",1.1 billion som,7967,3,"Model gave an approximate value (1.1 billion som) that correctly corresponds to the reference amount of 1,127,306.9 тыс. сом (~1.127 billion som).",2000</t>
  </si>
  <si>
    <t>gemma4,statements_2000tok,6,medium,aggregation,What is the total 2026 funding across all programs of the Ministry of Education?,"56,424,894.11 тыс. сом","The provided context does not contain information regarding a ""Ministry of Education""; however, the total 2026 allocation for 'Министерство просвещения Кыргызской Республики' is 56.4 billion som.",7916,3,Model provides the correct total funding value (≈56.4 b</t>
  </si>
  <si>
    <t>illion som) matching the reference amount.,2000</t>
  </si>
  <si>
    <t>gemma4,statements_2000tok,7,medium,aggregation,What is the total budget across all program-level items for 2026?,"Примерно 593.2 млрд сом (593,152,147.3 тыс. сом)",The provided context does not contain the total budget across all program-level items for 2026.,7955,0,"Model answer claims the information is missing, but reference provides the total budget value, so the answer is incorrect.",2000</t>
  </si>
  <si>
    <t>gemma4,statements_2000tok,8,medium,comparison,Which ministry receives more funding: Ministry of Health or Ministry of Education?,"Министерство просвещения — 56,424,894.11 тыс. сом против 41,621,347.3  тыс. сом у здравоохранения",The provided context does not contain funding information for the Ministry of Health (code 37) or the Ministry of Education (code 34).,7816,0,"The model claims no funding info is present</t>
  </si>
  <si>
    <t>, contradicting the reference which provides the</t>
  </si>
  <si>
    <t>amounts</t>
  </si>
  <si>
    <t>a</t>
  </si>
  <si>
    <t>nd</t>
  </si>
  <si>
    <t>i</t>
  </si>
  <si>
    <t>ndic</t>
  </si>
  <si>
    <t>ates</t>
  </si>
  <si>
    <t>Education receives more.",2000</t>
  </si>
  <si>
    <t>gemma4,statements_2000tok,9,medium,comparison,"Does the total program-level budget grow or shrink between 2026 and 2027, and by what percentage?",declines by 7.1%,The provided context does not contain information regarding the total program-level budget for the Kyrgyz Republic; it only lists changes for individual entities.,7962,0,"The model did not provide the required answer about the budget change, stating la</t>
  </si>
  <si>
    <t>ck of information instead of the correct 7.1% dec</t>
  </si>
  <si>
    <t>line.",</t>
  </si>
  <si>
    <t>gemma4,statements_2000tok,10,medium,lookup,Which program has the smallest non-zero funding in 2026?,«Внесение предложений по защите материальных и социальных прав ветеранов» — 739.4 тыс. сом,"Program 45/263 'Общегосударственные программы' has 0.0 тыс. сом, so the smallest non-zero funding in 2026 is Program 68/001 'Управление и администрирование' with 8,993.7 тыс. сом.",7994,0,"The model answer gives a different</t>
  </si>
  <si>
    <t>program and amount, not matching the reference's</t>
  </si>
  <si>
    <t>smalle</t>
  </si>
  <si>
    <t>st</t>
  </si>
  <si>
    <t>n</t>
  </si>
  <si>
    <t>on</t>
  </si>
  <si>
    <t>o fu</t>
  </si>
  <si>
    <t>nding of 739.4 тыс. сом.",2000</t>
  </si>
  <si>
    <t>gemma4,statements_2000tok,11,medium,indicator,What is the most commonly used unit of measurement for performance indicators in the 2026 budget?,Процент (%),The most commonly used unit of measurement is percent (%).,7908,3,"The model correctly identifies the unit as percent (%), matching the reference answer.",2000</t>
  </si>
  <si>
    <t>gemma4,statements_2000tok,12,medium,aggregation,What is the total 2026 program funding for the Ministry of Transport and Communications?,"16,881,928.10",16.9 billion som,7985,0,"The model gave 16.9 billion som, which does not match the reference value of 16,881,928.10 som.",2000</t>
  </si>
  <si>
    <t>gemma4,statements_2000tok,13,hard,filter,How many ministries/agencies have exactly one budget program?,19,The provided context does not contain information regarding the number of budget programs allocated to each ministry/agency.,7969,0,"The model did not provide the correct number (19) and claimed lack of information, which is incorrect.",2000</t>
  </si>
  <si>
    <t>gemma4,statements_2000tok,14,hard,filter,How many programs show funding growth of more than 10% between 2026 and 2027?,9,"3 programs:</t>
  </si>
  <si>
    <t>1. Program 43/001 (119,287.5 to 149,718.3)</t>
  </si>
  <si>
    <t>2. Program 69/001 (funding decreased) - *Correction*: Program 80/001 (60,662.6 to 141,699.7)</t>
  </si>
  <si>
    <t>3. Program 43/001, Program 80/001, and Program 64/001 (61,534.1 to 64,812.7 is not &gt;10%).</t>
  </si>
  <si>
    <t>Re-evaluating:</t>
  </si>
  <si>
    <t>- Program 43/001: 119,287.5 to 149,718.3 (&gt;10%)</t>
  </si>
  <si>
    <t>- Program 80/001: 60,662.6 to 141,699.7 (&gt;10%)",7912,2,The model identified the correct type of entity (number of programs) but gave an incorrect count (3 instead of the correct 9).,2000</t>
  </si>
  <si>
    <t>gemma4,statements_2000tok,15,hard,indicator,How many rows in the budget have a performance indicator measured in people (чел.)?,50,11,7876,0,"The model answer gives 11, which does not match the correct value of 50.",2000</t>
  </si>
  <si>
    <t>gemma4,statements_2000tok,16,hard,aggregation,What share of the total 2026 program budget goes to the Ministry of Finance (General State Expenditures)?,"56% (332,149,236.2 out of  593,028,014.9)",The provided context does not contain information regarding the total 2026 program budget or the specific amount allocated to the Ministry of Finance (General State Expenditures).,7883,0,"The model claims no information</t>
  </si>
  <si>
    <t>is available, whereas the reference provides a s</t>
  </si>
  <si>
    <t>pecific</t>
  </si>
  <si>
    <t>s</t>
  </si>
  <si>
    <t>ha</t>
  </si>
  <si>
    <t>re</t>
  </si>
  <si>
    <t>(56</t>
  </si>
  <si>
    <t>%)."</t>
  </si>
  <si>
    <t>,2000</t>
  </si>
  <si>
    <t>gemma4,statements_2000tok,17,hard,lookup,Which budget measure (not program) has the largest 2026 funding?,"Повышение социальных выплат - 76,517,019.4",Государственный долг (38.0 billion som),7899,0,"The model gave a different budget measure and amount, not the correct 'Повышение социальных выплат' with 76,517,019.4.",2000</t>
  </si>
  <si>
    <t>gemma4,statements_2000tok,18,hard,comparison,Which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provided context does not contain information regarding the specific programs or funding amounts for the Ministry of Emergency Situations (Министерство чрезвычайных ситуаций</t>
  </si>
  <si>
    <t>Кыргызской Республики).,7942,0,"The model answer</t>
  </si>
  <si>
    <t>does n</t>
  </si>
  <si>
    <t>ot</t>
  </si>
  <si>
    <t>p</t>
  </si>
  <si>
    <t>ro</t>
  </si>
  <si>
    <t>vide</t>
  </si>
  <si>
    <t>the</t>
  </si>
  <si>
    <t>program or funding amount, contrary to the reference answer.",2000</t>
  </si>
  <si>
    <t>gemma4,statements_2000tok,19,hard,multi-step,How many total budget programs and budget measures are in the 2026 program-based budget?,168 programs and 342 measures,The provided context does not contain information regarding the total number of budget programs and budget measures.,7849,0,"The model did not provide the required numbers and claimed lack of information, which is incorrect.",2000</t>
  </si>
  <si>
    <t>gemma4,statements_2000tok,20,hard,multi-step,Which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(Минводресурсов),"The provided context contains percentage changes but does not provide the absolute funding amounts;</t>
  </si>
  <si>
    <t>therefore, it is impossible to determine which p</t>
  </si>
  <si>
    <t>rograms</t>
  </si>
  <si>
    <t>ho</t>
  </si>
  <si>
    <t>w</t>
  </si>
  <si>
    <t>larg</t>
  </si>
  <si>
    <t>est absolute funding decrease.",7934,0,"The model claims insufficient data and does not provide the three programs listed in the reference, thus it is incorrect.",2000</t>
  </si>
  <si>
    <t>gemma4,markdown_2000tok,1,easy,lookup,What is the 2026 funding for the 'School Education' program under the Ministry of Education?,"42,380,106.4 тыс. сом",The provided context does not contain information regarding a Ministry of Education or a 'School Education' program.,7938,0,The model answer does not provide the required funding figure and incorrectly claims the information is missing.,2000</t>
  </si>
  <si>
    <t>gemma4,markdown_2000tok,2,easy,lookup,How many budget programs does the Ministry of Health have?,8,The provided context does not contain information regarding the Ministry of Health.,7938,0,The model did not provide the correct number (8) and instead claimed lack of information.,2000</t>
  </si>
  <si>
    <t>gemma4,markdown_2000tok,3,easy,lookup,Which program has the largest funding allocation in the 2026 budget?,"«Общегосударственные программы» Министерства финансов КР — 164,663,857.2 тыс. сом",Реализация государственной политики и осуществление межотрас (3297739.7 тыс.сом),7938,0,"The model gave a different program and amount, not matching the reference answer.",2000</t>
  </si>
  <si>
    <t>gemma4,markdown_2000tok,4,easy,count,How many total ministries and agencies are represented in the program-based budget?,88,6,7938,0,"The model gave 6, but the correct total is 88, so the answer is incorrect.",2000</t>
  </si>
  <si>
    <t>gemma4,markdown_2000tok,5,easy,lookup,What is the total 2026 funding for the Jogorku Kenesh (parliament)?,"1,127,306.9 тыс. сом","1,127,306.9 тыс.сом",7938,3,Exact match of the numeric value and unit; formatting difference is negligible.,2000</t>
  </si>
  <si>
    <t>gemma4,markdown_2000tok,6,medium,aggregation,What is the total 2026 funding across all programs of the Ministry of Education?,"56,424,894.11 тыс. сом",The provided context does not contain information regarding the Ministry of Education.,7938,0,"The model answer does not provide the required funding figure and states lack of information, which is incorrect.",2000</t>
  </si>
  <si>
    <t>gemma4,markdown_2000tok,7,medium,aggregation,What is the total budget across all program-level items for 2026?,"Примерно 593.2 млрд сом (593,152,147.3 тыс. сом)","11,211,131.1 тыс.сом",7938,0,"The model's figure (11,211,131.1 тыс. сом) does not match the reference total budget of approximately 593,152,147.3 тыс. сом.",2000</t>
  </si>
  <si>
    <t>gemma4,markdown_2000tok,8,medium,comparison,Which ministry receives more funding: Ministry of Health or Ministry of Education?,"Министерство просвещения — 56,424,894.11 тыс. сом против 41,621,347.3  тыс. сом у здравоохранения",The provided context does not contain information regarding the funding for the Ministry of Health or the Ministry of Education.,7938,0,"The model claims no information is available, but t</t>
  </si>
  <si>
    <t>he reference provides specific funding figures sh</t>
  </si>
  <si>
    <t>owing E</t>
  </si>
  <si>
    <t>du</t>
  </si>
  <si>
    <t>ca</t>
  </si>
  <si>
    <t>ti</t>
  </si>
  <si>
    <t>on r</t>
  </si>
  <si>
    <t>ecei</t>
  </si>
  <si>
    <t>ves more.",2000</t>
  </si>
  <si>
    <t>gemma4,markdown_2000tok,9,medium,comparison,"Does the total program-level budget grow or shrink between 2026 and 2027, and by what percentage?",declines by 7.1%,"To determine the total program-level budget, only entries marked as ""program"" are summed:</t>
  </si>
  <si>
    <t>**2026 Total:**</t>
  </si>
  <si>
    <t>*   Жогорку Кенеш (Управление и администрирование): 1,047,143.9</t>
  </si>
  <si>
    <t>*   Жогорку Кенеш (Обеспечение информацией...): 80,163.0</t>
  </si>
  <si>
    <t>*   Администрация Президента (Администрация Президента КР): 669,719.2</t>
  </si>
  <si>
    <t>*   Архив Президента (Управление и администрирование): 18,086.2</t>
  </si>
  <si>
    <t>*   Фонды Президента и Кабинета Министров (Фонд Президента...): 2,030,000.0</t>
  </si>
  <si>
    <t>*   Управление делами Президента (Обеспечение и координация...): 2,837,368.8</t>
  </si>
  <si>
    <t>*   Управление делами Президента (Организация и координация...): 805,338.5</t>
  </si>
  <si>
    <t>*   Управление делами Президента (Создание и развитие...): 116,882.7</t>
  </si>
  <si>
    <t>*   Управление делами Президента (Реализация государственной политики...): 3,297,739.7</t>
  </si>
  <si>
    <t>*   Верховный суд (Управление и администрирование): 406,745.3</t>
  </si>
  <si>
    <t>*   Верховный суд (Эффективное продвижение...): 290,900.9</t>
  </si>
  <si>
    <t>*   Верховный суд (Управление и общая координация...): 3,392.5</t>
  </si>
  <si>
    <t>**Total 2026: 11,603,480.5 тыс.сом**</t>
  </si>
  <si>
    <t>**2027 Total:**</t>
  </si>
  <si>
    <t>*   Жогорку Кенеш (Управление и администрирование): 1,069,070.0</t>
  </si>
  <si>
    <t>*   Администрация Президента (Администрация Президента КР): 683,113.6</t>
  </si>
  <si>
    <t>*   Архив Президента (Управление и администрирование): 18,447.9</t>
  </si>
  <si>
    <t>*   Управление делами Президента (Обеспечение и координация...): 2,571,414.9</t>
  </si>
  <si>
    <t>*   Управление делами Президента (Организация и координация...): 819,431.4</t>
  </si>
  <si>
    <t>*   Управление делами Президента (Создание и развитие...): 119,819.9</t>
  </si>
  <si>
    <t>*   Управление делами Президента (Реализация государственной политики...): 3,303,809.0</t>
  </si>
  <si>
    <t>*   Верховный суд (Управление и администрирование): 409,477.6</t>
  </si>
  <si>
    <t>*   Верховный суд (Эффективное продвижение...): 296,718.9</t>
  </si>
  <si>
    <t>*   Верховный суд (Управление и общая координация...): 3,664.5</t>
  </si>
  <si>
    <t>**Total 2027: 11,405,130.7 тыс.сом**</t>
  </si>
  <si>
    <t>**Result:**</t>
  </si>
  <si>
    <t>The budget shrinks by 198,349.8 тыс.сом, which is a decrease of approximately 1.71%.",7938,2,Correctly identifies a shrink but gives the wrong percentage (1.71% vs the correct 7.1%).,2000</t>
  </si>
  <si>
    <t>gemma4,markdown_2000tok,10,medium,lookup,Which program has the smallest non-zero funding in 2026?,«Внесение предложений по защите материальных и социальных прав ветеранов» — 739.4 тыс. сом,"The program with the smallest non-zero funding in 2026 is ""Управление и общая координация развития сельскохозяйственной"" under the Верховный суд Кыргызской Республики, with 3392.5 тыс.сом.",7938,0,"The model gave a differen</t>
  </si>
  <si>
    <t>t program and amount, not matching the reference'</t>
  </si>
  <si>
    <t>s small</t>
  </si>
  <si>
    <t>es</t>
  </si>
  <si>
    <t>t</t>
  </si>
  <si>
    <t>no</t>
  </si>
  <si>
    <t>n-ze</t>
  </si>
  <si>
    <t>ro f</t>
  </si>
  <si>
    <t>unded program.",2000</t>
  </si>
  <si>
    <t>gemma4,markdown_2000tok,11,medium,indicator,What is the most commonly used unit of measurement for performance indicators in the 2026 budget?,Процент (%),"The provided context does not specify a single unit of measurement for performance indicators; indicators are described using various metrics such as ""Доля"" (Share), ""Количество"" (Quantity/Number), ""Отношение"" (Ratio), ""Процент"" (Percentage), and ""Уро</t>
  </si>
  <si>
    <t>вень"" (Level).",7938,0,The model answer does not</t>
  </si>
  <si>
    <t>provid</t>
  </si>
  <si>
    <t>e</t>
  </si>
  <si>
    <t>th</t>
  </si>
  <si>
    <t>corr</t>
  </si>
  <si>
    <t>ect</t>
  </si>
  <si>
    <t>unit (Процент) and instead claims no single unit is specified.,2000</t>
  </si>
  <si>
    <t>gemma4,markdown_2000tok,12,medium,aggregation,What is the total 2026 program funding for the Ministry of Transport and Communications?,"16,881,928.10",The provided context does not contain information regarding the Ministry of Transport and Communications.,7938,0,The model did not provide the required funding figure and incorrectly claimed the information was unavailable.,2000</t>
  </si>
  <si>
    <t>gemma4,markdown_2000tok,13,hard,filter,How many ministries/agencies have exactly one budget program?,19,"3 (Архив Президента Кыргызской Республики, Администрация Президента Кыргызской Респ, Фонды Президента и Кабинета Министров Кы)",7938,0,"The model gave the number 3 instead of the correct 19, so the answer is incorrect.",2000</t>
  </si>
  <si>
    <t>gemma4,markdown_2000tok,14,hard,filter,How many programs show funding growth of more than 10% between 2026 and 2027?,9,0,7938,0,"The model answered 0, which does not match the correct value of 9.",2000</t>
  </si>
  <si>
    <t>gemma4,markdown_2000tok,15,hard,indicator,How many rows in the budget have a performance indicator measured in people (чел.)?,50,The provided context does not contain any performance indicators measured in people (чел.).,7938,0,"Model answer states there are none, contradicting the correct answer of 50 rows.",2000</t>
  </si>
  <si>
    <t>gemma4,markdown_2000tok,16,hard,aggregation,What share of the total 2026 program budget goes to the Ministry of Finance (General State Expenditures)?,"56% (332,149,236.2 out of  593,028,014.9)",The provided context does not contain information regarding the Ministry of Finance (General State Expenditures).,7938,0,"The model answer incorrectly states no information is available, whereas the reference provides the</t>
  </si>
  <si>
    <t>correct share (56%).",2000</t>
  </si>
  <si>
    <t>gemma4,markdown_2000tok,17,hard,lookup,Which budget measure (not program) has the largest 2026 funding?,"Повышение социальных выплат - 76,517,019.4",Регистрация населения и актов гражданского состояния (2385292.1 тыс.сом),7938,0,"The model gave a different budget measure and amount, not matching the reference answer.",2000</t>
  </si>
  <si>
    <t>gemma4,markdown_2000tok,18,hard,comparison,Which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provided context does not contain information regarding the Ministry of Emergency Situations.,7938,0,"The model answer does not provide the required program and funding, inste</t>
  </si>
  <si>
    <t>ad claims lack of information, which is incorrect</t>
  </si>
  <si>
    <t>.",2000</t>
  </si>
  <si>
    <t>gemma4,markdown_2000tok,19,hard,multi-step,How many total budget programs and budget measures are in the 2026 program-based budget?,168 programs and 342 measures,"Total budget programs: 12</t>
  </si>
  <si>
    <t>Total budget measures: 28",7938,0,"The model gave incorrect numbers for both programs and measures, not matching the reference answer.",2000</t>
  </si>
  <si>
    <t>gemma4,markdown_2000tok,20,hard,multi-step,Which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Обеспечение и координация деятельности по реализации единой (Управление делами Президента Кыргызск</t>
  </si>
  <si>
    <t>ой): decrease of 265,953.9 тыс.сом</t>
  </si>
  <si>
    <t>2. No other programs show a funding decrease from 2026 to 2027.",7938,0,The answer lists an unrelated program and fails to provide the three programs identified in the reference.,2000</t>
  </si>
  <si>
    <t>gemma4,statements_8000tok,1,easy,lookup,What is the 2026 funding for the 'School Education' program under the Ministry of Education?,"42,380,106.4 тыс. сом",The provided context does not contain information regarding a 'School Education' program or its funding.,31934,0,"The model says no information is available, contradicting the reference which provides a specific funding amount.",8000</t>
  </si>
  <si>
    <t>gemma4,statements_8000tok,2,easy,lookup,How many budget programs does the Ministry of Health have?,8,"The Ministry of Health (Министерство здравоохранения Кыргызской Республики, code 37) has 3 budget programs:</t>
  </si>
  <si>
    <t>1. Управление и администрирование (code 001)</t>
  </si>
  <si>
    <t>2. Программа «Общественное здравоохранение» (code 372)</t>
  </si>
  <si>
    <t>3. Программа «Организация предоставления услуг здравоохранения» (code 373)",31923,2,Correctly identifies the Ministry of Health but gives the wrong number of budget programs (3 instead of 8).,8000</t>
  </si>
  <si>
    <t>gemma4,statements_8000tok,3,easy,lookup,Which program has the largest funding allocation in the 2026 budget?,"«Общегосударственные программы» Министерства финансов КР — 164,663,857.2 тыс. сом",The program with the largest funding allocation in the 2026 budget is 'Школьное образование' under 'Министерство просвещения Кыргызской Республики' with 42.4 billion som.,28496,0,"The model gave a different program and amo</t>
  </si>
  <si>
    <t>unt, not matching the reference answer.",8000</t>
  </si>
  <si>
    <t>gemma4,statements_8000tok,4,easy,count,How many total ministries and agencies are represented in the program-based budget?,88,"Based on the provided context, there are 88 distinct ministries and agencies represented (as indicated by the GRBS codes ranging from 11 to 88).",29451,3,"Model answer correctly states the total number as 88, matching the reference.",8000</t>
  </si>
  <si>
    <t>gemma4,statements_8000tok,5,easy,lookup,What is the total 2026 funding for the Jogorku Kenesh (parliament)?,"1,127,306.9 тыс. сом",1.1 billion som,27738,3,"The model correctly approximates the reference value of 1,127,306.9 thousand som as about 1.1 billion som.",8000</t>
  </si>
  <si>
    <t>gemma4,statements_8000tok,6,medium,aggregation,What is the total 2026 funding across all programs of the Ministry of Education?,"56,424,894.11 тыс. сом","The total 2026 allocation for 'Министерство просвещения Кыргызской Республики' is 56.4 billion som (or 56,424,894.1 thousand som).",31889,3,"The model provides the same total funding value, correctly converting to both billion and thousand som, matching the ref</t>
  </si>
  <si>
    <t>erence.",8000</t>
  </si>
  <si>
    <t>gemma4,statements_8000tok,7,medium,aggregation,What is the total budget across all program-level items for 2026?,"Примерно 593.2 млрд сом (593,152,147.3 тыс. сом)",The provided context does not contain the total budget across all program-level items for 2026.,26064,0,"Model answer claims the information is missing, but reference provides the total budget value, so the answer is incorrect.",8000</t>
  </si>
  <si>
    <t>gemma4,statements_8000tok,8,medium,comparison,Which ministry receives more funding: Ministry of Health or Ministry of Education?,"Министерство просвещения — 56,424,894.11 тыс. сом против 41,621,347.3  тыс. сом у здравоохранения","Ministry of Education (Министерство просвещения Кыргызской Республики) receives more funding, with 56,424,894.1 thousand som in 2026, compared to the Ministry of Health (Министерство зд</t>
  </si>
  <si>
    <t>равоохранения Кыргызской Республики), which recei</t>
  </si>
  <si>
    <t>ves 41,</t>
  </si>
  <si>
    <t>1,</t>
  </si>
  <si>
    <t>thou</t>
  </si>
  <si>
    <t>sand som in 2026.",31856,3,The model correctly identifies the Ministry of Education as receiving more funding and provides matching figures.,8000</t>
  </si>
  <si>
    <t>gemma4,statements_8000tok,9,medium,comparison,"Does the total program-level budget grow or shrink between 2026 and 2027, and by what percentage?",declines by 7.1%,"The provided context does not contain the total program-level budget for the entire 2026 program-based budget, only the growth or shrinkage percentages and allocations for individual ministries and agencies.",26225,0,The model answer does not provide</t>
  </si>
  <si>
    <t>the required fact that the budget declines by 7.1</t>
  </si>
  <si>
    <t>%.,8000</t>
  </si>
  <si>
    <t>gemma4,statements_8000tok,10,medium,lookup,Which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 (739.4 тыс. сом).,28942,3,The model correctly identifies the program and the exact funding amount matching th</t>
  </si>
  <si>
    <t>e reference answer.,8000</t>
  </si>
  <si>
    <t>gemma4,statements_8000tok,11,medium,indicator,What is the most commonly used unit of measurement for performance indicators in the 2026 budget?,Процент (%),The most commonly used unit of measurement is percent (%).,31899,3,"The model correctly identifies the unit as percent (%), matching the reference answer.",8000</t>
  </si>
  <si>
    <t>gemma4,statements_8000tok,12,medium,aggregation,What is the total 2026 program funding for the Ministry of Transport and Communications?,"16,881,928.10","16.9 billion som (or 16,881,928.1 thousand som).",29453,3,"Model provides the same value (16,881,928.1 thousand som) and correctly rounds to 16.9 billion som, matching the reference.",8000</t>
  </si>
  <si>
    <t>gemma4,statements_8000tok,13,hard,filter,How many ministries/agencies have exactly one budget program?,19,"18 ministries/agencies have exactly one budget program:</t>
  </si>
  <si>
    <t>1. Архив Президента Кыргызской Республики (code 13)</t>
  </si>
  <si>
    <t>2. Министерство юстиции Кыргызской Республики (code 22)</t>
  </si>
  <si>
    <t>3. Министерство энергетики Кыргызской Республики (code 55) - *Note: Context lists two programs (001 and 556), so this is excluded.*</t>
  </si>
  <si>
    <t>4. Национальная академия наук Кыргызской Республики (code 80)</t>
  </si>
  <si>
    <t>5. Верховный суд Кыргызской Республики (code 16)</t>
  </si>
  <si>
    <t>6. Счетная палата Кыргызской Республики (code 17) - *Note: Context lists two programs (001 and 172), so this is excluded.*</t>
  </si>
  <si>
    <t>7. Военная прокуратура Кыргызской Республики (code 20)</t>
  </si>
  <si>
    <t>8. Национальное агентство по инвестициям при Президенте Кыргызской Республики (code 57)</t>
  </si>
  <si>
    <t>9. Министерство чрезвычайных ситуаций Кыргызской Республики (code 45) - *Note: Context lists two programs (001 and 263), so this is excluded.*</t>
  </si>
  <si>
    <t>10. Центр перевода Кабинета Министров Кыргызской Республики (code 87)</t>
  </si>
  <si>
    <t>11. Министерство транспорта и коммуникаций Кыргызской Республики (code 43)</t>
  </si>
  <si>
    <t>12. Генеральная прокуратура Кыргызской Республики (code 19)</t>
  </si>
  <si>
    <t>13. Секретариат Национальной комиссии Кыргызской Республики по делам ЮНЕСКО (code 68)</t>
  </si>
  <si>
    <t>14. Министерство финансов Кыргызской Республики (code 25)</t>
  </si>
  <si>
    <t>15. Министерство науки, высшего образования и инноваций Кыргызской Республики (code 31)</t>
  </si>
  <si>
    <t>16. Государственное учреждение «Национальная академия «Манас» (code 88)</t>
  </si>
  <si>
    <t>17. Академия государственного управления при Президенте Кыргызской Республики (code 39)</t>
  </si>
  <si>
    <t>18. Государственное агентство по защите персональных данных при Кабинете Министров Кыргызской Республики (code 58)</t>
  </si>
  <si>
    <t>19. Государственное учреждение «Фонд зеленой энергетики» при Кабинете Министров Кыргызской Республики (code 54)</t>
  </si>
  <si>
    <t>20. Государственное агентство гражданской авиации при Кабинете Министров Кыргызской Республики (code 42)</t>
  </si>
  <si>
    <t>21. Телерадиовещательные компании Кыргызской Республики (code 85)</t>
  </si>
  <si>
    <t>22. Жогорку Кенеш Кыргызской Республики (code 11)</t>
  </si>
  <si>
    <t>23. Министерство цифрового развития и инновационных технологий Кыргызской Республики (code 69)</t>
  </si>
  <si>
    <t>Corrected count based on provided context: 20 ministries/agencies have exactly one budget program.",31839,2,The answer addresses the correct entity (the count of ministries/agencies with one program) but provides an incorrect number (18/20 instead of 19).,8000</t>
  </si>
  <si>
    <t>gemma4,statements_8000tok,14,hard,filter,How many programs show funding growth of more than 10% between 2026 and 2027?,9,"Based on the provided context, 3 programs show funding growth of more than 10% between 2026 and 2027:</t>
  </si>
  <si>
    <t>1. Program 43/001 'Управление и администрирование' (119,287.5 to 149,718.3)</t>
  </si>
  <si>
    <t>2. Program 80/001 'Управление и администрирование' (60,662.6 to 141,699.7)</t>
  </si>
  <si>
    <t>3. Program 41/413 'Государственная поддержка и развитие растениеводства' (479,788.0 to 643,477.5)",26917,2,The answer addresses the correct entity (number of programs) but provides an incorrect count (3 instead of the correct 9).,8000</t>
  </si>
  <si>
    <t>gemma4,statements_8000tok,15,hard,indicator,How many rows in the budget have a performance indicator measured in people (чел.)?,50,16,31901,0,"The model gave 16 instead of the correct number 50, which is incorrect.",8000</t>
  </si>
  <si>
    <t>gemma4,statements_8000tok,16,hard,aggregation,What share of the total 2026 program budget goes to the Ministry of Finance (General State Expenditures)?,"56% (332,149,236.2 out of  593,028,014.9)","The provided context does not contain the total 2026 program budget, so the share cannot be calculated.",29800,0,The model answer does not provide the correct share (56%) and incorrectly claims insufficient information</t>
  </si>
  <si>
    <t>.,8000</t>
  </si>
  <si>
    <t>gemma4,statements_8000tok,17,hard,lookup,Which budget measure (not program) has the largest 2026 funding?,"Повышение социальных выплат - 76,517,019.4",The budget measure with the largest 2026 funding is 'Повышение социальных выплат' with 76.5 billion som.,29348,3,The model correctly identified the measure and gave the matching funding amount.,8000</t>
  </si>
  <si>
    <t>gemma4,statements_8000tok,18,hard,comparison,Which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program 'Управление и администрирование' (code 001) receives the most 2026 funding with 184,945.8 thousand som.",31609,0,"The model gave a different program and amount, not</t>
  </si>
  <si>
    <t>matching the reference answer.",8000</t>
  </si>
  <si>
    <t>gemma4,statements_8000tok,19,hard,multi-step,How many total budget programs and budget measures are in the 2026 program-based budget?,168 programs and 342 measures,The provided context does not contain information regarding the total number of budget programs and budget measures in the 2026 program-based budget.,29254,0,"The model did not provide the required numbers and claimed lack of information, which is inc</t>
  </si>
  <si>
    <t>orrect.",8000</t>
  </si>
  <si>
    <t>gemma4,statements_8000tok,20,hard,multi-step,Which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(Минводресурсов),"The provided context does not contain the absolute funding amounts for all programs, only the perce</t>
  </si>
  <si>
    <t>ntage changes and specific funding for a few prog</t>
  </si>
  <si>
    <t>rams. T</t>
  </si>
  <si>
    <t>he</t>
  </si>
  <si>
    <t>fo</t>
  </si>
  <si>
    <t>re,</t>
  </si>
  <si>
    <t>it i</t>
  </si>
  <si>
    <t>s impossible to determine the top 3 largest absolute funding decreases.",31914,0,"The model answer claims insufficient data, contradicting the reference which provides the top three programs.",8000</t>
  </si>
  <si>
    <t>gemma4,markdown_8000tok,1,easy,lookup,What is the 2026 funding for the 'School Education' program under the Ministry of Education?,"42,380,106.4 тыс. сом",The provided context does not contain information regarding a Ministry of Education or a 'School Education' program.,31863,0,The model did not provide the required funding figure and incorrectly claimed the information was unavailable.,8000</t>
  </si>
  <si>
    <t>gemma4,markdown_8000tok,2,easy,lookup,How many budget programs does the Ministry of Health have?,8,The provided context does not contain information regarding the Ministry of Health.,31863,0,"The model did not provide the correct number (8) and claimed no information was available, which is incorrect.",8000</t>
  </si>
  <si>
    <t>gemma4,markdown_8000tok,3,easy,lookup,Which program has the largest funding allocation in the 2026 budget?,"«Общегосударственные программы» Министерства финансов КР — 164,663,857.2 тыс. сом","The program with the largest funding allocation in the 2026 budget is ""Общегосударственные программы"" under the Министерство финансов Кыргызской Республ, with 164,663,857.2 тыс.сом.",31863,3,The model correctly identifies</t>
  </si>
  <si>
    <t>the program and exact funding amount matching th</t>
  </si>
  <si>
    <t>e refer</t>
  </si>
  <si>
    <t>en</t>
  </si>
  <si>
    <t>ce</t>
  </si>
  <si>
    <t>.,</t>
  </si>
  <si>
    <t>gemma4,markdown_8000tok,4,easy,count,How many total ministries and agencies are represented in the program-based budget?,88,13,31863,2,The model identified the correct entity (total ministries and agencies) but gave an incorrect number (13 instead of 88).,8000</t>
  </si>
  <si>
    <t>gemma4,markdown_8000tok,5,easy,lookup,What is the total 2026 funding for the Jogorku Kenesh (parliament)?,"1,127,306.9 тыс. сом","1,127,306.9 тыс.сом",31863,3,"Exact match of the numeric value and unit, only minor formatting difference",8000</t>
  </si>
  <si>
    <t>gemma4,markdown_8000tok,6,medium,aggregation,What is the total 2026 funding across all programs of the Ministry of Education?,"56,424,894.11 тыс. сом",The provided context does not contain information regarding the Ministry of Education.,31863,0,"The model answer does not provide the required funding figure and states lack of information, which is incorrect.",8000</t>
  </si>
  <si>
    <t>gemma4,markdown_8000tok,7,medium,aggregation,What is the total budget across all program-level items for 2026?,"Примерно 593.2 млрд сом (593,152,147.3 тыс. сом)","284,444,143.1 тыс.сом",31863,0,"The model's figure (284,444,143.1 тыс. сом) does not match the reference total budget of approximately 593,152,147.3 тыс. сом.",8000</t>
  </si>
  <si>
    <t>gemma4,markdown_8000tok,8,medium,comparison,Which ministry receives more funding: Ministry of Health or Ministry of Education?,"Министерство просвещения — 56,424,894.11 тыс. сом против 41,621,347.3  тыс. сом у здравоохранения",The provided context does not contain information regarding the funding for the Ministry of Health or the Ministry of Education.,31863,0,"The model claims no information is available, but</t>
  </si>
  <si>
    <t>the reference provides clear funding figures show</t>
  </si>
  <si>
    <t>ing the</t>
  </si>
  <si>
    <t>M</t>
  </si>
  <si>
    <t>in</t>
  </si>
  <si>
    <t>is</t>
  </si>
  <si>
    <t>try</t>
  </si>
  <si>
    <t>of E</t>
  </si>
  <si>
    <t>ducation receives more.",8000</t>
  </si>
  <si>
    <t>gemma4,markdown_8000tok,9,medium,comparison,"Does the total program-level budget grow or shrink between 2026 and 2027, and by what percentage?",declines by 7.1%,"The provided context does not contain the total program-level budget for 2026 and 2027, only individual line items. Therefore, there is not enough information to determine if the total budget grows or shrinks or by what percentage.",31863,0,"The model c</t>
  </si>
  <si>
    <t>laims insufficient information, whereas the refer</t>
  </si>
  <si>
    <t>ence pr</t>
  </si>
  <si>
    <t>ov</t>
  </si>
  <si>
    <t>id</t>
  </si>
  <si>
    <t>a s</t>
  </si>
  <si>
    <t>peci</t>
  </si>
  <si>
    <t>fic answer (declines by 7.1%).",8000</t>
  </si>
  <si>
    <t>gemma4,markdown_8000tok,10,medium,lookup,Which program has the smallest non-zero funding in 2026?,«Внесение предложений по защите материальных и социальных прав ветеранов» — 739.4 тыс. сом,"The program with the smallest non-zero funding in 2026 is ""Управление и общая координация развития сельскохозяйственной"" under the Верховный суд Кыргызской Республики, with 3392.5 тыс.сом.",31863,0,"The model gave a differe</t>
  </si>
  <si>
    <t>nt program and amount, not matching the reference</t>
  </si>
  <si>
    <t>'s smal</t>
  </si>
  <si>
    <t>le</t>
  </si>
  <si>
    <t>on-z</t>
  </si>
  <si>
    <t>ero</t>
  </si>
  <si>
    <t>funded program.",8000</t>
  </si>
  <si>
    <t>gemma4,markdown_8000tok,11,medium,indicator,What is the most commonly used unit of measurement for performance indicators in the 2026 budget?,Процент (%),The provided context does not contain information regarding the most commonly used unit of measurement for performance indicators; it only lists the names of the indicators.,31863,0,The model answer does not provide the correct unit (Процент) and claims the inf</t>
  </si>
  <si>
    <t>ormation is unavailable.,8000</t>
  </si>
  <si>
    <t>gemma4,markdown_8000tok,12,medium,aggregation,What is the total 2026 program funding for the Ministry of Transport and Communications?,"16,881,928.10",The provided context does not contain information regarding the Ministry of Transport and Communications.,31863,0,"The model did not provide the required funding amount, stating no information was available, which is incorrect.",8000</t>
  </si>
  <si>
    <t>gemma4,markdown_8000tok,13,hard,filter,How many ministries/agencies have exactly one budget program?,19,"6 (Архив Президента Кыргызской Республики, Фонды Президента и Кабинета Министров Кы, Омбудсмен (Акыйкатчы) Кыргызской Респуб, Счетная палата Кыргызской Республики, Центральная комиссия по выборам и провед, Военная прокуратура Кыргызской Республики)",31863,2,Provides a count of ministries/agencies but the numb</t>
  </si>
  <si>
    <t>er (6) does not match the correct answer (19).,80</t>
  </si>
  <si>
    <t>gemma4,markdown_8000tok,14,hard,filter,How many programs show funding growth of more than 10% between 2026 and 2027?,9,0,31863,0,"The model answered 0, which does not match the correct value of 9.",8000</t>
  </si>
  <si>
    <t>gemma4,markdown_8000tok,15,hard,indicator,How many rows in the budget have a performance indicator measured in people (чел.)?,50,0,31863,0,"The model answered 0, which does not match the correct value of 50 rows.",8000</t>
  </si>
  <si>
    <t>gemma4,markdown_8000tok,16,hard,aggregation,What share of the total 2026 program budget goes to the Ministry of Finance (General State Expenditures)?,"56% (332,149,236.2 out of  593,028,014.9)","The provided context does not contain the total 2026 program budget for all ministries, only the specific allocations for the listed entities. Therefore, the share cannot be calculated.",31863,0,"The model claims the sha</t>
  </si>
  <si>
    <t>re cannot be calculated, contradicting the refere</t>
  </si>
  <si>
    <t>nce whi</t>
  </si>
  <si>
    <t>ch</t>
  </si>
  <si>
    <t>s th</t>
  </si>
  <si>
    <t>e 56% figure.",8000</t>
  </si>
  <si>
    <t>gemma4,markdown_8000tok,17,hard,lookup,Which budget measure (not program) has the largest 2026 funding?,"Повышение социальных выплат - 76,517,019.4","Стабилизационный фонд КР (50,000,000.0 тыс.сом)",31863,0,"The model gave a different budget measure and amount, not matching the reference answer.",8000</t>
  </si>
  <si>
    <t>gemma4,markdown_8000tok,18,hard,comparison,Which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provided context does not contain information regarding the Ministry of Emergency Situations.,31863,0,"The model answer does not provide the program or funding amount, contrar</t>
  </si>
  <si>
    <t>y to the reference answer.",8000</t>
  </si>
  <si>
    <t>gemma4,markdown_8000tok,19,hard,multi-step,How many total budget programs and budget measures are in the 2026 program-based budget?,168 programs and 342 measures,"Total budget programs: 24</t>
  </si>
  <si>
    <t>Total budget measures: 78",31863,0,Both the number of programs and measures are incorrect compared to the reference answer.,8000</t>
  </si>
  <si>
    <t>gemma4,markdown_8000tok,20,hard,multi-step,Which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Общегосударственные программы (Министерство финансов Кыргызской Республ): decrease of 52,469,226.0</t>
  </si>
  <si>
    <t>тыс.сом</t>
  </si>
  <si>
    <t>2. Администрирование государственных доходов (Министерство финансов Кыргызской Республ): decrease of 1,134,942.7 тыс.сом</t>
  </si>
  <si>
    <t>3. Обеспечение и координация деятельности по реализации единой (Управление делами Президента Кыргызской): decrease of 265,953.9 тыс.сом",31863,1,Only the first program matches the reference; the other two listed programs are incorrect.,8000</t>
  </si>
  <si>
    <t>gemma4,statements_16000tok,1,easy,lookup,What is the 2026 funding for the 'School Education' program under the Ministry of Education?,"42,380,106.4 тыс. сом",The provided context does not contain information regarding a 'School Education' program or its funding.,32265,0,The model did not provide the required funding figure and incorrectly claimed the information was unavailable.,16000</t>
  </si>
  <si>
    <t>gemma4,statements_16000tok,2,easy,lookup,How many budget programs does the Ministry of Health have?,8,"The Ministry of Health (Министерство здравоохранения Кыргызской Республики, code 37) has 6 budget programs:</t>
  </si>
  <si>
    <t>3. Программа «Организация предоставления услуг здравоохранения» (code 373)</t>
  </si>
  <si>
    <t>4. Программа «Медицинское образование и управление человеческими ресурсами в здравоохранении» (code 374)</t>
  </si>
  <si>
    <t>5. Предоставление услуг первично-медико санитарной помощи (code 375)</t>
  </si>
  <si>
    <t>6. Предоставление услуг медицинскими учреждениями на стационарном уровне (code 376)",44203,2,Correct entity (Ministry of Health) but gives the wrong number of budget programs (6 instead of 8).,16000</t>
  </si>
  <si>
    <t>gemma4,statements_16000tok,3,easy,lookup,Which program has the largest funding allocation in the 2026 budget?,"«Общегосударственные программы» Министерства финансов КР — 164,663,857.2 тыс. сом",The program with the largest funding allocation in the 2026 budget is 'Школьное образование' under 'Министерство просвещения Кыргызской Республики' with 42.4 billion som.,28496,0,"The model gave a different program and am</t>
  </si>
  <si>
    <t>ount, not matching the reference answer.",16000</t>
  </si>
  <si>
    <t>gemma4,statements_16000tok,4,easy,count,How many total ministries and agencies are represented in the program-based budget?,88,"Based on the provided context, there are 88 distinct ministries and agencies represented (as indicated by the GRBS codes ranging from 11 to 88).",29451,3,"The model correctly states the total number of ministries and agencies as 88, matching the reference answer.",16000</t>
  </si>
  <si>
    <t>gemma4,statements_16000tok,5,easy,lookup,What is the total 2026 funding for the Jogorku Kenesh (parliament)?,"1,127,306.9 тыс. сом",1.1 billion som,27738,3,"Model's 1.1 billion som correctly approximates the reference 1,127,306.9 тыс. сом (≈1.127 billion som).",16000</t>
  </si>
  <si>
    <t>gemma4,statements_16000tok,6,medium,aggregation,What is the total 2026 funding across all programs of the Ministry of Education?,"56,424,894.11 тыс. сом","The total 2026 allocation for 'Министерство просвещения Кыргызской Республики' is 56.4 billion som (or 56,424,894.1 thousand som).",32711,3,"Model provides the correct total funding value matching the reference, with acceptable rounding.",16000</t>
  </si>
  <si>
    <t>gemma4,statements_16000tok,7,medium,aggregation,What is the total budget across all program-level items for 2026?,"Примерно 593.2 млрд сом (593,152,147.3 тыс. сом)",The provided context does not contain the total budget across all program-level items for 2026.,26064,0,"The model claims the information is missing, but the reference provides the total budget value, so the answer is incorrect.",16000</t>
  </si>
  <si>
    <t>gemma4,statements_16000tok,8,medium,comparison,Which ministry receives more funding: Ministry of Health or Ministry of Education?,"Министерство просвещения — 56,424,894.11 тыс. сом против 41,621,347.3  тыс. сом у здравоохранения","Ministry of Education (Министерство просвещения Кыргызской Республики) receives more funding, with 56,424,894.1 thousand som in 2026, compared to the Ministry of Health (Министерство з</t>
  </si>
  <si>
    <t>дравоохранения Кыргызской Республики), which rece</t>
  </si>
  <si>
    <t>ives 41</t>
  </si>
  <si>
    <t>,6</t>
  </si>
  <si>
    <t>,3</t>
  </si>
  <si>
    <t>tho</t>
  </si>
  <si>
    <t>usand som in 2026.",41486,3,The model correctly identifies the Ministry of Education as receiving more funding and provides matching figures.,16000</t>
  </si>
  <si>
    <t>gemma4,statements_16000tok,9,medium,comparison,"Does the total program-level budget grow or shrink between 2026 and 2027, and by what percentage?",declines by 7.1%,"The provided context does not contain the total program-level budget for the entire 2026 program-based budget, only the growth or shrinkage percentages and allocations for individual ministries and agencies.",26225,0,The model answer does not provide</t>
  </si>
  <si>
    <t>the required fact that the budget declines by 7.</t>
  </si>
  <si>
    <t>1%.,160</t>
  </si>
  <si>
    <t>gemma4,statements_16000tok,10,medium,lookup,Which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 with 739.4 тыс. сом.,28942,3,The model correctly identifies the program and the exact funding amount matchin</t>
  </si>
  <si>
    <t>g the reference.,16000</t>
  </si>
  <si>
    <t>gemma4,statements_16000tok,11,medium,indicator,What is the most commonly used unit of measurement for performance indicators in the 2026 budget?,Процент (%),The most commonly used unit of measurement is percent (%).,34521,3,The model correctly identifies the unit as percent (%) matching the reference answer.,16000</t>
  </si>
  <si>
    <t>gemma4,statements_16000tok,12,medium,aggregation,What is the total 2026 program funding for the Ministry of Transport and Communications?,"16,881,928.10","16.9 billion som (or 16,881,928.1 thousand som).",29453,3,"Model provides the same numeric value (16,881,928.1 thousand som) and correctly rounds to 16.9 billion som, matching the reference.",16000</t>
  </si>
  <si>
    <t>gemma4,statements_16000tok,13,hard,filter,How many ministries/agencies have exactly one budget program?,19,"Based on the provided context, the following 18 ministries/agencies have exactly one budget program:</t>
  </si>
  <si>
    <t>24. Министерство иностранных дел Кыргызской Республики (code 23)</t>
  </si>
  <si>
    <t>25. Министерство здравоохранения Кыргызской Республики (code 37)</t>
  </si>
  <si>
    <t>Correcting for those with multiple programs (55, 17, 45), there are 22 ministries/agencies with exactly one budget program listed.",33104,2,"The answer provides a count of ministries/agencies with exactly one budget program, but the number (22) does not match the correct value (19).",16000</t>
  </si>
  <si>
    <t>gemma4,statements_16000tok,14,hard,filter,How many programs show funding growth of more than 10% between 2026 and 2027?,9,"Based on the provided context, 4 programs show funding growth of more than 10% between 2026 and 2027:</t>
  </si>
  <si>
    <t>3. Program 41/413 'Государственная поддержка и развитие растениеводства' (479,788.0 to 643,477.5)</t>
  </si>
  <si>
    <t>4. Program 80/804 'Развитие гуманитарных исследований' (decreased) — *Correction*: Only the three listed above and the following:</t>
  </si>
  <si>
    <t>- Program 43/001</t>
  </si>
  <si>
    <t>- Program 80/001</t>
  </si>
  <si>
    <t>- Program 41/413</t>
  </si>
  <si>
    <t>- Program 64/001 'Управление и администрирование' (61,534.1 to 64,812.7 is only ~5%)</t>
  </si>
  <si>
    <t>Re-evaluating the list for &gt;10% growth:</t>
  </si>
  <si>
    <t>1. Program 43/001: 119,287.5 $\rightarrow$ 149,718.3 (~25.4%)</t>
  </si>
  <si>
    <t>2. Program 80/001: 60,662.6 $\rightarrow$ 141,699.7 (~133.6%)</t>
  </si>
  <si>
    <t>3. Program 41/413: 479,788.0 $\rightarrow$ 643,477.5 (~34.1%)</t>
  </si>
  <si>
    <t>Total: 3 programs.",26917,0,"The reference answer states 9 programs, but the model answer lists only 3, which is incorrect.",16000</t>
  </si>
  <si>
    <t>gemma4,statements_16000tok,15,hard,indicator,How many rows in the budget have a performance indicator measured in people (чел.)?,50,18,34915,0,"The model gave 18, but the correct number is 50, so the answer is incorrect.",16000</t>
  </si>
  <si>
    <t>gemma4,statements_16000tok,16,hard,aggregation,What share of the total 2026 program budget goes to the Ministry of Finance (General State Expenditures)?,"56% (332,149,236.2 out of  593,028,014.9)","The provided context does not contain the total 2026 program budget, so the share cannot be calculated.",29800,0,The model answer does not provide the correct share (56%) and incorrectly claims insufficient informatio</t>
  </si>
  <si>
    <t>n.,16000</t>
  </si>
  <si>
    <t>gemma4,statements_16000tok,17,hard,lookup,Which budget measure (not program) has the largest 2026 funding?,"Повышение социальных выплат - 76,517,019.4",The budget measure with the largest 2026 funding is 'Повышение социальных выплат' with 76.5 billion som.,29348,3,The model correctly identifies the measure and provides the matching funding amount.,16000</t>
  </si>
  <si>
    <t>gemma4,statements_16000tok,18,hard,comparison,Which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program 'Управление и администрирование' (code 001) receives the most 2026 funding with 184,945.8 thousand som.",31609,0,"The model gave a different program and amount, no</t>
  </si>
  <si>
    <t>t matching the reference answer.",16000</t>
  </si>
  <si>
    <t>gemma4,statements_16000tok,19,hard,multi-step,How many total budget programs and budget measures are in the 2026 program-based budget?,168 programs and 342 measures,The provided context does not contain information regarding the total number of budget programs and budget measures in the 2026 program-based budget.,29254,0,"The model did not provide the required numbers and claimed lack of information, which is in</t>
  </si>
  <si>
    <t>correct.",16000</t>
  </si>
  <si>
    <t>gemma4,statements_16000tok,20,hard,multi-step,Which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on the provided context, the programs with the largest absolute funding decreases from 2026</t>
  </si>
  <si>
    <t>to 2027 are:</t>
  </si>
  <si>
    <t>1. **Управление и администрирование (Министерство юстиции Кыргызской Республики)**: decrease of 16,245.7 тыс. сом (from 282,746.0 to 266,500.3).</t>
  </si>
  <si>
    <t>2. **Управление и администрирование (Генеральная прокуратура Кыргызской Республики)**: decrease of 956.8 тыс. сом (from 115,861.1 to 114,914.3).</t>
  </si>
  <si>
    <t>3. **Управление и администрирование (Академия государственного управления при Президенте Кыргызской Республики)**: decrease of 65.9 тыс. сом (from 6,239.5 to 6,173.6).",33951,0,The model answer lists unrelated programs and does not match any of the three programs identified in the reference answer.,16000</t>
  </si>
  <si>
    <t>gemma4,markdown_16000tok,1,easy,lookup,What is the 2026 funding for the 'School Education' program under the Ministry of Education?,"42,380,106.4 тыс. сом","42,380,106.4 тыс.сом",63940,3,"Exact same numeric value and unit as reference, formatting difference is negligible.",16000</t>
  </si>
  <si>
    <t>gemma4,markdown_16000tok,2,easy,lookup,How many budget programs does the Ministry of Health have?,8,"The Ministry of Health (Министерство здравоохранения Кыргызской) has 5 budget programs:</t>
  </si>
  <si>
    <t>1. Управление и администрирование</t>
  </si>
  <si>
    <t>2. Программа «Общественное здравоохранение»</t>
  </si>
  <si>
    <t>3. Программа «Организация предоставления услуг здравоохранения»</t>
  </si>
  <si>
    <t>4. Программа «Медицинское образование и управление человеческим»</t>
  </si>
  <si>
    <t>5. Предоставление услуг первично-медико санитарной помощи</t>
  </si>
  <si>
    <t>6. Предоставление услуг медицинскими учреждениями на стационарн</t>
  </si>
  <si>
    <t>7. Обеспечение доступа к льготному гемодиализному лечению",63940,2,Correct entity (Ministry of Health) but gives the wrong number of budget programs (5 instead of 8).,16000</t>
  </si>
  <si>
    <t>gemma4,markdown_16000tok,3,easy,lookup,Which program has the largest funding allocation in the 2026 budget?,"«Общегосударственные программы» Министерства финансов КР — 164,663,857.2 тыс. сом","The program with the largest funding allocation in the 2026 budget is ""Общегосударственные программы"" under the Министерство финансов Кыргызской Республ, with 164,663,857.2 тыс.сом.",63940,3,The model correctly identifie</t>
  </si>
  <si>
    <t>d the program and exact funding amount as in the</t>
  </si>
  <si>
    <t>referen</t>
  </si>
  <si>
    <t>gemma4,markdown_16000tok,4,easy,count,How many total ministries and agencies are represented in the program-based budget?,88,22,63940,2,The answer addresses the correct entity (total ministries and agencies) but gives an incorrect number (22 vs 88).,16000</t>
  </si>
  <si>
    <t>gemma4,markdown_16000tok,5,easy,lookup,What is the total 2026 funding for the Jogorku Kenesh (parliament)?,"1,127,306.9 тыс. сом","1,127,306.9 тыс.сом",63940,3,Exact match of the numeric value and unit; formatting difference is negligible.,16000</t>
  </si>
  <si>
    <t>gemma4,markdown_16000tok,6,medium,aggregation,What is the total 2026 funding across all programs of the Ministry of Education?,"56,424,894.11 тыс. сом","The provided context does not contain a ""Ministry of Education""; however, it lists the ""Министерство просвещения Кыргызской Респ"" (Ministry of Education and Science/Enlightenment) with the following 2026 program funding:</t>
  </si>
  <si>
    <t>*   Управление и администрирование: 1,962,869.4 тыс.сом</t>
  </si>
  <si>
    <t>*   Дошкольное образование и предшкольная подготовка: 8,891,657.5 тыс.сом</t>
  </si>
  <si>
    <t>*   Школьное образование: 42,380,106.4 тыс.сом</t>
  </si>
  <si>
    <t>*   Начальное и среднее профессиональное образование: 2,178,080.8 тыс.сом</t>
  </si>
  <si>
    <t>Total: 55,412,714.1 тыс.сом",63940,2,Identifies the correct ministry but provides an incorrect total funding amount.,16000</t>
  </si>
  <si>
    <t>gemma4,markdown_16000tok,7,medium,aggregation,What is the total budget across all program-level items for 2026?,"Примерно 593.2 млрд сом (593,152,147.3 тыс. сом)","To calculate the total budget across all program-level items for 2026, the following values are summed:</t>
  </si>
  <si>
    <t>*   Фонды Президента и Кабинета Министров (Фонд Президента и Резервный фонд...): 2,030,000.0</t>
  </si>
  <si>
    <t>*   Управление делами Президента (Обеспечение и координация деятельности...): 2,837,368.8</t>
  </si>
  <si>
    <t>*   Управление делами Президента (Организация и координация деятельности): 805,338.5</t>
  </si>
  <si>
    <t>*   Управление делами Президента (Создание и развитие Национального корпуса...): 116,882.7</t>
  </si>
  <si>
    <t>*   Верховный суд (Эффективное продвижение экономической дипломатии): 290,900.9</t>
  </si>
  <si>
    <t>*   Верховный суд (Управление и общая координация развития сельскохозяйственной): 3,392.5</t>
  </si>
  <si>
    <t>*   Верховный суд (Планирование, обеспечение, по экономическому, социальному пр): 3,787,470.5</t>
  </si>
  <si>
    <t>*   Счетная палата (Управление и администрирование): 165,033.1</t>
  </si>
  <si>
    <t>*   Счетная палата (Проведение государственного аудита): 561,208.7</t>
  </si>
  <si>
    <t>*   Центральная комиссия по выборам (Управление и администрирование): 174,569.0</t>
  </si>
  <si>
    <t>*   Центральная комиссия по выборам (Внедрение электронной системы...): 59,137.4</t>
  </si>
  <si>
    <t>*   Центральная комиссия по выборам (Разработка системы мониторинга...): 15,000.0</t>
  </si>
  <si>
    <t>*   Генеральная прокуратура (Управление и администрирование): 666,610.0</t>
  </si>
  <si>
    <t>*   Генеральная прокуратура (Надзор за исполнением законов по противодействию коррупции): 365,908.9</t>
  </si>
  <si>
    <t>*   Генеральная прокуратура (Надзор за следствием и оперативно-розыскной деятельностью): 248,904.5</t>
  </si>
  <si>
    <t>*   Генеральная прокуратура (Судебно-правовая реформа): 68,715.5</t>
  </si>
  <si>
    <t>*   Военная прокуратура (Управление и администрирование): 152,559.6</t>
  </si>
  <si>
    <t>*   Омбудсмен (Управление и администрирование): 115,861.1</t>
  </si>
  <si>
    <t>*   Министерство юстиции (Управление и администрирование): 282,746.0</t>
  </si>
  <si>
    <t>*   Министерство юстиции (Осуществление государственной регистрации...): 176,690.6</t>
  </si>
  <si>
    <t>*   Министерство юстиции (Осуществление гарантированной государством юридической помощ): 191,314.8</t>
  </si>
  <si>
    <t>*   Министерство юстиции (Исполнение уголовных наказаний...): 272,664.0</t>
  </si>
  <si>
    <t>*   Министерство юстиции (Осуществление судебно-экспертной деятельности): 181,071.6</t>
  </si>
  <si>
    <t>*   Министерство юстиции (Осуществление деятельности по представлению интересов КР...): 245,999.5</t>
  </si>
  <si>
    <t>*   Министерство иностранных дел (Управление и администрирование): 2,287,244.9</t>
  </si>
  <si>
    <t>*   Министерство иностранных дел (Представление интересов КР и ее граждан зарубежом): 2,408,549.4</t>
  </si>
  <si>
    <t>*   Министерство иностранных дел (Предоставление высшего образования...): 44,684.4</t>
  </si>
  <si>
    <t>*   Резервные и другие фонды территорий (Резервные и другие фонды территорий): 5,159,304.8</t>
  </si>
  <si>
    <t>*   Министерство финансов (Управление и администрирование): 2,077,532.3</t>
  </si>
  <si>
    <t>*   Министерство финансов (Эффективное управление государственными финансами): 332,704.9</t>
  </si>
  <si>
    <t>*   Министерство финансов (Администрирование государственных доходов): 10,614,609.5</t>
  </si>
  <si>
    <t>*   Министерство финансов (Противодействие финансированию террористической деятельности): 104,267.8</t>
  </si>
  <si>
    <t>*   Министерство финансов (Пенсионное обеспечение и компенсации...): 46,670,347.3</t>
  </si>
  <si>
    <t>*   Министерство финансов (Общегосударственные программы): 164,663,857.2</t>
  </si>
  <si>
    <t>*   Министерство финансов (Государственные программы, мероприятия и выплаты): 118,757,161.3</t>
  </si>
  <si>
    <t>*   Министерство финансов (Трансферты Фонду ОМС при ПКР): 2,057,870.4</t>
  </si>
  <si>
    <t>*   Конституционный суд (Обеспечение конституционного правосудия...): 81,635.4</t>
  </si>
  <si>
    <t>*   Министерство экономики и коммерции (Управление и администрирование): 269,739.3</t>
  </si>
  <si>
    <t>*   Министерство экономики и коммерции (Благоприятная нормативно-правовая среда...): 240,842.6</t>
  </si>
  <si>
    <t>*   Министерство экономики и коммерции (Макроэкономическая политика...): 107,895.4</t>
  </si>
  <si>
    <t>*   Министерство экономики и коммерции (Устойчивый рост экспорта...): 213,365.4</t>
  </si>
  <si>
    <t>*   Министерство экономики и коммерции (Развитие небанковского финансового рынка): 53,903.0</t>
  </si>
  <si>
    <t>*   Министерство экономики и коммерции (Эффективное управление государственным имуществом): 19,561.8</t>
  </si>
  <si>
    <t>*   Министерство науки, высшего образования (Управление и администрирование): 737,759.3</t>
  </si>
  <si>
    <t>*   Министерство науки, высшего образования (Развитие науки, инноваций...): 132,692.0</t>
  </si>
  <si>
    <t>*   Министерство науки, высшего образования (Содействие улучшению качественного состава...): 19,428.6</t>
  </si>
  <si>
    <t>*   Министерство науки, высшего образования (Высшее и Среднее профессиональное образование): 3,669,147.5</t>
  </si>
  <si>
    <t>*   Министерство науки, высшего образования (Государственная поддержка прикладных исследований...): 244,173.0</t>
  </si>
  <si>
    <t>*   Министерство просвещения (Управление и администрирование): 1,962,869.4</t>
  </si>
  <si>
    <t>*   Министерство просвещения (Дошкольное образование и предшкольная подготовка): 8,891,657.5</t>
  </si>
  <si>
    <t>*   Министерство просвещения (Школьное образование): 42,380,106.4</t>
  </si>
  <si>
    <t>*   Министерство просвещения (Начальное и среднее профессиональное образование): 2,178,080.8</t>
  </si>
  <si>
    <t>*   Министерство здравоохранения (Управление и администрирование): 321,933.8</t>
  </si>
  <si>
    <t>*   Министерство здравоохранения (Программа «Общественное здравоохранение»): 2,170,534.1</t>
  </si>
  <si>
    <t>*   Министерство здравоохранения (Программа «Организация предоставления услуг здравоохранения»): 6,305,318.8</t>
  </si>
  <si>
    <t>*   Министерство здравоохранения (Программа «Медицинское образование...»): 962,011.6</t>
  </si>
  <si>
    <t>*   Министерство здравоохранения (Предоставление услуг первично-медико санитарной помощи): 11,104,430.6</t>
  </si>
  <si>
    <t>*   Министерство здравоохранения (Предоставление услуг медицинскими учреждениями на стационарн): 15,638,295.2</t>
  </si>
  <si>
    <t>*   Министерство здравоохранения (Обеспечение доступа к льготному гемодиализному лечению): 2,530,800.0</t>
  </si>
  <si>
    <t>*   Министерство труда, социального обеспече (Управление и администрирование): 1,567,378.5</t>
  </si>
  <si>
    <t>*   Министерство труда, социального обеспече (Поддержка семей и детей...): 15,529,568.0</t>
  </si>
  <si>
    <t>*   Министерство труда, социального обеспече (Социальная защита лиц с ограничеными возможностями здоровья): 3,099,750.4</t>
  </si>
  <si>
    <t>*   Министерство труда, социального обеспече (Предоставление денежных компенсаций...): 1,061,098.4</t>
  </si>
  <si>
    <t>*   Министерство труда, социального обеспече (Содействие занятости населения...): 2,013,985.2</t>
  </si>
  <si>
    <t>*   Министерство труда, социального обеспече (Социальная защита жертв от семейного и гендерного насилия): 28,651.2</t>
  </si>
  <si>
    <t>*   Академия государственного управления (Управление и администрирование): 35,953.6</t>
  </si>
  <si>
    <t>*   Академия государственного управления (Предоставление высшего профессионального образования...): 36,155.1</t>
  </si>
  <si>
    <t>*   Академия государственного управления (Повышение квалификации государственных и муниципальных служа): 48,781.2</t>
  </si>
  <si>
    <t>*   Общественное объединение «Республикански (Внесение предложений по защите...): 739.4</t>
  </si>
  <si>
    <t>*   Министерство водных ресурсов, сельского (Управление и администрирование): 425,993.2</t>
  </si>
  <si>
    <t>*   Министерство водных ресурсов, сельского (Развитие животноводства...): 1,294,075.7</t>
  </si>
  <si>
    <t>*   Министерство водных ресурсов, сельского (Государственная поддержка и развитие растениеводства): 479,788.0</t>
  </si>
  <si>
    <t>*   Министерство водных ресурсов, сельского (Государственная поддержка и развитие ирригации): 5,039,751.9</t>
  </si>
  <si>
    <t>*   Министерство водных ресурсов, сельского (Цифровизация сельского хозяйства): 579,867.8</t>
  </si>
  <si>
    <t>Total: 435,144,111.1 тыс.сом",63940,0,"The model's total (435,144,111.1 тыс. сом) does not match the reference total of approximately 593,152,147.3 тыс. сом.",16000</t>
  </si>
  <si>
    <t>gemma4,markdown_16000tok,8,medium,comparison,Which ministry receives more funding: Ministry of Health or Ministry of Education?,"Министерство просвещения — 56,424,894.11 тыс. сом против 41,621,347.3  тыс. сом у здравоохранения","The Ministry of Education (Министерство просвещения Кыргызской Респ) receives more funding.</t>
  </si>
  <si>
    <t>*   **Ministry of Education:** 55,421,333.7 тыс.сом (sum of programs: 1,962,869.4 + 8,891,657.5 + 42,380,106.4 + 2,186,700.0)</t>
  </si>
  <si>
    <t>*   **Ministry of Health:** 31,121,121.2 тыс.сом (sum of programs: 321,933.8 + 2,170,534.1 + 6,305,318.8 + 962,011.6 + 11,104,430.6 + 15,638,295.2 - *Note: The provided context lists the Ministry of Health's programs totaling 36,502,524.1 тыс.сом, but the Ministry of Education's total is higher.*)</t>
  </si>
  <si>
    <t>*Correction based on program totals:*</t>
  </si>
  <si>
    <t>*   **Ministry of Education:** 55,421,333.7 тыс.сом</t>
  </si>
  <si>
    <t>*   **Ministry of Health:** 36,502,524.1 тыс.сом",63940,2,"Correctly identifies Ministry of Education as receiving more funding, but provides incorrect funding figures compared to the reference.",16000</t>
  </si>
  <si>
    <t>gemma4,markdown_16000tok,9,medium,comparison,"Does the total program-level budget grow or shrink between 2026 and 2027, and by what percentage?",declines by 7.1%,"The provided context does not contain the total program-level budget for 2026 and 2027, as it only lists individual programs and measures. Therefore, there is not enough information to determine if the total budget grows or shrinks or to calculate the</t>
  </si>
  <si>
    <t>percentage.",63940,0,"The model claims insufficie</t>
  </si>
  <si>
    <t>nt info</t>
  </si>
  <si>
    <t>rm</t>
  </si>
  <si>
    <t>at</t>
  </si>
  <si>
    <t>io</t>
  </si>
  <si>
    <t>n, w</t>
  </si>
  <si>
    <t>here</t>
  </si>
  <si>
    <t>as the reference provides a specific answer (declines by 7.1%).",16000</t>
  </si>
  <si>
    <t>gemma4,markdown_16000tok,10,medium,lookup,Which program has the smallest non-zero funding in 2026?,«Внесение предложений по защите материальных и социальных прав ветеранов» — 739.4 тыс. сом,"The program with the smallest non-zero funding in 2026 is ""Внесение предложений по защите материальных и социальных пра"" (under Общественное объединение «Республикански») with 739.4 тыс.сом.",63940,3,"The answer correctly</t>
  </si>
  <si>
    <t>identifies the program and the exact funding amou</t>
  </si>
  <si>
    <t>nt, mat</t>
  </si>
  <si>
    <t>g</t>
  </si>
  <si>
    <t>refe</t>
  </si>
  <si>
    <t>rence.",16000</t>
  </si>
  <si>
    <t>gemma4,markdown_16000tok,11,medium,indicator,What is the most commonly used unit of measurement for performance indicators in the 2026 budget?,Процент (%),The provided context does not contain information regarding the most commonly used unit of measurement for performance indicators; it only lists the names of the indicators.,63940,0,"The model answer does not provide the correct unit (Процент) and claims lack</t>
  </si>
  <si>
    <t>of information, which is incorrect.",16000</t>
  </si>
  <si>
    <t>gemma4,markdown_16000tok,12,medium,aggregation,What is the total 2026 program funding for the Ministry of Transport and Communications?,"16,881,928.10",The provided context does not contain information regarding the Ministry of Transport and Communications.,63940,0,The model did not provide the required funding figure and incorrectly claimed the information was unavailable.,16000</t>
  </si>
  <si>
    <t>gemma4,markdown_16000tok,13,hard,filter,How many ministries/agencies have exactly one budget program?,19,"The following 7 ministries/agencies have exactly one budget program:</t>
  </si>
  <si>
    <t>1. Архив Президента Кыргызской Республики</t>
  </si>
  <si>
    <t>2. Конституционный суд Кыргызской Республики</t>
  </si>
  <si>
    <t>3. Омбудсмен (Акыйкатчы) Кыргызской Респуб</t>
  </si>
  <si>
    <t>4. Общественное объединение «Республикански</t>
  </si>
  <si>
    <t>5. Резервные и другие фонды территорий</t>
  </si>
  <si>
    <t>6. Фонды Президента и Кабинета Министров Кы</t>
  </si>
  <si>
    <t>7. Академия государственного управления при (Note: This entity has 3 programs listed, but the question asks for those with exactly one. Re-evaluating the list: Архив Президента, Конституционный суд, Омбудсмен, Общественное объединение, Резервные и другие фонды территорий, and Фонды Президента are the only ones with exactly one program).</t>
  </si>
  <si>
    <t>Corrected count: 6",63940,0,"The model answer gives 6 (or 7) ministries, which does not match the correct count of 19.",16000</t>
  </si>
  <si>
    <t>gemma4,markdown_16000tok,14,hard,filter,How many programs show funding growth of more than 10% between 2026 and 2027?,9,"Based on the provided context, 2 programs show funding growth of more than 10% between 2026 and 2027:</t>
  </si>
  <si>
    <t>1. **Министерство экономики и коммерции Кыргы** (program: Благоприятная нормативно-правовая среда для активизации при): 240,842.6 to 245,180.7 (growth is &lt; 10%) — *Correction: Checking all programs.*</t>
  </si>
  <si>
    <t>Re-evaluating all ""program"" level entries:</t>
  </si>
  <si>
    <t>* **Министерство водных ресурсов, сельского** (program: Государственная поддержка и развитие растениеводства): 479,788.0 to 643,477.5 (~34% growth)</t>
  </si>
  <si>
    <t>* **Министерство финансов Кыргызской Республ** (program: Общегосударственные программы): 164,663,857.2 to 112,194,631.2 (decrease)</t>
  </si>
  <si>
    <t>* **Министерство финансов Кыргызской Республ** (program: Государственные программы, мероприятия и выплаты): 118,757,161.3 to 131,802,316.2 (~11% growth)</t>
  </si>
  <si>
    <t>Total: 2 programs.",63940,2,The answer identifies the correct concept (count of programs with &gt;10% growth) but provides an incorrect number (2 instead of the correct 9).,16000</t>
  </si>
  <si>
    <t>gemma4,markdown_16000tok,15,hard,indicator,How many rows in the budget have a performance indicator measured in people (чел.)?,50,The provided context does not contain any performance indicators measured in people (чел.).,63940,0,"Model answer states there are none, contradicting the correct answer of 50 rows.",16000</t>
  </si>
  <si>
    <t>gemma4,markdown_16000tok,16,hard,aggregation,What share of the total 2026 program budget goes to the Ministry of Finance (General State Expenditures)?,"56% (332,149,236.2 out of  593,028,014.9)","The provided context does not contain the total 2026 program budget, so the share for the Ministry of Finance cannot be calculated.",63940,0,"The model claims the share cannot be calculated, contradicting the reference</t>
  </si>
  <si>
    <t>which provides the correct 56% share.",16000</t>
  </si>
  <si>
    <t>gemma4,markdown_16000tok,17,hard,lookup,Which budget measure (not program) has the largest 2026 funding?,"Повышение социальных выплат - 76,517,019.4","The budget measure with the largest 2026 funding is ""Обеспечение базовой части пенсии"" (Ministry of Finance) with 33,574,380.8 тыс.сом.",63940,0,"The model gave a different measure and amount, not matching the reference answer.",16000</t>
  </si>
  <si>
    <t>gemma4,markdown_16000tok,18,hard,comparison,Which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provided context does not contain information regarding the Ministry of Emergency Situations.,63940,0,"The model answer does not provide the required program and funding, ins</t>
  </si>
  <si>
    <t>tead claims lack of information, which is incorre</t>
  </si>
  <si>
    <t>ct.",16</t>
  </si>
  <si>
    <t>gemma4,markdown_16000tok,19,hard,multi-step,How many total budget programs and budget measures are in the 2026 program-based budget?,168 programs and 342 measures,"Total budget programs: 54</t>
  </si>
  <si>
    <t>Total budget measures: 138",63940,0,Both the number of programs and measures are incorrect compared to the reference answer.,16000</t>
  </si>
  <si>
    <t>gemma4,markdown_16000tok,20,hard,multi-step,Which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Общегосударственные программы (Министерство финансов Кыргызской Республ): -52,469,226.0 тыс.сом</t>
  </si>
  <si>
    <t>2. Администрирование государственных доходов (Министерство финансов Кыргызской Республ): -1,134,942.7 тыс.сом</t>
  </si>
  <si>
    <t>3. Государственная поддержка и развитие ирригации (Министерство водных ресурсов, сельского): -1,265,069.1 тыс.сом",63940,2,Model correctly lists two of the three programs but replaces the second reference program with an incorrect one.,16000</t>
  </si>
  <si>
    <t>gemma4,statements_full,1,easy,lookup,What is the 2026 funding for the 'School Education' program under the Ministry of Education?,"42,380,106.4 тыс. сом",The provided context does not contain information regarding a 'School Education' program or specific program allocations for the Ministry of Education (Министерство просвещения Кыргызской Республики).,32265,0,"The model did not provide the required funding figu</t>
  </si>
  <si>
    <t>re and claimed the information was unavailable, w</t>
  </si>
  <si>
    <t>hich is</t>
  </si>
  <si>
    <t>nc</t>
  </si>
  <si>
    <t>or</t>
  </si>
  <si>
    <t>rect</t>
  </si>
  <si>
    <t>.",f</t>
  </si>
  <si>
    <t>ull</t>
  </si>
  <si>
    <t>gemma4,statements_full,2,easy,lookup,How many budget programs does the Ministry of Health have?,8,"The Ministry of Health (Министерство здравоохранения Кыргызской Республики, code 37) has 6 budget programs:</t>
  </si>
  <si>
    <t>6. Предоставление услуг медицинскими учреждениями на стационарном уровне (code 376)",44203,2,Correct entity (Ministry of Health) but gives the wrong number of budget programs (6 instead of 8).,full</t>
  </si>
  <si>
    <t>gemma4,statements_full,3,easy,lookup,Which program has the largest funding allocation in the 2026 budget?,"«Общегосударственные программы» Министерства финансов КР — 164,663,857.2 тыс. сом",The program with the largest funding allocation in the 2026 budget is 'Школьное образование' under 'Министерство просвещения Кыргызской Республики' with 42.4 billion som.,28496,0,"The model gave a different program and amount</t>
  </si>
  <si>
    <t>, not matching the reference answer.",full</t>
  </si>
  <si>
    <t>gemma4,statements_full,4,easy,count,How many total ministries and agencies are represented in the program-based budget?,88,"Based on the provided context, there are 88 distinct ministries and agencies represented (as indicated by the GRBS codes ranging from 11 to 88).",29451,3,"The model correctly states the total number of ministries and agencies as 88, matching the reference answer.",full</t>
  </si>
  <si>
    <t>gemma4,statements_full,5,easy,lookup,What is the total 2026 funding for the Jogorku Kenesh (parliament)?,"1,127,306.9 тыс. сом",1.1 billion som,27738,3,"Model's 1.1 billion som correctly approximates the reference 1,127,306.9 тыс. сом (≈1.127 billion som).",full</t>
  </si>
  <si>
    <t>gemma4,statements_full,6,medium,aggregation,What is the total 2026 funding across all programs of the Ministry of Education?,"56,424,894.11 тыс. сом","The total 2026 allocation for 'Министерство просвещения Кыргызской Республики' is 56.4 billion som (or 56,424,894.1 thousand som).",32711,3,"Model provides the same total funding value, correctly expressed as 56.4 billion som / 56,424,894.1 thousand som.",full</t>
  </si>
  <si>
    <t>gemma4,statements_full,7,medium,aggregation,What is the total budget across all program-level items for 2026?,"Примерно 593.2 млрд сом (593,152,147.3 тыс. сом)",The provided context does not contain the total budget across all program-level items for 2026.,26064,0,"The model answer fails to provide the budget figure given in the reference, stating the information is missing.",full</t>
  </si>
  <si>
    <t>gemma4,statements_full,8,medium,comparison,Which ministry receives more funding: Ministry of Health or Ministry of Education?,"Министерство просвещения — 56,424,894.11 тыс. сом против 41,621,347.3  тыс. сом у здравоохранения","Ministry of Education (Министерство просвещения Кыргызской Республики) receives more funding, with 56,424,894.1 thousand som in 2026, compared to the Ministry of Health (Министерство здрав</t>
  </si>
  <si>
    <t>оохранения Кыргызской Республики), which receives</t>
  </si>
  <si>
    <t>usan</t>
  </si>
  <si>
    <t>d som in 2026.",41486,3,The model correctly identifies the Ministry of Education as receiving more funding and provides matching figures.,full</t>
  </si>
  <si>
    <t>gemma4,statements_full,9,medium,comparison,"Does the total program-level budget grow or shrink between 2026 and 2027, and by what percentage?",declines by 7.1%,"The provided context does not contain the total program-level budget for the entire 2026 program-based budget, only the growth or shrinkage percentages and allocations for individual ministries and agencies.",26225,0,The model answer does not provide the</t>
  </si>
  <si>
    <t>required fact that the budget declines by 7.1%.,</t>
  </si>
  <si>
    <t>full</t>
  </si>
  <si>
    <t>gemma4,statements_full,10,medium,lookup,Which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 with 739.4 тыс. сом.,28942,3,The model correctly identifies the program with the smallest non-zero funding and p</t>
  </si>
  <si>
    <t>rovides the exact amount of 739.4 тыс. сом.,full</t>
  </si>
  <si>
    <t>gemma4,statements_full,11,medium,indicator,What is the most commonly used unit of measurement for performance indicators in the 2026 budget?,Процент (%),The most commonly used unit of measurement is percent (%).,34521,3,"The model correctly identifies the unit as percent (%), matching the reference answer.",full</t>
  </si>
  <si>
    <t>gemma4,statements_full,12,medium,aggregation,What is the total 2026 program funding for the Ministry of Transport and Communications?,"16,881,928.10","16.9 billion som (or 16,881,928.1 thousand som).",29453,3,"Model provides the same numeric value (16,881,928.1 thousand som) and correctly rounds to 16.9 billion som, matching the reference.",full</t>
  </si>
  <si>
    <t>gemma4,statements_full,13,hard,filter,How many ministries/agencies have exactly one budget program?,19,"Based on the provided context, the following 18 ministries/agencies have exactly one budget program:</t>
  </si>
  <si>
    <t>Correcting for those with multiple programs (55, 17, 45), there are 22 ministries/agencies with exactly one budget program listed.",33104,0,"The model answer gives 22 ministries/agencies, which does not match the correct answer of 19.",full</t>
  </si>
  <si>
    <t>gemma4,statements_full,14,hard,filter,How many programs show funding growth of more than 10% between 2026 and 2027?,9,"Based on the provided context, 4 programs show funding growth of more than 10% between 2026 and 2027:</t>
  </si>
  <si>
    <t>Total: 3 programs.",26917,0,"The model answer states 3 programs, which does not match the correct value of 9.",full</t>
  </si>
  <si>
    <t>gemma4,statements_full,15,hard,indicator,How many rows in the budget have a performance indicator measured in people (чел.)?,50,18,34915,0,"The model gave 18, but the correct number is 50, so the answer is incorrect.",full</t>
  </si>
  <si>
    <t>gemma4,statements_full,16,hard,aggregation,What share of the total 2026 program budget goes to the Ministry of Finance (General State Expenditures)?,"56% (332,149,236.2 out of  593,028,014.9)","The provided context does not contain the total 2026 program budget, so the share cannot be calculated.",29800,0,"The model answer does not provide the correct share (56%) and claims insufficient information, which is inc</t>
  </si>
  <si>
    <t>orrect.",full</t>
  </si>
  <si>
    <t>gemma4,statements_full,17,hard,lookup,Which budget measure (not program) has the largest 2026 funding?,"Повышение социальных выплат - 76,517,019.4",The budget measure with the largest 2026 funding is 'Повышение социальных выплат' with 76.5 billion som.,29348,3,The model correctly identifies the measure and provides an equivalent rounded funding amount.,full</t>
  </si>
  <si>
    <t>gemma4,statements_full,18,hard,comparison,Which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program 'Управление и администрирование' (code 001) receives the most 2026 funding with 184,945.8 thousand som.",31609,0,"The model gave a different program and amount, not ma</t>
  </si>
  <si>
    <t>tching the reference answer.",full</t>
  </si>
  <si>
    <t>gemma4,statements_full,19,hard,multi-step,How many total budget programs and budget measures are in the 2026 program-based budget?,168 programs and 342 measures,The provided context does not contain information regarding the total number of budget programs and budget measures in the 2026 program-based budget.,29254,0,"The model did not provide the required numbers, stating lack of information.",full</t>
  </si>
  <si>
    <t>gemma4,statements_full,20,hard,multi-step,Which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on the provided context, the programs with the largest absolute funding decreases from 2026 to 2</t>
  </si>
  <si>
    <t>027 are:</t>
  </si>
  <si>
    <t>3. **Управление и администрирование (Академия государственного управления при Президенте Кыргызской Республики)**: decrease of 65.9 тыс. сом (from 6,239.5 to 6,173.6).",33951,0,The model answer lists unrelated programs and does not match any of the three programs identified in the reference answer.,full</t>
  </si>
  <si>
    <t>gemma4,markdown_full,1,easy,lookup,What is the 2026 funding for the 'School Education' program under the Ministry of Education?,"42,380,106.4 тыс. сом","42,380,106.4 тыс.сом",104672,3,"Exact same numeric value and unit as reference, formatting difference is negligible.",full</t>
  </si>
  <si>
    <t>gemma4,markdown_full,2,easy,lookup,How many budget programs does the Ministry of Health have?,8,"The Ministry of Health (Министерство здравоохранения Кыргызской) has 5 budget programs:</t>
  </si>
  <si>
    <t>7. Обеспечение доступа к льготному гемодиализному лечению",104672,2,Correct entity (Ministry of Health) but gives the wrong number of budget programs (5 instead of 8).,full</t>
  </si>
  <si>
    <t>gemma4,markdown_full,3,easy,lookup,Which program has the largest funding allocation in the 2026 budget?,"«Общегосударственные программы» Министерства финансов КР — 164,663,857.2 тыс. сом","The program with the largest funding allocation in the 2026 budget is ""Общегосударственные программы"" under the Министерство финансов Кыргызской Республ, with 164,663,857.2 тыс.сом.",104672,3,The model correctly identifies t</t>
  </si>
  <si>
    <t>he program and exact funding amount as in the ref</t>
  </si>
  <si>
    <t>erence.</t>
  </si>
  <si>
    <t>,f</t>
  </si>
  <si>
    <t>ul</t>
  </si>
  <si>
    <t>l</t>
  </si>
  <si>
    <t>gemma4,markdown_full,4,easy,count,How many total ministries and agencies are represented in the program-based budget?,88,There are 56 ministries and agencies represented in the program-based budget.,104672,2,The answer addresses the correct entity (total ministries and agencies) but provides an incorrect number (56 instead of 88).,full</t>
  </si>
  <si>
    <t>gemma4,markdown_full,5,easy,lookup,What is the total 2026 funding for the Jogorku Kenesh (parliament)?,"1,127,306.9 тыс. сом","1,127,306.9 тыс.сом",104672,3,"Exact match of the numeric value and unit, only minor formatting difference",full</t>
  </si>
  <si>
    <t>gemma4,markdown_full,6,medium,aggregation,What is the total 2026 funding across all programs of the Ministry of Education?,"56,424,894.11 тыс. сом","The provided context does not contain a ""Ministry of Education""; however, it lists the ""Министерство просвещения Кыргызской Респ"" (Ministry of Education/Enlightenment) with the following program funding for 2026:</t>
  </si>
  <si>
    <t>Total: 55,412,714.1 тыс.сом",104672,2,Correct entity (Ministry of Education) but the total funding figure is incorrect compared to the reference value.,full</t>
  </si>
  <si>
    <t>gemma4,markdown_full,7,medium,aggregation,What is the total budget across all program-level items for 2026?,"Примерно 593.2 млрд сом (593,152,147.3 тыс. сом)","To calculate the total budget across all program-level items for 2026, the following values are summed:</t>
  </si>
  <si>
    <t>*   Центральная комиссия по выборам (Внедрение электронной системы фискализации...): 59,137.4</t>
  </si>
  <si>
    <t>*   ОО «Республикански» (Внесение предложений по защите материальных и социальных пра): 739.4</t>
  </si>
  <si>
    <t>*   Государственное агентство гражданской ав (Управление и администрирование): 99,554.4</t>
  </si>
  <si>
    <t>*   Государственное агентство гражданской ав (Подготовка квалифицированных специалистов...): 24,578.1</t>
  </si>
  <si>
    <t>*   Министерство транспорта и коммуникаций (Управление и администрирование): 119,287.5</t>
  </si>
  <si>
    <t>*   Министерство транспорта и коммуникаций (Поддержание автомобильных дорог...): 8,025,670.7</t>
  </si>
  <si>
    <t>*   Министерство транспорта и коммуникаций (Реабилитация международных транспортных коридоров): 1,410,765.1</t>
  </si>
  <si>
    <t>*   Министерство транспорта и коммуникаций (Развитие автомобильных перевозок...): 320,964.6</t>
  </si>
  <si>
    <t>*   Министерство культуры, информации и мол (Управление и администрирование): 574,119.8</t>
  </si>
  <si>
    <t>*   Министерство культуры, информации и мол (Сохранение и развитие культуры...): 4,708,597.9</t>
  </si>
  <si>
    <t>*   Министерство культуры, информации и мол (Образование в сфере культуры и искусства): 1,700,840.9</t>
  </si>
  <si>
    <t>*   Министерство чрезвычайных ситуаций (Управление и администрирование): 184,945.8</t>
  </si>
  <si>
    <t>*   Министерство чрезвычайных ситуаций (Общегосударственные программы): 0.0</t>
  </si>
  <si>
    <t>*   Министерство чрезвычайных ситуаций (Прогнозирование опасных природных процессов и явлений): 691,230.1</t>
  </si>
  <si>
    <t>*   Министерство чрезвычайных ситуаций (Предупреждение и ликвидация чрезвычайных ситуаций): 3,803,591.2</t>
  </si>
  <si>
    <t>*   Министерство чрезвычайных ситуаций (Подготовка органов самоуправления...): 63,032.6</t>
  </si>
  <si>
    <t>*   Министерство чрезвычайных ситуаций (Управление материальными ценностями...): 4,522,247.8</t>
  </si>
  <si>
    <t>*   Министерство чрезвычайных ситуаций (Управление, обеспечение сохранение и развития лесных ресурсо): 1,019,758.6</t>
  </si>
  <si>
    <t>*   Центрально-Азиатский институт прикладных (Управление и администрирование): 6,239.5</t>
  </si>
  <si>
    <t>*   Центрально-Азиатский институт прикладных (Исследование опасных природных ресурсов...): 22,582.9</t>
  </si>
  <si>
    <t>*   Государственное агенство физической куль (Управление и администрирование): 54,957.0</t>
  </si>
  <si>
    <t>*   Государственное агенство физической куль (Развитие массового спорта и высшего спорта): 2,392,955.1</t>
  </si>
  <si>
    <t>*   Государственная служба испонения наказан (Планирование, управление, администрирование...): 2,724,111.8</t>
  </si>
  <si>
    <t>*   Государственная служба испонения наказан (Предупреждение и пересечение таможенных правонарушений): 551,932.5</t>
  </si>
  <si>
    <t>*   ОО «Кыргызское общ» (Обеспечение равных прав и возможностей...): 20,667.6</t>
  </si>
  <si>
    <t>*   ОО «Кыргызское общ» (Социальная защита работающих инвалидов...): 55,362.4</t>
  </si>
  <si>
    <t>*   Национальная комиссия по государственном (Управление и администрирование): 26,079.6</t>
  </si>
  <si>
    <t>*   Национальная комиссия по государственном (ГУ «Кыргызтест»...): 38,654.4</t>
  </si>
  <si>
    <t>*   Государственное агентство по земельным р (Государственная поддержка и развитие земельных ресурсов): 2,246,762.8</t>
  </si>
  <si>
    <t>*   Государственное агентство по регистрации (Политика в сфере регистрации транспортных средств...): 1,105,080.9</t>
  </si>
  <si>
    <t>*   Государственное агентство по управлению (Реализация государственной политики по эффективному управлен): 147,614.5</t>
  </si>
  <si>
    <t>*   Государственное учреждение «Фонд зеленой (Управление и администрирование): 14,991.7</t>
  </si>
  <si>
    <t>*   Министерство энергетики (Управление и администрирование): 128,453.6</t>
  </si>
  <si>
    <t>*   Министерство энергетики (Создание экономических стимулов...): 78,720.4</t>
  </si>
  <si>
    <t>*   Министерство энергетики (Мониторинг и контроль по энергетическому...): 71,785.3</t>
  </si>
  <si>
    <t>*   Министерство энергетики (Развитие научно-технического потенциала): 24,094.2</t>
  </si>
  <si>
    <t>*   Государственное агентство по контролю за (Управление и администрирование): 42,136.2</t>
  </si>
  <si>
    <t>*   Национальное агентство по инвестициям пр (Управление и администрирование): 71,643.5</t>
  </si>
  <si>
    <t>*   Национальное агентство по инвестициям пр (Привлечение прямых иностранных инвестиций...): 29,838.1</t>
  </si>
  <si>
    <t>*   Государственное агентство по защите перс (Управление и администрирование): 43,252.2</t>
  </si>
  <si>
    <t>*   Государственное агентство по защите перс (Реализация программ дополнительного образования...): 16,853.2</t>
  </si>
  <si>
    <t>*   Государственное агентство по делам госуд (Управление и администрирование): 76,997.1</t>
  </si>
  <si>
    <t>*   Государственное агентство по делам госуд (Совершенствование государственной кадровой политики): 24,913.3</t>
  </si>
  <si>
    <t>*   Государственное агентство по делам госуд (Совершенствование системы местного самоуправления): 16,197.4</t>
  </si>
  <si>
    <t>*   Министерство строительства, архитектуры (Управление и администрирование): 304,748.5</t>
  </si>
  <si>
    <t>*   Министерство строительства, архитектуры (Осуществление государственного контроля...): 88,484.5</t>
  </si>
  <si>
    <t>*   Национальное агентство по делам религий (Управление и администрирование): 61,534.1</t>
  </si>
  <si>
    <t>*   Министерство природных ресурсов, экологи (Управление и администрирование): 1,210,859.2</t>
  </si>
  <si>
    <t>*   Министерство природных ресурсов, экологи (Обеспечение экологического контроля...): 241,520.6</t>
  </si>
  <si>
    <t>*   Министерство природных ресурсов, экологи (Сохранение биоразнообразия): 309,621.3</t>
  </si>
  <si>
    <t>*   Министерство природных ресурсов, экологи (Развитие гидрометеослужбы): 86,522.3</t>
  </si>
  <si>
    <t>*   Министерство природных ресурсов, экологи (Государственный заказ по недропользованию): 23,000.0</t>
  </si>
  <si>
    <t>*   Секретариат Национальной комиссии Кыргыз (Управление и администрирование): 8,993.7</t>
  </si>
  <si>
    <t>*   Министерство цифрового развития и иннова (Управление и администрирование): 487,435.1</t>
  </si>
  <si>
    <t>*   Министерство цифрового развития и иннова (Развитие электрической и почтовой связи): 235,540.7</t>
  </si>
  <si>
    <t>*   Министерство цифрового развития и иннова (Обеспечение сохранности документов архивного фонда КР): 476,116.2</t>
  </si>
  <si>
    <t>*   Национальный институт стратегических ини (Управление и администрирование): 13,560.0</t>
  </si>
  <si>
    <t>*   Национальный институт стратегических ини (Аналитическая, научная и информационная поддержка...): 42,253.4</t>
  </si>
  <si>
    <t>*   Национальный статистический комитет Кырг (Управление и администрирование): 616,423.8</t>
  </si>
  <si>
    <t>*   Национальный статистический комитет Кырг (Обеспечение качественного и достоверного статистического уче): 65,686.0</t>
  </si>
  <si>
    <t>*   Национальный статистический комитет Кырг (Разработка, совершенствование и внедрение научно-обоснованно): 13,161.7</t>
  </si>
  <si>
    <t>*   Секретариат Совета безопасности Кыргызск (Секретариат Совета безопасности): 6,488.1</t>
  </si>
  <si>
    <t>*   Национальная академия наук Кыргызской Ре (Управление и администрирование): 60,662.6</t>
  </si>
  <si>
    <t>*   Национальная академия наук Кыргызской Ре (Развитие физико-технических...): 231,608.2</t>
  </si>
  <si>
    <t>*   Национальная академия наук Кыргызской Ре (Развитие химико-технологических...): 254,484.9</t>
  </si>
  <si>
    <t>*   Национальная академия наук Кыргызской Ре (Развитие гуманитарных исследований): 96,094.1</t>
  </si>
  <si>
    <t>*   ГУ «Клиническая (Предоставление медицинских услуг...): 415,289.0</t>
  </si>
  <si>
    <t>*   Национальный центр Кыргызской Республики (Управление и администрирование): 32,091.4</t>
  </si>
  <si>
    <t>*   Секретариат Народного Курултая («Обеспечение деятельности Народного Курултая»): 33,904.2</t>
  </si>
  <si>
    <t>*   Редакции журналов и газет (Издание газеты «Эркин- Тоо»): 6,630.4</t>
  </si>
  <si>
    <t>*   Телерадиовещательные компании Кыргызской (Управление и администрирование): 208,952.6</t>
  </si>
  <si>
    <t>*   Телерадиовещательные компании Кыргызской (Координирование, создание программ ТВ и РВ): 1,244,130.4</t>
  </si>
  <si>
    <t>*   Телерадиовещательные компании Кыргызской (Создание и распространение телерадиовещания...): 140,250.4</t>
  </si>
  <si>
    <t>*   Телерадиовещательные компании Кыргызской (Создание и распространение ТВ и РВ программ): 77,139.7</t>
  </si>
  <si>
    <t>*   ГУ «Дирекция по (Управление и администрирование): 70,000.0</t>
  </si>
  <si>
    <t>*   Центр перевода Кабинета Министров Кыргыз (Управление и администрирование): 39,019.3</t>
  </si>
  <si>
    <t>*   ГУ «Национальная (Управление и администрирование): 11,260.6</t>
  </si>
  <si>
    <t>*   ГУ «Национальная (Организация и планирования мероприятий...): 31,215.1</t>
  </si>
  <si>
    <t>Total: 455,444,141.1 тыс.сом",104672,2,The answer provides a total budget figure (right entity) but the number (455.4 bn som) does not match the reference value of approximately 593.2 bn som.,full</t>
  </si>
  <si>
    <t>gemma4,markdown_full,8,medium,comparison,Which ministry receives more funding: Ministry of Health or Ministry of Education?,"Министерство просвещения — 56,424,894.11 тыс. сом против 41,621,347.3  тыс. сом у здравоохранения","The Ministry of Health (Министерство здравоохранения Кыргызской) receives more funding.</t>
  </si>
  <si>
    <t>*   **Ministry of Health:** 32,1933.8 + 2,170,534.1 + 6,305,318.8 + 962,011.6 + 11,104,430.6 + 15,638,295.2 + 2,530,800.0 + 2,588,023.2 = 41,531,547.3 тыс.сом.</t>
  </si>
  <si>
    <t>*   **Ministry of Education (Министерство просвещения Кыргызской Респ):** 1,962,869.4 + 8,891,657.5 + 42,380,106.4 + 2,178,080.8 + 1,012,180.0 = 56,424,894.1 тыс.сом.</t>
  </si>
  <si>
    <t>*Correction based on calculation:* The Ministry of Education (Министерство просвещения Кыргызской Респ) receives more funding.",104672,3,"Model correctly identifies Ministry of Education as receiving more funding, matching the reference values.",full</t>
  </si>
  <si>
    <t>gemma4,markdown_full,9,medium,comparison,"Does the total program-level budget grow or shrink between 2026 and 2027, and by what percentage?",declines by 7.1%,"The provided context does not contain the total program-level budget for 2026 and 2027, as it only lists individual programs and measures. Therefore, there is not enough information to determine if the total budget grows or shrinks or by what percentage.",</t>
  </si>
  <si>
    <t>104672,0,"The model claims insufficient informati</t>
  </si>
  <si>
    <t>on, whe</t>
  </si>
  <si>
    <t>as</t>
  </si>
  <si>
    <t>he r</t>
  </si>
  <si>
    <t>efer</t>
  </si>
  <si>
    <t>ence provides a specific decline of 7.1%.",full</t>
  </si>
  <si>
    <t>gemma4,markdown_full,10,medium,lookup,Which program has the smallest non-zero funding in 2026?,«Внесение предложений по защите материальных и социальных прав ветеранов» — 739.4 тыс. сом,"The program with the smallest non-zero funding in 2026 is ""Внесение предложений по защите материальных и социальных пра"" (under Общественное объединение «Республикански») with 739.4 тыс.сом.",104672,3,"The model correctly iden</t>
  </si>
  <si>
    <t>tified the program and its funding amount, matchi</t>
  </si>
  <si>
    <t>ng the</t>
  </si>
  <si>
    <t>fe</t>
  </si>
  <si>
    <t>nce</t>
  </si>
  <si>
    <t>answ</t>
  </si>
  <si>
    <t>er.",full</t>
  </si>
  <si>
    <t>gemma4,markdown_full,11,medium,indicator,What is the most commonly used unit of measurement for performance indicators in the 2026 budget?,Процент (%),The provided context does not contain information regarding the most commonly used unit of measurement for performance indicators; it only lists the names of the indicators.,104672,0,"The model answer does not provide the correct unit (Процент) and claims lack of</t>
  </si>
  <si>
    <t>information, which is incorrect.",full</t>
  </si>
  <si>
    <t>gemma4,markdown_full,12,medium,aggregation,What is the total 2026 program funding for the Ministry of Transport and Communications?,"16,881,928.10","The total 2026 program funding for the Ministry of Transport and Communications is 9,643,520.2 тыс.сом (consisting of 119,287.5 for ""Управление и администрирование"", 8,025,670.7 for ""Поддержание автомобильных дорог общего пользования в рабочем"", 1,410,765.1 for</t>
  </si>
  <si>
    <t>""Реабилитация международных транспортных коридор</t>
  </si>
  <si>
    <t>ов"", a</t>
  </si>
  <si>
    <t>,964</t>
  </si>
  <si>
    <t>.6 f</t>
  </si>
  <si>
    <t>or ""Развитие автомобильных перевозок Кыргызской Республики"").",104672,0,"The model's figure (9,643,520.2) does not match the reference total (16,881,928.10).",full</t>
  </si>
  <si>
    <t>gemma4,markdown_full,13,hard,filter,How many ministries/agencies have exactly one budget program?,19,"The following 14 ministries/agencies have exactly one budget program:</t>
  </si>
  <si>
    <t>2. Омбудсмен (Акыйкатчы) Кыргызской Респуб</t>
  </si>
  <si>
    <t>3. Конституционный суд Кыргызской Республики</t>
  </si>
  <si>
    <t>4. Секретариат Национальной комиссии Кыргыз</t>
  </si>
  <si>
    <t>5. Секретариат Совета безопасности Кыргызск</t>
  </si>
  <si>
    <t>6. Секретариат Народного Курултая</t>
  </si>
  <si>
    <t>7. Государственное учреждение «Клиническая больницей Управ</t>
  </si>
  <si>
    <t>8. Государственное учреждение «Дирекция по</t>
  </si>
  <si>
    <t>9. Центр перевода Кабинета Министров Кыргыз</t>
  </si>
  <si>
    <t>10. Государственное агентство по регистрации</t>
  </si>
  <si>
    <t>11. Государственное агентство по управлению</t>
  </si>
  <si>
    <t>12. Государственное учреждение «Фонд зеленой</t>
  </si>
  <si>
    <t>13. Государственное агентство по контролю за</t>
  </si>
  <si>
    <t>14. Государственное агентство по защите перс",104672,2,"The model provides a count of ministries/agencies with exactly one budget program, but the number (14) does not match the correct value (19).",full</t>
  </si>
  <si>
    <t>gemma4,markdown_full,14,hard,filter,How many programs show funding growth of more than 10% between 2026 and 2027?,9,"Based on the provided context, 3 programs show funding growth of more than 10% between 2026 and 2027:</t>
  </si>
  <si>
    <t>1. **Министерство транспорта и коммуникаций К** (Реабилитация международных транспортных коридоров): 1,410,765.1 to 1,957,135.5</t>
  </si>
  <si>
    <t>2. **Министерство финансов Кыргызской Республ** (Общегосударственные программы): 164,663,857.2 to 112,194,631.2 (Decrease) — *Correction: Only the following meet the criteria:*</t>
  </si>
  <si>
    <t>3. **Министерство финансов Кыргызской Республ** (Государственные программы, мероприятия и выплаты): 118,757,161.3 to 131,802,316.2</t>
  </si>
  <si>
    <t>4. **Министерство финансов Кыргызской Республ** (Государственный бюджетный резерв - measure level, but requested programs): 1,000,000.0 to 7,441,753.2 (Measure)</t>
  </si>
  <si>
    <t>Re-evaluating only **program** level rows:</t>
  </si>
  <si>
    <t>1. **Министерство транспорта и коммуникаций К** (Реабилитация международных транспортных коридоров): 1,410,765.1 $\rightarrow$ 1,957,135.5 (~38.7%)</t>
  </si>
  <si>
    <t>2. **Министерство финансов Кыргызской Республ** (Государственные программы, мероприятия и выплаты): 118,757,161.3 $\rightarrow$ 131,802,316.2 (~11%)</t>
  </si>
  <si>
    <t>Total: 2 programs.",104672,0,"The model answer states 2 (or 3) programs, which contradicts the correct answer of 9",full</t>
  </si>
  <si>
    <t>gemma4,markdown_full,15,hard,indicator,How many rows in the budget have a performance indicator measured in people (чел.)?,50,The provided context does not contain any performance indicators measured in people (чел.).,104672,0,"Model answer states there are none, contradicting the correct answer of 50 rows.",full</t>
  </si>
  <si>
    <t>gemma4,markdown_full,16,hard,aggregation,What share of the total 2026 program budget goes to the Ministry of Finance (General State Expenditures)?,"56% (332,149,236.2 out of  593,028,014.9)","The provided context does not contain the total 2026 program budget, so the share for the Ministry of Finance cannot be calculated.",104672,0,The model answer fails to provide the correct share (56%) and incorrectly claims</t>
  </si>
  <si>
    <t>insufficient information.,full</t>
  </si>
  <si>
    <t>gemma4,markdown_full,17,hard,lookup,Which budget measure (not program) has the largest 2026 funding?,"Повышение социальных выплат - 76,517,019.4","The budget measure with the largest 2026 funding is ""Обеспечение базовой части пенсии"" under the Ministry of Finance of the Kyrgyz Republic, with 33,574,380.8 тыс.сом.",104672,0,"The model gave a different budget measure and amount, not the correct 'Повышение социал</t>
  </si>
  <si>
    <t>ьных выплат' with 76,517,019.4",full</t>
  </si>
  <si>
    <t>gemma4,markdown_full,18,hard,comparison,Which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program ""Управление материальными ценностями государственного и мобил"" receives the most 2026 funding under the Ministry of Emergency Situations, with 4,522,247.8 тыс.сом.",10</t>
  </si>
  <si>
    <t>4672,3,The model correctly identifies the program</t>
  </si>
  <si>
    <t>and pr</t>
  </si>
  <si>
    <t>exa</t>
  </si>
  <si>
    <t>ct funding amount matching the reference.,full</t>
  </si>
  <si>
    <t>gemma4,markdown_full,19,hard,multi-step,How many total budget programs and budget measures are in the 2026 program-based budget?,168 programs and 342 measures,"Total budget programs: 95</t>
  </si>
  <si>
    <t>Total budget measures: 178",104672,0,Both the number of programs and measures are incorrect compared to the reference answer.,full</t>
  </si>
  <si>
    <t>gemma4,markdown_full,20,hard,multi-step,Which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Общегосударственные программы (Министерство финансов Кыргызской Республ): -52,469,226.0 тыс.сом</t>
  </si>
  <si>
    <t>2. Реализация проектов государственных инвестиций (Министерство энергетики Кыргызской Республ): +2,737,954.4 тыс.сом (increase)</t>
  </si>
  <si>
    <t>3. Реализация проектов государственных инвестиций (Министерство финансов Кыргызской Республ): -959,321.7 тыс.сом</t>
  </si>
  <si>
    <t>4. Обеспечение и координация деятельности по реализации единой (Управление делами Президента Кыргызской): -265,953.9 тыс.сом</t>
  </si>
  <si>
    <t>Top 3 absolute decreases:</t>
  </si>
  <si>
    <t>1. Общегосударственные программы (Министерство финансов Кыргызской Республ): -52,469,226.0 тыс.сом</t>
  </si>
  <si>
    <t>2. Реализация проектов государственных инвестиций (Министерство финансов Кыргызской Республ): -959,321.7 тыс.сом</t>
  </si>
  <si>
    <t>3. Обеспечение и координация деятельности по реализации единой (Управление делами Президента Кыргызской): -265,953.9 тыс.сом",104672,1,"Only the first program matches the reference; the other two listed are incorrect, so the answer is related but wrong.",full</t>
  </si>
  <si>
    <t>deepseek-v3.2,statements_2000tok,1,easy,lookup,What is the 2026 funding for the 'School Education' program under the Ministry of Education?,"42,380,106.4 тыс. сом",The context does not contain information on the funding for a 'School Education' program under the Ministry of Education.,7863,0,"The model did not provide the required funding figure, stating the information is unavailable, which is incorrect.",2000</t>
  </si>
  <si>
    <t>deepseek-v3.2,statements_2000tok,2,easy,lookup,How many budget programs does the Ministry of Health have?,8,The context does not specify the number of budget programs for the Ministry of Health (code 37).,7969,0,"The model answer states the number is unspecified, contradicting the reference answer of 8.",2000</t>
  </si>
  <si>
    <t>deepseek-v3.2,statements_2000tok,3,easy,lookup,Which program has the largest funding allocation in the 2026 budget?,"«Общегосударственные программы» Министерства финансов КР — 164,663,857.2 тыс. сом","Based solely on the provided context, the program with the largest funding allocation is 'Министерство просвещения Кыргызской Республики' with 56.4 billion som.",7895,0,"The model gave a different program and amoun</t>
  </si>
  <si>
    <t>t, not matching the reference answer.",2000</t>
  </si>
  <si>
    <t>deepseek-v3.2,statements_2000tok,4,easy,count,How many total ministries and agencies are represented in the program-based budget?,88,"The context lists 41 distinct GRBS codes for ministries, agencies, and other entities.",7965,1,The model mentions ministries and agencies but gives an incorrect count (41) instead of the correct total of 88.,2000</t>
  </si>
  <si>
    <t>deepseek-v3.2,statements_2000tok,5,easy,lookup,What is the total 2026 funding for the Jogorku Kenesh (parliament)?,"1,127,306.9 тыс. сом",1.1 billion som.,7967,3,Model answer correctly approximates the reference value (1.127 billion som) as 1.1 billion som.,2000</t>
  </si>
  <si>
    <t>deepseek-v3.2,statements_2000tok,6,medium,aggregation,What is the total 2026 funding across all programs of the Ministry of Education?,"56,424,894.11 тыс. сом",56.4 billion som,7916,3,"Model answer correctly gives the total funding as 56.4 billion som, matching the reference value (56,424,894.11 тыс. сом) with acceptable rounding.",2000</t>
  </si>
  <si>
    <t>deepseek-v3.2,statements_2000tok,7,medium,aggregation,What is the total budget across all program-level items for 2026?,"Примерно 593.2 млрд сом (593,152,147.3 тыс. сом)",The context does not contain the total budget across all program-level items for 2026. It only provides individual allocations for specific ministries and agencies.,7955,0,"The model answer fails to provide the correct total budget value, stati</t>
  </si>
  <si>
    <t>ng the information is missing instead of giving t</t>
  </si>
  <si>
    <t>he ~593</t>
  </si>
  <si>
    <t> b</t>
  </si>
  <si>
    <t>il</t>
  </si>
  <si>
    <t>lion</t>
  </si>
  <si>
    <t>som</t>
  </si>
  <si>
    <t>figure.",2000</t>
  </si>
  <si>
    <t>deepseek-v3.2,statements_2000tok,8,medium,comparison,Which ministry receives more funding: Ministry of Health or Ministry of Education?,"Министерство просвещения — 56,424,894.11 тыс. сом против 41,621,347.3  тыс. сом у здравоохранения",The context does not contain the specific funding amounts for the Ministry of Health (code 37) or the Ministry of Education (code 34) to make a comparison.,7816,0,"The model claim</t>
  </si>
  <si>
    <t>s the information is missing, whereas the referen</t>
  </si>
  <si>
    <t>ce prov</t>
  </si>
  <si>
    <t>he a</t>
  </si>
  <si>
    <t>moun</t>
  </si>
  <si>
    <t>ts and indicates Education receives more funding.",2000</t>
  </si>
  <si>
    <t>deepseek-v3.2,statements_2000tok,9,medium,comparison,"Does the total program-level budget grow or shrink between 2026 and 2027, and by what percentage?",declines by 7.1%,The context does not contain the information needed to calculate the overall total program-level budget change between 2026 and 2027.,7962,0,"The model did not provide the required answer of a 7.1% decline, claiming lack of information instead."</t>
  </si>
  <si>
    <t>deepseek-v3.2,statements_2000tok,10,medium,lookup,Which program has the smallest non-zero funding in 2026?,«Внесение предложений по защите материальных и социальных прав ветеранов» — 739.4 тыс. сом,Program 45/263 'Общегосударственные программы' has the smallest non-zero funding in 2026 at 0.0 тыс. сом.,7994,0,"Model gave an incorrect program and a zero amount, not matching the reference's program with 739.4 тыс.</t>
  </si>
  <si>
    <t> сом.",2000</t>
  </si>
  <si>
    <t>deepseek-v3.2,statements_2000tok,11,medium,indicator,What is the most commonly used unit of measurement for performance indicators in the 2026 budget?,Процент (%),The most commonly used unit of measurement for performance indicators in the 2026 budget is percentage (%).,7908,3,"The model correctly identifies the unit as percentage (%), matching the reference answer.",2000</t>
  </si>
  <si>
    <t>deepseek-v3.2,statements_2000tok,12,medium,aggregation,What is the total 2026 program funding for the Ministry of Transport and Communications?,"16,881,928.10",16.9 billion som.,7985,0,"The model gave 16.9 billion som, which does not match the reference value of 16,881,928.10 (approximately 16.9 million som).",2000</t>
  </si>
  <si>
    <t>deepseek-v3.2,statements_2000tok,13,hard,filter,How many ministries/agencies have exactly one budget program?,19,"The context does not contain the specific data on the number of budget programs allocated to each ministry/agency, so it is not possible to determine how many have exactly one.",7969,0,"The model says the data is unavailable, whereas the correct answer is 19.",2000</t>
  </si>
  <si>
    <t>deepseek-v3.2,statements_2000tok,14,hard,filter,How many programs show funding growth of more than 10% between 2026 and 2027?,9,"Based on the provided context, no program shows funding growth of more than 10% between 2026 and 2027. The largest increase shown is for Program 43/001 at approximately 25.5% (from 119,287.5 to 149,718.3), but this is not explicitly stated as a growth percentage in the context; only th</t>
  </si>
  <si>
    <t>e raw numbers are given. The context only provide</t>
  </si>
  <si>
    <t>s speci</t>
  </si>
  <si>
    <t>fi</t>
  </si>
  <si>
    <t>c</t>
  </si>
  <si>
    <t>pe</t>
  </si>
  <si>
    <t>rcen</t>
  </si>
  <si>
    <t>tage</t>
  </si>
  <si>
    <t>changes for various 'Управление и администрирование' funding lines, and none of those exceed 10%.",7912,0,"The model answer states no programs exceed 10% growth, contradicting the reference answer of 9 programs.",2000</t>
  </si>
  <si>
    <t>deepseek-v3.2,statements_2000tok,15,hard,indicator,How many rows in the budget have a performance indicator measured in people (чел.)?,50,"Based on the context, there are 9 rows with a performance indicator measured in people (чел.).",7876,2,"Identifies the correct entity (rows with performance indicator measured in people) but gives the wrong number; reference answer is 50, model says 9.",2000</t>
  </si>
  <si>
    <t>deepseek-v3.2,statements_2000tok,16,hard,aggregation,What share of the total 2026 program budget goes to the Ministry of Finance (General State Expenditures)?,"56% (332,149,236.2 out of  593,028,014.9)",The context does not contain the numerical data needed to calculate the share of the total 2026 program budget allocated to the Ministry of Finance (General State Expenditures).,7883,0,"The model did not provide</t>
  </si>
  <si>
    <t>the correct share (56%) and instead claimed insuf</t>
  </si>
  <si>
    <t>ficient</t>
  </si>
  <si>
    <t>d</t>
  </si>
  <si>
    <t>a,</t>
  </si>
  <si>
    <t>whi</t>
  </si>
  <si>
    <t>ch i</t>
  </si>
  <si>
    <t>s incorrect.",2000</t>
  </si>
  <si>
    <t>deepseek-v3.2,statements_2000tok,17,hard,lookup,Which budget measure (not program) has the largest 2026 funding?,"Повышение социальных выплат - 76,517,019.4","The budget measure ""Государственный долг"" has the largest 2026 funding at 38.0 billion som.",7899,0,"The model gave a different measure and amount, not matching the reference answer.",2000</t>
  </si>
  <si>
    <t>deepseek-v3.2,statements_2000tok,18,hard,comparison,Which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context does not specify the funding amounts for individual programs under the Ministry of Emergency Situations (code 45).,7942,0,"The model answer says the informati</t>
  </si>
  <si>
    <t>on is not specified, which contradicts the refere</t>
  </si>
  <si>
    <t>nce tha</t>
  </si>
  <si>
    <t>pr</t>
  </si>
  <si>
    <t>ides</t>
  </si>
  <si>
    <t>specific program and amount.",2000</t>
  </si>
  <si>
    <t>deepseek-v3.2,statements_2000tok,19,hard,multi-step,How many total budget programs and budget measures are in the 2026 program-based budget?,168 programs and 342 measures,The context does not contain the total number of budget programs and budget measures for the 2026 program-based budget.,7849,0,The model answer does not provide the required numbers and incorrectly claims the information is unavailable.,2000</t>
  </si>
  <si>
    <t>deepseek-v3.2,statements_2000tok,20,hard,multi-step,Which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solely on the provided context, the three programs with the largest percentage decreas</t>
  </si>
  <si>
    <t>es are:</t>
  </si>
  <si>
    <t>1. 'Цифровизация сельского хозяйства' (Министерство водных ресурсов, сельского хозяйства и перерабатывающей промышленности Кыргызской Республики) decreases by 85.2%.</t>
  </si>
  <si>
    <t>2. 'Управление и администрирование' (Министерство цифрового развития и инновационных технологий Кыргызской Республики) decreases by 61.3%.</t>
  </si>
  <si>
    <t>3. 'Общегосударственные программы' (Министерство финансов Кыргызской Республики (Общегосударственные программы, мероприятия и выплаты)) decreases by 31.9%.</t>
  </si>
  <si>
    <t>The context does not contain the absolute funding amounts, only percentage changes. Therefore, it is not possible to determine the largest absolute funding decreases.",7934,0,"The model answer lists incorrect programs and states it cannot determine absolute decreases, not matching the reference answer.",2000</t>
  </si>
  <si>
    <t>deepseek-v3.2,markdown_2000tok,1,easy,lookup,What is the 2026 funding for the 'School Education' program under the Ministry of Education?,"42,380,106.4 тыс. сом",The context provided does not contain information about the Ministry of Education or a 'School Education' program.,7938,0,The model did not provide the required funding figure and incorrectly claimed the information was unavailable.,2000</t>
  </si>
  <si>
    <t>deepseek-v3.2,markdown_2000tok,2,easy,lookup,How many budget programs does the Ministry of Health have?,8,The provided context does not contain any information about the Ministry of Health or its budget programs.,7938,0,"The model did not provide the correct number (8) and claimed no information was available, which is incorrect.",2000</t>
  </si>
  <si>
    <t>deepseek-v3.2,markdown_2000tok,3,easy,lookup,Which program has the largest funding allocation in the 2026 budget?,"«Общегосударственные программы» Министерства финансов КР — 164,663,857.2 тыс. сом","The program with the largest funding allocation in the 2026 budget is ""Реализация государственной политики и осуществление межотрас"" under Управление делами Президента Кыргызской, with 3,297,739.7 тыс.сом.",7938,0,</t>
  </si>
  <si>
    <t>"The model gave a different program and amount, n</t>
  </si>
  <si>
    <t>ot matc</t>
  </si>
  <si>
    <t>hi</t>
  </si>
  <si>
    <t>ng</t>
  </si>
  <si>
    <t>ence answer.",2000</t>
  </si>
  <si>
    <t>deepseek-v3.2,markdown_2000tok,4,easy,count,How many total ministries and agencies are represented in the program-based budget?,88,The provided context does not contain a complete list or a total count of all ministries and agencies. It only shows data for specific entities.,7938,0,"The model did not provide the correct number (88) and claimed insufficient information, which is incorrect.",2000</t>
  </si>
  <si>
    <t>deepseek-v3.2,markdown_2000tok,5,easy,lookup,What is the total 2026 funding for the Jogorku Kenesh (parliament)?,"1,127,306.9 тыс. сом","The total 2026 funding for the Жогорку Кенеш (Jogorku Kenesh) is the sum of its two programs: 1,047,143.9 thousand som (for ""Управление и администрирование"") and 80,163.0 thousand som (for ""Обеспечение информацией о деятельности, контроля исполнения,""). This equals 1,127,30</t>
  </si>
  <si>
    <t>6.9 thousand som.",7938,3,The model provides the</t>
  </si>
  <si>
    <t>exact t</t>
  </si>
  <si>
    <t>al</t>
  </si>
  <si>
    <t>f</t>
  </si>
  <si>
    <t>undi</t>
  </si>
  <si>
    <t>ng v</t>
  </si>
  <si>
    <t>alue matching the reference answer.,2000</t>
  </si>
  <si>
    <t>deepseek-v3.2,markdown_2000tok,6,medium,aggregation,What is the total 2026 funding across all programs of the Ministry of Education?,"56,424,894.11 тыс. сом",The provided context does not contain any entries for the Ministry of Education.,7938,0,The model answer does not provide the required funding figure and incorrectly claims no data exists.,2000</t>
  </si>
  <si>
    <t>deepseek-v3.2,markdown_2000tok,7,medium,aggregation,What is the total budget across all program-level items for 2026?,"Примерно 593.2 млрд сом (593,152,147.3 тыс. сом)","The total budget across all program-level items for 2026 is 9,000,974.0 тыс. сом.</t>
  </si>
  <si>
    <t>This is the sum of the 2026 values for each row where ""Level"" is ""program"": 1,047,143.9 + 80,163.0 + 669,719.2 + 18,086.2 + 2,030,000.0 + 2,837,368.8 + 805,338.5 + 116,882.7 + 3,297,739.7 + 406,745.3 + 290,900.9 + 3,392.5 = 9,000,974.0",7938,0,"The model's total (9,000,974.0 тыс. сом) does not match the reference total of approximately 593,152,147.3 тыс. сом.",2000</t>
  </si>
  <si>
    <t>deepseek-v3.2,markdown_2000tok,8,medium,comparison,Which ministry receives more funding: Ministry of Health or Ministry of Education?,"Министерство просвещения — 56,424,894.11 тыс. сом против 41,621,347.3  тыс. сом у здравоохранения",The context provided does not contain information on the Ministry of Health or the Ministry of Education.,7938,0,"The model claims no information is available, but the reference cle</t>
  </si>
  <si>
    <t>arly provides the funding amounts, making the ans</t>
  </si>
  <si>
    <t>wer inc</t>
  </si>
  <si>
    <t>ct</t>
  </si>
  <si>
    <t>.",2</t>
  </si>
  <si>
    <t>deepseek-v3.2,markdown_2000tok,9,medium,comparison,"Does the total program-level budget grow or shrink between 2026 and 2027, and by what percentage?",declines by 7.1%,"Based on the provided context, the total program-level budget for the listed entities grows from 2026 to 2027.</t>
  </si>
  <si>
    <t>The total for 2026 is 10,471,439.9 + 801,630.0 + 6,697,192.0 + 180,862.0 + 2,030,000.0 + 2,837,368.8 + 805,338.5 + 1,168,827.0 + 3,297,739.7 + 406,745.3 + 290,900.9 + 3,392.5 = 28,991,636.6 тыс. сом.</t>
  </si>
  <si>
    <t>The total for 2027 is 10,690,700.0 + 801,630.0 + 6,831,136.0 + 184,479.0 + 2,030,000.0 + 2,571,414.9 + 819,431.4 + 1,198,199.0 + 3,303,809.0 + 409,477.6 + 296,718.9 + 3,664.5 = 29,139,660.3 тыс. сом.</t>
  </si>
  <si>
    <t>The growth is (29,139,660.3 - 28,991,636.6) / 28,991,636.6 = 0.0051, or approximately 0.51%.",7938,0,"The model states the budget grows by 0.51%, contradicting the reference that it declines by 7.1%.",2000</t>
  </si>
  <si>
    <t>deepseek-v3.2,markdown_2000tok,10,medium,lookup,Which program has the smallest non-zero funding in 2026?,«Внесение предложений по защите материальных и социальных прав ветеранов» — 739.4 тыс. сом,"The program with the smallest non-zero funding in 2026 is ""Управление и общая координация развития сельскохозяйственной"" under Верховный суд Кыргызской Республики, with 3392.5 тыс.сом.",7938,0,"The model gave a diffe</t>
  </si>
  <si>
    <t>rent program and amount, not matching the referen</t>
  </si>
  <si>
    <t>ce answ</t>
  </si>
  <si>
    <t>er</t>
  </si>
  <si>
    <t>."</t>
  </si>
  <si>
    <t>,2</t>
  </si>
  <si>
    <t>deepseek-v3.2,markdown_2000tok,11,medium,indicator,What is the most commonly used unit of measurement for performance indicators in the 2026 budget?,Процент (%),"Количество (Количество принятых постановлений, Количество проведенных встреч, Количество изданных распоряжений, Количество обслуживаемых смет, Количество государственных учреждений, Количество изготавливаемых наград, Количество лиц, Количество рейсов, К</t>
  </si>
  <si>
    <t>оличество детей, Количество выданных документов и</t>
  </si>
  <si>
    <t>т.д.).</t>
  </si>
  <si>
    <t>",</t>
  </si>
  <si>
    <t>,0,T</t>
  </si>
  <si>
    <t>he m</t>
  </si>
  <si>
    <t>odel gave 'Количество' (quantity) instead of the correct unit 'Процент (%)'.,2000</t>
  </si>
  <si>
    <t>deepseek-v3.2,markdown_2000tok,12,medium,aggregation,What is the total 2026 program funding for the Ministry of Transport and Communications?,"16,881,928.10",The provided context does not contain information on the Ministry of Transport and Communications or its 2026 program funding.,7938,0,"The model did not provide the required funding figure, stating the information was unavailable, which is incorrect.",2000</t>
  </si>
  <si>
    <t>deepseek-v3.2,markdown_2000tok,13,hard,filter,How many ministries/agencies have exactly one budget program?,19,"Based on the provided context, no ministry/agency has exactly one budget program. All listed entities have multiple programs or measures under their main program headings.",7938,0,"The model answer states zero ministries have exactly one program, contradicting the correct answer of 19.",2000</t>
  </si>
  <si>
    <t>deepseek-v3.2,markdown_2000tok,14,hard,filter,How many programs show funding growth of more than 10% between 2026 and 2027?,9,"Based on the provided context, no programs show funding growth of more than 10% between 2026 and 2027. All listed programs have increases of less than 5% or show a decrease.",7938,0,"Model answer contradicts the reference answer, stating zero programs instead of the correct nine.",2000</t>
  </si>
  <si>
    <t>deepseek-v3.2,markdown_2000tok,15,hard,indicator,How many rows in the budget have a performance indicator measured in people (чел.)?,50,The context does not contain any performance indicators measured in people (чел.).,7938,0,"Model answer states there are none, contradicting the correct answer of 50 rows.",2000</t>
  </si>
  <si>
    <t>deepseek-v3.2,markdown_2000tok,16,hard,aggregation,What share of the total 2026 program budget goes to the Ministry of Finance (General State Expenditures)?,"56% (332,149,236.2 out of  593,028,014.9)","The provided context does not contain any entries for the Ministry of Finance or General State Expenditures, so the share cannot be determined.",7938,0,"The model answer incorrectly claims the information is unava</t>
  </si>
  <si>
    <t>ilable, whereas the reference provides a specific</t>
  </si>
  <si>
    <t>share</t>
  </si>
  <si>
    <t>of</t>
  </si>
  <si>
    <t>deepseek-v3.2,markdown_2000tok,17,hard,lookup,Which budget measure (not program) has the largest 2026 funding?,"Повышение социальных выплат - 76,517,019.4","The budget measure with the largest 2026 funding is ""Оказание государственной поддержки в случае возникновения не"" under the ""Фонды Президента и Кабинета Министров Кы"" program, with 2,000,000.0 тыс.сом.",7938,0,"The model gave a different measure and amo</t>
  </si>
  <si>
    <t>unt, not matching the reference answer.",2000</t>
  </si>
  <si>
    <t>deepseek-v3.2,markdown_2000tok,18,hard,comparison,Which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provided context does not contain any information about the Ministry of Emergency Situations or its programs.,7938,0,"The model answer does not provide the required pro</t>
  </si>
  <si>
    <t>gram and funding, contradicting the reference ans</t>
  </si>
  <si>
    <t>wer.",2</t>
  </si>
  <si>
    <t>deepseek-v3.2,markdown_2000tok,19,hard,multi-step,How many total budget programs and budget measures are in the 2026 program-based budget?,168 programs and 342 measures,"Based on the provided context, the 2026 program-based budget contains 12 total budget programs and 28 total budget measures.",7938,1,The answer mentions budget programs and measures but provides incorrect numbers (12 and 28 instead of 168 and 34</t>
  </si>
  <si>
    <t>2).,2000</t>
  </si>
  <si>
    <t>deepseek-v3.2,markdown_2000tok,20,hard,multi-step,Which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solely on the provided context, the programs with the largest absolute funding decrease</t>
  </si>
  <si>
    <t>from 2026 to 2027 are:</t>
  </si>
  <si>
    <t>1.  Управление делами Президента Кыргызской Республики, program ""Обеспечение и координация деятельности по реализации единой государственной политики в области архивного дела и делопроизводства"": Decrease of 265,953.9 тыс. сом (from 2,837,368.8 to 2,571,414.9).</t>
  </si>
  <si>
    <t>2.  Управление делами Президента Кыргызской Республики, measure ""Обеспечение высокого уровня предоставления государственных услуг в сфере здравоохранения"": Decrease of 276,872.1 тыс. сом (from 1,193,358.0 to 916,485.9).</t>
  </si>
  <si>
    <t>3.  Управление делами Президента Кыргызской Республики, measure ""Обеспечение деятельности должностных лиц, возложенных на УДП КР"": Decrease of 6,395.8 тыс. сом (from 239,481.8 to 233,086.0).",7938,0,The model answer lists unrelated programs and does not match any of the three programs identified in the reference answer.,2000</t>
  </si>
  <si>
    <t>deepseek-v3.2,statements_8000tok,1,easy,lookup,What is the 2026 funding for the 'School Education' program under the Ministry of Education?,"42,380,106.4 тыс. сом",The context does not contain information about a 'School Education' program or its funding under the Ministry of Education (Министерство просвещения).,31934,0,"The model answer claims no information is available, contradicting the reference which prov</t>
  </si>
  <si>
    <t>ides a specific funding amount.",8000</t>
  </si>
  <si>
    <t>deepseek-v3.2,statements_8000tok,2,easy,lookup,How many budget programs does the Ministry of Health have?,8,"Based on the provided context, the Ministry of Health (Министерство здравоохранения Кыргызской Республики, code 37) has three budget programs mentioned: ""Управление и администрирование"" (code 001), ""Программа «Общественное здравоохранение»"" (code 372), and ""Программа «Организация предоставления услуг</t>
  </si>
  <si>
    <t>здравоохранения»"" (code 373).",31923,0,The mode</t>
  </si>
  <si>
    <t>l gave</t>
  </si>
  <si>
    <t>an</t>
  </si>
  <si>
    <t>orre</t>
  </si>
  <si>
    <t>ct n</t>
  </si>
  <si>
    <t>umber of budget programs (three) instead of the correct answer (8).,8000</t>
  </si>
  <si>
    <t>deepseek-v3.2,statements_8000tok,3,easy,lookup,Which program has the largest funding allocation in the 2026 budget?,"«Общегосударственные программы» Министерства финансов КР — 164,663,857.2 тыс. сом","The program with the largest funding allocation in the 2026 budget is 'Министерство финансов Кыргызской Республики (Общегосударственные программы, мероприятия и выплаты)' with 332.1 billion som.",28496,2,The model</t>
  </si>
  <si>
    <t>identified the correct program but gave an incorr</t>
  </si>
  <si>
    <t>ect fun</t>
  </si>
  <si>
    <t>di</t>
  </si>
  <si>
    <t>t.,8</t>
  </si>
  <si>
    <t>deepseek-v3.2,statements_8000tok,4,easy,count,How many total ministries and agencies are represented in the program-based budget?,88,"The context lists 68 distinct GRBS codes (from 11 to 88) for ministries, agencies, and other entities allocated budget programs in the 2026 republican budget.",29451,0,The model gave 68 instead of the correct total of 88 ministries and agencies.,8000</t>
  </si>
  <si>
    <t>deepseek-v3.2,statements_8000tok,5,easy,lookup,What is the total 2026 funding for the Jogorku Kenesh (parliament)?,"1,127,306.9 тыс. сом",1.1 billion som,27738,3,"Model answer correctly approximates the total funding (1.1 billion som) matching the reference value of 1,127,306.9 тыс. сом.",8000</t>
  </si>
  <si>
    <t>deepseek-v3.2,statements_8000tok,6,medium,aggregation,What is the total 2026 funding across all programs of the Ministry of Education?,"56,424,894.11 тыс. сом",56.4 billion som,31889,3,"Model answer correctly gives the total funding as 56.4 billion som, matching the reference value (56,424,894.11 тыс. сом) with acceptable rounding.",8000</t>
  </si>
  <si>
    <t>deepseek-v3.2,statements_8000tok,7,medium,aggregation,What is the total budget across all program-level items for 2026?,"Примерно 593.2 млрд сом (593,152,147.3 тыс. сом)","The total 2026 budget across all program-level items is 332.1 billion som for 'Министерство финансов Кыргызской Республики (Общегосударственные программы, мероприятия и выплаты)'. The context does not provide a sum of all individual ministry a</t>
  </si>
  <si>
    <t>llocations to calculate a single overall total.",</t>
  </si>
  <si>
    <t>26064,0</t>
  </si>
  <si>
    <t>,T</t>
  </si>
  <si>
    <t>m</t>
  </si>
  <si>
    <t>odel</t>
  </si>
  <si>
    <t>ans</t>
  </si>
  <si>
    <t>wer gives an incorrect figure (332.1 bn) and fails to provide the correct total of approximately 593.2 bn som.,8000</t>
  </si>
  <si>
    <t>deepseek-v3.2,statements_8000tok,8,medium,comparison,Which ministry receives more funding: Ministry of Health or Ministry of Education?,"Министерство просвещения — 56,424,894.11 тыс. сом против 41,621,347.3  тыс. сом у здравоохранения","Ministry of Education (Министерство просвещения) receives more funding. Its total is 56,424,894.1 thousand som in 2026, compared to the Ministry of Health's (Министерство здравоо</t>
  </si>
  <si>
    <t>хранения) 41,621,347.3 thousand som in 2026.",318</t>
  </si>
  <si>
    <t>56,3,Th</t>
  </si>
  <si>
    <t>mo</t>
  </si>
  <si>
    <t>de</t>
  </si>
  <si>
    <t>l co</t>
  </si>
  <si>
    <t>rrec</t>
  </si>
  <si>
    <t>tly identifies the Ministry of Education as receiving more funding and provides the matching figures.,8000</t>
  </si>
  <si>
    <t>deepseek-v3.2,statements_8000tok,9,medium,comparison,"Does the total program-level budget grow or shrink between 2026 and 2027, and by what percentage?",declines by 7.1%,The context does not contain information about the total program-level budget change from 2026 to 2027. It only provides changes for individual ministries and agencies.,26225,0,"The model answer incorrectly states no information is available, wh</t>
  </si>
  <si>
    <t>ereas the reference provides a specific decline o</t>
  </si>
  <si>
    <t>f 7.1%.</t>
  </si>
  <si>
    <t>deepseek-v3.2,statements_8000tok,10,medium,lookup,Which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 has the smallest non-zero funding in 2026 at 739.4 тыс. сом.,28942,3,The model correctly identifies th</t>
  </si>
  <si>
    <t>e program with the smallest non-zero funding and</t>
  </si>
  <si>
    <t>gives t</t>
  </si>
  <si>
    <t>xa</t>
  </si>
  <si>
    <t>ct a</t>
  </si>
  <si>
    <t>t of 739.4 тыс. сом.,8000</t>
  </si>
  <si>
    <t>deepseek-v3.2,statements_8000tok,11,medium,indicator,What is the most commonly used unit of measurement for performance indicators in the 2026 budget?,Процент (%),The most commonly used unit of measurement for performance indicators in the 2026 budget is percentage (%).,31899,3,"The model correctly identifies the unit as percentage (%), matching the reference answer.",8000</t>
  </si>
  <si>
    <t>deepseek-v3.2,statements_8000tok,12,medium,aggregation,What is the total 2026 program funding for the Ministry of Transport and Communications?,"16,881,928.10",16.9 billion som.,29453,0,"The model gave 16.9 billion som, which does not match the reference value of 16,881,928.10 (approximately 16.9 million som).",8000</t>
  </si>
  <si>
    <t>deepseek-v3.2,statements_8000tok,13,hard,filter,How many ministries/agencies have exactly one budget program?,19,"Based on the provided context, the information to determine the exact number of ministries/agencies with exactly one budget program is not available. The context lists ministries/agencies and some of their programs but does not provide a complete list of all programs for each entity.",31839,0,"The mo</t>
  </si>
  <si>
    <t>del answer states the information is unavailable,</t>
  </si>
  <si>
    <t>contra</t>
  </si>
  <si>
    <t>g th</t>
  </si>
  <si>
    <t>e re</t>
  </si>
  <si>
    <t>ference answer of 19.",8000</t>
  </si>
  <si>
    <t>deepseek-v3.2,statements_8000tok,14,hard,filter,How many programs show funding growth of more than 10% between 2026 and 2027?,9,"Based solely on the provided context, the number of programs with funding growth of more than 10% from 2026 to 2027 is **3**.</t>
  </si>
  <si>
    <t>The programs are:</t>
  </si>
  <si>
    <t>1. Program 80/001 'Управление и администрирование' (Национальная академия наук Кыргызской Республики): increases by 133.6%.</t>
  </si>
  <si>
    <t>2. Program 43/001 'Управление и администрирование' (Министерство транспорта и коммуникаций Кыргызской Республики): increases by 25.5%.</t>
  </si>
  <si>
    <t>3. Program 44/001 'Управление и администрирование' (Министерство цифрового развития и инновационных технологий Кыргызской Республики): decreases by 61.3% (Note: This is a decrease, not growth. The context also shows Program 69/001 for the same ministry with a large decrease, but no specific growth &gt;10% for that code. The only explicit growth rates &gt;10% are the 133.6% and 25.5% listed.)</t>
  </si>
  <si>
    <t>Clarification: The context lists many growth percentages, but only the two increases (133.6% and 25.5%) are explicitly over 10%. The total budget growth for 'Министерство энергетики' is 33.2%, but this is for the total budget, not a specific program's funding in the provided data. Therefore, based strictly on the program funding growth figures given, the count is 2. However, the question asks for ""programs,"" a</t>
  </si>
  <si>
    <t>nd the context includes Program 45/263 'Общегосуд</t>
  </si>
  <si>
    <t>арствен</t>
  </si>
  <si>
    <t>ны</t>
  </si>
  <si>
    <t>е</t>
  </si>
  <si>
    <t>пр</t>
  </si>
  <si>
    <t>огра</t>
  </si>
  <si>
    <t>ммы'</t>
  </si>
  <si>
    <t>which goes from 0.0 in 2026 to 275.0 in 2027, which is an increase from zero. This represents an infinite percentage growth and should be counted as growth &gt;10%. Adding this gives a total of 3 programs.",26917,0,"The model answer gives 3 programs, but the correct number is 9, so it is incorrect.",8000</t>
  </si>
  <si>
    <t>deepseek-v3.2,statements_8000tok,15,hard,indicator,How many rows in the budget have a performance indicator measured in people (чел.)?,50,"Based on the provided context, there are 22 rows with a performance indicator measured in people (чел.).",31901,2,The model identified the correct type of rows but gave an incorrect count (22 instead of the correct 50).,8000</t>
  </si>
  <si>
    <t>deepseek-v3.2,statements_8000tok,16,hard,aggregation,What share of the total 2026 program budget goes to the Ministry of Finance (General State Expenditures)?,"56% (332,149,236.2 out of  593,028,014.9)","Based solely on the provided context, the total 2026 allocation for 'Министерство финансов Кыргызской Республики (Общегосударственные программы, мероприятия и выплаты)' (code 26) is 332,149,236.1 thousand som. T</t>
  </si>
  <si>
    <t>he context does not provide the total sum of the</t>
  </si>
  <si>
    <t>entire</t>
  </si>
  <si>
    <t>rogr</t>
  </si>
  <si>
    <t>am-b</t>
  </si>
  <si>
    <t>ased budget, so the share cannot be calculated.",29800,0,"The model answer says the share cannot be calculated, whereas the reference provides a specific share of 56%.",8000</t>
  </si>
  <si>
    <t>deepseek-v3.2,statements_8000tok,17,hard,lookup,Which budget measure (not program) has the largest 2026 funding?,"Повышение социальных выплат - 76,517,019.4","The budget measure ""Государственный долг"" receives 38.0 billion som in 2026, which is the largest funding amount listed for any measure.",29348,0,"The model gave a different measure and amount, not matching the reference answer.",8000</t>
  </si>
  <si>
    <t>deepseek-v3.2,statements_8000tok,18,hard,comparison,Which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сом","Based solely on the provided context, the program under the Ministry of Emergency Situations (code 45) that receives the most 2026 funding is 'Управление и администриров</t>
  </si>
  <si>
    <t>ание' (code 001), allocated 184,945.8 thousand so</t>
  </si>
  <si>
    <t>m in 20</t>
  </si>
  <si>
    <t>,0,"</t>
  </si>
  <si>
    <t>The model gave a different program and amount, not matching the reference answer.",8000</t>
  </si>
  <si>
    <t>deepseek-v3.2,statements_8000tok,19,hard,multi-step,How many total budget programs and budget measures are in the 2026 program-based budget?,168 programs and 342 measures,The context does not contain the total number of budget programs and budget measures in the 2026 program-based budget.,29254,0,"The model answer incorrectly states the information is unavailable, whereas the reference provides the exact numbers</t>
  </si>
  <si>
    <t>.",8000</t>
  </si>
  <si>
    <t>deepseek-v3.2,statements_8000tok,20,hard,multi-step,Which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solely on the provided context, the largest absolute funding decreases from 2026 to 20</t>
  </si>
  <si>
    <t>27 are:</t>
  </si>
  <si>
    <t>1. 'Общегосударственные программы' (Министерство финансов Кыргызской Республики (Общегосударственные программы, мероприятия и выплаты)): Decrease of 31.9%.</t>
  </si>
  <si>
    <t>2. 'Цифровизация сельского хозяйства' (Министерство водных ресурсов, сельского хозяйства и перерабатывающей промышленности Кыргызской Республики): Decrease of 85.2%.</t>
  </si>
  <si>
    <t>3. 'Создание и распространение телерадиовещания на территории КР и за ее пределами' (Телерадиовещательные компании Кыргызской Республики): Decrease of 61.7%.</t>
  </si>
  <si>
    <t>Note: The context provides percentage changes but not the absolute som amounts for these specific programs, so the ranking is based on the magnitude of the percentage decreases reported.",31914,1,"Only one of the three programs matches the reference; the other two are incorrect, so the answer is largely wrong.",8000</t>
  </si>
  <si>
    <t>deepseek-v3.2,markdown_8000tok,1,easy,lookup,What is the 2026 funding for the 'School Education' program under the Ministry of Education?,"42,380,106.4 тыс. сом",The provided context does not contain information about the Ministry of Education or a 'School Education' program.,31863,0,The model did not provide the required funding figure and incorrectly claimed the information was unavailable.,8000</t>
  </si>
  <si>
    <t>deepseek-v3.2,markdown_8000tok,2,easy,lookup,How many budget programs does the Ministry of Health have?,8,The provided context does not contain any entries for the Ministry of Health.,31863,0,"The model did not provide the correct number (8) and claimed lack of information, which is incorrect.",8000</t>
  </si>
  <si>
    <t>deepseek-v3.2,markdown_8000tok,3,easy,lookup,Which program has the largest funding allocation in the 2026 budget?,"«Общегосударственные программы» Министерства финансов КР — 164,663,857.2 тыс. сом","Based on the provided context, the program with the largest funding allocation in the 2026 budget is ""Общегосударственные программы"" under Министерство финансов Кыргызской Республики, with 164,663,857.2 тыс. сом.",</t>
  </si>
  <si>
    <t>31863,3,The model correctly identified the progra</t>
  </si>
  <si>
    <t>m and t</t>
  </si>
  <si>
    <t>ct f</t>
  </si>
  <si>
    <t>ng amount as in the reference.,8000</t>
  </si>
  <si>
    <t>deepseek-v3.2,markdown_8000tok,4,easy,count,How many total ministries and agencies are represented in the program-based budget?,88,"The provided context does not contain a complete list or a total count of all ministries and agencies. It only shows a partial list starting from Жогорку Кенеш and ending with Министерство финансов. Therefore, the information is insufficient to determine the total number.",31863,0,"</t>
  </si>
  <si>
    <t>The model answer says the information is insuffic</t>
  </si>
  <si>
    <t>ient, w</t>
  </si>
  <si>
    <t>cor</t>
  </si>
  <si>
    <t>rect answer is the specific number 88.",8000</t>
  </si>
  <si>
    <t>deepseek-v3.2,markdown_8000tok,5,easy,lookup,What is the total 2026 funding for the Jogorku Kenesh (parliament)?,"1,127,306.9 тыс. сом","The total 2026 funding for the Жогорку Кенеш Кыргызской Республики is 1,127,306.9 thousand som.</t>
  </si>
  <si>
    <t>This is the sum of its two programs: ""Управление и администрирование"" (1,047,143.9) and ""Обеспечение информацией о деятельности, контроля исполнения,"" (80,163.0).",31863,3,The model provides the exact total funding value matching the reference.,8000</t>
  </si>
  <si>
    <t>deepseek-v3.2,markdown_8000tok,6,medium,aggregation,What is the total 2026 funding across all programs of the Ministry of Education?,"56,424,894.11 тыс. сом",The provided context does not contain any entries for the Ministry of Education.,31863,0,"The model answer does not provide the required funding figure and incorrectly claims no data, whereas the reference gives a specific amount.",8000</t>
  </si>
  <si>
    <t>deepseek-v3.2,markdown_8000tok,7,medium,aggregation,What is the total budget across all program-level items for 2026?,"Примерно 593.2 млрд сом (593,152,147.3 тыс. сом)","Based on the provided context, the total budget across all program-level items for 2026 is 164,663,857.2 тыс. сом. This is the amount for the ""Общегосударственные программы"" program under Министерство финансов Кыргызской Республики.",31863,0,"</t>
  </si>
  <si>
    <t>The model gave a much lower figure (164.7 bn som)</t>
  </si>
  <si>
    <t>and re</t>
  </si>
  <si>
    <t>ed a</t>
  </si>
  <si>
    <t>sin</t>
  </si>
  <si>
    <t>gle program, not the total ~593.2 bn som required.",8000</t>
  </si>
  <si>
    <t>deepseek-v3.2,markdown_8000tok,8,medium,comparison,Which ministry receives more funding: Ministry of Health or Ministry of Education?,"Министерство просвещения — 56,424,894.11 тыс. сом против 41,621,347.3  тыс. сом у здравоохранения",The provided context does not contain information about the Ministry of Health or the Ministry of Education.,31863,0,"The model claims no information is available, but the reference</t>
  </si>
  <si>
    <t>provides clear figures showing Ministry of Educa</t>
  </si>
  <si>
    <t>tion re</t>
  </si>
  <si>
    <t>iv</t>
  </si>
  <si>
    <t>mor</t>
  </si>
  <si>
    <t>e fu</t>
  </si>
  <si>
    <t>nding.",8000</t>
  </si>
  <si>
    <t>deepseek-v3.2,markdown_8000tok,9,medium,comparison,"Does the total program-level budget grow or shrink between 2026 and 2027, and by what percentage?",declines by 7.1%,"Based on the provided context, it is not possible to determine the total program-level budget change between 2026 and 2027. The context only contains selected programs and measures, not a complete list or a total sum.",31863,0,"The model says it</t>
  </si>
  <si>
    <t>cannot determine the change, whereas the referenc</t>
  </si>
  <si>
    <t>e provi</t>
  </si>
  <si>
    <t>spec</t>
  </si>
  <si>
    <t>ific</t>
  </si>
  <si>
    <t>decline of 7.1%.",8000</t>
  </si>
  <si>
    <t>deepseek-v3.2,markdown_8000tok,10,medium,lookup,Which program has the smallest non-zero funding in 2026?,«Внесение предложений по защите материальных и социальных прав ветеранов» — 739.4 тыс. сом,"The program with the smallest non-zero funding in 2026 is ""Льготное кредитование малого и среднего предпринимательства"" under Министерство финансов Кыргызской Республики, with 20,000.0 тыс.сом.",31863,0,"The model ga</t>
  </si>
  <si>
    <t>ve a different program and amount, not matching t</t>
  </si>
  <si>
    <t>he refe</t>
  </si>
  <si>
    <t>er."</t>
  </si>
  <si>
    <t>,8000</t>
  </si>
  <si>
    <t>deepseek-v3.2,markdown_8000tok,11,medium,indicator,What is the most commonly used unit of measurement for performance indicators in the 2026 budget?,Процент (%),"The most commonly used unit of measurement for performance indicators in the 2026 budget is a count or quantity (e.g., количество, число, доля, процент). Specific examples from the context include: Количество (number), Доля (share/proportion), Процент (</t>
  </si>
  <si>
    <t>percentage), Количество (amount), Уровень (level)</t>
  </si>
  <si>
    <t>, and С</t>
  </si>
  <si>
    <t>ум</t>
  </si>
  <si>
    <t>ма</t>
  </si>
  <si>
    <t>(</t>
  </si>
  <si>
    <t>sum)</t>
  </si>
  <si>
    <t>.",3</t>
  </si>
  <si>
    <t>1863,0,"Model answer does not state that percentage is the most common unit, providing an incorrect answer.",8000</t>
  </si>
  <si>
    <t>deepseek-v3.2,markdown_8000tok,12,medium,aggregation,What is the total 2026 program funding for the Ministry of Transport and Communications?,"16,881,928.10",The provided context does not contain information on the Ministry of Transport and Communications.,31863,0,"The model did not provide the required funding figure and claimed the information was unavailable, which is incorrect.",8000</t>
  </si>
  <si>
    <t>deepseek-v3.2,markdown_8000tok,13,hard,filter,How many ministries/agencies have exactly one budget program?,19,"Based on the provided context, the number of ministries/agencies with exactly one budget program is 3.</t>
  </si>
  <si>
    <t>They are:</t>
  </si>
  <si>
    <t>2. Фонды Президента и Кабинета Министров Кы</t>
  </si>
  <si>
    <t>3. Военная прокуратура Кыргызской Республик",31863,0,"The model gave 3 instead of the correct number 19, so the answer is incorrect.",8000</t>
  </si>
  <si>
    <t>deepseek-v3.2,markdown_8000tok,14,hard,filter,How many programs show funding growth of more than 10% between 2026 and 2027?,9,"Based on the provided context, no programs show funding growth of more than 10% between 2026 and 2027. All year-to-year changes for the listed programs are incremental and well below 10%.",31863,0,"The model answer states zero programs have &gt;10% growth, contradicting the reference answer</t>
  </si>
  <si>
    <t>of 9.",8000</t>
  </si>
  <si>
    <t>deepseek-v3.2,markdown_8000tok,15,hard,indicator,How many rows in the budget have a performance indicator measured in people (чел.)?,50,"Based on the provided context, none of the rows have a performance indicator measured in people (чел.). The indicators use measures like percentages, quantities, amounts, or other units, but not ""чел.""",31863,0,"The model answered that no rows have a people-based indicator, c</t>
  </si>
  <si>
    <t>ontradicting the correct answer of 50.",8000</t>
  </si>
  <si>
    <t>deepseek-v3.2,markdown_8000tok,16,hard,aggregation,What share of the total 2026 program budget goes to the Ministry of Finance (General State Expenditures)?,"56% (332,149,236.2 out of  593,028,014.9)","Based on the provided context, the total 2026 program budget for the Ministry of Finance (including all its programs and measures) is 118,757,161.3 thousand som for ""Государственные программы, мероприятия и выпла</t>
  </si>
  <si>
    <t>ты"" and 164,663,857.2 thousand som for ""Общегос</t>
  </si>
  <si>
    <t>ударств</t>
  </si>
  <si>
    <t>ен</t>
  </si>
  <si>
    <t>прог</t>
  </si>
  <si>
    <t>рамм</t>
  </si>
  <si>
    <t>ы"". However, the context does not provide the overall total of the entire 2026 program-based budget for all ministries. Therefore, it is not possible to calculate the share.",31863,0,"The model answer fails to provide the correct share (56%) and claims insufficient data, which is incorrect.",8000</t>
  </si>
  <si>
    <t>deepseek-v3.2,markdown_8000tok,17,hard,lookup,Which budget measure (not program) has the largest 2026 funding?,"Повышение социальных выплат - 76,517,019.4","Based solely on the provided context, the budget measure with the largest 2026 funding is ""Обеспечение базовой части пенсии"" (Ensuring the basic part of the pension) under the Ministry of Finance, with 33,574,380.8 thousand som for 2026.",31863,0,"The mode</t>
  </si>
  <si>
    <t>l gave a different measure and amount, not matchi</t>
  </si>
  <si>
    <t>er.",8000</t>
  </si>
  <si>
    <t>deepseek-v3.2,markdown_8000tok,18,hard,comparison,Which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provided context does not contain any information about the Ministry of Emergency Situations or its programs.,31863,0,"The model answer does not provide the required pr</t>
  </si>
  <si>
    <t>ogram and funding, contradicting the reference an</t>
  </si>
  <si>
    <t>swer.",</t>
  </si>
  <si>
    <t>deepseek-v3.2,markdown_8000tok,19,hard,multi-step,How many total budget programs and budget measures are in the 2026 program-based budget?,168 programs and 342 measures,"Based on the provided context, the 2026 program-based budget contains 38 budget programs and 77 budget measures.",31863,1,The answer mentions budget programs and measures but provides incorrect numbers compared to the reference.,8000</t>
  </si>
  <si>
    <t>deepseek-v3.2,markdown_8000tok,20,hard,multi-step,Which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on the provided context, the programs with the largest absolute funding decrease from 20</t>
  </si>
  <si>
    <t>26 to 2027 are:</t>
  </si>
  <si>
    <t>1.  Министерство финансов Кыргызской Республики, program ""Общегосударственные программы"": Decrease of 52,469,226.0 тыс. сом (from 164,663,857.2 in 2026 to 112,194,631.2 in 2027).</t>
  </si>
  <si>
    <t>2.  Министерство финансов Кыргызской Республики, program ""Администрирование государственных доходов"": Decrease of 1,135,042.7 тыс. сом (from 10,614,609.5 in 2026 to 9,479,566.8 in 2027).</t>
  </si>
  <si>
    <t>3.  Управление делами Президента Кыргызской Республики, program ""Обеспечение и координация деятельности по реализации единой государственной политики в области имущественных отношений, государственных закупок, наград, связи, транспорта и организации государственных мероприятий"": Decrease of 265,953.9 тыс. сом (from 2,837,368.8 in 2026 to 2,571,414.9 in 2027).",31863,1,Only the first program matches the referen</t>
  </si>
  <si>
    <t>ce; the other two listed programs are incorrect.,</t>
  </si>
  <si>
    <t>deepseek-v3.2,statements_16000tok,1,easy,lookup,What is the 2026 funding for the 'School Education' program under the Ministry of Education?,"42,380,106.4 тыс. сом",The context does not contain information on a specific 'School Education' program or its funding under the Ministry of Education (Министерство просвещения).,32265,0,"The model answer does not provide the required funding figure and states the informa</t>
  </si>
  <si>
    <t>tion is unavailable, which is incorrect.",16000</t>
  </si>
  <si>
    <t>deepseek-v3.2,statements_16000tok,2,easy,lookup,How many budget programs does the Ministry of Health have?,8,The context does not specify the number of budget programs for the Ministry of Health (code 37).,44203,0,"The model answer states the number is unspecified, contradicting the reference answer of 8.",16000</t>
  </si>
  <si>
    <t>deepseek-v3.2,statements_16000tok,3,easy,lookup,Which program has the largest funding allocation in the 2026 budget?,"«Общегосударственные программы» Министерства финансов КР — 164,663,857.2 тыс. сом","Based solely on the provided context, the program with the largest funding allocation in the 2026 budget is 'Министерство финансов Кыргызской Республики (Общегосударственные программы, мероприятия и выплаты)' with</t>
  </si>
  <si>
    <t>a total allocation of 332.1 billion som.",28496,</t>
  </si>
  <si>
    <t>2,Ident</t>
  </si>
  <si>
    <t>if</t>
  </si>
  <si>
    <t>ie</t>
  </si>
  <si>
    <t>ect program but provides an incorrect funding amount.,16000</t>
  </si>
  <si>
    <t>deepseek-v3.2,statements_16000tok,4,easy,count,How many total ministries and agencies are represented in the program-based budget?,88,The context lists 68 distinct ministries and agencies with GRBS codes and allocations in the 2026 program-based budget.,29451,2,Provides a number for ministries and agencies but the value (68) does not match the correct total (88).,16000</t>
  </si>
  <si>
    <t>deepseek-v3.2,statements_16000tok,5,easy,lookup,What is the total 2026 funding for the Jogorku Kenesh (parliament)?,"1,127,306.9 тыс. сом",1.1 billion som,27738,3,"Model's 1.1 billion som correctly approximates the reference 1,127,306.9 тыс. сом (≈1.127 billion som).",16000</t>
  </si>
  <si>
    <t>deepseek-v3.2,statements_16000tok,6,medium,aggregation,What is the total 2026 funding across all programs of the Ministry of Education?,"56,424,894.11 тыс. сом",56.4 billion som,32711,3,"Model answer correctly gives the total funding as 56.4 billion som, matching the reference value (56,424,894.11 тыс. сом) with acceptable rounding.",16000</t>
  </si>
  <si>
    <t>deepseek-v3.2,statements_16000tok,7,medium,aggregation,What is the total budget across all program-level items for 2026?,"Примерно 593.2 млрд сом (593,152,147.3 тыс. сом)",The total 2026 budget across all program-level items is not provided in the context. The context only gives individual allocations for specific ministries and agencies.,26064,0,"Model answer incorrectly states the total budget is not provided,</t>
  </si>
  <si>
    <t>whereas the reference gives a specific value.",1</t>
  </si>
  <si>
    <t>deepseek-v3.2,statements_16000tok,8,medium,comparison,Which ministry receives more funding: Ministry of Health or Ministry of Education?,"Министерство просвещения — 56,424,894.11 тыс. сом против 41,621,347.3  тыс. сом у здравоохранения","Ministry of Education (Министерство просвещения, code 34) receives more funding with 56,424,894.1 thousand som in 2026, compared to Ministry of Health (Министерство здравоохране</t>
  </si>
  <si>
    <t>ния, code 37) with 41,621,347.3 thousand som in 2</t>
  </si>
  <si>
    <t>026.",4</t>
  </si>
  <si>
    <t>,The</t>
  </si>
  <si>
    <t>mod</t>
  </si>
  <si>
    <t>el correctly identifies Ministry of Education as receiving more funding and provides matching figures.,16000</t>
  </si>
  <si>
    <t>deepseek-v3.2,statements_16000tok,9,medium,comparison,"Does the total program-level budget grow or shrink between 2026 and 2027, and by what percentage?",declines by 7.1%,"The context does not contain the total program-level budget figure for 2026 and 2027, so the overall percentage change cannot be determined.",26225,0,The model answer fails to provide the correct fact that the budget declines by 7.1%.,16000</t>
  </si>
  <si>
    <t>deepseek-v3.2,statements_16000tok,10,medium,lookup,Which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 has the smallest non-zero funding in 2026 at 739.4 тыс. сом.,28942,3,"The model correctly identifies</t>
  </si>
  <si>
    <t>the program with the smallest non-zero funding an</t>
  </si>
  <si>
    <t>d gives</t>
  </si>
  <si>
    <t>xact</t>
  </si>
  <si>
    <t>amo</t>
  </si>
  <si>
    <t>unt, despite a minor variation in the program name.",16000</t>
  </si>
  <si>
    <t>deepseek-v3.2,statements_16000tok,11,medium,indicator,What is the most commonly used unit of measurement for performance indicators in the 2026 budget?,Процент (%),The most commonly used unit of measurement for performance indicators in the 2026 budget is percentage (%).,34521,3,"The model correctly identifies the unit as percentage (%), matching the reference answer.",16000</t>
  </si>
  <si>
    <t>deepseek-v3.2,statements_16000tok,12,medium,aggregation,What is the total 2026 program funding for the Ministry of Transport and Communications?,"16,881,928.10",16.9 billion som.,29453,0,"The model gave 16.9 billion som, which does not match the reference value of 16,881,928.10 (approximately 16.9 million som).",16000</t>
  </si>
  <si>
    <t>deepseek-v3.2,statements_16000tok,13,hard,filter,How many ministries/agencies have exactly one budget program?,19,The context does not contain the information needed to determine how many ministries/agencies have exactly one budget program.,33104,0,"The model answer does not provide the required number (19) and instead claims insufficient information, which is incorrect.",16000</t>
  </si>
  <si>
    <t>deepseek-v3.2,statements_16000tok,14,hard,filter,How many programs show funding growth of more than 10% between 2026 and 2027?,9,"Based on the context, only one program shows funding growth of more than 10% between 2026 and 2027: 'Управление и администрирование' for Национальная академия наук Кыргызской Республики, which increases by 133.6%.",26917,0,The model gave an incorrect number (1) instead of the correct</t>
  </si>
  <si>
    <t>count of 9 programs.,16000</t>
  </si>
  <si>
    <t>deepseek-v3.2,statements_16000tok,15,hard,indicator,How many rows in the budget have a performance indicator measured in people (чел.)?,50,"Based on the provided context, there are 24 rows with a performance indicator measured in people (чел.).",34915,2,The model identified the correct type of rows but gave the wrong count (24 instead of the correct 50).,16000</t>
  </si>
  <si>
    <t>deepseek-v3.2,statements_16000tok,16,hard,aggregation,What share of the total 2026 program budget goes to the Ministry of Finance (General State Expenditures)?,"56% (332,149,236.2 out of  593,028,014.9)","The total 2026 allocation for 'Министерство финансов Кыргызской Республики (Общегосударственные программы, мероприятия и выплаты)' (code 26) is 332,149,236.1 thousand som. The context does not provide the overa</t>
  </si>
  <si>
    <t>ll total of the 2026 program budget, so the share</t>
  </si>
  <si>
    <t>cannot</t>
  </si>
  <si>
    <t>b</t>
  </si>
  <si>
    <t>lcul</t>
  </si>
  <si>
    <t>ated</t>
  </si>
  <si>
    <t>.",29800,0,"The model answer does not provide the required share (56%) and incorrectly claims the total is unavailable, contradicting the reference.",16000</t>
  </si>
  <si>
    <t>deepseek-v3.2,statements_16000tok,17,hard,lookup,Which budget measure (not program) has the largest 2026 funding?,"Повышение социальных выплат - 76,517,019.4","The budget measure ""Государственный долг"" has the largest 2026 funding at 38.0 billion som.",29348,0,"The model gave a different budget measure and amount, not matching the reference answer.",16000</t>
  </si>
  <si>
    <t>deepseek-v3.2,statements_16000tok,18,hard,comparison,Which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сом","Based solely on the provided context, the program under the Ministry of Emergency Situations (code 45) that receives the most 2026 funding is 'Управление и администриро</t>
  </si>
  <si>
    <t>вание' (code 001), allocated 184,945.8 thousand s</t>
  </si>
  <si>
    <t>om in 2</t>
  </si>
  <si>
    <t>9,0,</t>
  </si>
  <si>
    <t>"The model gave a different program and amount, not matching the reference answer.",16000</t>
  </si>
  <si>
    <t>deepseek-v3.2,statements_16000tok,19,hard,multi-step,How many total budget programs and budget measures are in the 2026 program-based budget?,168 programs and 342 measures,The context does not contain the total number of budget programs and budget measures in the 2026 program-based budget.,29254,0,The model answer does not provide the required numbers and incorrectly claims the information is missing.,16000</t>
  </si>
  <si>
    <t>deepseek-v3.2,statements_16000tok,20,hard,multi-step,Which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solely on the provided context, the three programs with the largest absolute funding</t>
  </si>
  <si>
    <t>decreases from 2026 to 2027 are:</t>
  </si>
  <si>
    <t>1.  **'Общегосударственные программы' (Министерство финансов Кыргызской Республики (Общегосударственные программы, мероприятия и выплаты))** – Decrease of 31.9%.</t>
  </si>
  <si>
    <t>2.  **'Цифровизация сельского хозяйства' (Министерство водных ресурсов, сельского хозяйства и перерабатывающей промышленности Кыргызской Республики)** – Decrease of 85.2%.</t>
  </si>
  <si>
    <t>3.  **'Создание и распространение телерадиовещания на территории КР и за ее пределами' (Телерадиовещательные компании Кыргызской Республики)** – Decrease of 61.7%.</t>
  </si>
  <si>
    <t>**Note:** The context provides percentage changes but not the absolute funding amounts for these specific programs, so the ranking is based on the magnitude of the percentage decrease.",33951,1,"Only one of the three listed programs matches the reference; the other two are incorrect, so the answer is largely wrong.",16000</t>
  </si>
  <si>
    <t>deepseek-v3.2,markdown_16000tok,1,easy,lookup,What is the 2026 funding for the 'School Education' program under the Ministry of Education?,"42,380,106.4 тыс. сом","42,380,106.4 тыс. сом",63940,3,"The model answer exactly matches the reference value, providing the correct funding amount.",16000</t>
  </si>
  <si>
    <t>deepseek-v3.2,markdown_16000tok,2,easy,lookup,How many budget programs does the Ministry of Health have?,8,"Based on the context, the Ministry of Health (Министерство здравоохранения) has 6 budget programs for 2026.",63940,2,The answer correctly identifies the Ministry of Health but gives the wrong number of budget programs (6 instead of the correct 8).,16000</t>
  </si>
  <si>
    <t>deepseek-v3.2,markdown_16000tok,3,easy,lookup,Which program has the largest funding allocation in the 2026 budget?,"«Общегосударственные программы» Министерства финансов КР — 164,663,857.2 тыс. сом","Based solely on the provided context, the program with the largest funding allocation in the 2026 budget is ""Общегосударственные программы"" under Министерство финансов Кыргызской Республики, with 164,663,857.2 тыс</t>
  </si>
  <si>
    <t>. сом.",63940,3,The model correctly identified th</t>
  </si>
  <si>
    <t>e progr</t>
  </si>
  <si>
    <t>am</t>
  </si>
  <si>
    <t>ct funding amount as in the reference.,16000</t>
  </si>
  <si>
    <t>deepseek-v3.2,markdown_16000tok,4,easy,count,How many total ministries and agencies are represented in the program-based budget?,88,"Based on the provided context, the total number of distinct ministries and agencies listed is 21.",63940,0,"The model answer gives 21, which does not match the correct total of 88 ministries and agencies.",16000</t>
  </si>
  <si>
    <t>deepseek-v3.2,markdown_16000tok,5,easy,lookup,What is the total 2026 funding for the Jogorku Kenesh (parliament)?,"1,127,306.9 тыс. сом","The total 2026 funding for the Жогорку Кенеш (Jogorku Kenesh) is the sum of its two programs: 1,047,143.9 thousand som for ""Управление и администрирование"" and 80,163.0 thousand som for ""Обеспечение информацией о деятельности, контроля исполнения,"" which equals 1,127,306.9</t>
  </si>
  <si>
    <t>thousand som.",63940,3,"Model answer provides th</t>
  </si>
  <si>
    <t>e exact</t>
  </si>
  <si>
    <t>fun</t>
  </si>
  <si>
    <t>ding</t>
  </si>
  <si>
    <t>of 1,127,306.9 thousand som, matching the reference.",16000</t>
  </si>
  <si>
    <t>deepseek-v3.2,markdown_16000tok,6,medium,aggregation,What is the total 2026 funding across all programs of the Ministry of Education?,"56,424,894.11 тыс. сом","Based on the context, the total 2026 funding for the Ministry of Education (Министерство просвещения) across all its programs is 55,433,913.1 тыс. сом.</t>
  </si>
  <si>
    <t>This sum is derived from its four listed programs:</t>
  </si>
  <si>
    <t>1. Управление и администрирование: 1,962,869.4</t>
  </si>
  <si>
    <t>2. Дошкольное образование и предшкольная подготовка: 8,891,657.5</t>
  </si>
  <si>
    <t>3. Школьное образование: 42,380,106.4</t>
  </si>
  <si>
    <t>4. Начальное и среднее профессиональное образование: 2,178,080.8</t>
  </si>
  <si>
    <t>Sum: 1,962,869.4 + 8,891,657.5 + 42,380,106.4 + 2,178,080.8 = 55,433,913.1",63940,2,"Correct entity (total funding for Ministry of Education) but the amount 55,433,913.1 тыс. сом does not match the reference 56,424,894.11 тыс. сом.",16000</t>
  </si>
  <si>
    <t>deepseek-v3.2,markdown_16000tok,7,medium,aggregation,What is the total budget across all program-level items for 2026?,"Примерно 593.2 млрд сом (593,152,147.3 тыс. сом)","Based on the provided context, the total budget across all program-level items for 2026 cannot be calculated. The context contains only a partial list of programs and measures, not a complete budget summary.",63940,0,"The model claims the budge</t>
  </si>
  <si>
    <t>t cannot be calculated, contradicting the referen</t>
  </si>
  <si>
    <t>ce whic</t>
  </si>
  <si>
    <t>h</t>
  </si>
  <si>
    <t>total budget value.",16000</t>
  </si>
  <si>
    <t>deepseek-v3.2,markdown_16000tok,8,medium,comparison,Which ministry receives more funding: Ministry of Health or Ministry of Education?,"Министерство просвещения — 56,424,894.11 тыс. сом против 41,621,347.3  тыс. сом у здравоохранения","Based on the provided context, the Ministry of Health (Министерство здравоохранения) receives more funding than the Ministry of Education (Министерство просвещения) in 2026.</t>
  </si>
  <si>
    <t>The total 2026 funding for the Ministry of Health's listed programs is 38,730,916.9 thousand som.</t>
  </si>
  <si>
    <t>The total 2026 funding for the Ministry of Education's listed programs is 55,430,893.1 thousand som.</t>
  </si>
  <si>
    <t>**Ministry of Health (2026): 38,730,916.9 тыс. сом**</t>
  </si>
  <si>
    <t>**Ministry of Education (2026): 55,430,893.1 тыс. сом**</t>
  </si>
  <si>
    <t>Therefore, the Ministry of Education receives more funding.",63940,2,"The answer ultimately states that the Ministry of Education receives more funding, which matches the reference, but it also contains contradictory and incorrect statements about the Ministry of Health receiving more.",16000</t>
  </si>
  <si>
    <t>deepseek-v3.2,markdown_16000tok,9,medium,comparison,"Does the total program-level budget grow or shrink between 2026 and 2027, and by what percentage?",declines by 7.1%,"Based on the provided context, the total program-level budget for all listed ministries cannot be calculated. The context only shows individual program and measure budgets, not a summed total for all programs. Therefore, it is impossible to dete</t>
  </si>
  <si>
    <t>rmine if the total grows or shrinks between 2026</t>
  </si>
  <si>
    <t>and 202</t>
  </si>
  <si>
    <t>7,</t>
  </si>
  <si>
    <t>o</t>
  </si>
  <si>
    <t>r</t>
  </si>
  <si>
    <t>by w</t>
  </si>
  <si>
    <t>hat</t>
  </si>
  <si>
    <t>percentage.",63940,0,"The model claims the information cannot be determined, contradicting the reference that states a 7.1% decline.",16000</t>
  </si>
  <si>
    <t>deepseek-v3.2,markdown_16000tok,10,medium,lookup,Which program has the smallest non-zero funding in 2026?,«Внесение предложений по защите материальных и социальных прав ветеранов» — 739.4 тыс. сом,"The program with the smallest non-zero funding in 2026 is ""Внесение предложений по защите материальных и социальных прав"" by Общественное объединение «Республикански», with 739.4 тыс. сом.",63940,3,"The answer corre</t>
  </si>
  <si>
    <t>ctly identifies the program and the exact funding</t>
  </si>
  <si>
    <t>amount</t>
  </si>
  <si>
    <t>,</t>
  </si>
  <si>
    <t>ma</t>
  </si>
  <si>
    <t>tc</t>
  </si>
  <si>
    <t>hing</t>
  </si>
  <si>
    <t>reference.",16000</t>
  </si>
  <si>
    <t>deepseek-v3.2,markdown_16000tok,11,medium,indicator,What is the most commonly used unit of measurement for performance indicators in the 2026 budget?,Процент (%),"The most commonly used unit of measurement for performance indicators in the 2026 budget is a count or quantity (e.g., ""Количество"" - number, amount).",63940,0,The model gave an incorrect unit (count/quantity) instead of the correct unit percentage.,</t>
  </si>
  <si>
    <t>deepseek-v3.2,markdown_16000tok,12,medium,aggregation,What is the total 2026 program funding for the Ministry of Transport and Communications?,"16,881,928.10","The provided context does not contain any entries for the Ministry of Transport and Communications. Therefore, the total 2026 program funding for this ministry cannot be determined from the given information.",63940,0,"The model claims the information is</t>
  </si>
  <si>
    <t>unavailable, whereas the reference provides a spe</t>
  </si>
  <si>
    <t>cific t</t>
  </si>
  <si>
    <t>alue, making the answer incorrect.",16000</t>
  </si>
  <si>
    <t>deepseek-v3.2,markdown_16000tok,13,hard,filter,How many ministries/agencies have exactly one budget program?,19,"Based on the context, the following ministries/agencies have exactly one budget program listed:</t>
  </si>
  <si>
    <t>1.  Архив Президента Кыргызской Республики</t>
  </si>
  <si>
    <t>2.  Фонды Президента и Кабинета Министров Кы</t>
  </si>
  <si>
    <t>3.  Военная прокуратура Кыргызской Республик</t>
  </si>
  <si>
    <t>4.  Омбудсмен (Акыйкатчы) Кыргызской Респуб</t>
  </si>
  <si>
    <t>5.  Конституционный суд Кыргызской Республик</t>
  </si>
  <si>
    <t>6.  Академия государственного управления при</t>
  </si>
  <si>
    <t>7.  Общественное объединение «Республикански</t>
  </si>
  <si>
    <t>**Total: 7 ministries/agencies.**",63940,2,The answer addresses the correct entity (the count) but provides the wrong number (7 instead of 19).,16000</t>
  </si>
  <si>
    <t>deepseek-v3.2,markdown_16000tok,14,hard,filter,How many programs show funding growth of more than 10% between 2026 and 2027?,9,"Based on the provided context, none of the programs show a funding growth of more than 10% between 2026 and 2027. All listed year-to-year changes are less than 10%.",63940,0,"The model answered that no programs have &gt;10% growth, contradicting the correct answer of 9.",16000</t>
  </si>
  <si>
    <t>deepseek-v3.2,markdown_16000tok,15,hard,indicator,How many rows in the budget have a performance indicator measured in people (чел.)?,50,"Based on the provided context, none of the performance indicators are measured in people (чел.). The indicators use units like percentages, quantities, monetary amounts, or other specific measures, but not ""чел.""",63940,0,"The model answer states there are no rows with indic</t>
  </si>
  <si>
    <t>ators measured in people, contradicting the refer</t>
  </si>
  <si>
    <t>ence an</t>
  </si>
  <si>
    <t>sw</t>
  </si>
  <si>
    <t>f 50</t>
  </si>
  <si>
    <t>.",1</t>
  </si>
  <si>
    <t>deepseek-v3.2,markdown_16000tok,16,hard,aggregation,What share of the total 2026 program budget goes to the Ministry of Finance (General State Expenditures)?,"56% (332,149,236.2 out of  593,028,014.9)","Based solely on the provided context, the total 2026 program budget for the Ministry of Finance (including all its programs and measures) is 118,757,161.3 thousand som for the program ""Государственные программы,</t>
  </si>
  <si>
    <t>мероприятия и выплаты"". However, the context do</t>
  </si>
  <si>
    <t>es not</t>
  </si>
  <si>
    <t>e th</t>
  </si>
  <si>
    <t>e to</t>
  </si>
  <si>
    <t>tal program budget for all ministries combined, so the requested share cannot be calculated.",63940,0,"The model answer fails to provide the correct share (56%) and incorrectly states it cannot calculate, thus not matching the reference answer.",16000</t>
  </si>
  <si>
    <t>deepseek-v3.2,markdown_16000tok,17,hard,lookup,Which budget measure (not program) has the largest 2026 funding?,"Повышение социальных выплат - 76,517,019.4","Based solely on the provided context, the budget measure with the largest 2026 funding is ""Обеспечение базовой части пенсии"" (Ensuring the basic part of the pension) under the Ministry of Finance, with 33,574,380.8 thousand som for 2026.",63940,0,"The mod</t>
  </si>
  <si>
    <t>el gave a different measure and amount, not match</t>
  </si>
  <si>
    <t>ef</t>
  </si>
  <si>
    <t>ence</t>
  </si>
  <si>
    <t>'s l</t>
  </si>
  <si>
    <t>argest funding of Повышение социальных выплат at 76,517,019.4.",16000</t>
  </si>
  <si>
    <t>deepseek-v3.2,markdown_16000tok,18,hard,comparison,Which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provided context does not contain any entries for the Ministry of Emergency Situations.,63940,0,"The model says no entries exist, contradicting the reference which lis</t>
  </si>
  <si>
    <t>ts a specific program and amount.",16000</t>
  </si>
  <si>
    <t>deepseek-v3.2,markdown_16000tok,19,hard,multi-step,How many total budget programs and budget measures are in the 2026 program-based budget?,168 programs and 342 measures,"Based on the provided context, the 2026 program-based budget contains 56 budget programs and 144 budget measures.",63940,0,Both the number of programs and measures are incorrect compared to the reference answer.,16000</t>
  </si>
  <si>
    <t>deepseek-v3.2,markdown_16000tok,20,hard,multi-step,Which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on the provided context, the programs with the largest absolute funding decreases from</t>
  </si>
  <si>
    <t>2026 to 2027 are:</t>
  </si>
  <si>
    <t>1. **Министерство финансов Кыргызской Республики - Общегосударственные программы**: Decrease of 52,469,226.0 тыс. сом (from 164,663,857.2 in 2026 to 112,194,631.2 in 2027).</t>
  </si>
  <si>
    <t>2. **Министерство финансов Кыргызской Республики - Администрирование государственных доходов**: Decrease of 1,135,042.7 тыс. сом (from 10,614,609.5 in 2026 to 9,479,566.8 in 2027).</t>
  </si>
  <si>
    <t>3. **Управление делами Президента Кыргызской Республики - Обеспечение и координация деятельности по реализации единой государственной политики в сфере государственных услуг, управления государственным имуществом, обеспечения деятельности государственных органов, организаций и учреждений**: Decrease of 265,953.9 тыс. сом (from 2,837,368.8 in 2026 to 2,571,414.9 in 2027).",63940,1,Only the first program matches th</t>
  </si>
  <si>
    <t>e reference; the other two listed are incorrect.,</t>
  </si>
  <si>
    <t>deepseek-v3.2,statements_full,1,easy,lookup,What is the 2026 funding for the 'School Education' program under the Ministry of Education?,"42,380,106.4 тыс. сом",The context does not contain information about a 'School Education' program or its funding under the Ministry of Education (Министерство просвещения).,32265,0,"The model claims no information is available, contradicting the reference which provides a spe</t>
  </si>
  <si>
    <t>cific funding amount.",full</t>
  </si>
  <si>
    <t>deepseek-v3.2,statements_full,2,easy,lookup,How many budget programs does the Ministry of Health have?,8,The context does not specify the number of budget programs for the Ministry of Health (code 37).,44203,0,"The model answer states the number is unspecified, contradicting the reference answer of 8.",full</t>
  </si>
  <si>
    <t>deepseek-v3.2,statements_full,3,easy,lookup,Which program has the largest funding allocation in the 2026 budget?,"«Общегосударственные программы» Министерства финансов КР — 164,663,857.2 тыс. сом","The program with the largest funding allocation in the 2026 budget is 'Министерство финансов Кыргызской Республики (Общегосударственные программы, мероприятия и выплаты)' with 332.1 billion som.",28496,2,The answer id</t>
  </si>
  <si>
    <t>entifies the correct program but gives an incorre</t>
  </si>
  <si>
    <t>ct fund</t>
  </si>
  <si>
    <t>ount</t>
  </si>
  <si>
    <t>.,fu</t>
  </si>
  <si>
    <t>ll</t>
  </si>
  <si>
    <t>deepseek-v3.2,statements_full,4,easy,count,How many total ministries and agencies are represented in the program-based budget?,88,The context lists 68 distinct GRBS codes/entities that are allocated budget programs in the 2026 republican budget.,29451,1,"The answer mentions a related count (68) but gives the wrong number, not the correct 88.",full</t>
  </si>
  <si>
    <t>deepseek-v3.2,statements_full,5,easy,lookup,What is the total 2026 funding for the Jogorku Kenesh (parliament)?,"1,127,306.9 тыс. сом",1.1 billion som,27738,3,"Model answer approximates the reference value (1.127 billion) as 1.1 billion som, which is an acceptable rounding.",full</t>
  </si>
  <si>
    <t>deepseek-v3.2,statements_full,6,medium,aggregation,What is the total 2026 funding across all programs of the Ministry of Education?,"56,424,894.11 тыс. сом",56.4 billion som,32711,3,"Model answer correctly gives the total funding as 56.4 billion som, matching the reference value (56,424,894.11 тыс. сом) with acceptable rounding.",full</t>
  </si>
  <si>
    <t>deepseek-v3.2,statements_full,7,medium,aggregation,What is the total budget across all program-level items for 2026?,"Примерно 593.2 млрд сом (593,152,147.3 тыс. сом)",The total 2026 budget across all program-level items is not provided in the context. The context only gives individual allocations for specific ministries and agencies.,26064,0,"Model answer incorrectly claims the total budget is not provided, whe</t>
  </si>
  <si>
    <t>reas the reference gives a specific value of appr</t>
  </si>
  <si>
    <t>oximate</t>
  </si>
  <si>
    <t>ly</t>
  </si>
  <si>
    <t>.2 b</t>
  </si>
  <si>
    <t>illi</t>
  </si>
  <si>
    <t>on som.",full</t>
  </si>
  <si>
    <t>deepseek-v3.2,statements_full,8,medium,comparison,Which ministry receives more funding: Ministry of Health or Ministry of Education?,"Министерство просвещения — 56,424,894.11 тыс. сом против 41,621,347.3  тыс. сом у здравоохранения","Ministry of Education (Министерство просвещения, code 34) receives more funding than Ministry of Health (Министерство здравоохранения, code 37). In 2026, the Ministry of Education i</t>
  </si>
  <si>
    <t>s allocated 56,424,894.1 thousand som, while the</t>
  </si>
  <si>
    <t>Ministr</t>
  </si>
  <si>
    <t>y</t>
  </si>
  <si>
    <t>H</t>
  </si>
  <si>
    <t>ealt</t>
  </si>
  <si>
    <t>h is</t>
  </si>
  <si>
    <t>allocated 41,621,347.3 thousand som.",41486,3,The answer correctly identifies the Ministry of Education as receiving more funding and provides the accurate figures matching the reference.,full</t>
  </si>
  <si>
    <t>deepseek-v3.2,statements_full,9,medium,comparison,"Does the total program-level budget grow or shrink between 2026 and 2027, and by what percentage?",declines by 7.1%,"The context does not contain the total consolidated program-level budget figure for 2026 and 2027, so the overall percentage change cannot be determined.",26225,0,"The model answer fails to provide the correct percentage change, contradicting the</t>
  </si>
  <si>
    <t>reference answer.",full</t>
  </si>
  <si>
    <t>deepseek-v3.2,statements_full,10,medium,lookup,Which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 has the smallest non-zero funding in 2026 at 739.4 тыс. сом.,28942,3,The model correctly identifies the p</t>
  </si>
  <si>
    <t>rogram with the smallest non-zero funding and giv</t>
  </si>
  <si>
    <t>es the</t>
  </si>
  <si>
    <t>ex</t>
  </si>
  <si>
    <t>ac</t>
  </si>
  <si>
    <t>amou</t>
  </si>
  <si>
    <t>nt o</t>
  </si>
  <si>
    <t>f 739.4 тыс. сом.,full</t>
  </si>
  <si>
    <t>deepseek-v3.2,statements_full,11,medium,indicator,What is the most commonly used unit of measurement for performance indicators in the 2026 budget?,Процент (%),The most commonly used unit of measurement for performance indicators in the 2026 budget is percentage (%).,34521,3,"The model correctly identifies the unit as percentage, matching the reference answer.",full</t>
  </si>
  <si>
    <t>deepseek-v3.2,statements_full,12,medium,aggregation,What is the total 2026 program funding for the Ministry of Transport and Communications?,"16,881,928.10",16.9 billion som.,29453,0,"The model gave 16.9 billion som, which does not match the reference value of 16,881,928.10 (approximately 16.9 million som).",full</t>
  </si>
  <si>
    <t>deepseek-v3.2,statements_full,13,hard,filter,How many ministries/agencies have exactly one budget program?,19,The context does not contain the information needed to determine how many ministries/agencies have exactly one budget program.,33104,0,"The model claims insufficient information, but the reference provides a specific answer (19), so the response is incorrect.",full</t>
  </si>
  <si>
    <t>deepseek-v3.2,statements_full,14,hard,filter,How many programs show funding growth of more than 10% between 2026 and 2027?,9,"Based on the provided context, the number of programs with funding growth exceeding 10% from 2026 to 2027 is 3.</t>
  </si>
  <si>
    <t>1. Program 80/001 'Управление и администрирование' (Национальная академия наук Кыргызской Республики) with a 133.6% increase.</t>
  </si>
  <si>
    <t>2. Program 43/001 'Управление и администрирование' (Министерство транспорта и коммуникаций Кыргызской Республики) with a 25.5% increase.</t>
  </si>
  <si>
    <t>3. Program 80/001 'Управление и администрирование' (Министерство цифрового развития и инновационных технологий Кыргызской Республики) with a -61.3% change, which is not growth. There is a discrepancy. The context states funding for this program ""decreases by 61.3%"", so it should not be counted. The correct count based on actual growth &gt;10% is 2.</t>
  </si>
  <si>
    <t>However, the context also includes total budget growth figures for ministries, not specific programs. The only explicit program funding growth rates over 10% are the 133.6% and 25.5% increases. Therefore, the precise answer from the program data is 2.",26917,0,"The model answer gives 2 (or 3) programs, which does not match the correct answer of 9.",full</t>
  </si>
  <si>
    <t>deepseek-v3.2,statements_full,15,hard,indicator,How many rows in the budget have a performance indicator measured in people (чел.)?,50,"Based on the provided context, 22 rows have a performance indicator measured in people (чел.).",34915,2,The model identified the correct entity (rows with performance indicator measured in people) but gave an incorrect number (22 instead of 50).,full</t>
  </si>
  <si>
    <t>deepseek-v3.2,statements_full,16,hard,aggregation,What share of the total 2026 program budget goes to the Ministry of Finance (General State Expenditures)?,"56% (332,149,236.2 out of  593,028,014.9)","The total 2026 allocation for 'Министерство финансов Кыргызской Республики (Общегосударственные программы, мероприятия и выплаты)' is 332,149,236.1 thousand som. The context does not provide the total 2026 program</t>
  </si>
  <si>
    <t>budget figure needed to calculate the share.",298</t>
  </si>
  <si>
    <t>00,0,Th</t>
  </si>
  <si>
    <t>l di</t>
  </si>
  <si>
    <t>d no</t>
  </si>
  <si>
    <t>t provide the required share (56%) and incorrectly states insufficient information.,full</t>
  </si>
  <si>
    <t>deepseek-v3.2,statements_full,17,hard,lookup,Which budget measure (not program) has the largest 2026 funding?,"Повышение социальных выплат - 76,517,019.4","The budget measure ""Государственный долг"" receives 38.0 billion som in 2026, which is the largest funding amount listed for any specific measure.",29348,0,"The model gave a different measure and amount, not matching the reference answer.",full</t>
  </si>
  <si>
    <t>deepseek-v3.2,statements_full,18,hard,comparison,Which program under the Ministry of Emergency Situations receives the most 2026 funding?,"Управление материальными ценностями государственного и мобилизационного резерва  4,522,247.8 тыс. сом","Based solely on the provided context, the program under the Ministry of Emergency Situations (code 45) that receives the most 2026 funding is 'Управление и администрировани</t>
  </si>
  <si>
    <t>е' (code 001), allocated 184,945.8 thousand som i</t>
  </si>
  <si>
    <t>n 2026.</t>
  </si>
  <si>
    <t>"The</t>
  </si>
  <si>
    <t>model gave a different program and amount, not matching the reference answer.",full</t>
  </si>
  <si>
    <t>deepseek-v3.2,statements_full,19,hard,multi-step,How many total budget programs and budget measures are in the 2026 program-based budget?,168 programs and 342 measures,The context does not contain the total number of budget programs and budget measures in the 2026 program-based budget.,29254,0,"The model answer incorrectly states the information is unavailable, whereas the reference provides the exact numbers.",</t>
  </si>
  <si>
    <t>deepseek-v3.2,statements_full,20,hard,multi-step,Which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solely on the provided context, the largest absolute funding decreases from 2026 to 2027</t>
  </si>
  <si>
    <t>are:</t>
  </si>
  <si>
    <t>Note: The context provides percentage changes but not the absolute funding amounts for these specific programs, so the ranking is based on the magnitude of the percentage decreases reported.",33951,1,"Only one of the three programs matches the reference; the other two are incorrect, so the answer is largely wrong.",full</t>
  </si>
  <si>
    <t>deepseek-v3.2,markdown_full,1,easy,lookup,What is the 2026 funding for the 'School Education' program under the Ministry of Education?,"42,380,106.4 тыс. сом","The 2026 funding for the 'School Education' program under the Ministry of Education (Министерство просвещения) is 42,380,106.4 thousand som.",104672,3,"The model provides the exact same funding amount, correctly matching the reference answer.",full</t>
  </si>
  <si>
    <t>deepseek-v3.2,markdown_full,2,easy,lookup,How many budget programs does the Ministry of Health have?,8,"Based on the context, the Ministry of Health (Министерство здравоохранения Кыргызской Республики) has 6 budget programs for 2026.",104672,2,The answer correctly identifies the Ministry of Health but gives the wrong number of budget programs (6 instead of the correct 8).,full</t>
  </si>
  <si>
    <t>deepseek-v3.2,markdown_full,3,easy,lookup,Which program has the largest funding allocation in the 2026 budget?,"«Общегосударственные программы» Министерства финансов КР — 164,663,857.2 тыс. сом","Based on the provided context, the program with the largest funding allocation in the 2026 budget is ""Общегосударственные программы"" under Министерство финансов Кыргызской Республики, with 164,663,857.2 тыс. сом.",104</t>
  </si>
  <si>
    <t>672,3,The model correctly identifies the program</t>
  </si>
  <si>
    <t>and exa</t>
  </si>
  <si>
    <t>un</t>
  </si>
  <si>
    <t>unt as in the reference.,full</t>
  </si>
  <si>
    <t>deepseek-v3.2,markdown_full,4,easy,count,How many total ministries and agencies are represented in the program-based budget?,88,"Based on the provided context, the total number of distinct ministries and agencies listed is 52.",104672,2,The answer addresses the correct entity (total ministries and agencies) but provides the wrong number (52 instead of 88).,full</t>
  </si>
  <si>
    <t>deepseek-v3.2,markdown_full,5,easy,lookup,What is the total 2026 funding for the Jogorku Kenesh (parliament)?,"1,127,306.9 тыс. сом","The total 2026 funding for the Жогорку Кенеш (Jogorku Kenesh) is 1,127,306.9 thousand som.</t>
  </si>
  <si>
    <t>This is the sum of its two programs:</t>
  </si>
  <si>
    <t>- ""Управление и администрирование"": 1,047,143.9 thousand som</t>
  </si>
  <si>
    <t>- ""Обеспечение информацией о деятельности, контроля исполнения,"": 80,163.0 thousand som",104672,3,The model provides the exact total funding value matching the reference answer.,full</t>
  </si>
  <si>
    <t>deepseek-v3.2,markdown_full,6,medium,aggregation,What is the total 2026 funding across all programs of the Ministry of Education?,"56,424,894.11 тыс. сом","Based on the provided context, the total 2026 funding for the Ministry of Education (Министерство просвещения) across all its programs is 55,413,713.1 тыс. сом.</t>
  </si>
  <si>
    <t>This sum is calculated from the following programs in the context:</t>
  </si>
  <si>
    <t>* Управление и администрирование: 1,962,869.4</t>
  </si>
  <si>
    <t>* Дошкольное образование и предшкольная подготовка: 8,891,657.5</t>
  </si>
  <si>
    <t>* Школьное образование: 42,380,106.4</t>
  </si>
  <si>
    <t>* Начальное и среднее профессиональное образование: 2,178,080.8</t>
  </si>
  <si>
    <t>* Реализация проектов государственных инвестиций: 1,218,180.0 (This measure is listed under the ministry's programs in the context)",104672,2,"The answer references the correct ministry and total funding concept but gives an incorrect total amount (55,413,713.1 vs. 56,424,894.11 тыс. сом).",full</t>
  </si>
  <si>
    <t>deepseek-v3.2,markdown_full,7,medium,aggregation,What is the total budget across all program-level items for 2026?,"Примерно 593.2 млрд сом (593,152,147.3 тыс. сом)","Based on the provided context, the total budget across all program-level items for 2026 cannot be determined. The context contains individual program amounts but does not provide a sum total.",104672,0,"The model says the total cannot be determined</t>
  </si>
  <si>
    <t>, whereas the reference provides a specific total</t>
  </si>
  <si>
    <t>of app</t>
  </si>
  <si>
    <t>xi</t>
  </si>
  <si>
    <t>tely</t>
  </si>
  <si>
    <t>.2 billion som.",full</t>
  </si>
  <si>
    <t>deepseek-v3.2,markdown_full,8,medium,comparison,Which ministry receives more funding: Ministry of Health or Ministry of Education?,"Министерство просвещения — 56,424,894.11 тыс. сом против 41,621,347.3  тыс. сом у здравоохранения","Based on the provided context, the Ministry of Health (Министерство здравоохранения) receives more funding than the Ministry of Education (Министерство просвещения).</t>
  </si>
  <si>
    <t>The total 2026 budget for the Ministry of Health's listed programs is 38,103,937.9 thousand som. The total 2026 budget for the Ministry of Education's listed programs is 55,418,813.1 thousand som.</t>
  </si>
  <si>
    <t>**Note:** The Ministry of Science, Higher Education and Innovation (Министерство науки, высшего образования и инноваций) is a separate entity in the budget.",104672,0,"The model incorrectly states that the Ministry of Health receives more funding, contradicting the reference which shows the Ministry of Education receives more.",full</t>
  </si>
  <si>
    <t>deepseek-v3.2,markdown_full,9,medium,comparison,"Does the total program-level budget grow or shrink between 2026 and 2027, and by what percentage?",declines by 7.1%,"Based on the provided context, it is not possible to determine the total program-level budget change between 2026 and 2027. The context only contains individual program and measure budgets for specific ministries and agencies, not a consolidated tot</t>
  </si>
  <si>
    <t>al for all programs.",104672,0,"The model says it</t>
  </si>
  <si>
    <t>et</t>
  </si>
  <si>
    <t>mine</t>
  </si>
  <si>
    <t>change, whereas the reference provides a specific decline of 7.1%.",full</t>
  </si>
  <si>
    <t>deepseek-v3.2,markdown_full,10,medium,lookup,Which program has the smallest non-zero funding in 2026?,«Внесение предложений по защите материальных и социальных прав ветеранов» — 739.4 тыс. сом,"The program with the smallest non-zero funding in 2026 is ""Внесение предложений по защите материальных и социальных прав"" under Общественное объединение «Республикански», with 739.4 тыс. сом.",104672,3,The model correct</t>
  </si>
  <si>
    <t>ly identifies the same program and exact funding</t>
  </si>
  <si>
    <t>ref</t>
  </si>
  <si>
    <t>eren</t>
  </si>
  <si>
    <t>ce.,full</t>
  </si>
  <si>
    <t>deepseek-v3.2,markdown_full,11,medium,indicator,What is the most commonly used unit of measurement for performance indicators in the 2026 budget?,Процент (%),"The most commonly used unit of measurement for performance indicators in the 2026 budget is a count or quantity (e.g., ""Количество"" - number, amount).",104672,0,The model gave an incorrect unit (count/quantity) instead of the correct unit percentage.,ful</t>
  </si>
  <si>
    <t>deepseek-v3.2,markdown_full,12,medium,aggregation,What is the total 2026 program funding for the Ministry of Transport and Communications?,"16,881,928.10","Based on the context, the total 2026 program funding for the Ministry of Transport and Communications is the sum of its listed programs: 119,287.5 тыс. сом (Управление и администрирование) + 8,025,670.7 тыс. сом (Поддержание автомобильных дорог) + 1,410,765.1</t>
  </si>
  <si>
    <t>тыс. сом (Реабилитация международных транспортны</t>
  </si>
  <si>
    <t>х корид</t>
  </si>
  <si>
    <t>ор</t>
  </si>
  <si>
    <t>ов</t>
  </si>
  <si>
    <t>)</t>
  </si>
  <si>
    <t>0,96</t>
  </si>
  <si>
    <t>4.6 тыс. сом (Развитие автомобильных перевозок).</t>
  </si>
  <si>
    <t>The total is **9,876,687.9 тыс. сом**.",104672,2,The answer references the correct ministry but provides an incorrect total funding amount.,full</t>
  </si>
  <si>
    <t>deepseek-v3.2,markdown_full,13,hard,filter,How many ministries/agencies have exactly one budget program?,19,"Based on the context, it is not possible to determine how many ministries/agencies have exactly one budget program. The provided data lists programs and measures for each entity, but a full count of programs per entity is not given in a summarized form.",104672,0,"The model answer says it cannot determine</t>
  </si>
  <si>
    <t>the number, whereas the correct answer is 19.",f</t>
  </si>
  <si>
    <t>deepseek-v3.2,markdown_full,14,hard,filter,How many programs show funding growth of more than 10% between 2026 and 2027?,9,"Based on the provided context, none of the programs show a funding growth of more than 10% between 2026 and 2027. All year-to-year changes in the ""2026 (тыс.сом)"" and ""2027"" columns are less than a 10% increase.",104672,0,"The model answer states zero programs, contradicting the correct</t>
  </si>
  <si>
    <t>answer of 9.",full</t>
  </si>
  <si>
    <t>deepseek-v3.2,markdown_full,15,hard,indicator,How many rows in the budget have a performance indicator measured in people (чел.)?,50,"Based on the provided context, none of the rows have a performance indicator measured in people (чел.). The indicators use other units such as percentages, quantities, amounts, or descriptive outcomes.",104672,0,"The model answered that no rows have a people-based indicator, contr</t>
  </si>
  <si>
    <t>adicting the correct answer of 50 rows.",full</t>
  </si>
  <si>
    <t>deepseek-v3.2,markdown_full,16,hard,aggregation,What share of the total 2026 program budget goes to the Ministry of Finance (General State Expenditures)?,"56% (332,149,236.2 out of  593,028,014.9)","Based on the provided context, the total 2026 program budget for the Ministry of Finance (Министерство финансов Кыргызской Республики) is the sum of its listed programs: 2077532.3 + 332704.9 + 10614609.5 + 104267.8 +</t>
  </si>
  <si>
    <t>2418048.5 + 46670347.3 + 164663857.2 + 118757161</t>
  </si>
  <si>
    <t>.3 + 20</t>
  </si>
  <si>
    <t>4 =</t>
  </si>
  <si>
    <t>341,</t>
  </si>
  <si>
    <t>398,398.9 тыс. сом.</t>
  </si>
  <si>
    <t>The context does not provide the total program budget for all ministries combined, so the share cannot be calculated.",104672,0,The model answer fails to provide the correct share (56%) and incorrectly states the share cannot be calculated.,full</t>
  </si>
  <si>
    <t>deepseek-v3.2,markdown_full,17,hard,lookup,Which budget measure (not program) has the largest 2026 funding?,"Повышение социальных выплат - 76,517,019.4","The budget measure with the largest 2026 funding is ""Обеспечение базовой части пенсии"" (Ensuring the basic part of the pension) under the Ministry of Finance, with 33,574,380.8 thousand som.",104672,0,"The model gave a different measure and amount, not matchi</t>
  </si>
  <si>
    <t>ng the reference answer.",full</t>
  </si>
  <si>
    <t>deepseek-v3.2,markdown_full,18,hard,comparison,Which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program ""Предупреждение и ликвидация чрезвычайных ситуаций"" under the Министерство чрезвычайных ситуаций receives the most 2026 funding, at 3,803,591.2 тыс. сом.",10467</t>
  </si>
  <si>
    <t>2,0,"The model gave a different program and amoun</t>
  </si>
  <si>
    <t>t, not</t>
  </si>
  <si>
    <t>ng t</t>
  </si>
  <si>
    <t>eference answer.",full</t>
  </si>
  <si>
    <t>deepseek-v3.2,markdown_full,19,hard,multi-step,How many total budget programs and budget measures are in the 2026 program-based budget?,168 programs and 342 measures,"Based on the provided context, the 2026 program-based budget contains 94 budget programs and 213 budget measures.",104672,0,Both the number of programs and measures are incorrect compared to the reference answer.,full</t>
  </si>
  <si>
    <t>deepseek-v3.2,markdown_full,20,hard,multi-step,Which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on the provided context, the programs with the largest absolute funding decrease from 2026</t>
  </si>
  <si>
    <t>1. **Министерство финансов Кыргызской Республики / Общегосударственные программы**: Decrease of 52,469,226.0 тыс. сом (from 164,663,857.2 in 2026 to 112,194,631.2 in 2027).</t>
  </si>
  <si>
    <t>2. **Министерство финансов Кыргызской Республики / Администрирование государственных доходов**: Decrease of 1,135,042.7 тыс. сом (from 10,614,609.5 in 2026 to 9,479,566.8 in 2027).</t>
  </si>
  <si>
    <t>3. **Министерство культуры, информации и мол / Сохранение и развитие культуры, искусства, информационной ср**: Decrease of 84,255.3 тыс. сом (from 4,708,597.9 in 2026 to 4,624,342.6 in 2027).",104672,1,"Only the first program matches the reference; the other two listed programs are incorrect, so the answer is largely wrong.",full</t>
  </si>
  <si>
    <t>deepseek-v3.2-thinking,statements_2000tok,1,easy,lookup,What is the 2026 funding for the 'School Education' program under the Ministry of Education?,"42,380,106.4 тыс. сом",The context does not contain information about the specific funding for a 'School Education' program under the Ministry of Education (Министерство просвещения).,7863,0,"The model answer claims no information is available, whereas the referenc</t>
  </si>
  <si>
    <t>e provides a specific funding amount, making the</t>
  </si>
  <si>
    <t>answer</t>
  </si>
  <si>
    <t>co</t>
  </si>
  <si>
    <t>rr</t>
  </si>
  <si>
    <t>ect.</t>
  </si>
  <si>
    <t>",20</t>
  </si>
  <si>
    <t>deepseek-v3.2-thinking,statements_2000tok,2,easy,lookup,How many budget programs does the Ministry of Health have?,8,The context does not specify the number of budget programs for the Ministry of Health (code 37).,7969,0,"The model answer states the number is unspecified, contradicting the reference answer of 8.",2000</t>
  </si>
  <si>
    <t>deepseek-v3.2-thinking,statements_2000tok,3,easy,lookup,Which program has the largest funding allocation in the 2026 budget?,"«Общегосударственные программы» Министерства финансов КР — 164,663,857.2 тыс. сом","Based solely on the provided context, the entity with the largest total funding allocation is 'Министерство просвещения Кыргызской Республики' with 56.4 billion som.</t>
  </si>
  <si>
    <t>The context does not provide information on specific programs within these entities, only the total allocations for the government bodies (GRBS).",7895,0,"The model answer gives a different program and amount, not matching the reference answer.",2000</t>
  </si>
  <si>
    <t>deepseek-v3.2-thinking,statements_2000tok,4,easy,count,How many total ministries and agencies are represented in the program-based budget?,88,"Based on the context, 14 ministries and 7 state agencies are listed, totaling 21 ministries and agencies.",7965,0,Model answer gives 21 instead of the correct total of 88 ministries and agencies.,2000</t>
  </si>
  <si>
    <t>deepseek-v3.2-thinking,statements_2000tok,5,easy,lookup,What is the total 2026 funding for the Jogorku Kenesh (parliament)?,"1,127,306.9 тыс. сом",1.1 billion som.,7967,3,"Model gave an appropriately rounded figure (1.1 billion som) matching the reference total of 1,127,306.9 тыс. сом (~1.127 billion som).",2000</t>
  </si>
  <si>
    <t>deepseek-v3.2-thinking,statements_2000tok,6,medium,aggregation,What is the total 2026 funding across all programs of the Ministry of Education?,"56,424,894.11 тыс. сом","The context does not contain information about a ""Министерство образования"" (Ministry of Education). It lists a ""Министерство просвещения Кыргызской Республики"" (code 34) with a total 2026 allocation of 56.4 billion som.",7916,3,Model provid</t>
  </si>
  <si>
    <t>es the correct total funding (≈56.4 billion som)</t>
  </si>
  <si>
    <t>matchin</t>
  </si>
  <si>
    <t>renc</t>
  </si>
  <si>
    <t>e value.,2000</t>
  </si>
  <si>
    <t>deepseek-v3.2-thinking,statements_2000tok,7,medium,aggregation,What is the total budget across all program-level items for 2026?,"Примерно 593.2 млрд сом (593,152,147.3 тыс. сом)",The context does not contain the total budget across all program-level items for 2026.,7955,0,The model answer fails to provide the required budget figure and incorrectly claims the information is missing.,2000</t>
  </si>
  <si>
    <t>deepseek-v3.2-thinking,statements_2000tok,8,medium,comparison,Which ministry receives more funding: Ministry of Health or Ministry of Education?,"Министерство просвещения — 56,424,894.11 тыс. сом против 41,621,347.3  тыс. сом у здравоохранения","The context does not contain specific funding amounts for the Ministry of Health (code 37) or the Ministry of Education (code 34), so a comparison cannot be made.",7816,</t>
  </si>
  <si>
    <t>0,"The model claims no data is available, but the</t>
  </si>
  <si>
    <t>refere</t>
  </si>
  <si>
    <t>ovid</t>
  </si>
  <si>
    <t>es s</t>
  </si>
  <si>
    <t>pecific amounts showing Ministry of Education receives more funding.",2000</t>
  </si>
  <si>
    <t>deepseek-v3.2-thinking,statements_2000tok,9,medium,comparison,"Does the total program-level budget grow or shrink between 2026 and 2027, and by what percentage?",declines by 7.1%,The context does not contain information on the total program-level budget change between 2026 and 2027. It only provides individual percentage changes for specific ministries and agencies.,7962,0,"The model says no information is avail</t>
  </si>
  <si>
    <t>able, whereas the reference provides a specific d</t>
  </si>
  <si>
    <t>ecline</t>
  </si>
  <si>
    <t>%.",</t>
  </si>
  <si>
    <t>deepseek-v3.2-thinking,statements_2000tok,10,medium,lookup,Which program has the smallest non-zero funding in 2026?,«Внесение предложений по защите материальных и социальных прав ветеранов» — 739.4 тыс. сом,"Программа 16/166 'Управление и общая координация развития сельскохозяйственной отрасли' имеет финансирование 3,392.5 тыс. сом в 2026 году.",7994,0,"The model gave a different program and amount, not the smal</t>
  </si>
  <si>
    <t>lest non-zero funding of 739.4 тыс. сом.",2000</t>
  </si>
  <si>
    <t>deepseek-v3.2-thinking,statements_2000tok,11,medium,indicator,What is the most commonly used unit of measurement for performance indicators in the 2026 budget?,Процент (%),Процент (%).,7908,3,"The model answer matches the reference answer exactly, providing the correct unit of measurement.",2000</t>
  </si>
  <si>
    <t>deepseek-v3.2-thinking,statements_2000tok,12,medium,aggregation,What is the total 2026 program funding for the Ministry of Transport and Communications?,"16,881,928.10",16.9 billion som.,7985,0,"The model gave 16.9 billion som, which does not match the reference value of 16,881,928.10 (approximately 16.9 million som).",2000</t>
  </si>
  <si>
    <t>deepseek-v3.2-thinking,statements_2000tok,13,hard,filter,How many ministries/agencies have exactly one budget program?,19,The context does not contain information on the number of budget programs allocated to each ministry/agency.,7969,0,"The model answer claims lack of information, failing to provide the correct number (19).",2000</t>
  </si>
  <si>
    <t>deepseek-v3.2-thinking,statements_2000tok,14,hard,filter,How many programs show funding growth of more than 10% between 2026 and 2027?,9,Two programs show funding growth of more than 10% between 2026 and 2027: Program 43/001 (~25.51% growth) and Program 80/001 (~133.59% growth).,7912,2,The answer identifies the correct type of entity (programs) but gives the wrong count (2 instead of the correct 9).,2000</t>
  </si>
  <si>
    <t>deepseek-v3.2-thinking,statements_2000tok,15,hard,indicator,How many rows in the budget have a performance indicator measured in people (чел.)?,50,10,7876,2,The model identified the correct entity (the count of rows) but gave an incorrect number (10 instead of 50).,2000</t>
  </si>
  <si>
    <t>deepseek-v3.2-thinking,statements_2000tok,16,hard,aggregation,What share of the total 2026 program budget goes to the Ministry of Finance (General State Expenditures)?,"56% (332,149,236.2 out of  593,028,014.9)",The context does not contain the numerical data needed to calculate this share.,7883,0,"The model did not provide the correct share (56%) and instead claimed lack of data, which is incorrect.",2000</t>
  </si>
  <si>
    <t>deepseek-v3.2-thinking,statements_2000tok,17,hard,lookup,Which budget measure (not program) has the largest 2026 funding?,"Повышение социальных выплат - 76,517,019.4","Бюджетная мера ""Государственный долг"" имеет наибольшее финансирование в 2026 году — 38.0 миллиардов сом.",7899,0,"The model gave a different measure and amount, not matching the reference answer.",2000</t>
  </si>
  <si>
    <t>deepseek-v3.2-thinking,statements_2000tok,18,hard,comparison,Which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context does not contain information about specific budget programs or their funding amounts for the Ministry of Emergency Situations (code 45).,7942,0,"The</t>
  </si>
  <si>
    <t>model answer says no information is available, wh</t>
  </si>
  <si>
    <t>ich is</t>
  </si>
  <si>
    <t>comp</t>
  </si>
  <si>
    <t>ared to the reference answer that provides the specific program and amount.",2000</t>
  </si>
  <si>
    <t>deepseek-v3.2-thinking,statements_2000tok,19,hard,multi-step,How many total budget programs and budget measures are in the 2026 program-based budget?,168 programs and 342 measures,The context does not contain information on the total number of budget programs and budget measures.,7849,0,"The model did not provide the required numbers and claimed lack of information, which is incorrect.",2000</t>
  </si>
  <si>
    <t>deepseek-v3.2-thinking,statements_2000tok,20,hard,multi-step,Which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solely on the provided context, it is not possible to determine the largest a</t>
  </si>
  <si>
    <t>bsolute funding decreases. The context only provi</t>
  </si>
  <si>
    <t>des per</t>
  </si>
  <si>
    <t>nt</t>
  </si>
  <si>
    <t>ag</t>
  </si>
  <si>
    <t>e ch</t>
  </si>
  <si>
    <t>ange</t>
  </si>
  <si>
    <t>s from 2026 to 2027, not the actual funding amounts (absolute numbers). Therefore, the top 3 programs by absolute decrease cannot be identified.",7934,0,"The model claims insufficient data, but the reference provides the top three programs, so the answer is incorrect.",2000</t>
  </si>
  <si>
    <t>deepseek-v3.2-thinking,markdown_2000tok,1,easy,lookup,What is the 2026 funding for the 'School Education' program under the Ministry of Education?,"42,380,106.4 тыс. сом",The context provided does not contain any information about the Ministry of Education or a 'School Education' program.,7938,0,The model did not provide the required funding figure and incorrectly claimed the information was missing.,2000</t>
  </si>
  <si>
    <t>deepseek-v3.2-thinking,markdown_2000tok,2,easy,lookup,How many budget programs does the Ministry of Health have?,8,The provided context does not contain any information about the Ministry of Health or its budget programs.,7938,0,"The model did not provide the correct number (8) and claimed no information was available, which is incorrect.",2000</t>
  </si>
  <si>
    <t>deepseek-v3.2-thinking,markdown_2000tok,3,easy,lookup,Which program has the largest funding allocation in the 2026 budget?,"«Общегосударственные программы» Министерства финансов КР — 164,663,857.2 тыс. сом","Программа ""Реализация государственной политики и осуществление межотрас"" под Управлением делами Президента Кыргызской Республики имеет наибольшее финансирование в 2026 году — 3,297,739.7 тыс. сом.",7938,0,</t>
  </si>
  <si>
    <t>deepseek-v3.2-thinking,markdown_2000tok,4,easy,count,How many total ministries and agencies are represented in the program-based budget?,88,"Based solely on the provided context, there are 6 ministries/agencies represented. They are:</t>
  </si>
  <si>
    <t>1. Жогорку Кенеш Кыргызской Республики</t>
  </si>
  <si>
    <t>2. Администрация Президента Кыргызской Республики</t>
  </si>
  <si>
    <t>3. Архив Президента Кыргызской Республики</t>
  </si>
  <si>
    <t>4. Фонды Президента и Кабинета Министров Кыргызской Республики</t>
  </si>
  <si>
    <t>5. Управление делами Президента Кыргызской Республики</t>
  </si>
  <si>
    <t>6. Верховный суд Кыргызской Республики",7938,0,"The model answer states 6 ministries/agencies, which does not match the correct total of 88.",2000</t>
  </si>
  <si>
    <t>deepseek-v3.2-thinking,markdown_2000tok,5,easy,lookup,What is the total 2026 funding for the Jogorku Kenesh (parliament)?,"1,127,306.9 тыс. сом",1127306.9 тыс. сом,7938,3,"The model provides the exact same funding amount as the reference, matching the key figure.",2000</t>
  </si>
  <si>
    <t>deepseek-v3.2-thinking,markdown_2000tok,6,medium,aggregation,What is the total 2026 funding across all programs of the Ministry of Education?,"56,424,894.11 тыс. сом","The context provided does not contain any entries for the Ministry of Education. Therefore, the information on its total 2026 funding is not available in the given data.",7938,0,"The model claims the information is unavailable, contradicting the r</t>
  </si>
  <si>
    <t>eference which provides a specific funding amount</t>
  </si>
  <si>
    <t>deepseek-v3.2-thinking,markdown_2000tok,7,medium,aggregation,What is the total budget across all program-level items for 2026?,"Примерно 593.2 млрд сом (593,152,147.3 тыс. сом)","11,603,480.7 тыс. сом",7938,0,The model's figure (11.6 billion som) does not match the reference total of about 593.2 billion som.,2000</t>
  </si>
  <si>
    <t>deepseek-v3.2-thinking,markdown_2000tok,8,medium,comparison,Which ministry receives more funding: Ministry of Health or Ministry of Education?,"Министерство просвещения — 56,424,894.11 тыс. сом против 41,621,347.3  тыс. сом у здравоохранения",The context provided does not contain information about the Ministry of Health or the Ministry of Education.,7938,0,"The model claims no information is available, but the r</t>
  </si>
  <si>
    <t>eference provides clear figures showing Ministry</t>
  </si>
  <si>
    <t>of Educ</t>
  </si>
  <si>
    <t>rece</t>
  </si>
  <si>
    <t>ives</t>
  </si>
  <si>
    <t>more funding.",2000</t>
  </si>
  <si>
    <t>deepseek-v3.2-thinking,markdown_2000tok,9,medium,comparison,"Does the total program-level budget grow or shrink between 2026 and 2027, and by what percentage?",declines by 7.1%,"The total program-level budget shrinks slightly between 2026 and 2027. Based on the sum of all ""program"" rows for 2026 (11,223,480.7 тыс. сом) and 2027 (11,198,130.7 тыс. сом), the decrease is approximately 0.23%.",7938,2,The answer id</t>
  </si>
  <si>
    <t>entifies a decline but gives an incorrect percent</t>
  </si>
  <si>
    <t>age (0.</t>
  </si>
  <si>
    <t>vs</t>
  </si>
  <si>
    <t>rect 7.1%).,2000</t>
  </si>
  <si>
    <t>deepseek-v3.2-thinking,markdown_2000tok,10,medium,lookup,Which program has the smallest non-zero funding in 2026?,«Внесение предложений по защите материальных и социальных прав ветеранов» — 739.4 тыс. сом,"Программа ""Управление и общая координация развития сельскохозяйственной"" под министерством ""Верховный суд Кыргызской Республики"" имеет финансирование в 2026 году в размере 3392.5 тыс. сом.",7938,0,"The mod</t>
  </si>
  <si>
    <t>el gave a different program and amount, not match</t>
  </si>
  <si>
    <t>wer.",2000</t>
  </si>
  <si>
    <t>deepseek-v3.2-thinking,markdown_2000tok,11,medium,indicator,What is the most commonly used unit of measurement for performance indicators in the 2026 budget?,Процент (%),"Количество (например, количество принятых постановлений, количество изданных распоряжений, количество проведенных встреч).",7938,0,The model gave 'Количество' instead of the correct unit 'Процент (%)'.,2000</t>
  </si>
  <si>
    <t>deepseek-v3.2-thinking,markdown_2000tok,12,medium,aggregation,What is the total 2026 program funding for the Ministry of Transport and Communications?,"16,881,928.10",The context does not contain information about the Ministry of Transport and Communications.,7938,0,The model did not provide the required funding amount and incorrectly claimed the information was unavailable.,2000</t>
  </si>
  <si>
    <t>deepseek-v3.2-thinking,markdown_2000tok,13,hard,filter,How many ministries/agencies have exactly one budget program?,19,3,7938,0,"The model answer gives 3, which does not match the correct value of 19.",2000</t>
  </si>
  <si>
    <t>deepseek-v3.2-thinking,markdown_2000tok,14,hard,filter,How many programs show funding growth of more than 10% between 2026 and 2027?,9,"Based on the provided context, no programs show funding growth of more than 10% between 2026 and 2027. All calculated changes are below that threshold.",7938,0,"The model answered that no programs show &gt;10% growth, contradicting the correct answer of 9.",2000</t>
  </si>
  <si>
    <t>deepseek-v3.2-thinking,markdown_2000tok,15,hard,indicator,How many rows in the budget have a performance indicator measured in people (чел.)?,50,"Based on the provided context, no rows have a performance indicator measured in people (чел.). The indicators use units such as percentages, counts of documents, meetings, programs, or other measures, but not ""чел.""",7938,0,"Model answer states zero rows, contradicti</t>
  </si>
  <si>
    <t>ng the correct answer of 50 rows.",2000</t>
  </si>
  <si>
    <t>deepseek-v3.2-thinking,markdown_2000tok,16,hard,aggregation,What share of the total 2026 program budget goes to the Ministry of Finance (General State Expenditures)?,"56% (332,149,236.2 out of  593,028,014.9)","The context does not contain information about the Ministry of Finance or ""General State Expenditures"" in the provided data.",7938,0,The model answer fails to provide the correct share (56%) and incorre</t>
  </si>
  <si>
    <t>ctly claims the information is missing.,2000</t>
  </si>
  <si>
    <t>deepseek-v3.2-thinking,markdown_2000tok,17,hard,lookup,Which budget measure (not program) has the largest 2026 funding?,"Повышение социальных выплат - 76,517,019.4","Мера ""Регистрация населения и актов гражданского состояния"" имеет наибольшее финансирование в 2026 году — 2 385 292.1 тыс. сом.",7938,0,"The model gave a different measure and amount, not matching the reference answer.",2000</t>
  </si>
  <si>
    <t>deepseek-v3.2-thinking,markdown_2000tok,18,hard,comparison,Which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provided context does not contain any information about the Ministry of Emergency Situations or its programs.,7938,0,"The model answer does not provide the req</t>
  </si>
  <si>
    <t>uired program and funding, contradicting the refe</t>
  </si>
  <si>
    <t>rence a</t>
  </si>
  <si>
    <t>ns</t>
  </si>
  <si>
    <t>we</t>
  </si>
  <si>
    <t>r.</t>
  </si>
  <si>
    <t>deepseek-v3.2-thinking,markdown_2000tok,19,hard,multi-step,How many total budget programs and budget measures are in the 2026 program-based budget?,168 programs and 342 measures,"Based solely on the provided context, the 2026 program-based budget contains 11 budget programs and 24 budget measures.",7938,0,"The model gave incorrect numbers for both programs and measures, not matching the reference answer.",2000</t>
  </si>
  <si>
    <t>deepseek-v3.2-thinking,markdown_2000tok,20,hard,multi-step,Which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solely on the provided context, only one program shows an absolute funding decr</t>
  </si>
  <si>
    <t>ease from 2026 to 2027:</t>
  </si>
  <si>
    <t>1.  Управление делами Президента Кыргызской — program ""Обеспечение и координация деятельности по реализации единой"" decreases from 2,837,368.8 тыс. сом (2026) to 2,571,414.9 тыс. сом (2027).</t>
  </si>
  <si>
    <t>No other programs in the provided data show a decrease; all others show stable or increased funding. Therefore, only one program can be named, not three.",7938,0,The model answer does not match any of the three programs listed in the reference answer.,2000</t>
  </si>
  <si>
    <t>deepseek-v3.2-thinking,statements_8000tok,1,easy,lookup,What is the 2026 funding for the 'School Education' program under the Ministry of Education?,"42,380,106.4 тыс. сом",The context does not contain information about the funding for a 'School Education' program under the Ministry of Education (Министерство просвещения Кыргызской Республики).,31934,0,"The model claims no information is available, but the refer</t>
  </si>
  <si>
    <t>ence provides a specific funding amount, so the a</t>
  </si>
  <si>
    <t>nswer i</t>
  </si>
  <si>
    <t>t.",</t>
  </si>
  <si>
    <t>deepseek-v3.2-thinking,statements_8000tok,2,easy,lookup,How many budget programs does the Ministry of Health have?,8,"Based on the provided context, the Ministry of Health (Министерство здравоохранения Кыргызской Республики, code 37) has three budget programs mentioned: ""Управление и администрирование"" (001), ""Программа «Общественное здравоохранение»"" (372), and ""Программа «Организация предоставления услуг</t>
  </si>
  <si>
    <t>здравоохранения»"" (373).",31923,0,The model gave</t>
  </si>
  <si>
    <t>an inc</t>
  </si>
  <si>
    <t>num</t>
  </si>
  <si>
    <t>ber</t>
  </si>
  <si>
    <t>(three) instead of the correct eight budget programs.,8000</t>
  </si>
  <si>
    <t>deepseek-v3.2-thinking,statements_8000tok,3,easy,lookup,Which program has the largest funding allocation in the 2026 budget?,"«Общегосударственные программы» Министерства финансов КР — 164,663,857.2 тыс. сом","Программа ""Общегосударственные программы, мероприятия и выплаты"" под Министерством финансов Кыргызской Республики имеет самое крупное выделение — 332.1 миллиарда сом.",28496,2,Correct program identified</t>
  </si>
  <si>
    <t>but funding amount is incorrect.,8000</t>
  </si>
  <si>
    <t>deepseek-v3.2-thinking,statements_8000tok,4,easy,count,How many total ministries and agencies are represented in the program-based budget?,88,"Based solely on the provided context, 51 ministries and agencies are explicitly stated to be allocated budget programs in the 2026 republican budget.",29451,2,Model identified the count of ministries and agencies but gave the wrong number (51 vs. correct 88).,8000</t>
  </si>
  <si>
    <t>deepseek-v3.2-thinking,statements_8000tok,5,easy,lookup,What is the total 2026 funding for the Jogorku Kenesh (parliament)?,"1,127,306.9 тыс. сом",1.1 billion som.,27738,3,"Model gave an appropriately rounded figure (1.1 billion som) matching the reference total of 1,127,306.9 тыс. сом (~1.127 billion som).",8000</t>
  </si>
  <si>
    <t>deepseek-v3.2-thinking,statements_8000tok,6,medium,aggregation,What is the total 2026 funding across all programs of the Ministry of Education?,"56,424,894.11 тыс. сом","56,424,894.1 thousand som (56.4 billion som).",31889,3,"The model provides the same total funding value, matching the reference amount (minor rounding acceptable).",8000</t>
  </si>
  <si>
    <t>deepseek-v3.2-thinking,statements_8000tok,7,medium,aggregation,What is the total budget across all program-level items for 2026?,"Примерно 593.2 млрд сом (593,152,147.3 тыс. сом)",The total budget across all program-level items for 2026 is not provided in the context.,26064,0,"The model says the total budget is not provided, whereas the reference gives a specific value (~593.2 billion som).",8000</t>
  </si>
  <si>
    <t>deepseek-v3.2-thinking,statements_8000tok,8,medium,comparison,Which ministry receives more funding: Ministry of Health or Ministry of Education?,"Министерство просвещения — 56,424,894.11 тыс. сом против 41,621,347.3  тыс. сом у здравоохранения","Ministry of Education (code 34) receives more funding: 56,424,894.1 thousand som in 2026, compared to Ministry of Health (code 37): 41,621,347.3 thousand som in 2026.",3</t>
  </si>
  <si>
    <t>1856,3,The model correctly identifies Ministry of</t>
  </si>
  <si>
    <t>Educat</t>
  </si>
  <si>
    <t>ceiv</t>
  </si>
  <si>
    <t>es m</t>
  </si>
  <si>
    <t>ore funding and provides the accurate amounts matching the reference.,8000</t>
  </si>
  <si>
    <t>deepseek-v3.2-thinking,statements_8000tok,9,medium,comparison,"Does the total program-level budget grow or shrink between 2026 and 2027, and by what percentage?",declines by 7.1%,The context does not contain information about the total program-level budget change between 2026 and 2027. It only provides changes for individual ministries and agencies.,26225,0,"Model answer incorrectly claims no information, wherea</t>
  </si>
  <si>
    <t>s reference provides a specific decline of 7.1%."</t>
  </si>
  <si>
    <t>deepseek-v3.2-thinking,statements_8000tok,10,medium,lookup,Which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 has the smallest non-zero funding in 2026 at 739.4 тыс. сом.,28942,3,The model correctly iden</t>
  </si>
  <si>
    <t>tifies the program with the smallest non-zero fun</t>
  </si>
  <si>
    <t>ding an</t>
  </si>
  <si>
    <t>gi</t>
  </si>
  <si>
    <t>ve</t>
  </si>
  <si>
    <t>e ex</t>
  </si>
  <si>
    <t>act amount of 739.4 тыс. сом.,8000</t>
  </si>
  <si>
    <t>deepseek-v3.2-thinking,statements_8000tok,11,medium,indicator,What is the most commonly used unit of measurement for performance indicators in the 2026 budget?,Процент (%),The most commonly used unit of measurement for performance indicators in the 2026 budget is percentage (%).,31899,3,"The model correctly identifies the unit as percentage (%), matching the reference answer.",8000</t>
  </si>
  <si>
    <t>deepseek-v3.2-thinking,statements_8000tok,12,medium,aggregation,What is the total 2026 program funding for the Ministry of Transport and Communications?,"16,881,928.10","16.9 billion som (or 16,881,928.1 thousand som).",29453,3,"The model provides the same value (≈16.9 billion som) matching the reference figure, with acceptable rounding.",8000</t>
  </si>
  <si>
    <t>deepseek-v3.2-thinking,statements_8000tok,13,hard,filter,How many ministries/agencies have exactly one budget program?,19,"The context does not specify the number of budget programs allocated to each ministry/agency. Therefore, it is not possible to determine how many have exactly one budget program.",31839,0,"The model says the number cannot be determined, contradicting the correct answer of 19.",8000</t>
  </si>
  <si>
    <t>deepseek-v3.2-thinking,statements_8000tok,14,hard,filter,How many programs show funding growth of more than 10% between 2026 and 2027?,9,"Three programs show funding growth of more than 10% between 2026 and 2027:</t>
  </si>
  <si>
    <t>- Program 43/001 (25.5% increase)</t>
  </si>
  <si>
    <t>- Program 80/001 (133.6% increase)</t>
  </si>
  <si>
    <t>- Program 41/413 (34.1% increase)",26917,2,The model identified the correct type of entity (program count) but gave the wrong number (3 instead of 9).,8000</t>
  </si>
  <si>
    <t>deepseek-v3.2-thinking,statements_8000tok,15,hard,indicator,How many rows in the budget have a performance indicator measured in people (чел.)?,50,24,31901,2,The model identified the correct type of information (a count of rows) but gave an incorrect number (24 instead of 50).,8000</t>
  </si>
  <si>
    <t>deepseek-v3.2-thinking,statements_8000tok,16,hard,aggregation,What share of the total 2026 program budget goes to the Ministry of Finance (General State Expenditures)?,"56% (332,149,236.2 out of  593,028,014.9)","The context does not provide the total 2026 program budget figure, so the share for the Ministry of Finance (General State Expenditures) cannot be calculated.",29800,0,"The model says the share cannot b</t>
  </si>
  <si>
    <t>e calculated, but the reference provides a specif</t>
  </si>
  <si>
    <t>ic 56%</t>
  </si>
  <si>
    <t>sh</t>
  </si>
  <si>
    <t>ar</t>
  </si>
  <si>
    <t>e,</t>
  </si>
  <si>
    <t>so</t>
  </si>
  <si>
    <t>answer is incorrect.",8000</t>
  </si>
  <si>
    <t>deepseek-v3.2-thinking,statements_8000tok,17,hard,lookup,Which budget measure (not program) has the largest 2026 funding?,"Повышение социальных выплат - 76,517,019.4","""Повышение социальных выплат"" receives 76.5 billion som in 2026.",29348,3,The model correctly identifies the measure and provides the matching funding amount (rounded),8000</t>
  </si>
  <si>
    <t>deepseek-v3.2-thinking,statements_8000tok,18,hard,comparison,Which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сом","Программа ""Управление и администрирование"" (code 001) under the Ministry of Emergency Situations receives 184,945.8 thousand som in 2026, which is the highest</t>
  </si>
  <si>
    <t>funding amount indicated for its programs.",3160</t>
  </si>
  <si>
    <t>9,0,"Th</t>
  </si>
  <si>
    <t>l ga</t>
  </si>
  <si>
    <t>ve a</t>
  </si>
  <si>
    <t>different program and amount, not matching the reference answer.",8000</t>
  </si>
  <si>
    <t>deepseek-v3.2-thinking,statements_8000tok,19,hard,multi-step,How many total budget programs and budget measures are in the 2026 program-based budget?,168 programs and 342 measures,The context does not contain enough information to determine the total number of budget programs and budget measures in the 2026 program-based budget.,29254,0,"The model claims insufficient information, but the reference provides the e</t>
  </si>
  <si>
    <t>xact numbers, so the answer is incorrect.",8000</t>
  </si>
  <si>
    <t>deepseek-v3.2-thinking,statements_8000tok,20,hard,multi-step,Which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(Минводресурсов),"The context does not contain enough information to determine the absolute funding d</t>
  </si>
  <si>
    <t>ecreases, as it primarily provides percentage cha</t>
  </si>
  <si>
    <t>nges an</t>
  </si>
  <si>
    <t>a f</t>
  </si>
  <si>
    <t>ew s</t>
  </si>
  <si>
    <t>pecific program amounts. The absolute decrease cannot be calculated without the 2026 funding figures for the programs with the largest percentage decreases.",31914,0,"The model answer does not provide the required programs and states insufficient information, contrary to the reference answer.",8000</t>
  </si>
  <si>
    <t>deepseek-v3.2-thinking,markdown_8000tok,1,easy,lookup,What is the 2026 funding for the 'School Education' program under the Ministry of Education?,"42,380,106.4 тыс. сом",The context provided does not contain information about the Ministry of Education or a 'School Education' program.,31863,0,The model did not provide the required funding figure and incorrectly claimed the information was unavailable.,8000</t>
  </si>
  <si>
    <t>deepseek-v3.2-thinking,markdown_8000tok,2,easy,lookup,How many budget programs does the Ministry of Health have?,8,The context provided does not contain any information about the Ministry of Health or its budget programs.,31863,0,"The model answer states no information is available, which is incorrect since the correct answer is 8.",8000</t>
  </si>
  <si>
    <t>deepseek-v3.2-thinking,markdown_8000tok,3,easy,lookup,Which program has the largest funding allocation in the 2026 budget?,"«Общегосударственные программы» Министерства финансов КР — 164,663,857.2 тыс. сом","The program with the largest funding allocation in the 2026 budget is ""Общегосударственные программы"" (National programs) under the Ministry of Finance, with 164,663,857.2 thousand soms.",31863,3,The model</t>
  </si>
  <si>
    <t>correctly identifies the program and provides th</t>
  </si>
  <si>
    <t>ng a</t>
  </si>
  <si>
    <t>t as in the reference.,8000</t>
  </si>
  <si>
    <t>deepseek-v3.2-thinking,markdown_8000tok,4,easy,count,How many total ministries and agencies are represented in the program-based budget?,88,"Based on the provided context, there are 15 distinct ministries and agencies represented in the program-based budget.",31863,0,The model gave 15 instead of the correct total of 88 ministries and agencies.,8000</t>
  </si>
  <si>
    <t>deepseek-v3.2-thinking,markdown_8000tok,5,easy,lookup,What is the total 2026 funding for the Jogorku Kenesh (parliament)?,"1,127,306.9 тыс. сом","The total 2026 funding for the Jogorku Kenesh is 1,127,306.9 thousand som. This is the sum of its two programs: ""Управление и администрирование"" (1,047,143.9) and ""Обеспечение информацией о деятельности, контроля исполнения"" (80,163.0).",31863,3,The model provides</t>
  </si>
  <si>
    <t>the exact total funding value matching the refere</t>
  </si>
  <si>
    <t>nce.,80</t>
  </si>
  <si>
    <t>deepseek-v3.2-thinking,markdown_8000tok,6,medium,aggregation,What is the total 2026 funding across all programs of the Ministry of Education?,"56,424,894.11 тыс. сом","The provided context does not contain any entries for the Ministry of Education. Therefore, the total 2026 funding for its programs cannot be determined from the given information.",31863,0,"The model claims the information is unavailable, whereas</t>
  </si>
  <si>
    <t>the reference provides a specific total funding</t>
  </si>
  <si>
    <t>amount.</t>
  </si>
  <si>
    <t>deepseek-v3.2-thinking,markdown_8000tok,7,medium,aggregation,What is the total budget across all program-level items for 2026?,"Примерно 593.2 млрд сом (593,152,147.3 тыс. сом)","372,455,209.3 (тыс. сом)",31863,0,"The model's figure (372,455,209.3 тыс. сом) does not match the reference total budget of approximately 593,152,147.3 тыс. сом.",8000</t>
  </si>
  <si>
    <t>deepseek-v3.2-thinking,markdown_8000tok,8,medium,comparison,Which ministry receives more funding: Ministry of Health or Ministry of Education?,"Министерство просвещения — 56,424,894.11 тыс. сом против 41,621,347.3  тыс. сом у здравоохранения","The provided context does not contain information for the Ministry of Health or the Ministry of Education. Therefore, a comparison of their funding cannot be made.",31863,</t>
  </si>
  <si>
    <t>0,"The model claims no information is available,</t>
  </si>
  <si>
    <t>but the</t>
  </si>
  <si>
    <t>pro</t>
  </si>
  <si>
    <t>vides clear funding figures showing Ministry of Education receives more funding.",8000</t>
  </si>
  <si>
    <t>deepseek-v3.2-thinking,markdown_8000tok,9,medium,comparison,"Does the total program-level budget grow or shrink between 2026 and 2027, and by what percentage?",declines by 7.1%,"The context does not contain the total program-level budget amounts for 2026 and 2027, so it is not possible to determine whether it grew or shrank, or by what percentage.",31863,0,"The model claims insufficient information, whereas the</t>
  </si>
  <si>
    <t>reference provides a specific decline of 7.1%.",8</t>
  </si>
  <si>
    <t>deepseek-v3.2-thinking,markdown_8000tok,10,medium,lookup,Which program has the smallest non-zero funding in 2026?,«Внесение предложений по защите материальных и социальных прав ветеранов» — 739.4 тыс. сом,"The program with the smallest non-zero funding in 2026 is the measure ""Транспортное обеспечение экс Президента КР и бывших руководи"" under ""Управление делами Президента Кыргызской"" with 374.0 тыс.сом.",318</t>
  </si>
  <si>
    <t>63,0,"The model gave a different program and amou</t>
  </si>
  <si>
    <t>nt than</t>
  </si>
  <si>
    <t>, which specifies a different program with 739.4 тыс. сом.",8000</t>
  </si>
  <si>
    <t>deepseek-v3.2-thinking,markdown_8000tok,11,medium,indicator,What is the most commonly used unit of measurement for performance indicators in the 2026 budget?,Процент (%),"Процентные доли, соотношения и количества (например, ""Доля"", ""Процент"", ""Отношение"", ""Количество"").",31863,2,"Model includes 'Процент' but adds extra units, not giving the single most common unit as required.",8000</t>
  </si>
  <si>
    <t>deepseek-v3.2-thinking,markdown_8000tok,12,medium,aggregation,What is the total 2026 program funding for the Ministry of Transport and Communications?,"16,881,928.10",The provided context does not contain any information about the Ministry of Transport and Communications.,31863,0,"The model claims no information is available, whereas the reference provides a specific total funding value.",8000</t>
  </si>
  <si>
    <t>deepseek-v3.2-thinking,markdown_8000tok,13,hard,filter,How many ministries/agencies have exactly one budget program?,19,"Six ministries/agencies have exactly one budget program: Администрация Президента Кыргызской Республики, Архив Президента Кыргызской Республики, Фонды Президента и Кабинета Министров Кыргызской Республики, Военная прокуратура Кыргызской Республики, Омбудсмен (Акыйкатчы) Кыргызской Республики,</t>
  </si>
  <si>
    <t>and Резервные и другие фонды территорий.",31863,0</t>
  </si>
  <si>
    <t>,"The m</t>
  </si>
  <si>
    <t>od</t>
  </si>
  <si>
    <t>el</t>
  </si>
  <si>
    <t>ave</t>
  </si>
  <si>
    <t>number six, which does not match the correct answer of 19.",8000</t>
  </si>
  <si>
    <t>deepseek-v3.2-thinking,markdown_8000tok,14,hard,filter,How many programs show funding growth of more than 10% between 2026 and 2027?,9,2 programs.,31863,2,The answer addresses the correct entity (number of programs) but gives the wrong figure (2 instead of 9).,8000</t>
  </si>
  <si>
    <t>deepseek-v3.2-thinking,markdown_8000tok,15,hard,indicator,How many rows in the budget have a performance indicator measured in people (чел.)?,50,0,31863,0,"The model answered 0, which does not match the correct value of 50 rows.",8000</t>
  </si>
  <si>
    <t>deepseek-v3.2-thinking,markdown_8000tok,16,hard,aggregation,What share of the total 2026 program budget goes to the Ministry of Finance (General State Expenditures)?,"56% (332,149,236.2 out of  593,028,014.9)","The Ministry of Finance's total 2026 budget is 207,753,232.3 thousand som. The total program budget for 2026 is 515,930,488.8 thousand som. The Ministry of Finance's share is approximately 40.27%.",31863,</t>
  </si>
  <si>
    <t>2,Identifies the correct entity (Ministry of Fina</t>
  </si>
  <si>
    <t>nce sha</t>
  </si>
  <si>
    <t>bu</t>
  </si>
  <si>
    <t>t pr</t>
  </si>
  <si>
    <t>es an incorrect percentage (40.27% vs the correct 56%).,8000</t>
  </si>
  <si>
    <t>deepseek-v3.2-thinking,markdown_8000tok,17,hard,lookup,Which budget measure (not program) has the largest 2026 funding?,"Повышение социальных выплат - 76,517,019.4","The budget measure with the largest 2026 funding is ""Повышение социальных выплат"" under the Ministry of Finance, with 76,517,019.4 thousand som.",31863,3,The model correctly identified the measure and the exact funding amount.,8000</t>
  </si>
  <si>
    <t>deepseek-v3.2-thinking,markdown_8000tok,18,hard,comparison,Which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provided context does not contain any information about the Ministry of Emergency Situations or its programs.,31863,0,"The model answer does not provide the re</t>
  </si>
  <si>
    <t>quired program and funding, contradicting the ref</t>
  </si>
  <si>
    <t>erence</t>
  </si>
  <si>
    <t>.",8</t>
  </si>
  <si>
    <t>deepseek-v3.2-thinking,markdown_8000tok,19,hard,multi-step,How many total budget programs and budget measures are in the 2026 program-based budget?,168 programs and 342 measures,"Based on the provided context, the 2026 program-based budget contains 40 budget programs and 114 budget measures.",31863,1,The answer mentions budget programs and measures but provides incorrect numbers compared to the reference.,8000</t>
  </si>
  <si>
    <t>deepseek-v3.2-thinking,markdown_8000tok,20,hard,multi-step,Which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on the provided context, the top 3 programs with the largest absolute funding d</t>
  </si>
  <si>
    <t>ecrease from 2026 to 2027 are:</t>
  </si>
  <si>
    <t>1.  Министерство финансов Кыргызской Республики, program ""Общегосударственные программы"": Decrease of 52,469,226.0 тыс.сом (from 164,663,857.2 to 112,194,631.2).</t>
  </si>
  <si>
    <t>2.  Министерство финансов Кыргызской Республики, program ""Администрирование государственных доходов"": Decrease of 1,135,042.7 тыс.сом (from 10,614,609.5 to 9,479,566.8).</t>
  </si>
  <si>
    <t>3.  Управление делами Президента Кыргызской, program ""Обеспечение и координация деятельности по реализации единой"": Decrease of 265,953.9 тыс.сом (from 2,837,368.8 to 2,571,414.9).",31863,1,"Only the first program matches the reference; the other two listed are incorrect, so the answer is related but wrong.",8000</t>
  </si>
  <si>
    <t>deepseek-v3.2-thinking,statements_16000tok,1,easy,lookup,What is the 2026 funding for the 'School Education' program under the Ministry of Education?,"42,380,106.4 тыс. сом",The context does not contain information about the funding for a specific 'School Education' program under the Ministry of Education (Министерство просвещения).,32265,0,"The model claims no information is available, whereas the reference pro</t>
  </si>
  <si>
    <t>vides a specific funding amount, so the answer is</t>
  </si>
  <si>
    <t>incorr</t>
  </si>
  <si>
    <t>ec</t>
  </si>
  <si>
    <t>t.</t>
  </si>
  <si>
    <t>deepseek-v3.2-thinking,statements_16000tok,2,easy,lookup,How many budget programs does the Ministry of Health have?,8,"The Ministry of Health (code 37) has six budget programs mentioned in the context: codes 001, 372, 373, 374, 375, and 376.",44203,2,Correct entity (Ministry of Health) but gives wrong number of programs (six vs eight).,16000</t>
  </si>
  <si>
    <t>deepseek-v3.2-thinking,statements_16000tok,3,easy,lookup,Which program has the largest funding allocation in the 2026 budget?,"«Общегосударственные программы» Министерства финансов КР — 164,663,857.2 тыс. сом","Based solely on the provided context, the largest funding allocation mentioned for a specific program in the 2026 budget is 42.4 billion som for the program 'Школьное образование' under 'Министерство прос</t>
  </si>
  <si>
    <t>вещения Кыргызской Республики'.",28496,0,"Model a</t>
  </si>
  <si>
    <t>nswer c</t>
  </si>
  <si>
    <t>it</t>
  </si>
  <si>
    <t>dif</t>
  </si>
  <si>
    <t>fere</t>
  </si>
  <si>
    <t>nt program and amount, not matching the reference's 'Общегосударственные программы' with 164,663,857.2 тыс. сом.",16000</t>
  </si>
  <si>
    <t>deepseek-v3.2-thinking,statements_16000tok,4,easy,count,How many total ministries and agencies are represented in the program-based budget?,88,"Based solely on the provided context, the total number of ministries and agencies represented is 70.</t>
  </si>
  <si>
    <t>The count is derived from the list of entities explicitly stated to have allocations or budget programs in the 2026 program-based budget, each with a unique GRBS code (11 through 88).",29451,2,The model identified the correct concept (total ministries and agencies) but gave an incorrect number (70 vs. the correct 88).,16000</t>
  </si>
  <si>
    <t>deepseek-v3.2-thinking,statements_16000tok,5,easy,lookup,What is the total 2026 funding for the Jogorku Kenesh (parliament)?,"1,127,306.9 тыс. сом",1.1 billion som.,27738,3,"The model correctly approximates the reference value (1,127,306.9 thousand som ≈ 1.1 billion som).",16000</t>
  </si>
  <si>
    <t>deepseek-v3.2-thinking,statements_16000tok,6,medium,aggregation,What is the total 2026 funding across all programs of the Ministry of Education?,"56,424,894.11 тыс. сом","56,424,894.1 thousand som.",32711,3,"The model provides the same total funding value, matching the reference answer (minor rounding acceptable).",16000</t>
  </si>
  <si>
    <t>deepseek-v3.2-thinking,statements_16000tok,7,medium,aggregation,What is the total budget across all program-level items for 2026?,"Примерно 593.2 млрд сом (593,152,147.3 тыс. сом)",The context does not contain the total budget across all program-level items for 2026.,26064,0,The model answer fails to provide the required budget figure and incorrectly claims the information is missing.,16000</t>
  </si>
  <si>
    <t>deepseek-v3.2-thinking,statements_16000tok,8,medium,comparison,Which ministry receives more funding: Ministry of Health or Ministry of Education?,"Министерство просвещения — 56,424,894.11 тыс. сом против 41,621,347.3  тыс. сом у здравоохранения","Министерство просвещения Кыргызской Республики (code 34) receives more funding with 56,424,894.1 thousand som in 2026, compared to Министерство здравоохранения Кыргызск</t>
  </si>
  <si>
    <t>ой Республики (code 37) with 41,621,347.3 thousan</t>
  </si>
  <si>
    <t>d som i</t>
  </si>
  <si>
    <t>.",4</t>
  </si>
  <si>
    <t>,3,The model correctly identifies the Ministry of Education as receiving more funding and provides matching figures.,16000</t>
  </si>
  <si>
    <t>deepseek-v3.2-thinking,statements_16000tok,9,medium,comparison,"Does the total program-level budget grow or shrink between 2026 and 2027, and by what percentage?",declines by 7.1%,The context does not contain information about the total program-level budget change from 2026 to 2027.,26225,0,"The model claims no information is available, but the reference provides a specific answer (declines by 7.1%).",16000</t>
  </si>
  <si>
    <t>deepseek-v3.2-thinking,statements_16000tok,10,medium,lookup,Which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 has the smallest non-zero funding in 2026 at 739.4 тыс. сом.,28942,3,The model correctly ide</t>
  </si>
  <si>
    <t>ntifies the program with the smallest non-zero fu</t>
  </si>
  <si>
    <t>nding a</t>
  </si>
  <si>
    <t>es t</t>
  </si>
  <si>
    <t>he e</t>
  </si>
  <si>
    <t>xact amount of 739.4 тыс. сом.,16000</t>
  </si>
  <si>
    <t>deepseek-v3.2-thinking,statements_16000tok,11,medium,indicator,What is the most commonly used unit of measurement for performance indicators in the 2026 budget?,Процент (%),The most commonly used unit of measurement for performance indicators is percentage (%).,34521,3,"The model correctly identifies the unit as percentage (%), matching the reference answer.",16000</t>
  </si>
  <si>
    <t>deepseek-v3.2-thinking,statements_16000tok,12,medium,aggregation,What is the total 2026 program funding for the Ministry of Transport and Communications?,"16,881,928.10",16.9 billion som.,29453,3,"Model's rounded figure 16.9 billion som matches the reference value of 16,881,928.10 (≈16.88 billion som).",16000</t>
  </si>
  <si>
    <t>deepseek-v3.2-thinking,statements_16000tok,13,hard,filter,How many ministries/agencies have exactly one budget program?,19,The context does not contain enough information to determine how many ministries/agencies have exactly one budget program.,33104,0,"The model claims insufficient information, but the reference provides a specific answer (19), so the response is incorrect.",16000</t>
  </si>
  <si>
    <t>deepseek-v3.2-thinking,statements_16000tok,14,hard,filter,How many programs show funding growth of more than 10% between 2026 and 2027?,9,"Three programs show funding growth exceeding 10% between 2026 and 2027:</t>
  </si>
  <si>
    <t>1. Program 43/001 'Управление и администрирование' (Министерство транспорта и коммуникаций Кыргызской Республики): Increase of approximately 25.51%.</t>
  </si>
  <si>
    <t>2. Program 80/001 'Управление и администрирование' (Национальная академия наук Кыргызской Республики): Increase of approximately 133.6%.</t>
  </si>
  <si>
    <t>3. Program 41/413 'Государственная поддержка и развитие растениеводства': Increase of approximately 34.12%.",26917,0,The model gave the wrong number of programs (3 instead of the correct 9).,16000</t>
  </si>
  <si>
    <t>deepseek-v3.2-thinking,statements_16000tok,15,hard,indicator,How many rows in the budget have a performance indicator measured in people (чел.)?,50,27,34915,0,"The model gave 27 instead of the correct number 50, so the answer is incorrect.",16000</t>
  </si>
  <si>
    <t>deepseek-v3.2-thinking,statements_16000tok,16,hard,aggregation,What share of the total 2026 program budget goes to the Ministry of Finance (General State Expenditures)?,"56% (332,149,236.2 out of  593,028,014.9)","The context does not provide the total 2026 program budget, so the share for the Ministry of Finance (General State Expenditures, code 26) cannot be calculated.",29800,0,"The model answer claims the sh</t>
  </si>
  <si>
    <t>are cannot be calculated, whereas the reference p</t>
  </si>
  <si>
    <t>rovides</t>
  </si>
  <si>
    <t>cifi</t>
  </si>
  <si>
    <t>c 56</t>
  </si>
  <si>
    <t>% share.",16000</t>
  </si>
  <si>
    <t>deepseek-v3.2-thinking,statements_16000tok,17,hard,lookup,Which budget measure (not program) has the largest 2026 funding?,"Повышение социальных выплат - 76,517,019.4","Бюджетная мера ""Повышение социальных выплат"" имеет наибольшее финансирование в 2026 году — 76.5 миллиардов сом.",29348,2,Identifies the correct budget measure but gives an incorrect funding amount (misstates billions instead of the correct 76.5</t>
  </si>
  <si>
    <t>million),16000</t>
  </si>
  <si>
    <t>deepseek-v3.2-thinking,statements_16000tok,18,hard,comparison,Which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сом","Based solely on the provided context, the program under the Ministry of Emergency Situations (code 45) that receives the most 2026 funding is the program **'Го</t>
  </si>
  <si>
    <t>сударственные программы, мероприятия и выплаты'**</t>
  </si>
  <si>
    <t>throug</t>
  </si>
  <si>
    <t>budg</t>
  </si>
  <si>
    <t>et m</t>
  </si>
  <si>
    <t>easure **'Спецсчет МЧС КР'**, which receives 300.0 million som.</t>
  </si>
  <si>
    <t>This is higher than the 184.9 million som allocated to its program 'Управление и администрирование'.",31609,0,"The model answer gives a different program and incorrect funding amounts, not matching the reference answer.",16000</t>
  </si>
  <si>
    <t>deepseek-v3.2-thinking,statements_16000tok,19,hard,multi-step,How many total budget programs and budget measures are in the 2026 program-based budget?,168 programs and 342 measures,The context does not contain enough information to determine the total number of budget programs and budget measures in the 2026 program-based budget.,29254,0,"The model claims insufficient information, but the reference provides the</t>
  </si>
  <si>
    <t>exact numbers, so the answer is incorrect.",16000</t>
  </si>
  <si>
    <t>deepseek-v3.2-thinking,statements_16000tok,20,hard,multi-step,Which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on the provided funding data for 2026 and 2027:</t>
  </si>
  <si>
    <t>1. Program 22/001 'Управление и администрирование' (Министерство юстиции Кыргызской Республики): Decrease of 16,245.7 тыс. сом (from 282,746.0 to 266,500.3).</t>
  </si>
  <si>
    <t>2. Program 21/001 'Управление и администрирование' (Министерство экономики и коммерции Кыргызской Республики): Decrease of 946.8 тыс. сом (from 115,861.1 to 114,914.3).</t>
  </si>
  <si>
    <t>3. Program 46/001 'Управление и администрирование' (Центрально-Азиатский институт прикладных исследований Земли): Decrease of 65.9 тыс. сом (from 6,239.5 to 6,173.6).",33951,0,The model answer lists unrelated programs that do not match any of the three programs identified in the reference answer.,16000</t>
  </si>
  <si>
    <t>deepseek-v3.2-thinking,markdown_16000tok,1,easy,lookup,What is the 2026 funding for the 'School Education' program under the Ministry of Education?,"42,380,106.4 тыс. сом","42,380,106.4 (тыс.сом)",63940,3,The model provides the exact same numeric value and unit as the reference answer.,16000</t>
  </si>
  <si>
    <t>deepseek-v3.2-thinking,markdown_16000tok,2,easy,lookup,How many budget programs does the Ministry of Health have?,8,7,63940,2,The answer references the correct entity (Ministry of Health) but gives an incorrect number of programs.,16000</t>
  </si>
  <si>
    <t>deepseek-v3.2-thinking,markdown_16000tok,3,easy,lookup,Which program has the largest funding allocation in the 2026 budget?,"«Общегосударственные программы» Министерства финансов КР — 164,663,857.2 тыс. сом","The program with the largest 2026 funding allocation is ""Общегосударственные программы"" under Министерство финансов Кыргызской Республики, with 164,663,857.2 тыс.сом.",63940,3,The model correctly identifi</t>
  </si>
  <si>
    <t>es the program and exact funding amount as in the</t>
  </si>
  <si>
    <t>e.</t>
  </si>
  <si>
    <t>,1</t>
  </si>
  <si>
    <t>deepseek-v3.2-thinking,markdown_16000tok,4,easy,count,How many total ministries and agencies are represented in the program-based budget?,88,24,63940,2,"The answer provides a number for the total ministries and agencies, but the value 24 is incorrect; the correct figure is 88.",16000</t>
  </si>
  <si>
    <t>deepseek-v3.2-thinking,markdown_16000tok,5,easy,lookup,What is the total 2026 funding for the Jogorku Kenesh (parliament)?,"1,127,306.9 тыс. сом","1,127,306.9 тыс. сом",63940,3,The model answer exactly matches the reference value for total 2026 funding.,16000</t>
  </si>
  <si>
    <t>deepseek-v3.2-thinking,markdown_16000tok,6,medium,aggregation,What is the total 2026 funding across all programs of the Ministry of Education?,"56,424,894.11 тыс. сом","55,412,714.2 тыс. сом",63940,2,Correct entity but the numeric value does not match the reference amount.,16000</t>
  </si>
  <si>
    <t>deepseek-v3.2-thinking,markdown_16000tok,7,medium,aggregation,What is the total budget across all program-level items for 2026?,"Примерно 593.2 млрд сом (593,152,147.3 тыс. сом)","505,990,798.8 thousand som",63940,2,The answer addresses the total budget (right entity) but provides an incorrect figure (505.99 bn vs 593.2 bn som).,16000</t>
  </si>
  <si>
    <t>deepseek-v3.2-thinking,markdown_16000tok,8,medium,comparison,Which ministry receives more funding: Ministry of Health or Ministry of Education?,"Министерство просвещения — 56,424,894.11 тыс. сом против 41,621,347.3  тыс. сом у здравоохранения","The Ministry of Education (Министерство просвещения) receives more funding in 2026.</t>
  </si>
  <si>
    <t>The total for the Ministry of Education's listed programs in 2026 is 55,412,714.1 thousand som.</t>
  </si>
  <si>
    <t>The total for the Ministry of Health's listed programs in 2026 is 38,246,324.1 thousand som.",63940,2,"Correctly identified Education as receiving more funding, but provided incorrect funding figures.",16000</t>
  </si>
  <si>
    <t>deepseek-v3.2-thinking,markdown_16000tok,9,medium,comparison,"Does the total program-level budget grow or shrink between 2026 and 2027, and by what percentage?",declines by 7.1%,"The total program-level budget shrinks from 2026 to 2027. The total for 2026 is 1,047,143.9 + 80,163.0 + 669,719.2 + 18,086.2 + 2,030,000.0 + 2,837,368.8 + 805,338.5 + 116,882.7 + 3,297,739.7 + 406,745.3 + 290,900.9 + 3,392.5 + 3,787,47</t>
  </si>
  <si>
    <t>0.5 + 165,033.1 + 561,208.7 + 174,569.0 + 59,137.</t>
  </si>
  <si>
    <t>4 + 15,</t>
  </si>
  <si>
    <t>6,61</t>
  </si>
  <si>
    <t>0.0 + 365,908.9 + 248,904.5 + 68,715.5 + 152,559.6 + 115,861.1 + 282,746.0 + 176,690.6 + 191,314.8 + 272,664.0 + 181,071.6 + 245,999.5 + 2,287,244.9 + 2,408,549.4 + 44,684.4 + 5,159,304.8 + 2,077,532.3 + 332,704.9 + 10,614,609.5 + 104,267.8 + 46,670,347.3 + 164,663,857.2 + 118,757,161.3 + 2,057,870.4 + 81,635.4 + 269,739.3 + 240,842.6 + 107,895.4 + 213,365.4 + 53,903.0 + 19,561.8 + 737,759.3 + 132,692.0 + 19,428.6 + 3,669,147.5 + 244,173.0 + 1,962,869.4 + 8,891,657.5 + 42,380,106.4 + 2,178,080.8 + 321,933.8 + 2,170,534.1 + 6,305,318.8 + 962,011.6 + 11,104,430.6 + 15,638,295.2 + 2,530,800.0 + 1,567,378.5 + 15,529,568.0 + 3,099,750.4 + 1,061,098.4 + 2,013,985.2 + 28,651.2 + 35,953.6 + 36,155.1 + 48,781.2 + 739.4 + 425,993.2 + 1,294,075.7 + 479,788.0 + 5,039,751.9 + 579,867.8 = 466,703,473.0 (тыс. сом). The total for 2027 is 1,069,070.0 + 80,163.0 + 683,113.6 + 18,447.9 + 2,030,000.0 + 2,571,414.9 + 819,431.4 + 119,819.9 + 3,303,809.0 + 409,477.6 + 296,718.9 + 3,664.5 + 3,053,203.4 + 168,890.8 + 572,339.1 + 178,060.4 + 60,620.1 + 15,000.0 + 662,126.6 + 373,227.0 + 253,882.6 + 70,089.8 + 136,463.5 + 114,914.3 + 266,500.3 + 199,769.7 + 195,752.1 + 277,496.3 + 165,221.1 + 250,919.5 + 2,331,345.1 + 2,450,711.8 + 45,702.4 + 5,198,766.8 + 2,100,402.2 + 336,444.9 + 9,479,566.8 + 106,329.2 + 46,670,347.3 + 112,194,631.2 + 131,802,316.2 + 2,057,870.4 + 83,268.1 + 269,739.3 + 245,180.7 + 115,448.1 + 200,269.7 + 54,981.1 + 19,561.8 + 769,728.9 + 136,834.6 + 19,428.6 + 3,674,725.0 + 244,196.9 + 1,967,522.0 + 8,892,351.5 + 43,462,341.1 + 2,178,083.4 + 326,433.8 + 2,120,832.0 + 7,072,644.7 + 976,420.6 + 10,923,008.0 + 15,671,462.3 + 2,530,800.0 + 1,567,378.5 + 15,990,640.7 + 3,106,928.9 + 1,061,098.4 + 2,010,984.9 + 28,651.2 + 34,962.0 + 36,155.1 + 48,527.7 + 739.4 + 435,960.8 + 1,312,981.9 + 643,477.5 + 3,774,682.8 + 85,800.3 = 466,703,473.0 (тыс. сом). The totals are identical, so the change is 0%.",63940,0,"Model states a 0% change, contradicting the reference which says a 7.1% decline",16000</t>
  </si>
  <si>
    <t>deepseek-v3.2-thinking,markdown_16000tok,10,medium,lookup,Which program has the smallest non-zero funding in 2026?,«Внесение предложений по защите материальных и социальных прав ветеранов» — 739.4 тыс. сом,"The program with the smallest non-zero funding in 2026 is ""Внесение предложений по защите материальных и социальных пра"" under ""Общественное объединение «Республикански"" with 739.4 тыс.сом.",63940,3,The m</t>
  </si>
  <si>
    <t>odel correctly identifies the program and its fun</t>
  </si>
  <si>
    <t>ding am</t>
  </si>
  <si>
    <t>ou</t>
  </si>
  <si>
    <t>atch</t>
  </si>
  <si>
    <t>ing</t>
  </si>
  <si>
    <t>the reference.,16000</t>
  </si>
  <si>
    <t>deepseek-v3.2-thinking,markdown_16000tok,11,medium,indicator,What is the most commonly used unit of measurement for performance indicators in the 2026 budget?,Процент (%),Количество (number/quantity).,63940,0,The model gave 'Количество' instead of the correct unit 'Процент (%)'.,16000</t>
  </si>
  <si>
    <t>deepseek-v3.2-thinking,markdown_16000tok,12,medium,aggregation,What is the total 2026 program funding for the Ministry of Transport and Communications?,"16,881,928.10",The context does not contain information about the Ministry of Transport and Communications.,63940,0,The model did not provide the required funding amount and incorrectly claimed the information was unavailable.,16000</t>
  </si>
  <si>
    <t>deepseek-v3.2-thinking,markdown_16000tok,13,hard,filter,How many ministries/agencies have exactly one budget program?,19,8,63940,0,"The model gave 8, but the correct number is 19, so the answer is incorrect.",16000</t>
  </si>
  <si>
    <t>deepseek-v3.2-thinking,markdown_16000tok,14,hard,filter,How many programs show funding growth of more than 10% between 2026 and 2027?,9,0,63940,0,"The model answered 0, which does not match the correct value of 9.",16000</t>
  </si>
  <si>
    <t>deepseek-v3.2-thinking,markdown_16000tok,15,hard,indicator,How many rows in the budget have a performance indicator measured in people (чел.)?,50,"Based on the provided context, none of the rows have a performance indicator measured in ""чел."" (people). The indicators use terms like ""количество детей,"" ""количество лиц,"" or ""количество обслуживаемых,"" but not the abbreviation ""чел.""",63940,0,"The model s</t>
  </si>
  <si>
    <t>ays no rows have a 'чел.' indicator, contradictin</t>
  </si>
  <si>
    <t>g the c</t>
  </si>
  <si>
    <t>wer</t>
  </si>
  <si>
    <t>of 50.",16000</t>
  </si>
  <si>
    <t>deepseek-v3.2-thinking,markdown_16000tok,16,hard,aggregation,What share of the total 2026 program budget goes to the Ministry of Finance (General State Expenditures)?,"56% (332,149,236.2 out of  593,028,014.9)",31.46%,63940,2,Identifies the correct entity (share for Ministry of Finance) but gives an incorrect percentage.,16000</t>
  </si>
  <si>
    <t>deepseek-v3.2-thinking,markdown_16000tok,17,hard,lookup,Which budget measure (not program) has the largest 2026 funding?,"Повышение социальных выплат - 76,517,019.4","The budget measure with the largest 2026 funding is ""Обеспечение базовой части пенсии"" under the Ministry of Finance, with 33,574,380.8 тыс.сом.",63940,0,"The model gave a different measure and amount, not matching the reference's largest funding</t>
  </si>
  <si>
    <t>measure.",16000</t>
  </si>
  <si>
    <t>deepseek-v3.2-thinking,markdown_16000tok,18,hard,comparison,Which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provided context does not contain any entries for the Ministry of Emergency Situations. Therefore, it is not possible to identify which program under that mi</t>
  </si>
  <si>
    <t>nistry receives the most 2026 funding.",63940,0,"</t>
  </si>
  <si>
    <t>The mod</t>
  </si>
  <si>
    <t>does</t>
  </si>
  <si>
    <t>not provide the correct program and funding amount, contradicting the reference answer.",16000</t>
  </si>
  <si>
    <t>deepseek-v3.2-thinking,markdown_16000tok,19,hard,multi-step,How many total budget programs and budget measures are in the 2026 program-based budget?,168 programs and 342 measures,"Based on the provided context, the 2026 program-based budget contains 77 budget programs and 154 budget measures.",63940,1,The answer mentions budget programs and measures but provides incorrect numbers compared to the reference.,16000</t>
  </si>
  <si>
    <t>deepseek-v3.2-thinking,markdown_16000tok,20,hard,multi-step,Which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on the provided context, the top 3 programs with the largest absolute funding</t>
  </si>
  <si>
    <t>decrease from 2026 to 2027 are:</t>
  </si>
  <si>
    <t>1.  **Общегосударственные программы** (Министерство финансов Кыргызской Республики): Decrease of 52,469,226.0 тыс.сом (from 164,663,857.2 to 112,194,631.2).</t>
  </si>
  <si>
    <t>2.  **Администрирование государственных доходов** (Министерство финансов Кыргызской Республики): Decrease of 1,135,042.7 тыс.сом (from 10,614,609.5 to 9,479,566.8).</t>
  </si>
  <si>
    <t>3.  **Реализация проектов государственных инвестиций** (Министерство экономики и коммерции Кыргызской Республики): Decrease of 545,749.7 тыс.сом (from 4,345,551.3 to 3,799,801.6).",63940,1,"Only one of the three listed programs matches the reference; the other two are incorrect or missing, so the answer is largely wrong.",16000</t>
  </si>
  <si>
    <t>deepseek-v3.2-thinking,statements_full,1,easy,lookup,What is the 2026 funding for the 'School Education' program under the Ministry of Education?,"42,380,106.4 тыс. сом",The context does not contain information about a program named 'School Education' or its funding under the Ministry of Education (Министерство просвещения).,32265,0,"The model answer claims no information is available, contradicting the referenc</t>
  </si>
  <si>
    <t>e which provides a specific funding amount.",full</t>
  </si>
  <si>
    <t>deepseek-v3.2-thinking,statements_full,2,easy,lookup,How many budget programs does the Ministry of Health have?,8,The Ministry of Health (code 37) has six budget programs listed in the context.,44203,2,The answer correctly identifies the Ministry of Health but gives the wrong number of budget programs (six instead of eight).,full</t>
  </si>
  <si>
    <t>deepseek-v3.2-thinking,statements_full,3,easy,lookup,Which program has the largest funding allocation in the 2026 budget?,"«Общегосударственные программы» Министерства финансов КР — 164,663,857.2 тыс. сом","The program with the largest funding allocation in the 2026 budget is 'Министерство финансов Кыргызской Республики (Общегосударственные программы, мероприятия и выплаты)' with 332.1 billion som.",28496,2,Iden</t>
  </si>
  <si>
    <t>tifies the correct program but provides an incorr</t>
  </si>
  <si>
    <t>t.,f</t>
  </si>
  <si>
    <t>deepseek-v3.2-thinking,statements_full,4,easy,count,How many total ministries and agencies are represented in the program-based budget?,88,64,29451,2,Correct entity (total ministries and agencies) but provides the wrong number (64 instead of 88).,full</t>
  </si>
  <si>
    <t>deepseek-v3.2-thinking,statements_full,5,easy,lookup,What is the total 2026 funding for the Jogorku Kenesh (parliament)?,"1,127,306.9 тыс. сом",1.1 billion som.,27738,3,"Model answer correctly rounds the reference value (1,127,306.9 thousand som ≈ 1.1 billion som) and provides the accurate total funding.",full</t>
  </si>
  <si>
    <t>deepseek-v3.2-thinking,statements_full,6,medium,aggregation,What is the total 2026 funding across all programs of the Ministry of Education?,"56,424,894.11 тыс. сом","56,424,894.1 thousand som.",32711,3,"The model provides the same total funding value, correctly matching the reference amount (minor rounding difference acceptable).",full</t>
  </si>
  <si>
    <t>deepseek-v3.2-thinking,statements_full,7,medium,aggregation,What is the total budget across all program-level items for 2026?,"Примерно 593.2 млрд сом (593,152,147.3 тыс. сом)",The context does not contain the total budget across all program-level items for 2026.,26064,0,The model answer fails to provide the required budget figure and incorrectly claims the information is missing.,full</t>
  </si>
  <si>
    <t>deepseek-v3.2-thinking,statements_full,8,medium,comparison,Which ministry receives more funding: Ministry of Health or Ministry of Education?,"Министерство просвещения — 56,424,894.11 тыс. сом против 41,621,347.3  тыс. сом у здравоохранения","Министерство просвещения (code 34) receives more funding with 56,424,894.1 thousand som in 2026, compared to Министерство здравоохранения (code 37) with 41,621,347.3 thousa</t>
  </si>
  <si>
    <t>nd som.",41486,3,The model correctly identifies t</t>
  </si>
  <si>
    <t>he Mini</t>
  </si>
  <si>
    <t>ry</t>
  </si>
  <si>
    <t>f Ed</t>
  </si>
  <si>
    <t>ucat</t>
  </si>
  <si>
    <t>ion as receiving more funding and provides matching figures.,full</t>
  </si>
  <si>
    <t>deepseek-v3.2-thinking,statements_full,9,medium,comparison,"Does the total program-level budget grow or shrink between 2026 and 2027, and by what percentage?",declines by 7.1%,The context does not contain information about the total program-level budget change between 2026 and 2027.,26225,0,"Model claims no information while reference provides a specific decline of 7.1%, so answer is incorrect.",full</t>
  </si>
  <si>
    <t>deepseek-v3.2-thinking,statements_full,10,medium,lookup,Which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 has the smallest non-zero funding in 2026: 739.4 тыс. сом.,28942,3,The answer correctly identifi</t>
  </si>
  <si>
    <t>es the program with the smallest non-zero funding</t>
  </si>
  <si>
    <t>ct amount of 739.4 тыс. сом.,full</t>
  </si>
  <si>
    <t>deepseek-v3.2-thinking,statements_full,11,medium,indicator,What is the most commonly used unit of measurement for performance indicators in the 2026 budget?,Процент (%),The most commonly used unit of measurement for performance indicators is percentage (%).,34521,3,"The model correctly identifies the unit as percentage (%), matching the reference answer.",full</t>
  </si>
  <si>
    <t>deepseek-v3.2-thinking,statements_full,12,medium,aggregation,What is the total 2026 program funding for the Ministry of Transport and Communications?,"16,881,928.10","16.9 billion som (or 16,881,928.1 thousand som).",29453,3,"The model provides the same value (≈16.9 billion som) matching the reference figure, with acceptable rounding.",full</t>
  </si>
  <si>
    <t>deepseek-v3.2-thinking,statements_full,13,hard,filter,How many ministries/agencies have exactly one budget program?,19,"The context does not specify the number of budget programs allocated to each ministry/agency. Therefore, it is not possible to determine how many have exactly one budget program.",33104,0,"The model says the information is unavailable, contradicting the reference answer of 19.",full</t>
  </si>
  <si>
    <t>deepseek-v3.2-thinking,statements_full,14,hard,filter,How many programs show funding growth of more than 10% between 2026 and 2027?,9,3,26917,2,"Model provided a numeric answer (3) but the correct number is 9, so the entity is right but the value is wrong.",full</t>
  </si>
  <si>
    <t>deepseek-v3.2-thinking,statements_full,15,hard,indicator,How many rows in the budget have a performance indicator measured in people (чел.)?,50,28,34915,0,"The model gave 28 instead of the correct number 50, so the answer is incorrect.",full</t>
  </si>
  <si>
    <t>deepseek-v3.2-thinking,statements_full,16,hard,aggregation,What share of the total 2026 program budget goes to the Ministry of Finance (General State Expenditures)?,"56% (332,149,236.2 out of  593,028,014.9)","The context does not contain the total 2026 program budget figure, so the share for the Ministry of Finance (General State Expenditures) cannot be calculated.",29800,0,"The model answer incorrectly claims</t>
  </si>
  <si>
    <t>the share cannot be calculated, whereas the refer</t>
  </si>
  <si>
    <t>fic share of 56%.",full</t>
  </si>
  <si>
    <t>deepseek-v3.2-thinking,statements_full,17,hard,lookup,Which budget measure (not program) has the largest 2026 funding?,"Повышение социальных выплат - 76,517,019.4","Бюджетное мероприятие ""Повышение социальных выплат"" имеет наибольшее финансирование в 2026 году — 76.5 миллиардов сом.",29348,3,The model correctly identifies 'Повышение социальных выплат' as the largest measure and gives a matching amount (rounded</t>
  </si>
  <si>
    <t>to 76.5 billion som).,full</t>
  </si>
  <si>
    <t>deepseek-v3.2-thinking,statements_full,18,hard,comparison,Which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program ""Управление и администрирование"" (code 001) under the Ministry of Emergency Situations (code 45) receives 184,945.8 thousand som in 2026, which is th</t>
  </si>
  <si>
    <t>e highest funding allocation for a program under</t>
  </si>
  <si>
    <t>that mi</t>
  </si>
  <si>
    <t>ni</t>
  </si>
  <si>
    <t>,0,"The model answer names a different program and amount, not matching the reference's highest-funded program.",full</t>
  </si>
  <si>
    <t>deepseek-v3.2-thinking,statements_full,19,hard,multi-step,How many total budget programs and budget measures are in the 2026 program-based budget?,168 programs and 342 measures,The context does not specify the total number of budget programs and budget measures in the 2026 program-based budget.,29254,0,"The model answer claims the information is unspecified, which is incorrect compared to the reference answer.",</t>
  </si>
  <si>
    <t>deepseek-v3.2-thinking,statements_full,20,hard,multi-step,Which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(Минводресурсов),"Based on the provided funding data:</t>
  </si>
  <si>
    <t>1. Program 22/001 'Управление и администрирование' (Министерство юстиции Кыргызской Республики): decrease of 16,245.7 тыс. сом (from 282,746.0 in 2026 to 266,500.3 in 2027).</t>
  </si>
  <si>
    <t>2. Program 21/001 'Управление и администрирование' (Генеральная прокуратура Кыргызской Республики): decrease of 946.8 тыс. сом (from 115,861.1 in 2026 to 114,914.3 in 2027).</t>
  </si>
  <si>
    <t>3. Program 46/001 'Управление и администрирование' (Военная прокуратура Кыргызской Республики): decrease of 65.9 тыс. сом (from 6,239.5 in 2026 to 6,173.6 in 2027).",33951,0,The model answer lists different programs than the reference and does not match the correct top three decreasing programs.,full</t>
  </si>
  <si>
    <t>deepseek-v3.2-thinking,markdown_full,1,easy,lookup,What is the 2026 funding for the 'School Education' program under the Ministry of Education?,"42,380,106.4 тыс. сом","42,380,106.4 тыс. сом",104672,3,"The model answer exactly matches the reference value, providing the correct funding amount.",full</t>
  </si>
  <si>
    <t>deepseek-v3.2-thinking,markdown_full,2,easy,lookup,How many budget programs does the Ministry of Health have?,8,The Ministry of Health has 7 budget programs.,104672,2,The answer correctly identifies the Ministry of Health but gives the wrong number of budget programs (7 instead of 8).,full</t>
  </si>
  <si>
    <t>deepseek-v3.2-thinking,markdown_full,3,easy,lookup,Which program has the largest funding allocation in the 2026 budget?,"«Общегосударственные программы» Министерства финансов КР — 164,663,857.2 тыс. сом","The program with the largest funding allocation in the 2026 budget is ""Общегосударственные программы"" under the Ministry of Finance, with 164,663,857.2 тыс.сом.",104672,3,The model correctly identifies the pr</t>
  </si>
  <si>
    <t>ogram and provides the exact funding amount as in</t>
  </si>
  <si>
    <t>the re</t>
  </si>
  <si>
    <t>e.,f</t>
  </si>
  <si>
    <t>deepseek-v3.2-thinking,markdown_full,4,easy,count,How many total ministries and agencies are represented in the program-based budget?,88,52,104672,0,"The model gave 52, but the correct total is 88, so the answer is incorrect.",full</t>
  </si>
  <si>
    <t>deepseek-v3.2-thinking,markdown_full,5,easy,lookup,What is the total 2026 funding for the Jogorku Kenesh (parliament)?,"1,127,306.9 тыс. сом","1,127,306.9 тыс. сом",104672,3,The model answer exactly matches the reference value for total 2026 funding.,full</t>
  </si>
  <si>
    <t>deepseek-v3.2-thinking,markdown_full,6,medium,aggregation,What is the total 2026 funding across all programs of the Ministry of Education?,"56,424,894.11 тыс. сом",56424894.1 тыс. сом,104672,3,"The model provides the same total funding value, matching the reference amount (minor formatting difference only).",full</t>
  </si>
  <si>
    <t>deepseek-v3.2-thinking,markdown_full,7,medium,aggregation,What is the total budget across all program-level items for 2026?,"Примерно 593.2 млрд сом (593,152,147.3 тыс. сом)","550,972,542.2 тыс. сом",104672,2,Identifies the total budget but provides an incorrect amount compared to the reference value.,full</t>
  </si>
  <si>
    <t>deepseek-v3.2-thinking,markdown_full,8,medium,comparison,Which ministry receives more funding: Ministry of Health or Ministry of Education?,"Министерство просвещения — 56,424,894.11 тыс. сом против 41,621,347.3  тыс. сом у здравоохранения","The Ministry of Education (Министерство просвещения) receives more funding. Its total 2026 budget is 55,412,714.1 тыс. сом, while the Ministry of Health's (Министерство здрав</t>
  </si>
  <si>
    <t>оохранения) total is 39,033,324.1 тыс. сом.",1046</t>
  </si>
  <si>
    <t>72,2,"C</t>
  </si>
  <si>
    <t>ly i</t>
  </si>
  <si>
    <t>dent</t>
  </si>
  <si>
    <t>ified that the Ministry of Education receives more funding, but the reported budget figures differ from the reference values.",full</t>
  </si>
  <si>
    <t>deepseek-v3.2-thinking,markdown_full,9,medium,comparison,"Does the total program-level budget grow or shrink between 2026 and 2027, and by what percentage?",declines by 7.1%,"The context does not contain a total program-level budget figure for 2026 and 2027, so it is not possible to determine the overall growth or shrinkage percentage.",104672,0,The model answer does not provide the correct fact that the budget</t>
  </si>
  <si>
    <t>declines by 7.1%.,full</t>
  </si>
  <si>
    <t>deepseek-v3.2-thinking,markdown_full,10,medium,lookup,Which program has the smallest non-zero funding in 2026?,«Внесение предложений по защите материальных и социальных прав ветеранов» — 739.4 тыс. сом,"The program/measure with the smallest non-zero funding in 2026 is ""Транспортное обеспечение экс Президента КР и бывших руководи"" under Управление делами Президента Кыргызской, with 374.0 тыс. сом.",104672,0,"Th</t>
  </si>
  <si>
    <t>e model gave a different program and amount, not</t>
  </si>
  <si>
    <t>e answer.",full</t>
  </si>
  <si>
    <t>deepseek-v3.2-thinking,markdown_full,11,medium,indicator,What is the most commonly used unit of measurement for performance indicators in the 2026 budget?,Процент (%),"The most commonly used units of measurement for performance indicators are percentages (e.g., Доля, Процент, Отношение) and counts/quantities (e.g., Количество).",104672,2,"Model mentions percentages, the correct unit, but adds unrelated counts, s</t>
  </si>
  <si>
    <t>o not a precise answer.",full</t>
  </si>
  <si>
    <t>deepseek-v3.2-thinking,markdown_full,12,medium,aggregation,What is the total 2026 program funding for the Ministry of Transport and Communications?,"16,881,928.10","9,554,723.3 тыс. сом",104672,0,"The model's figure (9,554,723.3) does not match the reference total (16,881,928.10).",full</t>
  </si>
  <si>
    <t>deepseek-v3.2-thinking,markdown_full,13,hard,filter,How many ministries/agencies have exactly one budget program?,19,22,104672,2,The model identified the correct entity (count of ministries/agencies with one program) but gave an incorrect number (22 vs 19).,full</t>
  </si>
  <si>
    <t>deepseek-v3.2-thinking,markdown_full,14,hard,filter,How many programs show funding growth of more than 10% between 2026 and 2027?,9,1,104672,2,The answer addresses the correct entity (number of programs) but provides an incorrect value (1 instead of 9).,full</t>
  </si>
  <si>
    <t>deepseek-v3.2-thinking,markdown_full,15,hard,indicator,How many rows in the budget have a performance indicator measured in people (чел.)?,50,"Based on the provided context, there are 0 rows where the performance indicator is explicitly measured in people (чел.). The indicators use descriptive terms like ""количество детей,"" ""количество лиц,"" ""количество слушателей,"" etc., but not the abbreviation ""чел."""</t>
  </si>
  <si>
    <t>,104672,0,"The model answered 0 rows, but the cor</t>
  </si>
  <si>
    <t>rect an</t>
  </si>
  <si>
    <t>s 50</t>
  </si>
  <si>
    <t>, so</t>
  </si>
  <si>
    <t>it is completely incorrect.",full</t>
  </si>
  <si>
    <t>deepseek-v3.2-thinking,markdown_full,16,hard,aggregation,What share of the total 2026 program budget goes to the Ministry of Finance (General State Expenditures)?,"56% (332,149,236.2 out of  593,028,014.9)",34.1%,104672,1,"The answer gives a percentage for the Ministry of Finance share, but the value (34.1%) does not match the correct 56%.",full</t>
  </si>
  <si>
    <t>deepseek-v3.2-thinking,markdown_full,17,hard,lookup,Which budget measure (not program) has the largest 2026 funding?,"Повышение социальных выплат - 76,517,019.4","The budget measure with the largest 2026 funding is ""Поддержание функционирования сети общеобразовательных, внешк"" under Министерство просвещения, with 42,158,805.5 тыс. сом.",104672,0,"The model gave a different measure and amount, not matching the</t>
  </si>
  <si>
    <t>deepseek-v3.2-thinking,markdown_full,18,hard,comparison,Which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program ""Управление материальными ценностями государственного и мобил"" under the Ministry of Emergency Situations receives the most 2026 funding, with 4,522,24</t>
  </si>
  <si>
    <t>7.8 тыс. сом.",104672,3,The model correctly ident</t>
  </si>
  <si>
    <t>ifies t</t>
  </si>
  <si>
    <t>gram</t>
  </si>
  <si>
    <t>and</t>
  </si>
  <si>
    <t>provides the exact funding amount matching the reference.,full</t>
  </si>
  <si>
    <t>deepseek-v3.2-thinking,markdown_full,19,hard,multi-step,How many total budget programs and budget measures are in the 2026 program-based budget?,168 programs and 342 measures,"Based on the provided context, the 2026 program-based budget contains:</t>
  </si>
  <si>
    <t>- 102 budget programs.</t>
  </si>
  <si>
    <t>- 213 budget measures.",104672,1,The answer mentions budget programs and measures but provides incorrect numbers compared to the reference.,full</t>
  </si>
  <si>
    <t>deepseek-v3.2-thinking,markdown_full,20,hard,multi-step,Which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Министерство водных ресурсов, сельского хозяйства и перерабатывающей промышленности</t>
  </si>
  <si>
    <t>— программа ""Государственная поддержка и развити</t>
  </si>
  <si>
    <t>е ирриг</t>
  </si>
  <si>
    <t>ац</t>
  </si>
  <si>
    <t>ии</t>
  </si>
  <si>
    <t>""</t>
  </si>
  <si>
    <t>: ум</t>
  </si>
  <si>
    <t>еньш</t>
  </si>
  <si>
    <t>ение на 1,265,069.1 тыс. сом (с 5,039,751.9 в 2026 до 3,774,682.8 в 2027).</t>
  </si>
  <si>
    <t>2.  Министерство финансов Кыргызской Республики — программа ""Администрирование государственных доходов"": уменьшение на 1,135,042.7 тыс. сом (с 10,614,609.5 в 2026 до 9,479,566.8 в 2027).</t>
  </si>
  <si>
    <t>3.  Министерство культуры, информации и молодежи — программа ""Координирование, создание программ ТВ и РВ"": уменьшение на 445,563.9 тыс. сом (с 1,244,130.4 в 2026 до 798,566.5 в 2027).",104672,1,"Only one of the three listed programs matches the reference; the other two are incorrect, so the answer is largely wrong.",full</t>
  </si>
  <si>
    <t>mistral-small-4,statements_2000tok,1,easy,lookup,What is the 2026 funding for the 'School Education' program under the Ministry of Education?,"42,380,106.4 тыс. сом",Insufficient information.,7863,0,"The model did not provide the required funding figure, giving an insufficient information response.",2000</t>
  </si>
  <si>
    <t>mistral-small-4,statements_2000tok,2,easy,lookup,How many budget programs does the Ministry of Health have?,8,The context does not provide the number of budget programs allocated to the Ministry of Health (code 37).,7969,0,"The model answer states the information is unavailable, contradicting the reference answer of 8.",2000</t>
  </si>
  <si>
    <t>mistral-small-4,statements_2000tok,3,easy,lookup,Which program has the largest funding allocation in the 2026 budget?,"«Общегосударственные программы» Министерства финансов КР — 164,663,857.2 тыс. сом",Министерство просвещения Кыргызской Республики — 56.4 billion som.,7895,0,"The model gave a different program and amount, not matching the reference answer.",2000</t>
  </si>
  <si>
    <t>mistral-small-4,statements_2000tok,4,easy,count,How many total ministries and agencies are represented in the program-based budget?,88,37,7965,0,"The model gave 37, but the correct total is 88, so the answer is incorrect.",2000</t>
  </si>
  <si>
    <t>mistral-small-4,statements_2000tok,5,easy,lookup,What is the total 2026 funding for the Jogorku Kenesh (parliament)?,"1,127,306.9 тыс. сом",1.1 billion som,7967,3,"The model correctly approximates the reference value of 1,127,306.9 thousand som as about 1.1 billion som.",2000</t>
  </si>
  <si>
    <t>mistral-small-4,statements_2000tok,6,medium,aggregation,What is the total 2026 funding across all programs of the Ministry of Education?,"56,424,894.11 тыс. сом",56.4 billion som.,7916,3,"The model correctly gives the total funding as 56.4 billion som, matching the reference value (56,424,894.11 тыс. сом) with acceptable rounding.",2000</t>
  </si>
  <si>
    <t>mistral-small-4,statements_2000tok,7,medium,aggregation,What is the total budget across all program-level items for 2026?,"Примерно 593.2 млрд сом (593,152,147.3 тыс. сом)",The context does not provide the total budget across all program-level items for 2026.,7955,0,"The model claims the information is unavailable, whereas the reference provides a specific total budget value.",2000</t>
  </si>
  <si>
    <t>mistral-small-4,statements_2000tok,8,medium,comparison,Which ministry receives more funding: Ministry of Health or Ministry of Education?,"Министерство просвещения — 56,424,894.11 тыс. сом против 41,621,347.3  тыс. сом у здравоохранения",Not enough information.,7816,0,"The model says there is not enough information, but the reference provides the funding amounts showing Ministry of Education receives more.",2000</t>
  </si>
  <si>
    <t>mistral-small-4,statements_2000tok,9,medium,comparison,"Does the total program-level budget grow or shrink between 2026 and 2027, and by what percentage?",declines by 7.1%,The total program-level budget shrinks by **7.7%** between 2026 and 2027.,7962,2,Correct direction of change but incorrect percentage value.,2000</t>
  </si>
  <si>
    <t>mistral-small-4,statements_2000tok,10,medium,lookup,Which program has the smallest non-zero funding in 2026?,«Внесение предложений по защите материальных и социальных прав ветеранов» — 739.4 тыс. сом,"Program 16/166 'Управление и общая координация развития сельскохозяйственной отрасли' with 3,392.5 тыс. сом.",7994,0,"The model gave a different program and amount, not matching the reference's smallest non-zero fu</t>
  </si>
  <si>
    <t>nding.",2000</t>
  </si>
  <si>
    <t>mistral-small-4,statements_2000tok,11,medium,indicator,What is the most commonly used unit of measurement for performance indicators in the 2026 budget?,Процент (%),Percentage (%).,7908,3,"The model correctly identifies the unit as Percentage (%), matching the reference answer.",2000</t>
  </si>
  <si>
    <t>mistral-small-4,statements_2000tok,12,medium,aggregation,What is the total 2026 program funding for the Ministry of Transport and Communications?,"16,881,928.10",16.9 billion som,7985,0,"The model gave 16.9 billion som, which does not match the reference value of 16,881,928.10 som.",2000</t>
  </si>
  <si>
    <t>mistral-small-4,statements_2000tok,13,hard,filter,How many ministries/agencies have exactly one budget program?,19,Cannot be determined from the provided context.,7969,0,The model did not provide the correct number (19) and claimed it could not be determined.,2000</t>
  </si>
  <si>
    <t>mistral-small-4,statements_2000tok,14,hard,filter,How many programs show funding growth of more than 10% between 2026 and 2027?,9,3,7912,0,"The model gave 3, but the correct number is 9, so the answer is incorrect.",2000</t>
  </si>
  <si>
    <t>mistral-small-4,statements_2000tok,15,hard,indicator,How many rows in the budget have a performance indicator measured in people (чел.)?,50,11,7876,0,"The model gave 11, but the correct number is 50, so the answer is incorrect.",2000</t>
  </si>
  <si>
    <t>mistral-small-4,statements_2000tok,16,hard,aggregation,What share of the total 2026 program budget goes to the Ministry of Finance (General State Expenditures)?,"56% (332,149,236.2 out of  593,028,014.9)","The context does not provide the total 2026 program budget or the specific budget allocation for the Ministry of Finance (General State Expenditures, code 26). Therefore, the share cannot be determined.",7883,</t>
  </si>
  <si>
    <t>0,"The model says the share cannot be determined,</t>
  </si>
  <si>
    <t>but th</t>
  </si>
  <si>
    <t>e pr</t>
  </si>
  <si>
    <t>ovides a specific 56% share, so the answer is incorrect.",2000</t>
  </si>
  <si>
    <t>mistral-small-4,statements_2000tok,17,hard,lookup,Which budget measure (not program) has the largest 2026 funding?,"Повышение социальных выплат - 76,517,019.4",'Государственный долг' with 38.0 billion som.,7899,0,"The model gave a different measure and amount, not matching the reference answer.",2000</t>
  </si>
  <si>
    <t>mistral-small-4,statements_2000tok,18,hard,comparison,Which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сом",Not enough information.,7942,0,"The model answer says there is not enough information, but the reference provides a specific program and amount, so the answer is incorr</t>
  </si>
  <si>
    <t>ect.",2000</t>
  </si>
  <si>
    <t>mistral-small-4,statements_2000tok,19,hard,multi-step,How many total budget programs and budget measures are in the 2026 program-based budget?,168 programs and 342 measures,The context does not provide information on the total number of budget programs and measures in the 2026 program-based budget.,7849,0,"The model claims no information is available, which is incorrect as the reference provides the numbers.",20</t>
  </si>
  <si>
    <t>mistral-small-4,statements_2000tok,20,hard,multi-step,Which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Цифровизация сельского хозяйства (Министерство водных ресурсов, сельского хозяйства и п</t>
  </si>
  <si>
    <t>ерерабатывающей промышленности) – 85.2%</t>
  </si>
  <si>
    <t>2. Управление и администрирование (Министерство цифрового развития и инновационных технологий) – 61.3%</t>
  </si>
  <si>
    <t>3. Координирование, создание программ ТВ и РВ (Телерадиовещательные компании) – 35.8%",7934,0,The model answer lists unrelated programs and does not match any of the three programs identified in the reference answer.,2000</t>
  </si>
  <si>
    <t>mistral-small-4,markdown_2000tok,1,easy,lookup,What is the 2026 funding for the 'School Education' program under the Ministry of Education?,"42,380,106.4 тыс. сом",Not listed in the provided context.,7938,0,"The model did not provide the required funding figure, giving an incorrect response.",2000</t>
  </si>
  <si>
    <t>mistral-small-4,markdown_2000tok,2,easy,lookup,How many budget programs does the Ministry of Health have?,8,The context does not provide information about the Ministry of Health's budget programs.,7938,0,The model did not provide the correct number (8) and instead claimed no information was available.,2000</t>
  </si>
  <si>
    <t>mistral-small-4,markdown_2000tok,3,easy,lookup,Which program has the largest funding allocation in the 2026 budget?,"«Общегосударственные программы» Министерства финансов КР — 164,663,857.2 тыс. сом",Управление делами Президента Кыргызской Республики — Реализация государственной политики и осуществление межотраслевой координации: 3297739.7 тыс.сом,7938,0,"The model gave a different program and amount, not matchi</t>
  </si>
  <si>
    <t>ng the reference answer.",2000</t>
  </si>
  <si>
    <t>mistral-small-4,markdown_2000tok,4,easy,count,How many total ministries and agencies are represented in the program-based budget?,88,5,7938,0,"The model answered 5, which does not match the correct total of 88 ministries and agencies.",2000</t>
  </si>
  <si>
    <t>mistral-small-4,markdown_2000tok,5,easy,lookup,What is the total 2026 funding for the Jogorku Kenesh (parliament)?,"1,127,306.9 тыс. сом","1,127,306.9 тыс.сом",7938,3,"Exact same numeric value and unit as reference, formatting difference is negligible.",2000</t>
  </si>
  <si>
    <t>mistral-small-4,markdown_2000tok,6,medium,aggregation,What is the total 2026 funding across all programs of the Ministry of Education?,"56,424,894.11 тыс. сом","The context does not provide information about a ""Ministry of Education"" or its programs.",7938,0,"The model answer does not provide the required funding figure and states lack of information, which is incorrect.",2000</t>
  </si>
  <si>
    <t>mistral-small-4,markdown_2000tok,7,medium,aggregation,What is the total budget across all program-level items for 2026?,"Примерно 593.2 млрд сом (593,152,147.3 тыс. сом)","10,471,43.9 + 80,163.0 + 669,719.2 + 18,086.2 + 2,030,000.0 + 2,837,368.8 + 805,338.5 + 116,882.7 + 3,297,739.7 + 406,745.3 + 290,900.9 + 3,392.5 = **10,537,471.7 тыс.сом**",7938,0,The model's total (≈10.5 billion som) does not match the refer</t>
  </si>
  <si>
    <t>ence total of ≈593.2 billion som.,2000</t>
  </si>
  <si>
    <t>mistral-small-4,markdown_2000tok,8,medium,comparison,Which ministry receives more funding: Ministry of Health or Ministry of Education?,"Министерство просвещения — 56,424,894.11 тыс. сом против 41,621,347.3  тыс. сом у здравоохранения",Not enough information.,7938,0,"The model says there is not enough information, but the reference provides the funding amounts and clearly indicates Ministry of Education receives</t>
  </si>
  <si>
    <t>more.",2000</t>
  </si>
  <si>
    <t>mistral-small-4,markdown_2000tok,9,medium,comparison,"Does the total program-level budget grow or shrink between 2026 and 2027, and by what percentage?",declines by 7.1%,Grows by 1.14%.,7938,0,"The model states the budget grows by 1.14%, contradicting the reference that it declines by 7.1%.",2000</t>
  </si>
  <si>
    <t>mistral-small-4,markdown_2000tok,10,medium,lookup,Which program has the smallest non-zero funding in 2026?,«Внесение предложений по защите материальных и социальных прав ветеранов» — 739.4 тыс. сом,Управление и общая координация развития сельскохозяйственной отрасли (3392.5 тыс.сом).,7938,0,"The model gave a different program and amount, not matching the reference's smallest non-zero funded program.",2000</t>
  </si>
  <si>
    <t>mistral-small-4,markdown_2000tok,11,medium,indicator,What is the most commonly used unit of measurement for performance indicators in the 2026 budget?,Процент (%),"""Количество"" (number)",7938,0,The model gave 'Количество' (number) instead of the correct unit 'Процент (%)'.,2000</t>
  </si>
  <si>
    <t>mistral-small-4,markdown_2000tok,12,medium,aggregation,What is the total 2026 program funding for the Ministry of Transport and Communications?,"16,881,928.10",Not listed in the provided context.,7938,0,"The model did not provide the required funding amount, contradicting the reference answer.",2000</t>
  </si>
  <si>
    <t>mistral-small-4,markdown_2000tok,13,hard,filter,How many ministries/agencies have exactly one budget program?,19,3,7938,0,"The model answer gives 3, which does not match the correct value of 19.",2000</t>
  </si>
  <si>
    <t>mistral-small-4,markdown_2000tok,14,hard,filter,How many programs show funding growth of more than 10% between 2026 and 2027?,9,0,7938,0,"The model answered 0, which does not match the correct value of 9.",2000</t>
  </si>
  <si>
    <t>mistral-small-4,markdown_2000tok,15,hard,indicator,How many rows in the budget have a performance indicator measured in people (чел.)?,50,0,7938,0,"The model answered 0, which does not match the correct value of 50 rows.",2000</t>
  </si>
  <si>
    <t>mistral-small-4,markdown_2000tok,16,hard,aggregation,What share of the total 2026 program budget goes to the Ministry of Finance (General State Expenditures)?,"56% (332,149,236.2 out of  593,028,014.9)",The context does not contain any information about the Ministry of Finance (General State Expenditures) or its budget allocation.,7938,0,"The model answer incorrectly states no information, while the reference pr</t>
  </si>
  <si>
    <t>ovides the correct share of 56%.",2000</t>
  </si>
  <si>
    <t>mistral-small-4,markdown_2000tok,17,hard,lookup,Which budget measure (not program) has the largest 2026 funding?,"Повышение социальных выплат - 76,517,019.4",«Обслуживание официальных делегаций» — 697100.8 тыс.сом.,7938,0,"The model gave a different measure and amount, not matching the reference answer.",2000</t>
  </si>
  <si>
    <t>mistral-small-4,markdown_2000tok,18,hard,comparison,Which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context does not include any programs or measures under the Ministry of Emergency Situations.,7938,0,"The model answer says no information is available, which contrad</t>
  </si>
  <si>
    <t>icts the reference that provides a specific progr</t>
  </si>
  <si>
    <t>am and</t>
  </si>
  <si>
    <t>fu</t>
  </si>
  <si>
    <t>g am</t>
  </si>
  <si>
    <t>mistral-small-4,markdown_2000tok,19,hard,multi-step,How many total budget programs and budget measures are in the 2026 program-based budget?,168 programs and 342 measures,"Total budget programs: 10</t>
  </si>
  <si>
    <t>Total budget measures: 25",7938,0,"The model gave 10 programs and 25 measures, which do not match the correct figures of 168 programs and 342 measures.",2000</t>
  </si>
  <si>
    <t>mistral-small-4,markdown_2000tok,20,hard,multi-step,Which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Обеспечение и координация деятельности по реализации единой (2837368.8 → 2571414.9 тыс.со</t>
  </si>
  <si>
    <t>м)</t>
  </si>
  <si>
    <t>2. Обеспечение высокого уровня предоставления государственных услуг (1193358.0 → 916485.9 тыс.сом)</t>
  </si>
  <si>
    <t>3. Обеспечение деятельности Администрации Президента Кыргызской Республики (431602.0 → 439714.6 тыс.сом)",7938,0,"The model listed different programs than the reference answer, providing incorrect entities.",2000</t>
  </si>
  <si>
    <t>mistral-small-4,statements_8000tok,1,easy,lookup,What is the 2026 funding for the 'School Education' program under the Ministry of Education?,"42,380,106.4 тыс. сом",The context does not provide specific information about a 'School Education' program under the Ministry of Education.,31934,0,The model answer does not provide the required funding figure and incorrectly claims the information is unavailable.,8000</t>
  </si>
  <si>
    <t>mistral-small-4,statements_8000tok,2,easy,lookup,How many budget programs does the Ministry of Health have?,8,2,31923,2,The answer references the correct entity (Ministry of Health) but provides an incorrect number of programs.,8000</t>
  </si>
  <si>
    <t>mistral-small-4,statements_8000tok,3,easy,lookup,Which program has the largest funding allocation in the 2026 budget?,"«Общегосударственные программы» Министерства финансов КР — 164,663,857.2 тыс. сом",'Школьное образование' under 'Министерство просвещения Кыргызской Республики' with 42.4 billion som.,28496,0,"The model gave a different program and amount, not matching the reference answer.",8000</t>
  </si>
  <si>
    <t>mistral-small-4,statements_8000tok,4,easy,count,How many total ministries and agencies are represented in the program-based budget?,88,47,29451,0,"The model gave 47, but the correct total is 88, so the answer is incorrect.",8000</t>
  </si>
  <si>
    <t>mistral-small-4,statements_8000tok,5,easy,lookup,What is the total 2026 funding for the Jogorku Kenesh (parliament)?,"1,127,306.9 тыс. сом",1.1 billion som,27738,3,Model answer correctly approximates the reference value (1.127 billion som) as 1.1 billion som.,8000</t>
  </si>
  <si>
    <t>mistral-small-4,statements_8000tok,6,medium,aggregation,What is the total 2026 funding across all programs of the Ministry of Education?,"56,424,894.11 тыс. сом","56,424,894.1 thousand som",31889,3,"The model provides the same total funding value, matching the reference answer (minor rounding acceptable).",8000</t>
  </si>
  <si>
    <t>mistral-small-4,statements_8000tok,7,medium,aggregation,What is the total budget across all program-level items for 2026?,"Примерно 593.2 млрд сом (593,152,147.3 тыс. сом)","The total budget across all program-level items for 2026 is **332.1 billion som** (for 'Министерство финансов Кыргызской Республики (Общегосударственные программы, мероприятия и выплаты)').",26064,0,"The model gave 332.1 billion som, which d</t>
  </si>
  <si>
    <t>oes not match the reference total of approximatel</t>
  </si>
  <si>
    <t>y 593.2</t>
  </si>
  <si>
    <t>li</t>
  </si>
  <si>
    <t>on s</t>
  </si>
  <si>
    <t>om."</t>
  </si>
  <si>
    <t>mistral-small-4,statements_8000tok,8,medium,comparison,Which ministry receives more funding: Ministry of Health or Ministry of Education?,"Министерство просвещения — 56,424,894.11 тыс. сом против 41,621,347.3  тыс. сом у здравоохранения",Ministry of Education,31856,3,"The model correctly identifies Ministry of Education as receiving more funding, matching the reference answer.",8000</t>
  </si>
  <si>
    <t>mistral-small-4,statements_8000tok,9,medium,comparison,"Does the total program-level budget grow or shrink between 2026 and 2027, and by what percentage?",declines by 7.1%,The total program-level budget shrinks by 7.7% between 2026 and 2027.,26225,2,Correct direction of change but percentage value is inaccurate (7.7% vs 7.1%).,8000</t>
  </si>
  <si>
    <t>mistral-small-4,statements_8000tok,10,medium,lookup,Which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 2026 funding = 739.4 тыс. сом.,28942,3,The model correctly identifies the program with the smallest</t>
  </si>
  <si>
    <t>non-zero funding and provides the exact amount o</t>
  </si>
  <si>
    <t>f 739.4</t>
  </si>
  <si>
    <t> т</t>
  </si>
  <si>
    <t>ыс</t>
  </si>
  <si>
    <t>.</t>
  </si>
  <si>
    <t>сом.</t>
  </si>
  <si>
    <t>,800</t>
  </si>
  <si>
    <t>mistral-small-4,statements_8000tok,11,medium,indicator,What is the most commonly used unit of measurement for performance indicators in the 2026 budget?,Процент (%),%.,31899,3,"The model correctly identified the unit as percent, matching the reference answer.",8000</t>
  </si>
  <si>
    <t>mistral-small-4,statements_8000tok,12,medium,aggregation,What is the total 2026 program funding for the Ministry of Transport and Communications?,"16,881,928.10","16,881,928.1 thousand som",29453,3,"The model provides the same numeric value (16,881,928.1) matching the reference 16,881,928.10, with acceptable rounding and unit interpretation.",8000</t>
  </si>
  <si>
    <t>mistral-small-4,statements_8000tok,13,hard,filter,How many ministries/agencies have exactly one budget program?,19,12 ministries/agencies have exactly one budget program.,31839,2,The answer mentions ministries/agencies but gives the wrong number (12 instead of 19).,8000</t>
  </si>
  <si>
    <t>mistral-small-4,statements_8000tok,14,hard,filter,How many programs show funding growth of more than 10% between 2026 and 2027?,9,10,26917,2,The model identified the correct entity (number of programs) but gave an incorrect value (10 instead of the correct 9).,8000</t>
  </si>
  <si>
    <t>mistral-small-4,statements_8000tok,15,hard,indicator,How many rows in the budget have a performance indicator measured in people (чел.)?,50,15,31901,0,"The model gave 15, but the correct number is 50, so the answer is incorrect.",8000</t>
  </si>
  <si>
    <t>mistral-small-4,statements_8000tok,16,hard,aggregation,What share of the total 2026 program budget goes to the Ministry of Finance (General State Expenditures)?,"56% (332,149,236.2 out of  593,028,014.9)","332,149,236.1 / 15,547,163,000 = **2.14%**",29800,0,"The model gave an incorrect share (2.14%) with a wrong denominator, not matching the reference 56%.",8000</t>
  </si>
  <si>
    <t>mistral-small-4,statements_8000tok,17,hard,lookup,Which budget measure (not program) has the largest 2026 funding?,"Повышение социальных выплат - 76,517,019.4",'ОАО «Национальная электрическая сеть Кыргызстана»' with 12.8 billion som.,29348,0,"The model gave a different measure and amount, not matching the reference answer.",8000</t>
  </si>
  <si>
    <t>mistral-small-4,statements_8000tok,18,hard,comparison,Which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сом","Under ministry 'Министерство чрезвычайных ситуаций Кыргызской Республики' (code 45), the program 'Управление и администрирование' (code 001) receives 184,945.8 thousan</t>
  </si>
  <si>
    <t>d som in 2026.",31609,0,"The model gave a differe</t>
  </si>
  <si>
    <t>nt prog</t>
  </si>
  <si>
    <t>ra</t>
  </si>
  <si>
    <t>d am</t>
  </si>
  <si>
    <t>, not matching the reference answer.",8000</t>
  </si>
  <si>
    <t>mistral-small-4,statements_8000tok,19,hard,multi-step,How many total budget programs and budget measures are in the 2026 program-based budget?,168 programs and 342 measures,The context does not provide enough information to determine the total number of budget programs and budget measures in the 2026 program-based budget.,29254,0,"The model claims insufficient information, but the reference provides the exact nu</t>
  </si>
  <si>
    <t>mbers, so the answer is incorrect.",8000</t>
  </si>
  <si>
    <t>mistral-small-4,statements_8000tok,20,hard,multi-step,Which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**Министерство цифрового развития и инновационных технологий** – 61.3%</t>
  </si>
  <si>
    <t>2. **Телерадиовещательные компании Кыргызской Республики** – 61.7%</t>
  </si>
  <si>
    <t>3. **Министерство водных ресурсов, сельского хозяйства и перерабатывающей промышленности** – 85.2%",31914,0,"The model answer lists unrelated ministries and percentages, not the three programs identified in the reference answer.",8000</t>
  </si>
  <si>
    <t>mistral-small-4,markdown_8000tok,1,easy,lookup,What is the 2026 funding for the 'School Education' program under the Ministry of Education?,"42,380,106.4 тыс. сом",Not enough information.,31863,0,The model claimed insufficient information instead of providing the correct funding amount.,8000</t>
  </si>
  <si>
    <t>mistral-small-4,markdown_8000tok,2,easy,lookup,How many budget programs does the Ministry of Health have?,8,The context does not contain information about the Ministry of Health.,31863,0,"The model did not provide the correct number (8) and claimed lack of information, which is incorrect.",8000</t>
  </si>
  <si>
    <t>mistral-small-4,markdown_8000tok,3,easy,lookup,Which program has the largest funding allocation in the 2026 budget?,"«Общегосударственные программы» Министерства финансов КР — 164,663,857.2 тыс. сом","**Пенсионное обеспечение и компенсации за счет бюджетных средств** (46,670,347.3 тыс.сом)",31863,0,"The model gave a different program and amount, not the largest funding allocation as stated in the reference.",800</t>
  </si>
  <si>
    <t>mistral-small-4,markdown_8000tok,4,easy,count,How many total ministries and agencies are represented in the program-based budget?,88,15,31863,0,"The model gave 15, but the correct total is 88, so the answer is incorrect.",8000</t>
  </si>
  <si>
    <t>mistral-small-4,markdown_8000tok,5,easy,lookup,What is the total 2026 funding for the Jogorku Kenesh (parliament)?,"1,127,306.9 тыс. сом","2,128,470.8 тыс.сом",31863,0,"The model gave an incorrect funding amount, not matching the reference value of 1,127,306.9 тыс. сом.",8000</t>
  </si>
  <si>
    <t>mistral-small-4,markdown_8000tok,6,medium,aggregation,What is the total 2026 funding across all programs of the Ministry of Education?,"56,424,894.11 тыс. сом",The context does not provide any data for the Ministry of Education.,31863,0,"The model answer says no data is provided, failing to give the correct total funding value.",8000</t>
  </si>
  <si>
    <t>mistral-small-4,markdown_8000tok,7,medium,aggregation,What is the total budget across all program-level items for 2026?,"Примерно 593.2 млрд сом (593,152,147.3 тыс. сом)","188,583,713.9 тыс.сом",31863,0,"The model's figure (188,583,713.9 тыс. сом) does not match the reference total budget of approximately 593,152,147.3 тыс. сом.",8000</t>
  </si>
  <si>
    <t>mistral-small-4,markdown_8000tok,8,medium,comparison,Which ministry receives more funding: Ministry of Health or Ministry of Education?,"Министерство просвещения — 56,424,894.11 тыс. сом против 41,621,347.3  тыс. сом у здравоохранения","The context does not provide funding data for the Ministry of Health. Only the Ministry of Education's funding is not listed in the provided context. Therefore, the answer cannot</t>
  </si>
  <si>
    <t>be determined from the given data.",31863,0,"The</t>
  </si>
  <si>
    <t>model</t>
  </si>
  <si>
    <t>cl</t>
  </si>
  <si>
    <t>ai</t>
  </si>
  <si>
    <t>ms</t>
  </si>
  <si>
    <t>ins</t>
  </si>
  <si>
    <t>uffi</t>
  </si>
  <si>
    <t>cient data, but the reference provides clear figures showing Education receives more funding.",8000</t>
  </si>
  <si>
    <t>mistral-small-4,markdown_8000tok,9,medium,comparison,"Does the total program-level budget grow or shrink between 2026 and 2027, and by what percentage?",declines by 7.1%,"The total program-level budget **shrinks** between 2026 and 2027 by **1.9%**.</t>
  </si>
  <si>
    <t>*(Calculated as: (Total 2027 - Total 2026) / Total 2026 × 100. Exact totals derived from summing all program-level amounts for each year.)*",31863,2,Correctly identifies a budget decline but gives the wrong percentage (1.9% vs. 7.1%).,8000</t>
  </si>
  <si>
    <t>mistral-small-4,markdown_8000tok,10,medium,lookup,Which program has the smallest non-zero funding in 2026?,«Внесение предложений по защите материальных и социальных прав ветеранов» — 739.4 тыс. сом,3220.0,31863,0,"The model gave only a number (3220.0) without the correct program name or amount, which does not match the reference answer.",8000</t>
  </si>
  <si>
    <t>mistral-small-4,markdown_8000tok,11,medium,indicator,What is the most commonly used unit of measurement for performance indicators in the 2026 budget?,Процент (%),"""Количество"" (Quantity)",31863,0,The model answered 'Quantity' instead of the correct unit 'Percent (%)'.,8000</t>
  </si>
  <si>
    <t>mistral-small-4,markdown_8000tok,12,medium,aggregation,What is the total 2026 program funding for the Ministry of Transport and Communications?,"16,881,928.10",Not enough information.,31863,0,"The model refused to provide the required figure, giving no answer.",8000</t>
  </si>
  <si>
    <t>mistral-small-4,markdown_8000tok,13,hard,filter,How many ministries/agencies have exactly one budget program?,19,10,31863,2,Model provided a numeric answer but it is incorrect (10 instead of the correct 19).,8000</t>
  </si>
  <si>
    <t>mistral-small-4,markdown_8000tok,14,hard,filter,How many programs show funding growth of more than 10% between 2026 and 2027?,9,1,31863,0,"The model answered 1, but the correct number is 9, so the answer is incorrect.",8000</t>
  </si>
  <si>
    <t>mistral-small-4,markdown_8000tok,15,hard,indicator,How many rows in the budget have a performance indicator measured in people (чел.)?,50,11,31863,2,The answer addresses the correct entity (number of rows) but provides an incorrect count (11 vs. 50).,8000</t>
  </si>
  <si>
    <t>mistral-small-4,markdown_8000tok,16,hard,aggregation,What share of the total 2026 program budget goes to the Ministry of Finance (General State Expenditures)?,"56% (332,149,236.2 out of  593,028,014.9)","164663857.2 / (sum of all 2026 program budgets) = ?</t>
  </si>
  <si>
    <t>Sum of all 2026 program budgets = 203,000,000 + 2,837,368.8 + 116,882.7 + 3,297,739.7 + 80,533.85 + 1,168,827 + 24,085,49.4 + 228,724.49 + 66,971.92 + 104,714.39 + 18,086.2 + 165,033.1 + 174,569 + 66,661 + 15,255.96 + 11,586.11 + 28,274.6 + 40,674.53 + 3,392.5 + 3,787,470.5 + 515,930.48 + 2,077,532.3 + 46,670,347.3 + 11,875,716.13 = 310,000,000 (approximate)</t>
  </si>
  <si>
    <t>Share = 164,663,857.2 / 310,000,000 ≈ 53.1%</t>
  </si>
  <si>
    <t>**53.1%**",31863,0,"The model answer gives an incorrect percentage (53.1%) and uses different numbers, not matching the reference 56% share.",8000</t>
  </si>
  <si>
    <t>mistral-small-4,markdown_8000tok,17,hard,lookup,Which budget measure (not program) has the largest 2026 funding?,"Повышение социальных выплат - 76,517,019.4","**Обеспечение деятельности и координация деятельности по реализации единой государственной политики** (2,837,368.8 тыс.сом)",31863,0,"The model gave a different measure and amount, not the correct largest funding measure.",8000</t>
  </si>
  <si>
    <t>mistral-small-4,markdown_8000tok,18,hard,comparison,Which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context does not contain information about the Ministry of Emergency Situations or its programs.,31863,0,"The model answer does not provide the required program and f</t>
  </si>
  <si>
    <t>unding, contradicting the reference answer.",8000</t>
  </si>
  <si>
    <t>mistral-small-4,markdown_8000tok,19,hard,multi-step,How many total budget programs and budget measures are in the 2026 program-based budget?,168 programs and 342 measures,"Total budget programs: 24</t>
  </si>
  <si>
    <t>Total budget measures: 76",31863,0,"The model gave incorrect numbers for both programs and measures, not matching the reference answer.",8000</t>
  </si>
  <si>
    <t>mistral-small-4,markdown_8000tok,20,hard,multi-step,Which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**Обеспечение высокого уровня предоставления государственных услуг** (Управление делами П</t>
  </si>
  <si>
    <t>резидента Кыргызской Республики): 276,872.1 тыс.с</t>
  </si>
  <si>
    <t>ом (1,1</t>
  </si>
  <si>
    <t>.0 →</t>
  </si>
  <si>
    <t>,485.9)</t>
  </si>
  <si>
    <t>2. **Реализация государственной политики и осуществление межотраслевой координации** (Управление делами Президента Кыргызской Республики): 744,536.3 тыс.сом (3,297,739.7 → 2,553,203.4)</t>
  </si>
  <si>
    <t>3. **Осуществление правосудия** (Верховный суд Кыргызской Республики): 736,867.1 тыс.сом (2,249,862.4 → 1,512,995.3)",31863,0,The model answer lists different programs that do not match any of the three programs identified in the reference answer.,8000</t>
  </si>
  <si>
    <t>mistral-small-4,statements_16000tok,1,easy,lookup,What is the 2026 funding for the 'School Education' program under the Ministry of Education?,"42,380,106.4 тыс. сом",The context does not provide specific information about a 'School Education' program under the Ministry of Education.,32265,0,The model answer does not provide the required funding figure and incorrectly claims the information is unavailable.,16000</t>
  </si>
  <si>
    <t>mistral-small-4,statements_16000tok,2,easy,lookup,How many budget programs does the Ministry of Health have?,8,5,44203,2,The answer mentions the correct entity (Ministry of Health) but gives an incorrect number of programs.,16000</t>
  </si>
  <si>
    <t>mistral-small-4,statements_16000tok,3,easy,lookup,Which program has the largest funding allocation in the 2026 budget?,"«Общегосударственные программы» Министерства финансов КР — 164,663,857.2 тыс. сом",'Школьное образование' under 'Министерство просвещения Кыргызской Республики' with 42.4 billion som.,28496,0,"The model gave a different program and amount, not matching the reference answer.",16000</t>
  </si>
  <si>
    <t>mistral-small-4,statements_16000tok,4,easy,count,How many total ministries and agencies are represented in the program-based budget?,88,47,29451,0,"The model gave 47, but the correct total is 88, so the answer is incorrect.",16000</t>
  </si>
  <si>
    <t>mistral-small-4,statements_16000tok,5,easy,lookup,What is the total 2026 funding for the Jogorku Kenesh (parliament)?,"1,127,306.9 тыс. сом",1.1 billion som,27738,3,"Model's 1.1 billion som correctly approximates the reference 1,127,306.9 тыс. сом (≈1.127 billion som).",16000</t>
  </si>
  <si>
    <t>mistral-small-4,statements_16000tok,6,medium,aggregation,What is the total 2026 funding across all programs of the Ministry of Education?,"56,424,894.11 тыс. сом","56,424,894.1 thousand som",32711,3,"The model provides the same total funding value, correctly matching the reference amount (rounded) and unit.",16000</t>
  </si>
  <si>
    <t>mistral-small-4,statements_16000tok,7,medium,aggregation,What is the total budget across all program-level items for 2026?,"Примерно 593.2 млрд сом (593,152,147.3 тыс. сом)","The total budget across all program-level items for 2026 is **332.1 billion som** (for 'Министерство финансов Кыргызской Республики (Общегосударственные программы, мероприятия и выплаты)').",26064,0,"The model gave 332.1 billion som, which</t>
  </si>
  <si>
    <t>does not match the reference total of approximate</t>
  </si>
  <si>
    <t>ly 593.</t>
  </si>
  <si>
    <t>2 </t>
  </si>
  <si>
    <t>bi</t>
  </si>
  <si>
    <t>ion</t>
  </si>
  <si>
    <t>som.</t>
  </si>
  <si>
    <t>",16000</t>
  </si>
  <si>
    <t>mistral-small-4,statements_16000tok,8,medium,comparison,Which ministry receives more funding: Ministry of Health or Ministry of Education?,"Министерство просвещения — 56,424,894.11 тыс. сом против 41,621,347.3  тыс. сом у здравоохранения","**Ministry of Education** receives more funding.</t>
  </si>
  <si>
    <t>- Ministry of Health (code 37): 41,621,347.3 thousand som in 2026.</t>
  </si>
  <si>
    <t>- Ministry of Education (code 34): 56,424,894.1 thousand som in 2026.",41486,3,The model correctly identifies Ministry of Education as receiving more funding and provides matching figures.,16000</t>
  </si>
  <si>
    <t>mistral-small-4,statements_16000tok,9,medium,comparison,"Does the total program-level budget grow or shrink between 2026 and 2027, and by what percentage?",declines by 7.1%,The total program-level budget shrinks by 7.7% between 2026 and 2027.,26225,2,Correct direction of change but percentage value is inaccurate (7.7% vs 7.1%).,16000</t>
  </si>
  <si>
    <t>mistral-small-4,statements_16000tok,10,medium,lookup,Which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 2026 funding = 739.4 тыс. сом.,28942,3,The model correctly identifies the program with the smalles</t>
  </si>
  <si>
    <t>t non-zero funding and provides the exact amount</t>
  </si>
  <si>
    <t>of 739.</t>
  </si>
  <si>
    <t>4 </t>
  </si>
  <si>
    <t>ты</t>
  </si>
  <si>
    <t>с.</t>
  </si>
  <si>
    <t>.,16</t>
  </si>
  <si>
    <t>mistral-small-4,statements_16000tok,11,medium,indicator,What is the most commonly used unit of measurement for performance indicators in the 2026 budget?,Процент (%),Percentage (%).,34521,3,"The model correctly identified the unit as Percentage (%), matching the reference answer.",16000</t>
  </si>
  <si>
    <t>mistral-small-4,statements_16000tok,12,medium,aggregation,What is the total 2026 program funding for the Ministry of Transport and Communications?,"16,881,928.10","16,881,928.1 thousand som",29453,1,"The model gave the correct numeric value but incorrectly added 'thousand som', changing the magnitude and making the answer inaccurate.",16000</t>
  </si>
  <si>
    <t>mistral-small-4,statements_16000tok,13,hard,filter,How many ministries/agencies have exactly one budget program?,19,12 ministries/agencies have exactly one budget program.,33104,2,The model identified the correct entity (ministries/agencies with exactly one budget program) but gave the wrong number (12 instead of 19).,16000</t>
  </si>
  <si>
    <t>mistral-small-4,statements_16000tok,14,hard,filter,How many programs show funding growth of more than 10% between 2026 and 2027?,9,10,26917,2,The model identified the correct entity (number of programs) but gave an incorrect value (10 instead of the correct 9).,16000</t>
  </si>
  <si>
    <t>mistral-small-4,statements_16000tok,15,hard,indicator,How many rows in the budget have a performance indicator measured in people (чел.)?,50,15,34915,0,"The model gave 15, but the correct number is 50, so the answer is incorrect.",16000</t>
  </si>
  <si>
    <t>mistral-small-4,statements_16000tok,16,hard,aggregation,What share of the total 2026 program budget goes to the Ministry of Finance (General State Expenditures)?,"56% (332,149,236.2 out of  593,028,014.9)","332,149,236.1 / 15,547,163,000 = **2.14%**",29800,0,"The model gave an incorrect denominator and percentage, not matching the reference 56% share.",16000</t>
  </si>
  <si>
    <t>mistral-small-4,statements_16000tok,17,hard,lookup,Which budget measure (not program) has the largest 2026 funding?,"Повышение социальных выплат - 76,517,019.4",'ОАО «Национальная электрическая сеть Кыргызстана»' with 12.8 billion som.,29348,0,"The model gave a different measure and amount, not matching the reference answer.",16000</t>
  </si>
  <si>
    <t>mistral-small-4,statements_16000tok,18,hard,comparison,Which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сом","Under ministry 'Министерство чрезвычайных ситуаций Кыргызской Республики' (code 45), the program 'Управление и администрирование' (code 001) receives 184,945.8 thousa</t>
  </si>
  <si>
    <t>nd som in 2026.",31609,0,"The model gave a differ</t>
  </si>
  <si>
    <t>ent pro</t>
  </si>
  <si>
    <t>gr</t>
  </si>
  <si>
    <t>nd a</t>
  </si>
  <si>
    <t>t, not matching the reference answer.",16000</t>
  </si>
  <si>
    <t>mistral-small-4,statements_16000tok,19,hard,multi-step,How many total budget programs and budget measures are in the 2026 program-based budget?,168 programs and 342 measures,The context does not provide enough information to determine the total number of budget programs and budget measures in the 2026 program-based budget.,29254,0,"The model claims insufficient information, but the reference provides the exact n</t>
  </si>
  <si>
    <t>umbers, so the answer is incorrect.",16000</t>
  </si>
  <si>
    <t>mistral-small-4,statements_16000tok,20,hard,multi-step,Which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**Программа «Общегосударственные программы» (Министерство финансов КР)** – decrease of</t>
  </si>
  <si>
    <t>**31.9%** (exact amounts not provided in context</t>
  </si>
  <si>
    <t>).</t>
  </si>
  <si>
    <t>2. **«Цифровизация сельского хозяйства» (Министерство водных ресурсов, с/х и перерабатывающей промышленности)** – decrease of **85.2%** (exact amounts not provided in context).</t>
  </si>
  <si>
    <t>3. **«Создание и распространение телерадиовещания на территории КР и за ее пределами» (Телерадиовещательные компании КР)** – decrease of **61.7%** (exact amounts not provided in context).",33951,0,"Only the first program matches the reference; the second and third programs are incorrect, so the answer does not provide the correct top three.",16000</t>
  </si>
  <si>
    <t>mistral-small-4,markdown_16000tok,1,easy,lookup,What is the 2026 funding for the 'School Education' program under the Ministry of Education?,"42,380,106.4 тыс. сом",42380106.4,63940,3,The model provides the exact numeric value matching the reference; omission of the unit does not affect correctness.,16000</t>
  </si>
  <si>
    <t>mistral-small-4,markdown_16000tok,2,easy,lookup,How many budget programs does the Ministry of Health have?,8,3,63940,2,Correct entity (Ministry of Health) but the number of budget programs given (3) is incorrect; the reference states 8.,16000</t>
  </si>
  <si>
    <t>mistral-small-4,markdown_16000tok,3,easy,lookup,Which program has the largest funding allocation in the 2026 budget?,"«Общегосударственные программы» Министерства финансов КР — 164,663,857.2 тыс. сом","**Ministry of Finance of the Kyrgyz Republic — ""Общегосударственные программы""** with **164,663,857.2 тыс.сом**.",63940,3,The model correctly identified the program and its exact funding amount as in the referen</t>
  </si>
  <si>
    <t>ce.,16000</t>
  </si>
  <si>
    <t>mistral-small-4,markdown_16000tok,4,easy,count,How many total ministries and agencies are represented in the program-based budget?,88,25,63940,2,The answer addresses the correct entity (total ministries and agencies) but provides an incorrect number (25 vs. 88).,16000</t>
  </si>
  <si>
    <t>mistral-small-4,markdown_16000tok,5,easy,lookup,What is the total 2026 funding for the Jogorku Kenesh (parliament)?,"1,127,306.9 тыс. сом","1,127,306.9 тыс.сом",63940,3,"Exact match of the numeric value and unit, formatting difference is negligible.",16000</t>
  </si>
  <si>
    <t>mistral-small-4,markdown_16000tok,6,medium,aggregation,What is the total 2026 funding across all programs of the Ministry of Education?,"56,424,894.11 тыс. сом",1962869.4 + 8891657.5 + 42380106.4 + 2178080.8 + 1012180.0 = 56424894.1,63940,3,"The model correctly calculates and presents the total as 56,424,894.1 тыс. сом, matching the reference value.",16000</t>
  </si>
  <si>
    <t>mistral-small-4,markdown_16000tok,7,medium,aggregation,What is the total budget across all program-level items for 2026?,"Примерно 593.2 млрд сом (593,152,147.3 тыс. сом)","1,085,537,737.9 тыс.сом",63940,0,"The model's figure (1,085,537,737.9 тыс. сом) does not match the reference total budget of approximately 593.2 billion сом (593,152,147.3 тыс. сом).",16000</t>
  </si>
  <si>
    <t>mistral-small-4,markdown_16000tok,8,medium,comparison,Which ministry receives more funding: Ministry of Health or Ministry of Education?,"Министерство просвещения — 56,424,894.11 тыс. сом против 41,621,347.3  тыс. сом у здравоохранения","Ministry of Education: 42,380,106.4 тыс.сом (2026)</t>
  </si>
  <si>
    <t>Ministry of Health: 15,638,295.2 тыс.сом (2026)</t>
  </si>
  <si>
    <t>Ministry of Education receives more funding.",63940,2,"Identifies the correct ministry (Education) as receiving more funding, but provides incorrect funding figures.",16000</t>
  </si>
  <si>
    <t>mistral-small-4,markdown_16000tok,9,medium,comparison,"Does the total program-level budget grow or shrink between 2026 and 2027, and by what percentage?",declines by 7.1%,The total program-level budget grows between 2026 and 2027 by approximately 1.5%.,63940,0,"The model states the budget grows by 1.5%, contradicting the reference that it declines by 7.1%.",16000</t>
  </si>
  <si>
    <t>mistral-small-4,markdown_16000tok,10,medium,lookup,Which program has the smallest non-zero funding in 2026?,«Внесение предложений по защите материальных и социальных прав ветеранов» — 739.4 тыс. сом,Общественное объединение «Республиканский совет женщин» — 739.4 тыс.сом,63940,1,"The answer provides the correct funding amount but attributes it to the wrong program, not the one listed in the reference.",16000</t>
  </si>
  <si>
    <t>mistral-small-4,markdown_16000tok,11,medium,indicator,What is the most commonly used unit of measurement for performance indicators in the 2026 budget?,Процент (%),Процент.,63940,3,"The model correctly identified the most common unit as percent, matching the reference answer.",16000</t>
  </si>
  <si>
    <t>mistral-small-4,markdown_16000tok,12,medium,aggregation,What is the total 2026 program funding for the Ministry of Transport and Communications?,"16,881,928.10",Not enough information.,63940,0,"The model refused to provide the required figure, giving no answer.",16000</t>
  </si>
  <si>
    <t>mistral-small-4,markdown_16000tok,13,hard,filter,How many ministries/agencies have exactly one budget program?,19,10,63940,2,Model identified the correct entity (the count) but gave the wrong number (10 instead of 19).,16000</t>
  </si>
  <si>
    <t>mistral-small-4,markdown_16000tok,14,hard,filter,How many programs show funding growth of more than 10% between 2026 and 2027?,9,11,63940,2,The model identified the correct type of answer (a number of programs) but gave an incorrect value (11 instead of the correct 9).,16000</t>
  </si>
  <si>
    <t>mistral-small-4,markdown_16000tok,15,hard,indicator,How many rows in the budget have a performance indicator measured in people (чел.)?,50,10,63940,2,The model identified the correct entity (the count of rows) but gave an incorrect number (10 instead of 50).,16000</t>
  </si>
  <si>
    <t>mistral-small-4,markdown_16000tok,16,hard,aggregation,What share of the total 2026 program budget goes to the Ministry of Finance (General State Expenditures)?,"56% (332,149,236.2 out of  593,028,014.9)","164,663,857.2 тыс.сом",63940,0,"The model gave an unrelated amount, not the 56% share or the correct figure from the reference.",16000</t>
  </si>
  <si>
    <t>mistral-small-4,markdown_16000tok,17,hard,lookup,Which budget measure (not program) has the largest 2026 funding?,"Повышение социальных выплат - 76,517,019.4","**Обеспечение базовой части пенсии** (33,574,380.8 тыс.сом)",63940,0,"The model gave a different budget measure and amount, not the one with the largest funding per the reference.",16000</t>
  </si>
  <si>
    <t>mistral-small-4,markdown_16000tok,18,hard,comparison,Which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сом",Спецсчет МЧС КР — 300000.0 тыс.сом.,63940,0,"The model gave a different program and amount, not matching the reference answer.",16000</t>
  </si>
  <si>
    <t>mistral-small-4,markdown_16000tok,19,hard,multi-step,How many total budget programs and budget measures are in the 2026 program-based budget?,168 programs and 342 measures,"**Programs:** 48</t>
  </si>
  <si>
    <t>**Measures:** 112",63940,0,Both the number of programs and measures are incorrect compared to the reference answer.,16000</t>
  </si>
  <si>
    <t>mistral-small-4,markdown_16000tok,20,hard,multi-step,Which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**Министерство финансов Кыргызской Республ** – ""Общегосударственные программы"" (164663</t>
  </si>
  <si>
    <t>857.2 → 112194631.2, decrease: 52469226.0)</t>
  </si>
  <si>
    <t>2. **Министерство финансов Кыргызской Республ** – ""Администрирование государственных доходов"" (10614609.5 → 9479566.8, decrease: 1135042.7)</t>
  </si>
  <si>
    <t>3. **Министерство финансов Кыргыз",63940,1,"Only the first program matches the reference; the other two listed programs are incorrect, so the answer is not correct.",16000</t>
  </si>
  <si>
    <t>mistral-small-4,statements_full,1,easy,lookup,What is the 2026 funding for the 'School Education' program under the Ministry of Education?,"42,380,106.4 тыс. сом",The context does not provide specific information about a 'School Education' program under the Ministry of Education.,32265,0,The model answer does not provide the required funding figure and incorrectly claims the information is unavailable.,full</t>
  </si>
  <si>
    <t>mistral-small-4,statements_full,2,easy,lookup,How many budget programs does the Ministry of Health have?,8,5,44203,2,The answer references the correct entity (Ministry of Health) but gives an incorrect number of budget programs.,full</t>
  </si>
  <si>
    <t>mistral-small-4,statements_full,3,easy,lookup,Which program has the largest funding allocation in the 2026 budget?,"«Общегосударственные программы» Министерства финансов КР — 164,663,857.2 тыс. сом",'Школьное образование' under 'Министерство просвещения Кыргызской Республики' with 42.4 billion som.,28496,0,"The model gave a different program and amount, not matching the reference answer.",full</t>
  </si>
  <si>
    <t>mistral-small-4,statements_full,4,easy,count,How many total ministries and agencies are represented in the program-based budget?,88,47,29451,0,"The model gave 47, but the correct total is 88, so the answer is incorrect.",full</t>
  </si>
  <si>
    <t>mistral-small-4,statements_full,5,easy,lookup,What is the total 2026 funding for the Jogorku Kenesh (parliament)?,"1,127,306.9 тыс. сом",1.1 billion som,27738,3,"Model answer correctly approximates the reference value (1.1 billion ≈ 1,127,306.9 тыс. сом).",full</t>
  </si>
  <si>
    <t>mistral-small-4,statements_full,6,medium,aggregation,What is the total 2026 funding across all programs of the Ministry of Education?,"56,424,894.11 тыс. сом","56,424,894.1 thousand som",32711,3,"The model provides the same total funding value, matching the reference answer (minor rounding acceptable).",full</t>
  </si>
  <si>
    <t>mistral-small-4,statements_full,7,medium,aggregation,What is the total budget across all program-level items for 2026?,"Примерно 593.2 млрд сом (593,152,147.3 тыс. сом)","The total budget across all program-level items for 2026 is **332.1 billion som** (for 'Министерство финансов Кыргызской Республики (Общегосударственные программы, мероприятия и выплаты)').",26064,0,"The model gave 332.1 billion som, which does</t>
  </si>
  <si>
    <t>not match the reference total of approximately 5</t>
  </si>
  <si>
    <t>93.2 bi</t>
  </si>
  <si>
    <t>",fu</t>
  </si>
  <si>
    <t>mistral-small-4,statements_full,8,medium,comparison,Which ministry receives more funding: Ministry of Health or Ministry of Education?,"Министерство просвещения — 56,424,894.11 тыс. сом против 41,621,347.3  тыс. сом у здравоохранения","**Ministry of Education** receives more funding.</t>
  </si>
  <si>
    <t>- Ministry of Education (code 34): 56,424,894.1 thousand som in 2026.",41486,3,The model correctly identifies Ministry of Education as receiving more funding and provides matching figures.,full</t>
  </si>
  <si>
    <t>mistral-small-4,statements_full,9,medium,comparison,"Does the total program-level budget grow or shrink between 2026 and 2027, and by what percentage?",declines by 7.1%,The total program-level budget shrinks by 7.7% between 2026 and 2027.,26225,2,Correct direction of change but percentage value is inaccurate (7.7% vs 7.1%).,full</t>
  </si>
  <si>
    <t>mistral-small-4,statements_full,10,medium,lookup,Which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организаций',28942,2,"The model identifies the correct program but omits the funding amount, missing a key part of t</t>
  </si>
  <si>
    <t>he answer.",full</t>
  </si>
  <si>
    <t>mistral-small-4,statements_full,11,medium,indicator,What is the most commonly used unit of measurement for performance indicators in the 2026 budget?,Процент (%),Percentage (%).,34521,3,"The model correctly identified the unit as Percentage (%), matching the reference answer.",full</t>
  </si>
  <si>
    <t>mistral-small-4,statements_full,12,medium,aggregation,What is the total 2026 program funding for the Ministry of Transport and Communications?,"16,881,928.10","16,881,928.1 thousand som",29453,2,"Numeric value matches reference but adds incorrect unit (thousand som), altering the actual amount.",full</t>
  </si>
  <si>
    <t>mistral-small-4,statements_full,13,hard,filter,How many ministries/agencies have exactly one budget program?,19,12 ministries/agencies have exactly one budget program.,33104,2,Correct entity (ministries/agencies) but the number given (12) does not match the reference (19).,full</t>
  </si>
  <si>
    <t>mistral-small-4,statements_full,14,hard,filter,How many programs show funding growth of more than 10% between 2026 and 2027?,9,10,26917,2,The model identified the correct entity (number of programs) but gave an incorrect value (10 instead of the correct 9).,full</t>
  </si>
  <si>
    <t>mistral-small-4,statements_full,15,hard,indicator,How many rows in the budget have a performance indicator measured in people (чел.)?,50,15,34915,0,"The model gave 15, but the correct number is 50, so the answer is incorrect.",full</t>
  </si>
  <si>
    <t>mistral-small-4,statements_full,16,hard,aggregation,What share of the total 2026 program budget goes to the Ministry of Finance (General State Expenditures)?,"56% (332,149,236.2 out of  593,028,014.9)","332,149,236.1 / 15,547,163,000 = **2.14%**",29800,0,"The model gave an incorrect denominator and percentage, not matching the reference 56% share.",full</t>
  </si>
  <si>
    <t>mistral-small-4,statements_full,17,hard,lookup,Which budget measure (not program) has the largest 2026 funding?,"Повышение социальных выплат - 76,517,019.4",'ОАО «Национальная электрическая сеть Кыргызстана»' with 12.8 billion som.,29348,0,"The model gave a different measure and amount, not matching the reference answer.",full</t>
  </si>
  <si>
    <t>mistral-small-4,statements_full,18,hard,comparison,Which program under the Ministry of Emergency Situations receives the most 2026 funding?,"Управление материальными ценностями государственного и мобилизационного резерва  4,522,247.8 тыс. сом","Under ministry 'Министерство чрезвычайных ситуаций Кыргызской Республики' (code 45), the program 'Управление и администрирование' (code 001) receives 184,945.8 thousand s</t>
  </si>
  <si>
    <t>om in 2026.",31609,0,"The model gave a different</t>
  </si>
  <si>
    <t>program</t>
  </si>
  <si>
    <t>t, n</t>
  </si>
  <si>
    <t>ot matching the reference answer.",full</t>
  </si>
  <si>
    <t>mistral-small-4,statements_full,19,hard,multi-step,How many total budget programs and budget measures are in the 2026 program-based budget?,168 programs and 342 measures,The context does not provide enough information to determine the total number of budget programs and budget measures in the 2026 program-based budget.,29254,0,"The model answer claims insufficient information, whereas the reference provides the</t>
  </si>
  <si>
    <t>exact numbers, so it is incorrect.",full</t>
  </si>
  <si>
    <t>mistral-small-4,statements_full,20,hard,multi-step,Which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**Программа «Общегосударственные программы» (Министерство финансов КР)** – decrease of **3</t>
  </si>
  <si>
    <t>1.9%** (exact amounts not provided in context).</t>
  </si>
  <si>
    <t>3. **«Создание и распространение телерадиовещания на территории КР и за ее пределами» (Телерадиовещательные компании КР)** – decrease of **61.7%** (exact amounts not provided in context).",33951,0,"Only the first program matches; the second and third listed programs differ from the reference answer, so the answer is incorrect.",full</t>
  </si>
  <si>
    <t>mistral-small-4,markdown_full,1,easy,lookup,What is the 2026 funding for the 'School Education' program under the Ministry of Education?,"42,380,106.4 тыс. сом",42380106.4,104672,3,The model provides the exact numeric value matching the reference; unit omission is acceptable.,full</t>
  </si>
  <si>
    <t>mistral-small-4,markdown_full,2,easy,lookup,How many budget programs does the Ministry of Health have?,8,3,104672,2,The answer addresses the Ministry of Health but gives the wrong number (3 instead of the correct 8).,full</t>
  </si>
  <si>
    <t>mistral-small-4,markdown_full,3,easy,lookup,Which program has the largest funding allocation in the 2026 budget?,"«Общегосударственные программы» Министерства финансов КР — 164,663,857.2 тыс. сом","**Ministry of Finance of the Kyrgyz Republic – ""General Programs""** with **164,663,857.2 thousand soms**.",104672,3,The model correctly identified the program and exact funding amount matching the reference.,full</t>
  </si>
  <si>
    <t>mistral-small-4,markdown_full,4,easy,count,How many total ministries and agencies are represented in the program-based budget?,88,47,104672,0,"The model gave 47, but the correct total is 88, so the answer is incorrect.",full</t>
  </si>
  <si>
    <t>mistral-small-4,markdown_full,5,easy,lookup,What is the total 2026 funding for the Jogorku Kenesh (parliament)?,"1,127,306.9 тыс. сом","1,127,306.9",104672,2,"Provides the correct numeric amount but omits the unit (тыс. сом), resulting in partial correctness.",full</t>
  </si>
  <si>
    <t>mistral-small-4,markdown_full,6,medium,aggregation,What is the total 2026 funding across all programs of the Ministry of Education?,"56,424,894.11 тыс. сом",1962869.4 + 8891657.5 + 42380106.4 + 2178080.8 + 1012180.0 = 55424893.7,104672,3,"The model provides the correct total (≈56,424,894.1 тыс. сом), matching the reference value.",full</t>
  </si>
  <si>
    <t>mistral-small-4,markdown_full,7,medium,aggregation,What is the total budget across all program-level items for 2026?,"Примерно 593.2 млрд сом (593,152,147.3 тыс. сом)","1,061,483,730.9",104672,0,"The model's figure (1,061,483,730.9) does not match the reference total budget of about 593.2 billion som.",full</t>
  </si>
  <si>
    <t>mistral-small-4,markdown_full,8,medium,comparison,Which ministry receives more funding: Ministry of Health or Ministry of Education?,"Министерство просвещения — 56,424,894.11 тыс. сом против 41,621,347.3  тыс. сом у здравоохранения","**Ministry of Education:** 42,380,106.4 тыс.сом (2026)</t>
  </si>
  <si>
    <t>**Ministry of Health:** 15,638,295.2 тыс.сом (2026)</t>
  </si>
  <si>
    <t>**Ministry of Education receives more funding.**",104672,2,"Correctly identifies Ministry of Education receives more, but provides incorrect funding figures.",full</t>
  </si>
  <si>
    <t>mistral-small-4,markdown_full,9,medium,comparison,"Does the total program-level budget grow or shrink between 2026 and 2027, and by what percentage?",declines by 7.1%,"The total program-level budget shrinks between 2026 and 2027 by approximately **11.1%**.</t>
  </si>
  <si>
    <t>*(Calculated by summing all program-level budgets for 2026 and 2027, then computing the percentage change.)*",104672,2,"The answer correctly states the budget declines, but gives an incorrect percentage (11.1% vs the correct 7.1%).",full</t>
  </si>
  <si>
    <t>mistral-small-4,markdown_full,10,medium,lookup,Which program has the smallest non-zero funding in 2026?,«Внесение предложений по защите материальных и социальных прав ветеранов» — 739.4 тыс. сом,Общественное объединение «Республиканский совет ветеранов войны и труда Кыргызской Республики» — 739.4 тыс.сом,104672,1,The answer gives the correct amount but names a different entity (an organization) instead of the pr</t>
  </si>
  <si>
    <t>ogram specified in the reference.,full</t>
  </si>
  <si>
    <t>mistral-small-4,markdown_full,11,medium,indicator,What is the most commonly used unit of measurement for performance indicators in the 2026 budget?,Процент (%),"Процент освоения средств, выделенных на бюджетную меру.",104672,3,"Model answer correctly identifies the unit as percent, matching the reference.",full</t>
  </si>
  <si>
    <t>mistral-small-4,markdown_full,12,medium,aggregation,What is the total 2026 program funding for the Ministry of Transport and Communications?,"16,881,928.10","8,144,958.2",104672,2,The answer addresses the correct entity (Ministry of Transport and Communications) but provides an incorrect funding amount.,full</t>
  </si>
  <si>
    <t>mistral-small-4,markdown_full,13,hard,filter,How many ministries/agencies have exactly one budget program?,19,10,104672,2,The model identified the correct entity (the count of ministries/agencies with one budget program) but gave an incorrect number (10 instead of 19).,full</t>
  </si>
  <si>
    <t>mistral-small-4,markdown_full,14,hard,filter,How many programs show funding growth of more than 10% between 2026 and 2027?,9,10,104672,2,The model identified the correct entity (number of programs) but gave an incorrect value (10 instead of the correct 9).,full</t>
  </si>
  <si>
    <t>mistral-small-4,markdown_full,15,hard,indicator,How many rows in the budget have a performance indicator measured in people (чел.)?,50,11,104672,0,"The model gave 11, but the correct number is 50, so the answer is incorrect.",full</t>
  </si>
  <si>
    <t>mistral-small-4,markdown_full,16,hard,aggregation,What share of the total 2026 program budget goes to the Ministry of Finance (General State Expenditures)?,"56% (332,149,236.2 out of  593,028,014.9)",164663857.2 тыс.сом,104672,0,"The model gave an unrelated amount instead of the correct 56% share (or the correct amount), thus it is incorrect.",full</t>
  </si>
  <si>
    <t>mistral-small-4,markdown_full,17,hard,lookup,Which budget measure (not program) has the largest 2026 funding?,"Повышение социальных выплат - 76,517,019.4","**Обеспечение базовой части пенсии** (33,574,380.8 тыс.сом)",104672,0,"The model gave a different budget measure with a lower amount, not the correct measure 'Повышение социальных выплат' with 76,517,019.4.",full</t>
  </si>
  <si>
    <t>mistral-small-4,markdown_full,18,hard,comparison,Which program under the Ministry of Emergency Situations receives the most 2026 funding?,"Управление материальными ценностями государственного и мобилизационного резерва  4,522,247.8 тыс. сом",Программа «Предупреждение и ликвидация чрезвычайных ситуаций» — 3803591.2 тыс.сом.,104672,0,"Model answered a different program and amount, not matching the reference answer</t>
  </si>
  <si>
    <t>.",full</t>
  </si>
  <si>
    <t>mistral-small-4,markdown_full,19,hard,multi-step,How many total budget programs and budget measures are in the 2026 program-based budget?,168 programs and 342 measures,"Total budget programs: 100</t>
  </si>
  <si>
    <t>Total budget measures: 200",104672,0,Both the number of programs and measures are incorrect compared to the reference answer.,full</t>
  </si>
  <si>
    <t>mistral-small-4,markdown_full,20,hard,multi-step,Which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**Общегосударственные программы** (Министерство финансов Кыргызской Республики): 164663857.2</t>
  </si>
  <si>
    <t>→ 112194631.2 (уменьшение на 52469226.0 тыс.сом)</t>
  </si>
  <si>
    <t>2. **Финансирование проектов экономического развития и накопленных** (Мини",104672,1,"Only the first program matches the reference; the second listed program is different and the third is missing, so the answer is largely incorrect.",full</t>
  </si>
  <si>
    <t>qwen3.5,statements_2000tok,1,easy,lookup,What is the 2026 funding for the 'School Education' program under the Ministry of Education?,"42,380,106.4 тыс. сом",The provided context does not contain information on the specific funding for the 'School Education' program. It only states the total 2026 allocation for the Ministry of Education ('Министерство просвещения Кыргызской Республики') is 56.4 billion som.,7863</t>
  </si>
  <si>
    <t>,0,"The model did not provide the correct funding</t>
  </si>
  <si>
    <t>figure</t>
  </si>
  <si>
    <t>,380</t>
  </si>
  <si>
    <t>,106</t>
  </si>
  <si>
    <t>.4 тыс. сом and gave an unrelated statement.",2000</t>
  </si>
  <si>
    <t>qwen3.5,statements_2000tok,2,easy,lookup,How many budget programs does the Ministry of Health have?,8,[ERROR: 'NoneType' object has no attribute 'strip'],7969,-1,"API error, not evaluated",2000</t>
  </si>
  <si>
    <t>qwen3.5,statements_2000tok,3,easy,lookup,Which program has the largest funding allocation in the 2026 budget?,"«Общегосударственные программы» Министерства финансов КР — 164,663,857.2 тыс. сом",Министерство просвещения Кыргызской Республики has the largest funding allocation at 56.4 billion som.,7895,0,"The model gave an incorrect program and amount, not matching the reference answer.",2000</t>
  </si>
  <si>
    <t>qwen3.5,statements_2000tok,4,easy,count,How many total ministries and agencies are represented in the program-based budget?,88,14 ministries and 5 agencies are explicitly named among 47 unique entities (GRBS codes) listed in the context.,7965,0,The model answer gives 19 entities (14 ministries + 5 agencies) instead of the correct total of 88.,2000</t>
  </si>
  <si>
    <t>qwen3.5,statements_2000tok,5,easy,lookup,What is the total 2026 funding for the Jogorku Kenesh (parliament)?,"1,127,306.9 тыс. сом",1.1 billion som,7967,3,Model answer correctly approximates the reference value (1.127 billion som) as 1.1 billion som.,2000</t>
  </si>
  <si>
    <t>qwen3.5,statements_2000tok,6,medium,aggregation,What is the total 2026 funding across all programs of the Ministry of Education?,"56,424,894.11 тыс. сом",56.4 billion som for 'Министерство просвещения Кыргызской Республики'.,7916,3,"The model provides the correct total funding (≈56.4 billion som), matching the reference value (56,424,894.11 тыс. сом) with acceptable rounding.",2000</t>
  </si>
  <si>
    <t>qwen3.5,statements_2000tok,7,medium,aggregation,What is the total budget across all program-level items for 2026?,"Примерно 593.2 млрд сом (593,152,147.3 тыс. сом)",The provided context does not contain the total budget across all program-level items for 2026.,7955,0,The model answer does not provide the required budget figure and incorrectly claims the information is missing.,2000</t>
  </si>
  <si>
    <t>qwen3.5,statements_2000tok,8,medium,comparison,Which ministry receives more funding: Ministry of Health or Ministry of Education?,"Министерство просвещения — 56,424,894.11 тыс. сом против 41,621,347.3  тыс. сом у здравоохранения",The context does not contain enough information. Specific funding amounts are not listed for the Ministry of Health (code 37) or the Ministry of Education (code 34).,7816,0,"The model c</t>
  </si>
  <si>
    <t>laims insufficient information, but the reference</t>
  </si>
  <si>
    <t>ar f</t>
  </si>
  <si>
    <t>ng amounts showing Education receives more.",2000</t>
  </si>
  <si>
    <t>qwen3.5,statements_2000tok,9,medium,comparison,"Does the total program-level budget grow or shrink between 2026 and 2027, and by what percentage?",declines by 7.1%,"The context does not contain enough information to determine the total program-level budget growth or shrinkage percentage between 2026 and 2027. It only provides percentage changes for individual ministries and agencies, not the aggregate total.",79</t>
  </si>
  <si>
    <t>62,0,"The model claims insufficient information,</t>
  </si>
  <si>
    <t>whereas</t>
  </si>
  <si>
    <t>provides a specific decline of 7.1%.",2000</t>
  </si>
  <si>
    <t>qwen3.5,statements_2000tok,10,medium,lookup,Which program has the smallest non-zero funding in 2026?,«Внесение предложений по защите материальных и социальных прав ветеранов» — 739.4 тыс. сом,"Program 16/166 'Управление и общая координация развития сельскохозяйственной отрасли': 3,392.5 тыс. сом.",7994,0,"The model gave a different program and amount, not matching the reference's smallest non-zero funded program</t>
  </si>
  <si>
    <t>qwen3.5,statements_2000tok,11,medium,indicator,What is the most commonly used unit of measurement for performance indicators in the 2026 budget?,Процент (%),Percent (%),7908,3,"The model correctly identifies the unit as Percent (%), matching the reference answer.",2000</t>
  </si>
  <si>
    <t>qwen3.5,statements_2000tok,12,medium,aggregation,What is the total 2026 program funding for the Ministry of Transport and Communications?,"16,881,928.10",16.9 billion som.,7985,0,"The model gave 16.9 billion som, which does not match the reference value of 16,881,928.10 (approximately 16.9 million som).",2000</t>
  </si>
  <si>
    <t>qwen3.5,statements_2000tok,13,hard,filter,How many ministries/agencies have exactly one budget program?,19,The provided context does not specify the number of budget programs allocated to each ministry/agency.,7969,0,The model did not provide the correct number (19) and claimed the information was unavailable.,2000</t>
  </si>
  <si>
    <t>qwen3.5,statements_2000tok,14,hard,filter,How many programs show funding growth of more than 10% between 2026 and 2027?,9,2 programs (Program 43/001 and Program 80/001).,7912,2,Model identified the count of programs but gave the wrong number (2 instead of the correct 9).,2000</t>
  </si>
  <si>
    <t>qwen3.5,statements_2000tok,15,hard,indicator,How many rows in the budget have a performance indicator measured in people (чел.)?,50,10 rows,7876,2,The model identified the correct entity (number of rows) but gave an incorrect value (10 instead of 50).,2000</t>
  </si>
  <si>
    <t>qwen3.5,statements_2000tok,16,hard,aggregation,What share of the total 2026 program budget goes to the Ministry of Finance (General State Expenditures)?,"56% (332,149,236.2 out of  593,028,014.9)","The provided context does not contain information on budget amounts or the total 2026 program budget, so the share cannot be determined.",7883,0,The model answer fails to provide the correct share (56%) and incorrectl</t>
  </si>
  <si>
    <t>y claims the information is unavailable.,2000</t>
  </si>
  <si>
    <t>qwen3.5,statements_2000tok,17,hard,lookup,Which budget measure (not program) has the largest 2026 funding?,"Повышение социальных выплат - 76,517,019.4",Budget measure 'Государственный долг' receives 38.0 billion som in 2026.,7899,0,"The model gave a different measure and amount, not matching the reference answer.",2000</t>
  </si>
  <si>
    <t>qwen3.5,statements_2000tok,18,hard,comparison,Which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provided context does not contain information on specific programs or funding amounts for the Ministry of Emergency Situations.,7942,0,"The model answer does not provide th</t>
  </si>
  <si>
    <t>e required program and funding information, contr</t>
  </si>
  <si>
    <t>ary to</t>
  </si>
  <si>
    <t>answer.",2000</t>
  </si>
  <si>
    <t>qwen3.5,statements_2000tok,19,hard,multi-step,How many total budget programs and budget measures are in the 2026 program-based budget?,168 programs and 342 measures,The provided context does not contain information on the total number of budget programs and budget measures.,7849,0,"The model did not provide the required numbers, stating lack of information, which is incorrect.",2000</t>
  </si>
  <si>
    <t>qwen3.5,statements_2000tok,20,hard,multi-step,Which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(Минводресурсов),"The context does not contain enough information. It provides only percentage changes, not absolute</t>
  </si>
  <si>
    <t>budget amounts, so the largest absolute funding</t>
  </si>
  <si>
    <t>decreas</t>
  </si>
  <si>
    <t>nn</t>
  </si>
  <si>
    <t>ot b</t>
  </si>
  <si>
    <t>e de</t>
  </si>
  <si>
    <t>termined.",7934,0,"The model answer does not provide the required programs and incorrectly claims insufficient information, contrary to the reference answer.",2000</t>
  </si>
  <si>
    <t>qwen3.5,markdown_2000tok,1,easy,lookup,What is the 2026 funding for the 'School Education' program under the Ministry of Education?,"42,380,106.4 тыс. сом","The provided context does not contain information about the Ministry of Education or the 'School Education' program. The data provided covers only the Jogorku Kenesh, Presidential Administration, Presidential Archive, Presidential and Cabinet Funds, Presiden</t>
  </si>
  <si>
    <t>tial Affairs Office, and Supreme Court.",7938,0,"</t>
  </si>
  <si>
    <t>la</t>
  </si>
  <si>
    <t>ims</t>
  </si>
  <si>
    <t>information is missing, whereas the reference provides a specific funding amount, so the answer is incorrect.",2000</t>
  </si>
  <si>
    <t>qwen3.5,markdown_2000tok,2,easy,lookup,How many budget programs does the Ministry of Health have?,8,The provided context does not contain information about the Ministry of Health.,7938,0,"The model did not provide the correct number (8) and claimed lack of information, which is incorrect.",2000</t>
  </si>
  <si>
    <t>qwen3.5,markdown_2000tok,3,easy,lookup,Which program has the largest funding allocation in the 2026 budget?,"«Общегосударственные программы» Министерства финансов КР — 164,663,857.2 тыс. сом",Реализация государственной политики и осуществление межотрас (Управление делами Президента Кыргызской) — 3297739.7 тыс.сом.,7938,0,"The model gave a different program and amount, not matching the reference answer.",2000</t>
  </si>
  <si>
    <t>qwen3.5,markdown_2000tok,4,easy,count,How many total ministries and agencies are represented in the program-based budget?,88,6 unique ministries and agencies are represented.,7938,0,The model gave 6 instead of the correct total of 88 ministries and agencies.,2000</t>
  </si>
  <si>
    <t>qwen3.5,markdown_2000tok,5,easy,lookup,What is the total 2026 funding for the Jogorku Kenesh (parliament)?,"1,127,306.9 тыс. сом","1,127,306.9 тыс.сом (сумма программ: 1,047,143.9 + 80,163.0)",7938,3,The model provides the exact total funding value matching the reference answer.,2000</t>
  </si>
  <si>
    <t>qwen3.5,markdown_2000tok,6,medium,aggregation,What is the total 2026 funding across all programs of the Ministry of Education?,"56,424,894.11 тыс. сом","The provided context does not contain information about the Ministry of Education. It lists budget data only for the Jogorku Kenesh, Presidential Administration, Presidential Archive, Presidential and Cabinet Funds, Office of Affairs of the President, and Suprem</t>
  </si>
  <si>
    <t>e Court.",7938,0,"The model answer says the infor</t>
  </si>
  <si>
    <t>mation</t>
  </si>
  <si>
    <t>pre</t>
  </si>
  <si>
    <t>sent</t>
  </si>
  <si>
    <t>, which is incorrect; the reference provides a specific total funding value.",2000</t>
  </si>
  <si>
    <t>qwen3.5,markdown_2000tok,7,medium,aggregation,What is the total budget across all program-level items for 2026?,"Примерно 593.2 млрд сом (593,152,147.3 тыс. сом)","11,603,480.7 тыс.сом",7938,0,The model's figure (11.6 million thousand som) does not match the reference total of about 593.2 billion som.,2000</t>
  </si>
  <si>
    <t>qwen3.5,markdown_2000tok,8,medium,comparison,Which ministry receives more funding: Ministry of Health or Ministry of Education?,"Министерство просвещения — 56,424,894.11 тыс. сом против 41,621,347.3  тыс. сом у здравоохранения",The provided context does not contain budget information for the Ministry of Health or the Ministry of Education.,7938,0,"The model claims no budget info is available, contradicting the r</t>
  </si>
  <si>
    <t>eference which provides the figures and indicates</t>
  </si>
  <si>
    <t>Minist</t>
  </si>
  <si>
    <t>Educ</t>
  </si>
  <si>
    <t>atio</t>
  </si>
  <si>
    <t>n receives more funding.",2000</t>
  </si>
  <si>
    <t>qwen3.5,markdown_2000tok,9,medium,comparison,"Does the total program-level budget grow or shrink between 2026 and 2027, and by what percentage?",declines by 7.1%,"Total program-level budget 2026: 11,603,480.7 тыс.сом.</t>
  </si>
  <si>
    <t>Total program-level budget 2027: 11,405,130.7 тыс.сом.</t>
  </si>
  <si>
    <t>The budget shrinks by 1.71%.",7938,2,"The answer correctly states the budget shrinks, but gives an incorrect percentage (1.71% vs the correct 7.1%).",2000</t>
  </si>
  <si>
    <t>qwen3.5,markdown_2000tok,10,medium,lookup,Which program has the smallest non-zero funding in 2026?,«Внесение предложений по защите материальных и социальных прав ветеранов» — 739.4 тыс. сом,"Program: Управление и общая координация развития сельскохозяйственной</t>
  </si>
  <si>
    <t>Ministry: Верховный суд Кыргызской Республики</t>
  </si>
  <si>
    <t>2026 Funding: 3392.5 тыс.сом",7938,0,"The model gave a different program and funding amount, not matching the reference answer.",2000</t>
  </si>
  <si>
    <t>qwen3.5,markdown_2000tok,11,medium,indicator,What is the most commonly used unit of measurement for performance indicators in the 2026 budget?,Процент (%),"The context does not explicitly list units of measurement. However, based on indicator names, ""Quantity"" (Количество) is the most frequent descriptor (20 out of 41 indicators).",7938,0,"The model answer incorrectly states 'Quantity' as the most common unit,</t>
  </si>
  <si>
    <t>while the reference answer specifies 'Percent (%</t>
  </si>
  <si>
    <t>)'.",20</t>
  </si>
  <si>
    <t>qwen3.5,markdown_2000tok,12,medium,aggregation,What is the total 2026 program funding for the Ministry of Transport and Communications?,"16,881,928.10",The provided context does not contain information about the Ministry of Transport and Communications.,7938,0,"The model did not provide the required funding figure, stating the information was unavailable, which is incorrect.",2000</t>
  </si>
  <si>
    <t>qwen3.5,markdown_2000tok,13,hard,filter,How many ministries/agencies have exactly one budget program?,19,"3 ministries/agencies have exactly one budget program: Администрация Президента Кыргызской Респ, Архив Президента Кыргызской Республики, Фонды Президента и Кабинета Министров Кы.",7938,2,The model identified ministries/agencies but gave the wrong count (3 instead of the correct 19).,2000</t>
  </si>
  <si>
    <t>qwen3.5,markdown_2000tok,14,hard,filter,How many programs show funding growth of more than 10% between 2026 and 2027?,9,"0 programs show funding growth of more than 10% between 2026 and 2027. The highest growth among programs is approximately 8.02% (Верховный суд Кыргызской Республики, program: Управление и общая координация развития сельскохозяйственной, from 3392.5 to 3664.5 тыс.сом).",7938,0,"The model answer</t>
  </si>
  <si>
    <t>states 0 programs, contradicting the correct ans</t>
  </si>
  <si>
    <t>wer of</t>
  </si>
  <si>
    <t>og</t>
  </si>
  <si>
    <t>rams</t>
  </si>
  <si>
    <t>qwen3.5,markdown_2000tok,15,hard,indicator,How many rows in the budget have a performance indicator measured in people (чел.)?,50,"2 rows refer to counts of people ('Количество лиц', 'Количество детей'); units are not explicitly specified in the context.",7938,2,Model identified rows with people-based indicators but gave the wrong count (2 instead of the correct 50).,2000</t>
  </si>
  <si>
    <t>qwen3.5,markdown_2000tok,16,hard,aggregation,What share of the total 2026 program budget goes to the Ministry of Finance (General State Expenditures)?,"56% (332,149,236.2 out of  593,028,014.9)",The provided context does not contain information about the Ministry of Finance or the total 2026 program budget.,7938,0,"The model did not provide the correct share (56%) and claimed lack of information, which is incorr</t>
  </si>
  <si>
    <t>qwen3.5,markdown_2000tok,17,hard,lookup,Which budget measure (not program) has the largest 2026 funding?,"Повышение социальных выплат - 76,517,019.4",Регистрация населения и актов гражданского состояния (Управление делами Президента Кыргызской) — 2385292.1 тыс.сом,7938,0,"The model gave a different budget measure and amount, not matching the reference answer.",2000</t>
  </si>
  <si>
    <t>qwen3.5,markdown_2000tok,18,hard,comparison,Which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provided context does not contain information about the Ministry of Emergency Situations.,7938,0,"The model claims no information is available, contradicting the reference wh</t>
  </si>
  <si>
    <t>ich provides the specific program and amount.",20</t>
  </si>
  <si>
    <t>qwen3.5,markdown_2000tok,19,hard,multi-step,How many total budget programs and budget measures are in the 2026 program-based budget?,168 programs and 342 measures,"Total budget programs: 12</t>
  </si>
  <si>
    <t>Total budget measures: 29</t>
  </si>
  <si>
    <t>Total items: 41",7938,0,"The model gave 12 programs and 29 measures, which does not match the correct figures of 168 programs and 342 measures.",2000</t>
  </si>
  <si>
    <t>qwen3.5,markdown_2000tok,20,hard,multi-step,Which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(Минводресурсов),"Only one program shows a funding decrease from 2026 to 2027; insufficient data to list top 3.</t>
  </si>
  <si>
    <t>1. **Управление делами Президента Кыргызской** — program: **Обеспечение и координация деятельности по реализации единой**</t>
  </si>
  <si>
    <t>- 2026: 2,837,368.8 тыс.сом</t>
  </si>
  <si>
    <t>- 2027: 2,571,414.9 тыс.сом</t>
  </si>
  <si>
    <t>- Decrease: 265,953.9 тыс.сом</t>
  </si>
  <si>
    <t>All other 11 programs show an increase or no change in funding.",7938,0,The model answer does not list any of the three programs identified in the reference and incorrectly claims only one program decreased.,2000</t>
  </si>
  <si>
    <t>qwen3.5,statements_8000tok,1,easy,lookup,What is the 2026 funding for the 'School Education' program under the Ministry of Education?,"42,380,106.4 тыс. сом",The provided context does not contain information on the 2026 funding for the 'School Education' program. It only states the total 2026 allocation for 'Министерство просвещения Кыргызской Республики' is 56.4 billion som.,31934,0,"The model did not provide t</t>
  </si>
  <si>
    <t>he correct funding figure of 42,380,106.4 тыс. со</t>
  </si>
  <si>
    <t>м and i</t>
  </si>
  <si>
    <t>te</t>
  </si>
  <si>
    <t>ad</t>
  </si>
  <si>
    <t>cla</t>
  </si>
  <si>
    <t>imed</t>
  </si>
  <si>
    <t>the information was unavailable.",8000</t>
  </si>
  <si>
    <t>qwen3.5,statements_8000tok,2,easy,lookup,How many budget programs does the Ministry of Health have?,8,"The Ministry of Health (code 37) has 3 budget programs listed in the provided context: 'Управление и администрирование' (code 001), 'Программа «Общественное здравоохранение»' (code 372), and 'Программа «Организация предоставления услуг здравоохранения»' (code 373).",31923,2,Correctly identified the Ministry of</t>
  </si>
  <si>
    <t>Health but gave the wrong number of budget progra</t>
  </si>
  <si>
    <t>ms (3 i</t>
  </si>
  <si>
    <t>8).,</t>
  </si>
  <si>
    <t>qwen3.5,statements_8000tok,3,easy,lookup,Which program has the largest funding allocation in the 2026 budget?,"«Общегосударственные программы» Министерства финансов КР — 164,663,857.2 тыс. сом",The program 'Школьное образование' under 'Министерство просвещения Кыргызской Республики' has the largest funding allocation at 42.4 billion som.,28496,0,"The model gave a different program and amount, not matching the re</t>
  </si>
  <si>
    <t>ference answer.",8000</t>
  </si>
  <si>
    <t>qwen3.5,statements_8000tok,4,easy,count,How many total ministries and agencies are represented in the program-based budget?,88,The provided context lists 60 unique entities (GRBS codes).,29451,2,Identifies the correct type of entity (ministries/agencies) but provides an incorrect number (60 vs. 88).,8000</t>
  </si>
  <si>
    <t>qwen3.5,statements_8000tok,5,easy,lookup,What is the total 2026 funding for the Jogorku Kenesh (parliament)?,"1,127,306.9 тыс. сом",1.1 billion som.,27738,3,"The model correctly approximates the reference value (1,127,306.9 thousand som ≈ 1.1 billion som).",8000</t>
  </si>
  <si>
    <t>qwen3.5,statements_8000tok,6,medium,aggregation,What is the total 2026 funding across all programs of the Ministry of Education?,"56,424,894.11 тыс. сом","The total 2026 allocation for 'Министерство просвещения Кыргызской Республики' is 56,424,894.1 thousand som.",31889,3,"The model provides the same total funding value (56,424,894.1 thousand som) matching the reference answer.",8000</t>
  </si>
  <si>
    <t>qwen3.5,statements_8000tok,7,medium,aggregation,What is the total budget across all program-level items for 2026?,"Примерно 593.2 млрд сом (593,152,147.3 тыс. сом)","The context does not contain enough information to determine the total budget across all program-level items for 2026. While individual 2026 allocations for various ministries and agencies are provided, no aggregate total is stated.",26064,0,"The mo</t>
  </si>
  <si>
    <t>del claims insufficient information, but the refe</t>
  </si>
  <si>
    <t>rence p</t>
  </si>
  <si>
    <t>vi</t>
  </si>
  <si>
    <t>tal budget value, so the answer is incorrect.",8000</t>
  </si>
  <si>
    <t>qwen3.5,statements_8000tok,8,medium,comparison,Which ministry receives more funding: Ministry of Health or Ministry of Education?,"Министерство просвещения — 56,424,894.11 тыс. сом против 41,621,347.3  тыс. сом у здравоохранения","Ministry of Health ('Министерство здравоохранения Кыргызской Республики', code 37): 41,621,347.3 thousand som in 2026.</t>
  </si>
  <si>
    <t>Ministry of Education ('Министерство просвещения Кыргызской Республики', code 34): 56,424,894.1 thousand som in 2026.</t>
  </si>
  <si>
    <t>The Ministry of Education receives more funding.",31856,3,The model correctly states the funding amounts for both ministries and correctly identifies the Ministry of Education as receiving more funding.,8000</t>
  </si>
  <si>
    <t>qwen3.5,statements_8000tok,9,medium,comparison,"Does the total program-level budget grow or shrink between 2026 and 2027, and by what percentage?",declines by 7.1%,The context does not contain enough information to determine the growth or shrinkage of the total program-level budget between 2026 and 2027.,26225,0,"The model claims insufficient information, whereas the reference provides a specific decline of 7.1%</t>
  </si>
  <si>
    <t>qwen3.5,statements_8000tok,10,medium,lookup,Which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 739.4 тыс. сом.",28942,3,The model correctly identifies the program with the smallest non-zero funding and</t>
  </si>
  <si>
    <t>gives the exact amount of 739.4 тыс. сом.,8000</t>
  </si>
  <si>
    <t>qwen3.5,statements_8000tok,11,medium,indicator,What is the most commonly used unit of measurement for performance indicators in the 2026 budget?,Процент (%),[ERROR: 'NoneType' object has no attribute 'strip'],31899,-1,"API error, not evaluated",8000</t>
  </si>
  <si>
    <t>qwen3.5,statements_8000tok,12,medium,aggregation,What is the total 2026 program funding for the Ministry of Transport and Communications?,"16,881,928.10","The total 2026 allocation for 'Министерство транспорта и коммуникаций Кыргызской Республики' is 16,881,928.1 thousand som.",29453,3,"The model provides the exact same numeric value (16,881,928.1) matching the reference answer, with appropriate unit.",8000</t>
  </si>
  <si>
    <t>qwen3.5,statements_8000tok,13,hard,filter,How many ministries/agencies have exactly one budget program?,19,"Based on the provided context, 20 ministries/agencies are listed with exactly one budget program detailed. The context does not contain enough information to determine the program count for the remaining ministries/agencies mentioned.</t>
  </si>
  <si>
    <t>**Ministries/Agencies with exactly one budget program listed:**</t>
  </si>
  <si>
    <t>1.  Архив Президента Кыргызской Республики (code 13)</t>
  </si>
  <si>
    <t>2.  Министерство юстиции Кыргызской Республики (code 22)</t>
  </si>
  <si>
    <t>3.  Национальная академия наук Кыргызской Республики (code 80)</t>
  </si>
  <si>
    <t>4.  Верховный суд Кыргызской Республики (code 16)</t>
  </si>
  <si>
    <t>5.  Военная прокуратура Кыргызской Республики (code 20)</t>
  </si>
  <si>
    <t>6.  Национальное агентство по инвестициям при Президенте Кыргызской Республики (code 57)</t>
  </si>
  <si>
    <t>7.  Центр перевода Кабинета Министров Кыргызской Республики (code 87)</t>
  </si>
  <si>
    <t>8.  Министерство транспорта и коммуникаций Кыргызской Республики (code 43)</t>
  </si>
  <si>
    <t>9.  Генеральная прокуратура Кыргызской Республики (code 19)</t>
  </si>
  <si>
    <t>10. Секретариат Национальной комиссии Кыргызской Республики по делам ЮНЕСКО (code 68)</t>
  </si>
  <si>
    <t>11. Министерство финансов Кыргызской Республики (code 25)</t>
  </si>
  <si>
    <t>12. Министерство науки, высшего образования и инноваций Кыргызской Республики (code 31)</t>
  </si>
  <si>
    <t>13. Государственное учреждение «Национальная академия «Манас» (code 88)</t>
  </si>
  <si>
    <t>14. Академия государственного управления при Президенте Кыргызской Республики (code 39)</t>
  </si>
  <si>
    <t>15. Государственное агентство по защите персональных данных при Кабинете Министров Кыргызской Республики (code 58)</t>
  </si>
  <si>
    <t>16. Государственное учреждение «Фонд зеленой энергетики» при Кабинете Министров Кыргызской Республики (code 54)</t>
  </si>
  <si>
    <t>17. Государственное агентство гражданской авиации при Кабинете Министров Кыргызской Республики (code 42)</t>
  </si>
  <si>
    <t>18. Телерадиовещательные компании Кыргызской Республики (code 85)</t>
  </si>
  <si>
    <t>19. Жогорку Кенеш Кыргызской Республики (code 11)</t>
  </si>
  <si>
    <t>20. Министерство цифрового развития и инновационных технологий Кыргызской Республики (code 69)</t>
  </si>
  <si>
    <t>**Ministries/Agencies with more than one budget program listed:**</t>
  </si>
  <si>
    <t>1.  Министерство чрезвычайных ситуаций Кыргызской Республики (code 45) - 2 programs</t>
  </si>
  <si>
    <t>2.  Министерство энергетики Кыргызской Республики (code 55) - 2 programs</t>
  </si>
  <si>
    <t>3.  Счетная палата Кыргызской Республики (code 17) - 2 programs</t>
  </si>
  <si>
    <t>**Ministries/Agencies with no program details listed:**</t>
  </si>
  <si>
    <t>37 other ministries/agencies are mentioned in the introductory list but lack specific program allocation details in the context.",31839,2,"The answer provides a count of ministries with exactly one program, but the number (20) does not match the correct value (19).",8000</t>
  </si>
  <si>
    <t>qwen3.5,statements_8000tok,14,hard,filter,How many programs show funding growth of more than 10% between 2026 and 2027?,9,[ERROR: 'NoneType' object has no attribute 'strip'],26917,-1,"API error, not evaluated",8000</t>
  </si>
  <si>
    <t>qwen3.5,statements_8000tok,15,hard,indicator,How many rows in the budget have a performance indicator measured in people (чел.)?,50,25 rows,31901,2,The model identified the correct type of rows but gave an incorrect count (25 instead of the correct 50).,8000</t>
  </si>
  <si>
    <t>qwen3.5,statements_8000tok,16,hard,aggregation,What share of the total 2026 program budget goes to the Ministry of Finance (General State Expenditures)?,"56% (332,149,236.2 out of  593,028,014.9)","The context does not provide the total 2026 program budget, so the share cannot be calculated. The 2026 allocation for 'Министерство финансов Кыргызской Республики (Общегосударственные программы, мероприятия и выплаты</t>
  </si>
  <si>
    <t>)' (code 26) is 332,149,236.1 thousand som.",2980</t>
  </si>
  <si>
    <t>0,1,The</t>
  </si>
  <si>
    <t>r fa</t>
  </si>
  <si>
    <t>ils</t>
  </si>
  <si>
    <t>to provide the correct share (56%) and incorrectly claims the share cannot be calculated.,8000</t>
  </si>
  <si>
    <t>qwen3.5,statements_8000tok,17,hard,lookup,Which budget measure (not program) has the largest 2026 funding?,"Повышение социальных выплат - 76,517,019.4",Budget measure 'Повышение социальных выплат' receives 76.5 billion som in 2026.,29348,3,The model correctly identifies the measure and provides the matching funding amount (rounded),8000</t>
  </si>
  <si>
    <t>qwen3.5,statements_8000tok,18,hard,comparison,Which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сом","Program 'Управление и администрирование' (code 001) receives the most funding, allocated 184,945.8 thousand som in 2026.",31609,0,"The model gave a different program and amoun</t>
  </si>
  <si>
    <t>t, not matching the reference answer.",8000</t>
  </si>
  <si>
    <t>qwen3.5,statements_8000tok,19,hard,multi-step,How many total budget programs and budget measures are in the 2026 program-based budget?,168 programs and 342 measures,The context does not provide the total number of budget programs and budget measures in the 2026 program-based budget.,29254,0,"The model answer claims the information is unavailable, which is incorrect as the reference provides the numbers.",8000</t>
  </si>
  <si>
    <t>qwen3.5,statements_8000tok,20,hard,multi-step,Which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(Минводресурсов),"The context does not contain enough information to identify the top 3 programs with the largest ab</t>
  </si>
  <si>
    <t>solute funding decrease. Base funding amounts for</t>
  </si>
  <si>
    <t>2026 a</t>
  </si>
  <si>
    <t>sing</t>
  </si>
  <si>
    <t>for</t>
  </si>
  <si>
    <t>most programs listed with percentage changes, preventing calculation of absolute decreases. Among the programs with explicit absolute funding data provided, only Program 46/001 'Управление и администрирование' shows a decrease (65.9 тыс. сом).",31914,0,The model answer does not provide the three programs listed in the reference and gives an unrelated answer.,8000</t>
  </si>
  <si>
    <t>qwen3.5,markdown_8000tok,1,easy,lookup,What is the 2026 funding for the 'School Education' program under the Ministry of Education?,"42,380,106.4 тыс. сом",The provided context does not contain information about the Ministry of Education or a 'School Education' program.,31863,0,The model did not provide the required funding figure and incorrectly claimed the information was unavailable.,8000</t>
  </si>
  <si>
    <t>qwen3.5,markdown_8000tok,2,easy,lookup,How many budget programs does the Ministry of Health have?,8,The provided context does not contain information about the Ministry of Health.,31863,0,"The model did not provide the correct number (8) and claimed lack of information, which is incorrect.",8000</t>
  </si>
  <si>
    <t>qwen3.5,markdown_8000tok,3,easy,lookup,Which program has the largest funding allocation in the 2026 budget?,"«Общегосударственные программы» Министерства финансов КР — 164,663,857.2 тыс. сом","Program: Общегосударственные программы</t>
  </si>
  <si>
    <t>Ministry: Министерство финансов Кыргызской Республики</t>
  </si>
  <si>
    <t>2026 Allocation: 164663857.2 тыс.сом",31863,3,"The model correctly identified the program, ministry, and exact funding amount matching the reference.",8000</t>
  </si>
  <si>
    <t>qwen3.5,markdown_8000tok,4,easy,count,How many total ministries and agencies are represented in the program-based budget?,88,15 unique ministries and agencies are represented.,31863,1,The answer mentions ministries and agencies but gives the wrong total number (15 instead of 88).,8000</t>
  </si>
  <si>
    <t>qwen3.5,markdown_8000tok,5,easy,lookup,What is the total 2026 funding for the Jogorku Kenesh (parliament)?,"1,127,306.9 тыс. сом",[ERROR: 'NoneType' object has no attribute 'strip'],31863,-1,"API error, not evaluated",8000</t>
  </si>
  <si>
    <t>qwen3.5,markdown_8000tok,6,medium,aggregation,What is the total 2026 funding across all programs of the Ministry of Education?,"56,424,894.11 тыс. сом",The provided context does not contain budget information for the Ministry of Education.,31863,0,The model answer fails to provide the required funding figure and incorrectly claims the information is unavailable.,8000</t>
  </si>
  <si>
    <t>qwen3.5,markdown_8000tok,7,medium,aggregation,What is the total budget across all program-level items for 2026?,"Примерно 593.2 млрд сом (593,152,147.3 тыс. сом)","372,455,209.3 тыс.сом",31863,2,"The answer addresses the total program-level budget (correct entity) but provides an incorrect figure (372,455,209.3 тыс. сом vs the correct ~593,152,147.3 тыс. сом).",8000</t>
  </si>
  <si>
    <t>qwen3.5,markdown_8000tok,8,medium,comparison,Which ministry receives more funding: Ministry of Health or Ministry of Education?,"Министерство просвещения — 56,424,894.11 тыс. сом против 41,621,347.3  тыс. сом у здравоохранения",The provided context does not contain budget information for the Ministry of Health or the Ministry of Education.,31863,0,"The model incorrectly claims no budget information is present, w</t>
  </si>
  <si>
    <t>hile the reference provides the figures showing E</t>
  </si>
  <si>
    <t>ducatio</t>
  </si>
  <si>
    <t>e funding.",8000</t>
  </si>
  <si>
    <t>qwen3.5,markdown_8000tok,9,medium,comparison,"Does the total program-level budget grow or shrink between 2026 and 2027, and by what percentage?",declines by 7.1%,"The total program-level budget shrinks by 11.12% from 371,455,208.8 thousand som in 2026 to 330,136,171.2 thousand som in 2027.",31863,2,Correctly identifies a shrink but gives an incorrect percentage (11.12% vs 7.1%).,8000</t>
  </si>
  <si>
    <t>qwen3.5,markdown_8000tok,10,medium,lookup,Which program has the smallest non-zero funding in 2026?,«Внесение предложений по защите материальных и социальных прав ветеранов» — 739.4 тыс. сом,"Верховный суд Кыргызской Республики, program «Управление и общая координация развития сельскохозяйственной»: 3392.5 тыс.сом.",31863,0,"Model answered a different program with a different funding amount, not matching the refe</t>
  </si>
  <si>
    <t>rence answer.",8000</t>
  </si>
  <si>
    <t>qwen3.5,markdown_8000tok,11,medium,indicator,What is the most commonly used unit of measurement for performance indicators in the 2026 budget?,Процент (%),"Based on the provided context, the most commonly used unit of measurement for performance indicators is **Count** (indicated by ""Количество"" or ""кол/во""), appearing in approximately **43** indicators. This is followed by **Percentage/Share/Ratio** (indica</t>
  </si>
  <si>
    <t>ted by ""Процент"", ""Доля"", ""Отношение"", ""Со</t>
  </si>
  <si>
    <t>отношен</t>
  </si>
  <si>
    <t>ие</t>
  </si>
  <si>
    <t>),</t>
  </si>
  <si>
    <t>app</t>
  </si>
  <si>
    <t>eari</t>
  </si>
  <si>
    <t>ng in approximately **37** indicators, and **Amount** (indicated by ""Объем средств"", ""Сумма""), appearing in approximately **22** indicators. A significant number of indicators (**~35**) use descriptive outcomes without a specific numerical unit.",31863,0,"Model answer incorrectly states the most common unit is Count, while reference says it is Percentage (%)",8000</t>
  </si>
  <si>
    <t>qwen3.5,markdown_8000tok,12,medium,aggregation,What is the total 2026 program funding for the Ministry of Transport and Communications?,"16,881,928.10",The provided context does not contain information regarding the Ministry of Transport and Communications.,31863,0,The model did not provide the required funding figure and incorrectly claimed the information was unavailable.,8000</t>
  </si>
  <si>
    <t>qwen3.5,markdown_8000tok,13,hard,filter,How many ministries/agencies have exactly one budget program?,19,"6 ministries/agencies have exactly one budget program:</t>
  </si>
  <si>
    <t>1. Администрация Президента Кыргызской Респ</t>
  </si>
  <si>
    <t>2. Архив Президента Кыргызской Республики</t>
  </si>
  <si>
    <t>3. Фонды Президента и Кабинета Министров Кы</t>
  </si>
  <si>
    <t>4. Военная прокуратура Кыргызской Республик</t>
  </si>
  <si>
    <t>5. Омбудсмен (Акыйкатчы) Кыргызской Респуб</t>
  </si>
  <si>
    <t>6. Резервные и другие фонды территорий",31863,1,The answer provides a related list but gives the wrong number (6 instead of the correct 19).,8000</t>
  </si>
  <si>
    <t>qwen3.5,markdown_8000tok,14,hard,filter,How many programs show funding growth of more than 10% between 2026 and 2027?,9,"2 programs show funding growth of more than 10% between 2026 and 2027:</t>
  </si>
  <si>
    <t>1. **Министерство юстиции Кыргызской Республи** — Program: «Осуществление государственной регистрации, перерегистрации и»</t>
  </si>
  <si>
    <t>- 2026: 176,690.6 тыс.сом</t>
  </si>
  <si>
    <t>- 2027: 199,769.7 тыс.сом</t>
  </si>
  <si>
    <t>- Growth: 13.06%</t>
  </si>
  <si>
    <t>2. **Министерство финансов Кыргызской Республ** — Program: «Государственные программы, мероприятия и выплаты»</t>
  </si>
  <si>
    <t>- 2026: 118,757,161.3 тыс.сом</t>
  </si>
  <si>
    <t>- 2027: 131,802,316.2 тыс.сом</t>
  </si>
  <si>
    <t>- Growth: 10.98%",31863,2,Model provided a count of programs but the number (2) is incorrect; the correct count is 9.,8000</t>
  </si>
  <si>
    <t>qwen3.5,markdown_8000tok,15,hard,indicator,How many rows in the budget have a performance indicator measured in people (чел.)?,50,"3 rows have a performance indicator measured in people (persons/children/listeners):</t>
  </si>
  <si>
    <t>1. Управление делами Президента Кыргызской (measure: Транспортное обеспечение экс Президента КР и бывших руководи) — Indicator: Количество лиц</t>
  </si>
  <si>
    <t>2. Управление делами Президента Кыргызской (measure: Поддержание существующей сети государственных дошкольных обр) — Indicator: Количество детей</t>
  </si>
  <si>
    <t>3. Министерство финансов Кыргызской Республ (measure: Переподготовка и повышение квалификации сотрудников госуправ) — Indicator: Количество слушателей",31863,2,"The answer provides a count of rows (3) but the correct count is 50, so the entity is right but the number is incorrect.",8000</t>
  </si>
  <si>
    <t>qwen3.5,markdown_8000tok,16,hard,aggregation,What share of the total 2026 program budget goes to the Ministry of Finance (General State Expenditures)?,"56% (332,149,236.2 out of  593,028,014.9)","The context does not provide the total 2026 program budget sum required to calculate the exact share. The Ministry of Finance program ""Общегосударственные программы"" (General State Programs) is allocated 164,663,857.2</t>
  </si>
  <si>
    <t>thousand soms in 2026.",31863,0,"The model answe</t>
  </si>
  <si>
    <t>r does</t>
  </si>
  <si>
    <t>e correct share (56%) or the correct figures, and claims insufficient data, which is incorrect.",8000</t>
  </si>
  <si>
    <t>qwen3.5,markdown_8000tok,17,hard,lookup,Which budget measure (not program) has the largest 2026 funding?,"Повышение социальных выплат - 76,517,019.4","Measure: Повышение социальных выплат</t>
  </si>
  <si>
    <t>Ministry: Министерство финансов Кыргызской Республ</t>
  </si>
  <si>
    <t>2026 Funding: 76517019.4 тыс.сом",31863,3,The model correctly identifies the measure and provides the exact funding amount matching the reference.,8000</t>
  </si>
  <si>
    <t>qwen3.5,markdown_8000tok,18,hard,comparison,Which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provided context does not contain information about the Ministry of Emergency Situations.,31863,0,"The model claims no information is available, contradicting the reference w</t>
  </si>
  <si>
    <t>hich provides a specific program and funding amou</t>
  </si>
  <si>
    <t>nt.",80</t>
  </si>
  <si>
    <t>qwen3.5,markdown_8000tok,19,hard,multi-step,How many total budget programs and budget measures are in the 2026 program-based budget?,168 programs and 342 measures,"Budget programs: 41</t>
  </si>
  <si>
    <t>Budget measures: 130</t>
  </si>
  <si>
    <t>Total: 171",31863,1,The answer mentions budget programs and measures but provides incorrect numbers compared to the reference.,8000</t>
  </si>
  <si>
    <t>qwen3.5,markdown_8000tok,20,hard,multi-step,Which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Общегосударственные программы (Министерство финансов Кыргызской Республ): 52469226.0 тыс.сом (164</t>
  </si>
  <si>
    <t>663857.2 – 112194631.2)</t>
  </si>
  <si>
    <t>2. Администрирование государственных доходов (Министерство финансов Кыргызской Республ): 1135042.7 тыс.сом (10614609.5 – 9479566.8)</t>
  </si>
  <si>
    <t>3. Планирование, обеспечение, по экономическому, социальному пр (Верховный суд Кыргызской Республики): 734267.1 тыс.сом (3787470.5 – 3053203.4)",31863,1,Only the first program matches the reference; the other two listed programs are incorrect.,8000</t>
  </si>
  <si>
    <t>qwen3.5,statements_16000tok,1,easy,lookup,What is the 2026 funding for the 'School Education' program under the Ministry of Education?,"42,380,106.4 тыс. сом",The provided context does not contain information about the 'School Education' program funding. It only states the total 2026 allocation for the 'Министерство просвещения Кыргызской Республики' is 56.4 billion som.,32265,0,"The model did not provide the co</t>
  </si>
  <si>
    <t>rrect funding figure of 42,380,106.4 тыс. сом and</t>
  </si>
  <si>
    <t>gave a</t>
  </si>
  <si>
    <t>late</t>
  </si>
  <si>
    <t>d st</t>
  </si>
  <si>
    <t>atement.",16000</t>
  </si>
  <si>
    <t>qwen3.5,statements_16000tok,2,easy,lookup,How many budget programs does the Ministry of Health have?,8,"The Ministry of Health (code 37) has 6 budget programs:</t>
  </si>
  <si>
    <t>1. 'Управление и администрирование' (code 001)</t>
  </si>
  <si>
    <t>2. 'Программа «Общественное здравоохранение»' (code 372)</t>
  </si>
  <si>
    <t>3. 'Программа «Организация предоставления услуг здравоохранения»' (code 373)</t>
  </si>
  <si>
    <t>4. 'Программа «Медицинское образование и управление человеческими ресурсами в здравоохранении»' (code 374)</t>
  </si>
  <si>
    <t>5. 'Предоставление услуг первично-медико санитарной помощи' (code 375)</t>
  </si>
  <si>
    <t>6. 'Предоставление услуг медицинскими учреждениями на стационарном уровне' (code 376)",44203,2,Correct entity (Ministry of Health) but gives the wrong number of budget programs (6 instead of 8).,16000</t>
  </si>
  <si>
    <t>qwen3.5,statements_16000tok,3,easy,lookup,Which program has the largest funding allocation in the 2026 budget?,"«Общегосударственные программы» Министерства финансов КР — 164,663,857.2 тыс. сом",Program 'Школьное образование' under 'Министерство просвещения Кыргызской Республики': 42.4 billion som.,28496,0,"The model gave a different program and amount, not matching the reference's largest allocation.",16000</t>
  </si>
  <si>
    <t>qwen3.5,statements_16000tok,4,easy,count,How many total ministries and agencies are represented in the program-based budget?,88,"Based on the provided context, there are 60 unique ministries and agencies (GRBS codes) represented in the 2026 program-based budget.</t>
  </si>
  <si>
    <t>**Unique GRBS Codes Listed:**</t>
  </si>
  <si>
    <t>11, 12, 13, 14, 15, 16, 17, 18, 19, 20, 21, 22, 23, 24, 25, 26, 27, 28, 31, 34, 37, 38, 39, 40, 41, 42, 43, 44, 45, 46, 47, 48, 49, 50, 51, 52, 53, 54, 55, 56, 57, 58, 59, 60, 64, 65, 68, 69, 70, 74, 79, 80, 81, 82, 83, 84, 85, 86, 87, 88.",29451,2,The answer addresses the correct entity (ministries and agencies) but provides an incorrect total count (60 instead of 88).,16000</t>
  </si>
  <si>
    <t>qwen3.5,statements_16000tok,5,easy,lookup,What is the total 2026 funding for the Jogorku Kenesh (parliament)?,"1,127,306.9 тыс. сом",1.1 billion som.,27738,3,"Model gives a rounded figure (1.1 billion som) that matches the reference total of 1,127,306.9 тыс. сом (~1.127 billion som).",16000</t>
  </si>
  <si>
    <t>qwen3.5,statements_16000tok,6,medium,aggregation,What is the total 2026 funding across all programs of the Ministry of Education?,"56,424,894.11 тыс. сом","The total 2026 allocation for 'Министерство просвещения Кыргызской Республики' (code 34) is 56,424,894.1 thousand som.",32711,3,"The model provides the exact total funding value, matching the reference (minor rounding acceptable).",16000</t>
  </si>
  <si>
    <t>qwen3.5,statements_16000tok,7,medium,aggregation,What is the total budget across all program-level items for 2026?,"Примерно 593.2 млрд сом (593,152,147.3 тыс. сом)",The context does not contain enough information to determine the total budget across all program-level items for 2026.,26064,0,"The model claims insufficient information, but the reference provides a specific total budget value, so the answer is wro</t>
  </si>
  <si>
    <t>ng.",16000</t>
  </si>
  <si>
    <t>qwen3.5,statements_16000tok,8,medium,comparison,Which ministry receives more funding: Ministry of Health or Ministry of Education?,"Министерство просвещения — 56,424,894.11 тыс. сом против 41,621,347.3  тыс. сом у здравоохранения","Ministry of Education (Министерство просвещения Кыргызской Республики) receives more funding: 56,424,894.1 thousand som in 2026. Ministry of Health (Министерство здравоохранения Кыргы</t>
  </si>
  <si>
    <t>зской Республики) receives 41,621,347.3 thousand</t>
  </si>
  <si>
    <t>som in</t>
  </si>
  <si>
    <t>,414</t>
  </si>
  <si>
    <t>86,3</t>
  </si>
  <si>
    <t>,The model correctly identifies the Ministry of Education as receiving more funding and provides matching figures.,16000</t>
  </si>
  <si>
    <t>qwen3.5,statements_16000tok,9,medium,comparison,"Does the total program-level budget grow or shrink between 2026 and 2027, and by what percentage?",declines by 7.1%,"The context does not contain enough information. It provides budget changes for specific ministries and agencies, but does not specify the growth or shrinkage percentage for the total program-level budget as a whole.",26225,0,"The model says there i</t>
  </si>
  <si>
    <t>s insufficient information, whereas the reference</t>
  </si>
  <si>
    <t>fic</t>
  </si>
  <si>
    <t>answer (declines by 7.1%).",16000</t>
  </si>
  <si>
    <t>qwen3.5,statements_16000tok,10,medium,lookup,Which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 739.4 тыс. сом.",28942,3,The model correctly identifies the program with the smallest non-zero funding an</t>
  </si>
  <si>
    <t>d provides the exact amount matching the referenc</t>
  </si>
  <si>
    <t>e.,1600</t>
  </si>
  <si>
    <t>qwen3.5,statements_16000tok,11,medium,indicator,What is the most commonly used unit of measurement for performance indicators in the 2026 budget?,Процент (%),[ERROR: 'NoneType' object has no attribute 'strip'],34521,-1,"API error, not evaluated",16000</t>
  </si>
  <si>
    <t>qwen3.5,statements_16000tok,12,medium,aggregation,What is the total 2026 program funding for the Ministry of Transport and Communications?,"16,881,928.10","16,881,928.1 thousand som (16.9 billion som)",29453,3,"The model provides the exact numeric value matching the reference, correctly interpreting the unit.",16000</t>
  </si>
  <si>
    <t>qwen3.5,statements_16000tok,13,hard,filter,How many ministries/agencies have exactly one budget program?,19,"The context does not contain enough information to determine the exact number of ministries/agencies with exactly one budget program, as complete program lists are not provided for all listed entities.",33104,0,"The model claims insufficient information, whereas the reference provides the exact number (19</t>
  </si>
  <si>
    <t>).",16000</t>
  </si>
  <si>
    <t>qwen3.5,statements_16000tok,14,hard,filter,How many programs show funding growth of more than 10% between 2026 and 2027?,9,"3 programs show funding growth of more than 10% between 2026 and 2027:</t>
  </si>
  <si>
    <t>1. Program 80/001 'Управление и администрирование' (133.6% growth, from 60,662.6 to 141,699.7 тыс. сом).</t>
  </si>
  <si>
    <t>2. Program 43/001 'Управление и администрирование' (25.5% growth, from 119,287.5 to 149,718.3 тыс. сом).</t>
  </si>
  <si>
    <t>3. Program 41/413 'Государственная поддержка и развитие растениеводства' (34.1% growth, from 479,788.0 to 643,477.5 тыс. сом).",26917,2,The model identified the correct type of answer (a count) but gave the wrong number (3 instead of the correct 9).,16000</t>
  </si>
  <si>
    <t>qwen3.5,statements_16000tok,15,hard,indicator,How many rows in the budget have a performance indicator measured in people (чел.)?,50,27 rows have a performance indicator measured in people (чел.).,34915,2,Correct entity identified but the number (27) does not match the reference value (50).,16000</t>
  </si>
  <si>
    <t>qwen3.5,statements_16000tok,16,hard,aggregation,What share of the total 2026 program budget goes to the Ministry of Finance (General State Expenditures)?,"56% (332,149,236.2 out of  593,028,014.9)","The context does not contain the total 2026 program budget required to calculate the share. The 2026 allocation for 'Министерство финансов Кыргызской Республики (Общегосударственные программы, мероприятия и выплаты)'</t>
  </si>
  <si>
    <t>(code 26) is 332,149,236.1 thousand som.",29800,</t>
  </si>
  <si>
    <t>0,"The</t>
  </si>
  <si>
    <t>er f</t>
  </si>
  <si>
    <t>ails to provide the required share percentage (56%) and instead says the total budget is missing, so it does not contain the key fact.",16000</t>
  </si>
  <si>
    <t>qwen3.5,statements_16000tok,17,hard,lookup,Which budget measure (not program) has the largest 2026 funding?,"Повышение социальных выплат - 76,517,019.4",Budget measure 'Повышение социальных выплат' receives 76.5 billion som in 2026.,29348,3,The model correctly identifies the measure and provides the matching funding amount (rounded),16000</t>
  </si>
  <si>
    <t>qwen3.5,statements_16000tok,18,hard,comparison,Which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сом","Program 'Управление и администрирование' (code 001) receives 184,945.8 thousand som in 2026.",31609,0,"The model gave a different program and amount, not matching the referen</t>
  </si>
  <si>
    <t>ce answer.",16000</t>
  </si>
  <si>
    <t>qwen3.5,statements_16000tok,19,hard,multi-step,How many total budget programs and budget measures are in the 2026 program-based budget?,168 programs and 342 measures,The provided context does not contain information regarding the total number of budget programs and budget measures in the 2026 program-based budget.,29254,0,"The model did not provide the required numbers, stating lack of information, which is a re</t>
  </si>
  <si>
    <t>fusal to answer.",16000</t>
  </si>
  <si>
    <t>qwen3.5,statements_16000tok,20,hard,multi-step,Which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Program 22/001 'Управление и администрирование': 16,245.7 тыс. сом decrease (2026: 282,746.0;</t>
  </si>
  <si>
    <t>2027: 266,500.3)</t>
  </si>
  <si>
    <t>2. Program 21/001 'Управление и администрирование': 946.8 тыс. сом decrease (2026: 115,861.1; 2027: 114,914.3)</t>
  </si>
  <si>
    <t>3. Program 46/001 'Управление и администрирование': 65.9 тыс. сом decrease (2026: 6,239.5; 2027: 6,173.6)",33951,0,"The model answer lists unrelated programs and figures, not the three programs identified in the reference answer.",16000</t>
  </si>
  <si>
    <t>qwen3.5,markdown_16000tok,1,easy,lookup,What is the 2026 funding for the 'School Education' program under the Ministry of Education?,"42,380,106.4 тыс. сом",42380106.4 thousand som,63940,3,"The model provides the exact same numeric value in thousand som, matching the reference answer.",16000</t>
  </si>
  <si>
    <t>qwen3.5,markdown_16000tok,2,easy,lookup,How many budget programs does the Ministry of Health have?,8,"7 budget programs:</t>
  </si>
  <si>
    <t>4. Программа «Медицинское образование и управление человеческим</t>
  </si>
  <si>
    <t>7. Обеспечение доступа к льготному гемодиализному лечению",63940,2,The answer addresses the Ministry of Health but gives an incorrect count (7 instead of the correct 8 budget programs).,16000</t>
  </si>
  <si>
    <t>qwen3.5,markdown_16000tok,3,easy,lookup,Which program has the largest funding allocation in the 2026 budget?,"«Общегосударственные программы» Министерства финансов КР — 164,663,857.2 тыс. сом","Program: Общегосударственные программы</t>
  </si>
  <si>
    <t>2026 Allocation: 164663857.2 тыс.сом",63940,3,"The model correctly identified the program, ministry, and exact allocation amount matching the reference.",16000</t>
  </si>
  <si>
    <t>qwen3.5,markdown_16000tok,4,easy,count,How many total ministries and agencies are represented in the program-based budget?,88,24 ministries and agencies.,63940,2,Correctly identifies ministries and agencies but gives the wrong total count (24 vs. 88).,16000</t>
  </si>
  <si>
    <t>qwen3.5,markdown_16000tok,5,easy,lookup,What is the total 2026 funding for the Jogorku Kenesh (parliament)?,"1,127,306.9 тыс. сом","1,127,306.9 thousand som (sum of two programs: 1,047,143.9 for ""Управление и администрирование"" and 80,163.0 for ""Обеспечение информацией о деятельности, контроля исполнения,"").",63940,3,"The model provides the exact same total funding value (1,127,306.9 thousand som) as the ref</t>
  </si>
  <si>
    <t>erence, which is correct.",16000</t>
  </si>
  <si>
    <t>qwen3.5,markdown_16000tok,6,medium,aggregation,What is the total 2026 funding across all programs of the Ministry of Education?,"56,424,894.11 тыс. сом","55,412,714.1 тыс.сом (Министерство просвещения Кыргызской Респ)</t>
  </si>
  <si>
    <t>Programs included:</t>
  </si>
  <si>
    <t>4. Начальное и среднее профессиональное образование: 2,178,080.8",63940,2,"Correct ministry identified, but total funding figure does not match the reference value.",16000</t>
  </si>
  <si>
    <t>qwen3.5,markdown_16000tok,7,medium,aggregation,What is the total budget across all program-level items for 2026?,"Примерно 593.2 млрд сом (593,152,147.3 тыс. сом)","505,990,798.8 тыс.сом",63940,2,The answer addresses the total budget (right entity) but provides an incorrect figure (505.99 bn vs 593.2 bn).,16000</t>
  </si>
  <si>
    <t>qwen3.5,markdown_16000tok,8,medium,comparison,Which ministry receives more funding: Ministry of Health or Ministry of Education?,"Министерство просвещения — 56,424,894.11 тыс. сом против 41,621,347.3  тыс. сом у здравоохранения","Министерство просвещения Кыргызской Респ: 56,424,894.1 тыс.сом</t>
  </si>
  <si>
    <t>Министерство здравоохранения Кыргызской: 41,621,347.3 тыс.сом</t>
  </si>
  <si>
    <t>Министерство просвещения Кыргызской Респ receives more funding.",63940,3,The model correctly states the education ministry receives more funding with matching figures.,16000</t>
  </si>
  <si>
    <t>qwen3.5,markdown_16000tok,9,medium,comparison,"Does the total program-level budget grow or shrink between 2026 and 2027, and by what percentage?",declines by 7.1%,"The total program-level budget shrinks between 2026 and 2027.</t>
  </si>
  <si>
    <t>*   **2026 Total:** 505,990,798.8 thousand som</t>
  </si>
  <si>
    <t>*   **2027 Total:** 465,288,673.9 thousand som</t>
  </si>
  <si>
    <t>*   **Change:** -40,702,124.9 thousand som</t>
  </si>
  <si>
    <t>*   **Percentage:** -8.04%",63940,2,Correctly identifies a decline but gives an incorrect percentage (8.04% vs the reference 7.1%).,16000</t>
  </si>
  <si>
    <t>qwen3.5,markdown_16000tok,10,medium,lookup,Which program has the smallest non-zero funding in 2026?,«Внесение предложений по защите материальных и социальных прав ветеранов» — 739.4 тыс. сом,"Program: Внесение предложений по защите материальных и социальных пра</t>
  </si>
  <si>
    <t>Ministry: Общественное объединение «Республикански</t>
  </si>
  <si>
    <t>2026 Funding: 739.4 тыс.сом",63940,3,"The model correctly identified the program and its 2026 funding of 739.4 тыс. сом, matching the reference answer.",16000</t>
  </si>
  <si>
    <t>qwen3.5,markdown_16000tok,11,medium,indicator,What is the most commonly used unit of measurement for performance indicators in the 2026 budget?,Процент (%),"The context does not specify a standard unit of measurement column for performance indicators. Based on the text in the ""Indicator"" column, the most frequently used metric type is **Count/Quantity** (indicated by the word ""Количество""), followed by **Per</t>
  </si>
  <si>
    <t>centage/Share** (""Процент""/""Доля"") and **Inde</t>
  </si>
  <si>
    <t>x** (""</t>
  </si>
  <si>
    <t>Ин</t>
  </si>
  <si>
    <t>де</t>
  </si>
  <si>
    <t>кс</t>
  </si>
  <si>
    <t>"").</t>
  </si>
  <si>
    <t>",63</t>
  </si>
  <si>
    <t>940,0,"Model answer states Count/Quantity is most frequent, contradicting the reference that the most common unit is Percentage (%)",16000</t>
  </si>
  <si>
    <t>qwen3.5,markdown_16000tok,12,medium,aggregation,What is the total 2026 program funding for the Ministry of Transport and Communications?,"16,881,928.10",The provided context does not contain information about the Ministry of Transport and Communications.,63940,0,"The model did not provide the required funding figure and claimed the information was unavailable, which is incorrect.",16000</t>
  </si>
  <si>
    <t>qwen3.5,markdown_16000tok,13,hard,filter,How many ministries/agencies have exactly one budget program?,19,"8 ministries/agencies have exactly one budget program:</t>
  </si>
  <si>
    <t>6. Резервные и другие фонды территорий</t>
  </si>
  <si>
    <t>7. Конституционный суд Кыргызской Республик</t>
  </si>
  <si>
    <t>8. Общественное объединение «Республикански",63940,2,Model provided a count of ministries/agencies but gave the wrong number (8 instead of the correct 19).,16000</t>
  </si>
  <si>
    <t>qwen3.5,markdown_16000tok,14,hard,filter,How many programs show funding growth of more than 10% between 2026 and 2027?,9,"4 programs show funding growth of more than 10% between 2026 and 2027:</t>
  </si>
  <si>
    <t>1.  **Министерство юстиции Кыргызской Республики** — *Осуществление государственной регистрации, перерегистрации и*: 176,690.6 → 199,769.7 тыс.сом (**+13.06%**)</t>
  </si>
  <si>
    <t>2.  **Министерство финансов Кыргызской Республики** — *Государственные программы, мероприятия и выплаты*: 118,757,161.3 → 131,802,316.2 тыс.сом (**+10.98%**)</t>
  </si>
  <si>
    <t>3.  **Министерство здравоохранения Кыргызской** — *Программа «Организация предоставления услуг здравоохранения»*: 6,305,318.8 → 7,072,644.7 тыс.сом (**+12.17%**)</t>
  </si>
  <si>
    <t>4.  **Министерство водных ресурсов, сельского** — *Государственная поддержка и развитие растениеводства*: 479,788.0 → 643,477.5 тыс.сом (**+34.12%**)",63940,2,The answer addresses the correct entity (count of programs) but provides the wrong number (4 instead of the correct 9).,16000</t>
  </si>
  <si>
    <t>qwen3.5,markdown_16000tok,15,hard,indicator,How many rows in the budget have a performance indicator measured in people (чел.)?,50,"24 rows have performance indicators measuring counts of individuals (e.g., ""Количество лиц"", ""Количество детей"", ""Количество пациентов"", ""Количество выпускников"", ""Количество специалистов"", ""Количество врачей"", ""Количество ЛОВЗ"", ""Количество ветеранов"", ""Количество</t>
  </si>
  <si>
    <t>безработных"", ""Количество служащих"", ""Количес</t>
  </si>
  <si>
    <t>тво слу</t>
  </si>
  <si>
    <t>ша</t>
  </si>
  <si>
    <t>те</t>
  </si>
  <si>
    <t>ле</t>
  </si>
  <si>
    <t>й"",</t>
  </si>
  <si>
    <t>""Ч</t>
  </si>
  <si>
    <t>исленность сотрудников"", ""Количество обслуживаемых"", ""Количество получающих пособия"", ""Годовой объем обучающихся студентов"", ""Количество зарегистрированных с сахарным диабетом""). The unit ""чел."" is not explicitly written in the indicator text, but the indicators semantically represent headcounts.</t>
  </si>
  <si>
    <t>**Precise Count:** 24",63940,2,The model identified the correct type of rows but gave an incorrect count (24 instead of the reference 50).,16000</t>
  </si>
  <si>
    <t>qwen3.5,markdown_16000tok,16,hard,aggregation,What share of the total 2026 program budget goes to the Ministry of Finance (General State Expenditures)?,"56% (332,149,236.2 out of  593,028,014.9)","The budget for the Ministry of Finance program ""Общегосударственные программы"" (General State Programs) in 2026 is 164,663,857.2 thousand som. The provided context does not explicitly state the total 2026 program bud</t>
  </si>
  <si>
    <t>get sum required to calculate the exact share.",6</t>
  </si>
  <si>
    <t>3940,0,</t>
  </si>
  <si>
    <t>"T</t>
  </si>
  <si>
    <t>wer does not provide the correct share (56%) and gives an unrelated figure, failing to answer the question.",16000</t>
  </si>
  <si>
    <t>qwen3.5,markdown_16000tok,17,hard,lookup,Which budget measure (not program) has the largest 2026 funding?,"Повышение социальных выплат - 76,517,019.4","Ministry: Министерство финансов Кыргызской Республики</t>
  </si>
  <si>
    <t>Measure: Повышение социальных выплат</t>
  </si>
  <si>
    <t>2026 Funding: 76517019.4 тыс.сом",63940,3,The model correctly identifies the measure 'Повышение социальных выплат' and provides the exact funding amount matching the reference.,16000</t>
  </si>
  <si>
    <t>qwen3.5,markdown_16000tok,18,hard,comparison,Which program under the Ministry of Emergency Situations receives the most 2026 funding?,"Управление материальными ценностями государственного и мобилизационного резерва  4,522,247.8 тыс. сом","The provided context does not contain information about programs under the Ministry of Emergency Situations. The ministry is not listed in the table; the only reference to ""МЧ</t>
  </si>
  <si>
    <t>С"" is a measure under the Ministry of Finance ("</t>
  </si>
  <si>
    <t>"Спецсч</t>
  </si>
  <si>
    <t>ет</t>
  </si>
  <si>
    <t>М</t>
  </si>
  <si>
    <t>ЧС</t>
  </si>
  <si>
    <t>КР"</t>
  </si>
  <si>
    <t>")."</t>
  </si>
  <si>
    <t>,63940,0,"The model answer does not provide the correct program or funding amount, contradicting the reference answer.",16000</t>
  </si>
  <si>
    <t>qwen3.5,markdown_16000tok,19,hard,multi-step,How many total budget programs and budget measures are in the 2026 program-based budget?,168 programs and 342 measures,"Based on the provided context for the 2026 program-based budget (Приложение 14):</t>
  </si>
  <si>
    <t>*   **Total Budget Programs:** 80</t>
  </si>
  <si>
    <t>*   **Total Budget Measures:** 257",63940,0,Both the number of programs and measures are incorrect compared to the reference answer.,16000</t>
  </si>
  <si>
    <t>qwen3.5,markdown_16000tok,20,hard,multi-step,Which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**Министерство финансов Кыргызской Республ** — Общегосударственные программы: 164,663,857.2 (202</t>
  </si>
  <si>
    <t>6) to 112,194,631.2 (2027). Decrease: 52,469,226.</t>
  </si>
  <si>
    <t>0 тыс.с</t>
  </si>
  <si>
    <t>ом</t>
  </si>
  <si>
    <t>2. **Министерство водных ресурсов, сельского** — Государственная поддержка и развитие ирригации: 5,039,751.9 (2026) to 3,774,682.8 (2027). Decrease: 1,265,069.1 тыс.сом.</t>
  </si>
  <si>
    <t>3. **Министерство финансов Кыргызской Республ** — Администрирование государственных доходов: 10,614,609.5 (2026) to 9,479,566.8 (2027). Decrease: 1,135,042.7 тыс.сом.",63940,2,"The answer includes two of the three correct programs but replaces 'Реализация проектов государственных инвестиций' with an incorrect program, so it's partially correct.",16000</t>
  </si>
  <si>
    <t>qwen3.5,statements_full,1,easy,lookup,What is the 2026 funding for the 'School Education' program under the Ministry of Education?,"42,380,106.4 тыс. сом",The context does not contain information on the funding for the 'School Education' program under the Ministry of Education. The total 2026 allocation for the Ministry of Education (Министерство просвещения Кыргызской Республики) is 56.4 billion som.,32265,0,"T</t>
  </si>
  <si>
    <t>he model answer does not provide the correct fund</t>
  </si>
  <si>
    <t>ing fig</t>
  </si>
  <si>
    <t>ur</t>
  </si>
  <si>
    <t>42,</t>
  </si>
  <si>
    <t>380,</t>
  </si>
  <si>
    <t>106.4 тыс. сом and gives an unrelated total allocation.",full</t>
  </si>
  <si>
    <t>qwen3.5,statements_full,2,easy,lookup,How many budget programs does the Ministry of Health have?,8,"6 budget programs (codes 001, 372, 373, 374, 375, 376).",44203,2,"The answer correctly identifies the Ministry of Health and mentions budget programs, but gives the wrong number (6 instead of the correct 8).",full</t>
  </si>
  <si>
    <t>qwen3.5,statements_full,3,easy,lookup,Which program has the largest funding allocation in the 2026 budget?,"«Общегосударственные программы» Министерства финансов КР — 164,663,857.2 тыс. сом",The program 'Школьное образование' under 'Министерство просвещения Кыргызской Республики' has the largest funding allocation at 42.4 billion som.,28496,0,"The model gave a different program and amount, not matching the refer</t>
  </si>
  <si>
    <t>ence answer.",full</t>
  </si>
  <si>
    <t>qwen3.5,statements_full,4,easy,count,How many total ministries and agencies are represented in the program-based budget?,88,"The context lists 60 unique GRBS (budget agency) codes with allocations in the 2026 program-based budget. These include ministries, agencies, courts, funds, and other bodies (e.g., codes 11–28, 31, 34, 37–49, 50–60, 64, 65, 68–70, 74, 79, 80–88). Specific entities include 16 Ministries (e.</t>
  </si>
  <si>
    <t>g., Finance, Justice, Health) and 10 Agencies (e.</t>
  </si>
  <si>
    <t>g., Civ</t>
  </si>
  <si>
    <t>A</t>
  </si>
  <si>
    <t>n, P</t>
  </si>
  <si>
    <t>ersonal Data, Investment), along with other budget recipients labeled as ""Ministry"" or ""Agency"" in the text (e.g., Supreme Court, Accounting Chamber).</t>
  </si>
  <si>
    <t>**Total unique GRBS codes/entities listed: 60.**",29451,0,Model answer gives 60 instead of the correct total of 88 ministries and agencies.,full</t>
  </si>
  <si>
    <t>qwen3.5,statements_full,5,easy,lookup,What is the total 2026 funding for the Jogorku Kenesh (parliament)?,"1,127,306.9 тыс. сом",1.1 billion som,27738,3,"Model gave an approximate value (1.1 billion som) that correctly corresponds to the reference amount of 1,127,306.9 тыс. сом (~1.127 billion som).",full</t>
  </si>
  <si>
    <t>qwen3.5,statements_full,6,medium,aggregation,What is the total 2026 funding across all programs of the Ministry of Education?,"56,424,894.11 тыс. сом","The total 2026 allocation for 'Министерство просвещения Кыргызской Республики' is 56,424,894.1 thousand som.",32711,3,"The model provides the same total funding value (56,424,894.1 thousand som) matching the reference answer.",full</t>
  </si>
  <si>
    <t>qwen3.5,statements_full,7,medium,aggregation,What is the total budget across all program-level items for 2026?,"Примерно 593.2 млрд сом (593,152,147.3 тыс. сом)","The context does not contain enough information to determine the total budget across all program-level items for 2026. While individual allocations for various ministries and agencies are provided, no aggregate total is stated.",26064,0,"The model clai</t>
  </si>
  <si>
    <t>ms insufficient information, whereas the referenc</t>
  </si>
  <si>
    <t>total budget figure.",full</t>
  </si>
  <si>
    <t>qwen3.5,statements_full,8,medium,comparison,Which ministry receives more funding: Ministry of Health or Ministry of Education?,"Министерство просвещения — 56,424,894.11 тыс. сом против 41,621,347.3  тыс. сом у здравоохранения","Ministry 'Министерство просвещения Кыргызской Республики' (code 34) receives more funding: 56,424,894.1 thousand som in 2026.</t>
  </si>
  <si>
    <t>Ministry 'Министерство здравоохранения Кыргызской Республики' (code 37): 41,621,347.3 thousand som in 2026.",41486,3,The model correctly identifies the Ministry of Education as receiving more funding and provides the accurate figures matching the reference.,full</t>
  </si>
  <si>
    <t>qwen3.5,statements_full,9,medium,comparison,"Does the total program-level budget grow or shrink between 2026 and 2027, and by what percentage?",declines by 7.1%,The context does not contain enough information to determine the total program-level budget growth or shrinkage percentage between 2026 and 2027. It only provides budget change percentages and allocations for specific individual ministries and agencies.,</t>
  </si>
  <si>
    <t>26225,0,"The model claims insufficient informatio</t>
  </si>
  <si>
    <t>n, wher</t>
  </si>
  <si>
    <t>ea</t>
  </si>
  <si>
    <t>nce provides a specific decline of 7.1%.",full</t>
  </si>
  <si>
    <t>qwen3.5,statements_full,10,medium,lookup,Which program has the smallest non-zero funding in 2026?,«Внесение предложений по защите материальных и социальных прав ветеранов» — 739.4 тыс. сом,Program 40/402 'Внесение предложений по защите материальных и социальных прав ветеранов и ветеранских организаций': 739.4 тыс. сом.,28942,3,The model correctly identifies the program and the exact funding amount matching the r</t>
  </si>
  <si>
    <t>eference.,full</t>
  </si>
  <si>
    <t>qwen3.5,statements_full,11,medium,indicator,What is the most commonly used unit of measurement for performance indicators in the 2026 budget?,Процент (%),[ERROR: 'NoneType' object has no attribute 'strip'],34521,-1,"API error, not evaluated",full</t>
  </si>
  <si>
    <t>qwen3.5,statements_full,12,medium,aggregation,What is the total 2026 program funding for the Ministry of Transport and Communications?,"16,881,928.10","16,881,928.1 thousand som (16.9 billion som)",29453,3,"The model provides the exact numeric value (16,881,928.1 ≈ 16,881,928.10) matching the reference answer.",full</t>
  </si>
  <si>
    <t>qwen3.5,statements_full,13,hard,filter,How many ministries/agencies have exactly one budget program?,19,"Based on the provided context, 22 ministries/agencies are explicitly listed with exactly one budget program. The context does not specify the number of programs for the other listed ministries.</t>
  </si>
  <si>
    <t>**Ministries/Agencies with exactly one program (22):**</t>
  </si>
  <si>
    <t>21. Министерство иностранных дел Кыргызской Республики (code 23)</t>
  </si>
  <si>
    <t>22. Министерство здравоохранения Кыргызской Республики (code 37)</t>
  </si>
  <si>
    <t>**Ministries/Agencies with more than one program (3):**</t>
  </si>
  <si>
    <t>**Ministries/Agencies with unspecified program count:**</t>
  </si>
  <si>
    <t>33 ministries/agencies are mentioned as allocated budget programs without specific program breakdowns in the context.",33104,2,"The model gave a number (22) for ministries/agencies with exactly one program, but the correct number is 19, so the answer is partially correct.",full</t>
  </si>
  <si>
    <t>qwen3.5,statements_full,14,hard,filter,How many programs show funding growth of more than 10% between 2026 and 2027?,9,"3 programs show funding growth of more than 10% between 2026 and 2027:</t>
  </si>
  <si>
    <t>2. Program 41/413 'Государственная поддержка и развитие растениеводства' (34.1% growth, from 479,788.0 to 643,477.5 тыс. сом).</t>
  </si>
  <si>
    <t>3. Program 43/001 'Управление и администрирование' (25.5% growth, from 119,287.5 to 149,718.3 тыс. сом).",26917,2,The model identified the correct type of entity (program count) but gave an incorrect number (3 instead of the correct 9).,full</t>
  </si>
  <si>
    <t>qwen3.5,statements_full,15,hard,indicator,How many rows in the budget have a performance indicator measured in people (чел.)?,50,27,34915,0,"The model gave 27 instead of the correct number 50, so the answer is incorrect.",full</t>
  </si>
  <si>
    <t>qwen3.5,statements_full,16,hard,aggregation,What share of the total 2026 program budget goes to the Ministry of Finance (General State Expenditures)?,"56% (332,149,236.2 out of  593,028,014.9)","The context does not provide the total 2026 program budget required to calculate the share. The 2026 allocation for 'Министерство финансов Кыргызской Республики (Общегосударственные программы, мероприятия и выплаты)' is</t>
  </si>
  <si>
    <t>332,149,236.1 thousand som.",29800,0,"The model a</t>
  </si>
  <si>
    <t>nswer f</t>
  </si>
  <si>
    <t>ls</t>
  </si>
  <si>
    <t>o pr</t>
  </si>
  <si>
    <t>e the required share percentage (56%) and claims insufficient data, missing the key fact.",full</t>
  </si>
  <si>
    <t>qwen3.5,statements_full,17,hard,lookup,Which budget measure (not program) has the largest 2026 funding?,"Повышение социальных выплат - 76,517,019.4",Budget measure 'Повышение социальных выплат' receives 76.5 billion som in 2026.,29348,3,The model correctly identifies the measure and provides the matching funding amount (rounded),full</t>
  </si>
  <si>
    <t>qwen3.5,statements_full,18,hard,comparison,Which program under the Ministry of Emergency Situations receives the most 2026 funding?,"Управление материальными ценностями государственного и мобилизационного резерва  4,522,247.8 тыс. сом","Under Ministry 'Министерство чрезвычайных ситуаций Кыргызской Республики' (code 45), the program 'Управление и администрирование' (code 001) is allocated 184,945.8 thousand som i</t>
  </si>
  <si>
    <t>n 2026.",31609,0,"The model gave a different prog</t>
  </si>
  <si>
    <t>ram and</t>
  </si>
  <si>
    <t>ot m</t>
  </si>
  <si>
    <t>atching the reference answer.",full</t>
  </si>
  <si>
    <t>qwen3.5,statements_full,19,hard,multi-step,How many total budget programs and budget measures are in the 2026 program-based budget?,168 programs and 342 measures,The provided context does not contain information on the total number of budget programs and budget measures.,29254,0,"The model did not provide the required numbers, stating lack of information, which is incorrect.",full</t>
  </si>
  <si>
    <t>qwen3.5,statements_full,20,hard,multi-step,Which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Program 22/001 'Управление и администрирование': 16,245.7 тыс. сом (282,746.0 - 266,500.3)</t>
  </si>
  <si>
    <t>2. Program 21/001 'Управление и администрирование': 946.8 тыс. сом (115,861.1 - 114,914.3)</t>
  </si>
  <si>
    <t>3. Program 46/001 'Управление и администрирование': 65.9 тыс. сом (6,239.5 - 6,173.6)",33951,0,"The model answer lists different programs and values, not the three programs identified in the reference answer.",full</t>
  </si>
  <si>
    <t>qwen3.5,markdown_full,1,easy,lookup,What is the 2026 funding for the 'School Education' program under the Ministry of Education?,"42,380,106.4 тыс. сом",42380106.4 thousand soms,104672,3,The model provides the exact same numeric value and unit as the reference answer.,full</t>
  </si>
  <si>
    <t>qwen3.5,markdown_full,2,easy,lookup,How many budget programs does the Ministry of Health have?,8,7 budget programs,104672,2,The answer references the correct entity (Ministry of Health budget programs) but gives the wrong number (7 instead of 8).,full</t>
  </si>
  <si>
    <t>qwen3.5,markdown_full,3,easy,lookup,Which program has the largest funding allocation in the 2026 budget?,"«Общегосударственные программы» Министерства финансов КР — 164,663,857.2 тыс. сом","Ministry: Министерство финансов Кыргызской Республики</t>
  </si>
  <si>
    <t>Program: Общегосударственные программы</t>
  </si>
  <si>
    <t>2026 Allocation: 164663857.2 тыс.сом",104672,3,The model correctly identifies the program and exact funding amount matching the reference.,full</t>
  </si>
  <si>
    <t>qwen3.5,markdown_full,4,easy,count,How many total ministries and agencies are represented in the program-based budget?,88,"59 unique entities are listed under the ""Ministry"" column in the provided budget table.",104672,0,"The model gave 59 ministries only, which is incorrect and omits agencies; the correct total is 88.",full</t>
  </si>
  <si>
    <t>qwen3.5,markdown_full,5,easy,lookup,What is the total 2026 funding for the Jogorku Kenesh (parliament)?,"1,127,306.9 тыс. сом","Total 2026 funding for the Jogorku Kenesh is 1,127,306.9 thousand som.</t>
  </si>
  <si>
    <t>Breakdown by program:</t>
  </si>
  <si>
    <t>*   Управление и администрирование: 1,047,143.9 thousand som</t>
  </si>
  <si>
    <t>*   Обеспечение информацией о деятельности, контроля исполнения,: 80,163.0 thousand som",104672,3,The model provides the exact total funding value matching the reference.,full</t>
  </si>
  <si>
    <t>qwen3.5,markdown_full,6,medium,aggregation,What is the total 2026 funding across all programs of the Ministry of Education?,"56,424,894.11 тыс. сом","Total 2026 funding for Ministry of Education (Министерство просвещения Кыргызской Респ) programs: 55,412,714.1 thousand som.</t>
  </si>
  <si>
    <t>4. Начальное и среднее профессиональное образование: 2,178,080.8",104672,2,"The answer addresses the correct entity (total 2026 funding for Ministry of Education) but gives an incorrect total amount (55,412,714.1 vs. 56,424,894.11 thousand som).",full</t>
  </si>
  <si>
    <t>qwen3.5,markdown_full,7,medium,aggregation,What is the total budget across all program-level items for 2026?,"Примерно 593.2 млрд сом (593,152,147.3 тыс. сом)","550,536,543.2 тыс.сом",104672,2,Identifies the total budget (correct entity) but gives an incorrect amount (550.5 bn vs 593.2 bn).,full</t>
  </si>
  <si>
    <t>qwen3.5,markdown_full,8,medium,comparison,Which ministry receives more funding: Ministry of Health or Ministry of Education?,"Министерство просвещения — 56,424,894.11 тыс. сом против 41,621,347.3  тыс. сом у здравоохранения","Министерство просвещения Кыргызской Респ: 56,424,894.1 тыс.сом (сумма программ и мер: 1,962,869.4 + 8,891,657.5 + 42,380,106.4 + 2,178,080.8 + 1,012,180.0).</t>
  </si>
  <si>
    <t>Министерство здравоохранения Кыргызской: 41,621,347.3 тыс.сом (сумма программ: 321,933.8 + 2,170,534.1 + 6,305,318.8 + 962,011.6 + 11,104,430.6 + 15,638,295.2 + 2,530,800.0 + 2,588,023.2).</t>
  </si>
  <si>
    <t>Министерство просвещения Кыргызской Респ получает больше финансирования.",104672,3,"The model correctly identifies the Ministry of Education receives more funding, matching the reference values.",full</t>
  </si>
  <si>
    <t>qwen3.5,markdown_full,9,medium,comparison,"Does the total program-level budget grow or shrink between 2026 and 2027, and by what percentage?",declines by 7.1%,"The context does not provide a total sum for the program-level budget, only individual line items. Therefore, the exact percentage change cannot be calculated precisely from the provided text alone. However, major program items indicate a shrinkage (e.g.,</t>
  </si>
  <si>
    <t>Ministry of Finance ""Общегосударственные програ</t>
  </si>
  <si>
    <t>ммы"" d</t>
  </si>
  <si>
    <t>es f</t>
  </si>
  <si>
    <t>rom</t>
  </si>
  <si>
    <t>164,663,857.2 to 112,194,631.2 thousand som, and ""Стабилизационный фонд КР"" measure within it decreases from 50,000,000.0 to 10,000,000.0 thousand som), while others grow (e.g., Ministry of Finance ""Государственные программы, мероприятия и выплаты"" increases from 118,757,161.3 to 131,802,316.2 thousand som). Without a consolidated total, a precise percentage is unavailable.</t>
  </si>
  <si>
    <t>*Correction*: I should be concise and just state the limitation if I can't be precise.</t>
  </si>
  <si>
    <t>*Revised Plan*: State that the total is not provided.</t>
  </si>
  <si>
    <t>*Wait, I can try to sum the Program rows specifically.*</t>
  </si>
  <si>
    <t>There are ~150 Program rows.</t>
  </si>
  <si>
    <t>Let's look at the instruction again: ""Be precise with numbers. If the context doesn't contain enough information, say so.""</t>
  </si>
  <si>
    <t>Since I cannot guarantee precision on a manual sum of 150 items, I must say so.</t>
  </si>
  <si>
    <t>*Final Answer Formulation*: The context does not contain the total program-level budget sum.",104672,0,"Model answer does not provide the required percentage change and states insufficient data, contradicting the reference that the budget declines by 7.1%.",full</t>
  </si>
  <si>
    <t>qwen3.5,markdown_full,10,medium,lookup,Which program has the smallest non-zero funding in 2026?,«Внесение предложений по защите материальных и социальных прав ветеранов» — 739.4 тыс. сом,"Program: Внесение предложений по защите материальных и социальных пра</t>
  </si>
  <si>
    <t>Funding (2026): 739.4 тыс.сом",104672,3,"The model correctly identifies the program and its 2026 funding of 739.4 тыс. сом, matching the reference answer.",full</t>
  </si>
  <si>
    <t>qwen3.5,markdown_full,11,medium,indicator,What is the most commonly used unit of measurement for performance indicators in the 2026 budget?,Процент (%),"The context does not explicitly specify units of measurement. Indicator names most frequently reference ""Количество"" (Count), ""Процент"" (Percent), and ""Индекс"" (Index).",104672,0,"The model fails to identify Percent as the most common unit and instead says</t>
  </si>
  <si>
    <t>the context doesn't specify, providing an incorr</t>
  </si>
  <si>
    <t>ect ans</t>
  </si>
  <si>
    <t>qwen3.5,markdown_full,12,medium,aggregation,What is the total 2026 program funding for the Ministry of Transport and Communications?,"16,881,928.10","9,876,687.9 тыс.сом",104672,2,Correct entity (Ministry of Transport and Communications) but the funding amount is incorrect.,full</t>
  </si>
  <si>
    <t>qwen3.5,markdown_full,13,hard,filter,How many ministries/agencies have exactly one budget program?,19,"21 ministries/agencies have exactly one budget program.</t>
  </si>
  <si>
    <t>**List of ministries/agencies with 1 program:**</t>
  </si>
  <si>
    <t>8. Общественное объединение «Республикански</t>
  </si>
  <si>
    <t>9. Государственное агентство по земельным р</t>
  </si>
  <si>
    <t>14. Национальное агентство по делам религий</t>
  </si>
  <si>
    <t>15. Секретариат Национальной комиссии Кыргыз</t>
  </si>
  <si>
    <t>16. Секретариат Совета безопасности Кыргызск</t>
  </si>
  <si>
    <t>17. Государственное учреждение «Клиническая</t>
  </si>
  <si>
    <t>18. Секретариат Народного Курултая</t>
  </si>
  <si>
    <t>19. Редакции журналов и газет</t>
  </si>
  <si>
    <t>20. Государственное учреждение «Дирекция по</t>
  </si>
  <si>
    <t>21. Центр перевода Кабинета Министров Кыргыз",104672,2,The model identified the correct type of answer (a count) but gave the wrong number (21 instead of 19).,full</t>
  </si>
  <si>
    <t>qwen3.5,markdown_full,14,hard,filter,How many programs show funding growth of more than 10% between 2026 and 2027?,9,"7 programs show funding growth of more than 10% between 2026 and 2027:</t>
  </si>
  <si>
    <t>1.  **Министерство юстиции Кыргызской Республики** — Осуществление государственной регистрации, перерегистрации и (13.06%)</t>
  </si>
  <si>
    <t>2.  **Министерство финансов Кыргызской Республики** — Государственные программы, мероприятия и выплаты (10.98%)</t>
  </si>
  <si>
    <t>3.  **Министерство здравоохранения Кыргызской Республики** — Программа «Организация предоставления услуг здравоохранения» (12.17%)</t>
  </si>
  <si>
    <t>4.  **Министерство водных ресурсов, сельского хозяйства и перерабатывающей промышленности** — Государственная поддержка и развитие растениеводства (34.12%)</t>
  </si>
  <si>
    <t>5.  **Министерство транспорта и коммуникаций Кыргызской Республики** — Управление и администрирование (25.51%)</t>
  </si>
  <si>
    <t>6.  **Министерство транспорта и коммуникаций Кыргызской Республики** — Реабилитация международных транспортных коридоров (38.73%)</t>
  </si>
  <si>
    <t>7.  **Национальная академия наук Кыргызской Республики** — Управление и администрирование (133.59%)",104672,2,The model identified programs with &gt;10% growth but gave the wrong count (7 instead of the correct 9).,full</t>
  </si>
  <si>
    <t>qwen3.5,markdown_full,15,hard,indicator,How many rows in the budget have a performance indicator measured in people (чел.)?,50,"The context does not explicitly state the unit ""чел."" for any indicator. However, 37 rows contain performance indicators that semantically measure counts of people (e.g., ""Количество лиц"", ""Количество детей"", ""Численность сотрудников"", ""Количество пациентов"", ""Количество выпу</t>
  </si>
  <si>
    <t>скников"", ""Количество слушателей"", ""Число про</t>
  </si>
  <si>
    <t>леченны</t>
  </si>
  <si>
    <t>х</t>
  </si>
  <si>
    <t>бо</t>
  </si>
  <si>
    <t>ль</t>
  </si>
  <si>
    <t>ных"</t>
  </si>
  <si>
    <t>,104672,2,"Gives a count for rows but states 37, which is incorrect compared to the correct value of 50.",full</t>
  </si>
  <si>
    <t>qwen3.5,markdown_full,16,hard,aggregation,What share of the total 2026 program budget goes to the Ministry of Finance (General State Expenditures)?,"56% (332,149,236.2 out of  593,028,014.9)","The context does not provide the total 2026 program budget sum required to calculate the share. The Ministry of Finance program ""Общегосударственные программы"" is allocated 164,663,857.2 thousand soms in 2026.",104672,0,</t>
  </si>
  <si>
    <t>"The model answer does not provide the correct sh</t>
  </si>
  <si>
    <t>are (56</t>
  </si>
  <si>
    <t>%)</t>
  </si>
  <si>
    <t>giv</t>
  </si>
  <si>
    <t>es u</t>
  </si>
  <si>
    <t>nrelated figures, failing to answer the question.",full</t>
  </si>
  <si>
    <t>qwen3.5,markdown_full,17,hard,lookup,Which budget measure (not program) has the largest 2026 funding?,"Повышение социальных выплат - 76,517,019.4","Measure: Повышение социальных выплат</t>
  </si>
  <si>
    <t>2026 Funding: 76517019.4 тыс.сом",104672,3,The model correctly identifies the measure and provides the exact funding amount matching the reference.,full</t>
  </si>
  <si>
    <t>qwen3.5,markdown_full,18,hard,comparison,Which program under the Ministry of Emergency Situations receives the most 2026 funding?,"Управление материальными ценностями государственного и мобилизационного резерва  4,522,247.8 тыс. сом","Программа: Управление материальными ценностями государственного и мобил</t>
  </si>
  <si>
    <t>Финансирование 2026: 4522247.8 тыс.сом",104672,3,The model correctly identified the program and provided the exact 2026 funding amount matching the reference.,full</t>
  </si>
  <si>
    <t>qwen3.5,markdown_full,19,hard,multi-step,How many total budget programs and budget measures are in the 2026 program-based budget?,168 programs and 342 measures,"Based on the provided context for the 2026 program-based budget (Приложение 14):</t>
  </si>
  <si>
    <t>*   **Total Budget Programs:** 153</t>
  </si>
  <si>
    <t>*   **Total Budget Measures:** 330</t>
  </si>
  <si>
    <t>*   **Total Items:** 483",104672,2,The answer addresses the correct entities (programs and measures) but provides incorrect numbers for both.,full</t>
  </si>
  <si>
    <t>qwen3.5,markdown_full,20,hard,multi-step,Which programs show the largest absolute funding decrease from 2026 to 2027? Name the top 3.,1) Общегосударственные программы (МинФин); 2) Реализация проектов государственных инвестиций (Минводресурсов) 3) Государственная поддержка и развитие ирригации (Минводресурсов),"1. Министерство финансов Кыргызской Республ — Общегосударственные программы: 52,469,226.0 тыс.сом</t>
  </si>
  <si>
    <t>2. Министерство водных ресурсов, сельского — Государственная поддержка и развитие ирригации: 1,265,069.1 тыс.сом</t>
  </si>
  <si>
    <t>3. Министерство финансов Кыргызской Республ — Администрирование государственных доходов: 1,135,042.7 тыс.сом",104672,2,Model correctly identified two of the three programs with the largest funding decrease but listed an incorrect third program.,full</t>
  </si>
  <si>
    <t>context</t>
  </si>
  <si>
    <t>question_id</t>
  </si>
  <si>
    <t>difficulty</t>
  </si>
  <si>
    <t>category</t>
  </si>
  <si>
    <t>question_en</t>
  </si>
  <si>
    <t>reference_answer</t>
  </si>
  <si>
    <t>model_answer</t>
  </si>
  <si>
    <t>context_chars</t>
  </si>
  <si>
    <t>judge_score</t>
  </si>
  <si>
    <t>judge_reasoning</t>
  </si>
  <si>
    <t>token_budget</t>
  </si>
  <si>
    <t>gemma4</t>
  </si>
  <si>
    <t>statements_2000tok</t>
  </si>
  <si>
    <t>The provided context does not contain information regarding the 'School Education' program.</t>
  </si>
  <si>
    <t>The model did not provide the required funding figure, stating no information instead of the correct value.</t>
  </si>
  <si>
    <t>The provided context does not contain information regarding the number of budget programs for the Ministry of Health.</t>
  </si>
  <si>
    <t>The model did not provide the correct number (8) and claimed the information was unavailable, which is incorrect.</t>
  </si>
  <si>
    <t>Министерство просвещения Кыргызской Республики (56.4 billion som).</t>
  </si>
  <si>
    <t>The model gave a different program and amount, not matching the reference answer.</t>
  </si>
  <si>
    <t>The answer addresses the correct entity (total ministries and agencies) but provides an incorrect number (56 instead of 88).</t>
  </si>
  <si>
    <t>1.1 billion som</t>
  </si>
  <si>
    <t>Model gave an approximate value (1.1 billion som) that correctly corresponds to the reference amount of 1,127,306.9 тыс. сом (~1.127 billion som).</t>
  </si>
  <si>
    <t>The provided context does not contain information regarding a "Ministry of Education"; however, the total 2026 allocation for 'Министерство просвещения Кыргызской Республики' is 56.4 billion som.</t>
  </si>
  <si>
    <t>Model provides the correct total funding value (≈56.4 billion som) matching the reference amount.</t>
  </si>
  <si>
    <t>The provided context does not contain the total budget across all program-level items for 2026.</t>
  </si>
  <si>
    <t>Model answer claims the information is missing, but reference provides the total budget value, so the answer is incorrect.</t>
  </si>
  <si>
    <t>The provided context does not contain funding information for the Ministry of Health (code 37) or the Ministry of Education (code 34).</t>
  </si>
  <si>
    <t>The model claims no funding info is present, contradicting the reference which provides the amounts and indicates Education receives more.</t>
  </si>
  <si>
    <t>The provided context does not contain information regarding the total program-level budget for the Kyrgyz Republic; it only lists changes for individual entities.</t>
  </si>
  <si>
    <t>The model did not provide the required answer about the budget change, stating lack of information instead of the correct 7.1% decline.</t>
  </si>
  <si>
    <t>Program 45/263 'Общегосударственные программы' has 0.0 тыс. сом, so the smallest non-zero funding in 2026 is Program 68/001 'Управление и администрирование' with 8,993.7 тыс. сом.</t>
  </si>
  <si>
    <t>The model answer gives a different program and amount, not matching the reference's smallest non-zero funding of 739.4 тыс. сом.</t>
  </si>
  <si>
    <t>Процент (%)</t>
  </si>
  <si>
    <t>The most commonly used unit of measurement is percent (%).</t>
  </si>
  <si>
    <t>The model correctly identifies the unit as percent (%), matching the reference answer.</t>
  </si>
  <si>
    <t>16.9 billion som</t>
  </si>
  <si>
    <t>The model gave 16.9 billion som, which does not match the reference value of 16,881,928.10 som.</t>
  </si>
  <si>
    <t>The provided context does not contain information regarding the number of budget programs allocated to each ministry/agency.</t>
  </si>
  <si>
    <t>The model did not provide the correct number (19) and claimed lack of information, which is incorrect.</t>
  </si>
  <si>
    <t>3 programs:</t>
  </si>
  <si>
    <t>1. Program 43/001 (119</t>
  </si>
  <si>
    <t>287.5 to 149</t>
  </si>
  <si>
    <t>718.3)</t>
  </si>
  <si>
    <t>2. Program 69/001 (funding decreased) - *Correction*: Program 80/001 (60</t>
  </si>
  <si>
    <t>662.6 to 141</t>
  </si>
  <si>
    <t>699.7)</t>
  </si>
  <si>
    <t>3. Program 43/001</t>
  </si>
  <si>
    <t xml:space="preserve"> Program 80/001</t>
  </si>
  <si>
    <t xml:space="preserve"> and Program 64/001 (61</t>
  </si>
  <si>
    <t>534.1 to 64</t>
  </si>
  <si>
    <t>812.7 is not &gt;10%).</t>
  </si>
  <si>
    <t>- Program 43/001: 119</t>
  </si>
  <si>
    <t>718.3 (&gt;10%)</t>
  </si>
  <si>
    <t>- Program 80/001: 60</t>
  </si>
  <si>
    <t>699.7 (&gt;10%)"</t>
  </si>
  <si>
    <t>The model identified the correct type of entity (number of programs) but gave an incorrect count (3 instead of the correct 9).</t>
  </si>
  <si>
    <t>The model answer gives 11, which does not match the correct value of 50.</t>
  </si>
  <si>
    <t>The provided context does not contain information regarding the total 2026 program budget or the specific amount allocated to the Ministry of Finance (General State Expenditures).</t>
  </si>
  <si>
    <t>The model claims no information is available, whereas the reference provides a specific share (56%).</t>
  </si>
  <si>
    <t>Государственный долг (38.0 billion som)</t>
  </si>
  <si>
    <t>The model gave a different budget measure and amount, not the correct 'Повышение социальных выплат' with 76,517,019.4.</t>
  </si>
  <si>
    <t>The provided context does not contain information regarding the specific programs or funding amounts for the Ministry of Emergency Situations (Министерство чрезвычайных ситуаций Кыргызской Республики).</t>
  </si>
  <si>
    <t>The model answer does not provide the program or funding amount, contrary to the reference answer.</t>
  </si>
  <si>
    <t>The provided context does not contain information regarding the total number of budget programs and budget measures.</t>
  </si>
  <si>
    <t>The model did not provide the required numbers and claimed lack of information, which is incorrect.</t>
  </si>
  <si>
    <t>The provided context contains percentage changes but does not provide the absolute funding amounts; therefore, it is impossible to determine which programs show the largest absolute funding decrease.</t>
  </si>
  <si>
    <t>The model claims insufficient data and does not provide the three programs listed in the reference, thus it is incorrect.</t>
  </si>
  <si>
    <t>markdown_2000tok</t>
  </si>
  <si>
    <t>The provided context does not contain information regarding a Ministry of Education or a 'School Education' program.</t>
  </si>
  <si>
    <t>The model answer does not provide the required funding figure and incorrectly claims the information is missing.</t>
  </si>
  <si>
    <t>The provided context does not contain information regarding the Ministry of Health.</t>
  </si>
  <si>
    <t>The model did not provide the correct number (8) and instead claimed lack of information.</t>
  </si>
  <si>
    <t>Реализация государственной политики и осуществление межотрас (3297739.7 тыс.сом)</t>
  </si>
  <si>
    <t>The model gave 6, but the correct total is 88, so the answer is incorrect.</t>
  </si>
  <si>
    <t>1,127,306.9 тыс.сом</t>
  </si>
  <si>
    <t>Exact match of the numeric value and unit; formatting difference is negligible.</t>
  </si>
  <si>
    <t>The provided context does not contain information regarding the Ministry of Education.</t>
  </si>
  <si>
    <t>The model answer does not provide the required funding figure and states lack of information, which is incorrect.</t>
  </si>
  <si>
    <t>11,211,131.1 тыс.сом</t>
  </si>
  <si>
    <t>The model's figure (11,211,131.1 тыс. сом) does not match the reference total budget of approximately 593,152,147.3 тыс. сом.</t>
  </si>
  <si>
    <t>The provided context does not contain information regarding the funding for the Ministry of Health or the Ministry of Education.</t>
  </si>
  <si>
    <t>The model claims no information is available, but the reference provides specific funding figures showing Education receives more.</t>
  </si>
  <si>
    <t>To determine the total program-level budget, only entries marked as "program" are summed:</t>
  </si>
  <si>
    <t>*   Жогорку Кенеш (Управление и администрирование): 1</t>
  </si>
  <si>
    <t>*   Жогорку Кенеш (Обеспечение информацией...): 80</t>
  </si>
  <si>
    <t>*   Администрация Президента (Администрация Президента КР): 669</t>
  </si>
  <si>
    <t>*   Архив Президента (Управление и администрирование): 18</t>
  </si>
  <si>
    <t>*   Фонды Президента и Кабинета Министров (Фонд Президента...): 2</t>
  </si>
  <si>
    <t>*   Управление делами Президента (Обеспечение и координация...): 2</t>
  </si>
  <si>
    <t>*   Управление делами Президента (Организация и координация...): 805</t>
  </si>
  <si>
    <t>*   Управление делами Президента (Создание и развитие...): 116</t>
  </si>
  <si>
    <t>*   Управление делами Президента (Реализация государственной политики...): 3</t>
  </si>
  <si>
    <t>*   Верховный суд (Управление и администрирование): 406</t>
  </si>
  <si>
    <t>*   Верховный суд (Эффективное продвижение...): 290</t>
  </si>
  <si>
    <t>*   Верховный суд (Управление и общая координация...): 3</t>
  </si>
  <si>
    <t>**Total 2026: 11</t>
  </si>
  <si>
    <t>480.5 тыс.сом**</t>
  </si>
  <si>
    <t>*   Администрация Президента (Администрация Президента КР): 683</t>
  </si>
  <si>
    <t>*   Управление делами Президента (Организация и координация...): 819</t>
  </si>
  <si>
    <t>*   Управление делами Президента (Создание и развитие...): 119</t>
  </si>
  <si>
    <t>*   Верховный суд (Управление и администрирование): 409</t>
  </si>
  <si>
    <t>*   Верховный суд (Эффективное продвижение...): 296</t>
  </si>
  <si>
    <t>**Total 2027: 11</t>
  </si>
  <si>
    <t>130.7 тыс.сом**</t>
  </si>
  <si>
    <t>The budget shrinks by 198</t>
  </si>
  <si>
    <t>349.8 тыс.сом</t>
  </si>
  <si>
    <t xml:space="preserve"> which is a decrease of approximately 1.71%."</t>
  </si>
  <si>
    <t>Correctly identifies a shrink but gives the wrong percentage (1.71% vs the correct 7.1%).</t>
  </si>
  <si>
    <t>The program with the smallest non-zero funding in 2026 is "Управление и общая координация развития сельскохозяйственной" under the Верховный суд Кыргызской Республики, with 3392.5 тыс.сом.</t>
  </si>
  <si>
    <t>The model gave a different program and amount, not matching the reference's smallest non-zero funded program.</t>
  </si>
  <si>
    <t>The provided context does not specify a single unit of measurement for performance indicators; indicators are described using various metrics such as "Доля" (Share), "Количество" (Quantity/Number), "Отношение" (Ratio), "Процент" (Percentage), and "Уровень" (Level).</t>
  </si>
  <si>
    <t>The model answer does not provide the correct unit (Процент) and instead claims no single unit is specified.</t>
  </si>
  <si>
    <t>The provided context does not contain information regarding the Ministry of Transport and Communications.</t>
  </si>
  <si>
    <t>The model did not provide the required funding figure and incorrectly claimed the information was unavailable.</t>
  </si>
  <si>
    <t>3 (Архив Президента Кыргызской Республики, Администрация Президента Кыргызской Респ, Фонды Президента и Кабинета Министров Кы)</t>
  </si>
  <si>
    <t>The model gave the number 3 instead of the correct 19, so the answer is incorrect.</t>
  </si>
  <si>
    <t>The model answered 0, which does not match the correct value of 9.</t>
  </si>
  <si>
    <t>The provided context does not contain any performance indicators measured in people (чел.).</t>
  </si>
  <si>
    <t>Model answer states there are none, contradicting the correct answer of 50 rows.</t>
  </si>
  <si>
    <t>The provided context does not contain information regarding the Ministry of Finance (General State Expenditures).</t>
  </si>
  <si>
    <t>The model answer incorrectly states no information is available, whereas the reference provides the correct share (56%).</t>
  </si>
  <si>
    <t>Регистрация населения и актов гражданского состояния (2385292.1 тыс.сом)</t>
  </si>
  <si>
    <t>The model gave a different budget measure and amount, not matching the reference answer.</t>
  </si>
  <si>
    <t>The provided context does not contain information regarding the Ministry of Emergency Situations.</t>
  </si>
  <si>
    <t>The model answer does not provide the required program and funding, instead claims lack of information, which is incorrect.</t>
  </si>
  <si>
    <t>Total budget programs: 12</t>
  </si>
  <si>
    <t>Total budget measures: 28"</t>
  </si>
  <si>
    <t>The model gave incorrect numbers for both programs and measures, not matching the reference answer.</t>
  </si>
  <si>
    <t>1. Обеспечение и координация деятельности по реализации единой (Управление делами Президента Кыргызской): decrease of 265,953.9 тыс.сом</t>
  </si>
  <si>
    <t>2. No other programs show a funding decrease from 2026 to 2027."</t>
  </si>
  <si>
    <t>The answer lists an unrelated program and fails to provide the three programs identified in the reference.</t>
  </si>
  <si>
    <t>statements_8000tok</t>
  </si>
  <si>
    <t>The provided context does not contain information regarding a 'School Education' program or its funding.</t>
  </si>
  <si>
    <t>The model says no information is available, contradicting the reference which provides a specific funding amount.</t>
  </si>
  <si>
    <t>The Ministry of Health (Министерство здравоохранения Кыргызской Республики, code 37) has 3 budget programs:</t>
  </si>
  <si>
    <t>3. Программа «Организация предоставления услуг здравоохранения» (code 373)"</t>
  </si>
  <si>
    <t>Correctly identifies the Ministry of Health but gives the wrong number of budget programs (3 instead of 8).</t>
  </si>
  <si>
    <t>The program with the largest funding allocation in the 2026 budget is 'Школьное образование' under 'Министерство просвещения Кыргызской Республики' with 42.4 billion som.</t>
  </si>
  <si>
    <t>Based on the provided context, there are 88 distinct ministries and agencies represented (as indicated by the GRBS codes ranging from 11 to 88).</t>
  </si>
  <si>
    <t>Model answer correctly states the total number as 88, matching the reference.</t>
  </si>
  <si>
    <t>The model correctly approximates the reference value of 1,127,306.9 thousand som as about 1.1 billion som.</t>
  </si>
  <si>
    <t>The total 2026 allocation for 'Министерство просвещения Кыргызской Республики' is 56.4 billion som (or 56,424,894.1 thousand som).</t>
  </si>
  <si>
    <t>The model provides the same total funding value, correctly converting to both billion and thousand som, matching the reference.</t>
  </si>
  <si>
    <t>Ministry of Education (Министерство просвещения Кыргызской Республики) receives more funding, with 56,424,894.1 thousand som in 2026, compared to the Ministry of Health (Министерство здравоохранения Кыргызской Республики), which receives 41,621,347.3 thousand som in 2026.</t>
  </si>
  <si>
    <t>The model correctly identifies the Ministry of Education as receiving more funding and provides matching figures.</t>
  </si>
  <si>
    <t>The provided context does not contain the total program-level budget for the entire 2026 program-based budget, only the growth or shrinkage percentages and allocations for individual ministries and agencies.</t>
  </si>
  <si>
    <t>The model answer does not provide the required fact that the budget declines by 7.1%.</t>
  </si>
  <si>
    <t>Program 40/402 'Внесение предложений по защите материальных и социальных прав ветеранов и ветеранских организаций' (739.4 тыс. сом).</t>
  </si>
  <si>
    <t>The model correctly identifies the program and the exact funding amount matching the reference answer.</t>
  </si>
  <si>
    <t>16.9 billion som (or 16,881,928.1 thousand som).</t>
  </si>
  <si>
    <t>Model provides the same value (16,881,928.1 thousand som) and correctly rounds to 16.9 billion som, matching the reference.</t>
  </si>
  <si>
    <t>18 ministries/agencies have exactly one budget program:</t>
  </si>
  <si>
    <t>3. Министерство энергетики Кыргызской Республики (code 55) - *Note: Context lists two programs (001 and 556)</t>
  </si>
  <si>
    <t xml:space="preserve"> so this is excluded.*</t>
  </si>
  <si>
    <t>6. Счетная палата Кыргызской Республики (code 17) - *Note: Context lists two programs (001 and 172)</t>
  </si>
  <si>
    <t>9. Министерство чрезвычайных ситуаций Кыргызской Республики (code 45) - *Note: Context lists two programs (001 and 263)</t>
  </si>
  <si>
    <t>15. Министерство науки</t>
  </si>
  <si>
    <t xml:space="preserve"> высшего образования и инноваций Кыргызской Республики (code 31)</t>
  </si>
  <si>
    <t>Corrected count based on provided context: 20 ministries/agencies have exactly one budget program."</t>
  </si>
  <si>
    <t>The answer addresses the correct entity (the count of ministries/agencies with one program) but provides an incorrect number (18/20 instead of 19).</t>
  </si>
  <si>
    <t>Based on the provided context, 3 programs show funding growth of more than 10% between 2026 and 2027:</t>
  </si>
  <si>
    <t>1. Program 43/001 'Управление и администрирование' (119</t>
  </si>
  <si>
    <t>2. Program 80/001 'Управление и администрирование' (60</t>
  </si>
  <si>
    <t>3. Program 41/413 'Государственная поддержка и развитие растениеводства' (479</t>
  </si>
  <si>
    <t>788.0 to 643</t>
  </si>
  <si>
    <t>477.5)"</t>
  </si>
  <si>
    <t>The answer addresses the correct entity (number of programs) but provides an incorrect count (3 instead of the correct 9).</t>
  </si>
  <si>
    <t>The model gave 16 instead of the correct number 50, which is incorrect.</t>
  </si>
  <si>
    <t>The provided context does not contain the total 2026 program budget, so the share cannot be calculated.</t>
  </si>
  <si>
    <t>The model answer does not provide the correct share (56%) and incorrectly claims insufficient information.</t>
  </si>
  <si>
    <t>The budget measure with the largest 2026 funding is 'Повышение социальных выплат' with 76.5 billion som.</t>
  </si>
  <si>
    <t>The model correctly identified the measure and gave the matching funding amount.</t>
  </si>
  <si>
    <t>The program 'Управление и администрирование' (code 001) receives the most 2026 funding with 184,945.8 thousand som.</t>
  </si>
  <si>
    <t>The provided context does not contain information regarding the total number of budget programs and budget measures in the 2026 program-based budget.</t>
  </si>
  <si>
    <t>The provided context does not contain the absolute funding amounts for all programs, only the percentage changes and specific funding for a few programs. Therefore, it is impossible to determine the top 3 largest absolute funding decreases.</t>
  </si>
  <si>
    <t>The model answer claims insufficient data, contradicting the reference which provides the top three programs.</t>
  </si>
  <si>
    <t>markdown_8000tok</t>
  </si>
  <si>
    <t>The model did not provide the correct number (8) and claimed no information was available, which is incorrect.</t>
  </si>
  <si>
    <t>The program with the largest funding allocation in the 2026 budget is "Общегосударственные программы" under the Министерство финансов Кыргызской Республ, with 164,663,857.2 тыс.сом.</t>
  </si>
  <si>
    <t>The model correctly identifies the program and exact funding amount matching the reference.</t>
  </si>
  <si>
    <t>The model identified the correct entity (total ministries and agencies) but gave an incorrect number (13 instead of 88).</t>
  </si>
  <si>
    <t>Exact match of the numeric value and unit, only minor formatting difference</t>
  </si>
  <si>
    <t>284,444,143.1 тыс.сом</t>
  </si>
  <si>
    <t>The model's figure (284,444,143.1 тыс. сом) does not match the reference total budget of approximately 593,152,147.3 тыс. сом.</t>
  </si>
  <si>
    <t>The model claims no information is available, but the reference provides clear funding figures showing the Ministry of Education receives more.</t>
  </si>
  <si>
    <t>The provided context does not contain the total program-level budget for 2026 and 2027, only individual line items. Therefore, there is not enough information to determine if the total budget grows or shrinks or by what percentage.</t>
  </si>
  <si>
    <t>The model claims insufficient information, whereas the reference provides a specific answer (declines by 7.1%).</t>
  </si>
  <si>
    <t>The provided context does not contain information regarding the most commonly used unit of measurement for performance indicators; it only lists the names of the indicators.</t>
  </si>
  <si>
    <t>The model answer does not provide the correct unit (Процент) and claims the information is unavailable.</t>
  </si>
  <si>
    <t>The model did not provide the required funding amount, stating no information was available, which is incorrect.</t>
  </si>
  <si>
    <t>6 (Архив Президента Кыргызской Республики, Фонды Президента и Кабинета Министров Кы, Омбудсмен (Акыйкатчы) Кыргызской Респуб, Счетная палата Кыргызской Республики, Центральная комиссия по выборам и провед, Военная прокуратура Кыргызской Республики)</t>
  </si>
  <si>
    <t>Provides a count of ministries/agencies but the number (6) does not match the correct answer (19).</t>
  </si>
  <si>
    <t>The model answered 0, which does not match the correct value of 50 rows.</t>
  </si>
  <si>
    <t>The provided context does not contain the total 2026 program budget for all ministries, only the specific allocations for the listed entities. Therefore, the share cannot be calculated.</t>
  </si>
  <si>
    <t>The model claims the share cannot be calculated, contradicting the reference which provides the 56% figure.</t>
  </si>
  <si>
    <t>Стабилизационный фонд КР (50,000,000.0 тыс.сом)</t>
  </si>
  <si>
    <t>Total budget programs: 24</t>
  </si>
  <si>
    <t>Total budget measures: 78"</t>
  </si>
  <si>
    <t>Both the number of programs and measures are incorrect compared to the reference answer.</t>
  </si>
  <si>
    <t>1. Общегосударственные программы (Министерство финансов Кыргызской Республ): decrease of 52,469,226.0 тыс.сом</t>
  </si>
  <si>
    <t>2. Администрирование государственных доходов (Министерство финансов Кыргызской Республ): decrease of 1</t>
  </si>
  <si>
    <t>942.7 тыс.сом</t>
  </si>
  <si>
    <t>3. Обеспечение и координация деятельности по реализации единой (Управление делами Президента Кыргызской): decrease of 265</t>
  </si>
  <si>
    <t>953.9 тыс.сом"</t>
  </si>
  <si>
    <t>Only the first program matches the reference; the other two listed programs are incorrect.</t>
  </si>
  <si>
    <t>statements_16000tok</t>
  </si>
  <si>
    <t>The Ministry of Health (Министерство здравоохранения Кыргызской Республики, code 37) has 6 budget programs:</t>
  </si>
  <si>
    <t>6. Предоставление услуг медицинскими учреждениями на стационарном уровне (code 376)"</t>
  </si>
  <si>
    <t>Correct entity (Ministry of Health) but gives the wrong number of budget programs (6 instead of 8).</t>
  </si>
  <si>
    <t>The model correctly states the total number of ministries and agencies as 88, matching the reference answer.</t>
  </si>
  <si>
    <t>Model's 1.1 billion som correctly approximates the reference 1,127,306.9 тыс. сом (≈1.127 billion som).</t>
  </si>
  <si>
    <t>Model provides the correct total funding value matching the reference, with acceptable rounding.</t>
  </si>
  <si>
    <t>The model claims the information is missing, but the reference provides the total budget value, so the answer is incorrect.</t>
  </si>
  <si>
    <t>Program 40/402 'Внесение предложений по защите материальных и социальных прав ветеранов и ветеранских организаций' with 739.4 тыс. сом.</t>
  </si>
  <si>
    <t>The model correctly identifies the program and the exact funding amount matching the reference.</t>
  </si>
  <si>
    <t>The model correctly identifies the unit as percent (%) matching the reference answer.</t>
  </si>
  <si>
    <t>Model provides the same numeric value (16,881,928.1 thousand som) and correctly rounds to 16.9 billion som, matching the reference.</t>
  </si>
  <si>
    <t>Based on the provided context, the following 18 ministries/agencies have exactly one budget program:</t>
  </si>
  <si>
    <t>Correcting for those with multiple programs (55</t>
  </si>
  <si>
    <t xml:space="preserve"> 45)</t>
  </si>
  <si>
    <t xml:space="preserve"> there are 22 ministries/agencies with exactly one budget program listed."</t>
  </si>
  <si>
    <t>The answer provides a count of ministries/agencies with exactly one budget program, but the number (22) does not match the correct value (19).</t>
  </si>
  <si>
    <t>Based on the provided context, 4 programs show funding growth of more than 10% between 2026 and 2027:</t>
  </si>
  <si>
    <t>477.5)</t>
  </si>
  <si>
    <t>- Program 64/001 'Управление и администрирование' (61</t>
  </si>
  <si>
    <t>812.7 is only ~5%)</t>
  </si>
  <si>
    <t>1. Program 43/001: 119</t>
  </si>
  <si>
    <t>287.5 $\rightarrow$ 149</t>
  </si>
  <si>
    <t>718.3 (~25.4%)</t>
  </si>
  <si>
    <t>2. Program 80/001: 60</t>
  </si>
  <si>
    <t>662.6 $\rightarrow$ 141</t>
  </si>
  <si>
    <t>699.7 (~133.6%)</t>
  </si>
  <si>
    <t>3. Program 41/413: 479</t>
  </si>
  <si>
    <t>788.0 $\rightarrow$ 643</t>
  </si>
  <si>
    <t>477.5 (~34.1%)</t>
  </si>
  <si>
    <t>Total: 3 programs."</t>
  </si>
  <si>
    <t>The reference answer states 9 programs, but the model answer lists only 3, which is incorrect.</t>
  </si>
  <si>
    <t>The model gave 18, but the correct number is 50, so the answer is incorrect.</t>
  </si>
  <si>
    <t>The model correctly identifies the measure and provides the matching funding amount.</t>
  </si>
  <si>
    <t>Based on the provided context, the programs with the largest absolute funding decreases from 2026 to 2027 are:</t>
  </si>
  <si>
    <t>1. **Управление и администрирование (Министерство юстиции Кыргызской Республики)**: decrease of 16</t>
  </si>
  <si>
    <t>245.7 тыс. сом (from 282</t>
  </si>
  <si>
    <t>746.0 to 266</t>
  </si>
  <si>
    <t>500.3).</t>
  </si>
  <si>
    <t>2. **Управление и администрирование (Генеральная прокуратура Кыргызской Республики)**: decrease of 956.8 тыс. сом (from 115</t>
  </si>
  <si>
    <t>861.1 to 114</t>
  </si>
  <si>
    <t>914.3).</t>
  </si>
  <si>
    <t>3. **Управление и администрирование (Академия государственного управления при Президенте Кыргызской Республики)**: decrease of 65.9 тыс. сом (from 6</t>
  </si>
  <si>
    <t>239.5 to 6</t>
  </si>
  <si>
    <t>173.6)."</t>
  </si>
  <si>
    <t>The model answer lists unrelated programs and does not match any of the three programs identified in the reference answer.</t>
  </si>
  <si>
    <t>markdown_16000tok</t>
  </si>
  <si>
    <t>42,380,106.4 тыс.сом</t>
  </si>
  <si>
    <t>Exact same numeric value and unit as reference, formatting difference is negligible.</t>
  </si>
  <si>
    <t>The Ministry of Health (Министерство здравоохранения Кыргызской) has 5 budget programs:</t>
  </si>
  <si>
    <t>7. Обеспечение доступа к льготному гемодиализному лечению"</t>
  </si>
  <si>
    <t>Correct entity (Ministry of Health) but gives the wrong number of budget programs (5 instead of 8).</t>
  </si>
  <si>
    <t>The model correctly identified the program and exact funding amount as in the reference.</t>
  </si>
  <si>
    <t>The answer addresses the correct entity (total ministries and agencies) but gives an incorrect number (22 vs 88).</t>
  </si>
  <si>
    <t>The provided context does not contain a "Ministry of Education"; however, it lists the "Министерство просвещения Кыргызской Респ" (Ministry of Education and Science/Enlightenment) with the following 2026 program funding:</t>
  </si>
  <si>
    <t>*   Управление и администрирование: 1</t>
  </si>
  <si>
    <t>869.4 тыс.сом</t>
  </si>
  <si>
    <t>*   Дошкольное образование и предшкольная подготовка: 8</t>
  </si>
  <si>
    <t>657.5 тыс.сом</t>
  </si>
  <si>
    <t>*   Школьное образование: 42</t>
  </si>
  <si>
    <t>106.4 тыс.сом</t>
  </si>
  <si>
    <t>*   Начальное и среднее профессиональное образование: 2</t>
  </si>
  <si>
    <t>080.8 тыс.сом</t>
  </si>
  <si>
    <t>Total: 55</t>
  </si>
  <si>
    <t>714.1 тыс.сом"</t>
  </si>
  <si>
    <t>Identifies the correct ministry but provides an incorrect total funding amount.</t>
  </si>
  <si>
    <t>To calculate the total budget across all program-level items for 2026, the following values are summed:</t>
  </si>
  <si>
    <t>*   Фонды Президента и Кабинета Министров (Фонд Президента и Резервный фонд...): 2</t>
  </si>
  <si>
    <t>*   Управление делами Президента (Обеспечение и координация деятельности...): 2</t>
  </si>
  <si>
    <t>*   Управление делами Президента (Организация и координация деятельности): 805</t>
  </si>
  <si>
    <t>*   Управление делами Президента (Создание и развитие Национального корпуса...): 116</t>
  </si>
  <si>
    <t>*   Верховный суд (Эффективное продвижение экономической дипломатии): 290</t>
  </si>
  <si>
    <t>*   Верховный суд (Управление и общая координация развития сельскохозяйственной): 3</t>
  </si>
  <si>
    <t>*   Верховный суд (Планирование</t>
  </si>
  <si>
    <t xml:space="preserve"> обеспечение</t>
  </si>
  <si>
    <t xml:space="preserve"> по экономическому</t>
  </si>
  <si>
    <t xml:space="preserve"> социальному пр): 3</t>
  </si>
  <si>
    <t>*   Счетная палата (Управление и администрирование): 165</t>
  </si>
  <si>
    <t>*   Счетная палата (Проведение государственного аудита): 561</t>
  </si>
  <si>
    <t>*   Центральная комиссия по выборам (Управление и администрирование): 174</t>
  </si>
  <si>
    <t>*   Центральная комиссия по выборам (Внедрение электронной системы...): 59</t>
  </si>
  <si>
    <t>*   Центральная комиссия по выборам (Разработка системы мониторинга...): 15</t>
  </si>
  <si>
    <t>*   Генеральная прокуратура (Управление и администрирование): 666</t>
  </si>
  <si>
    <t>*   Генеральная прокуратура (Надзор за исполнением законов по противодействию коррупции): 365</t>
  </si>
  <si>
    <t>*   Генеральная прокуратура (Надзор за следствием и оперативно-розыскной деятельностью): 248</t>
  </si>
  <si>
    <t>*   Генеральная прокуратура (Судебно-правовая реформа): 68</t>
  </si>
  <si>
    <t>*   Военная прокуратура (Управление и администрирование): 152</t>
  </si>
  <si>
    <t>*   Омбудсмен (Управление и администрирование): 115</t>
  </si>
  <si>
    <t>*   Министерство юстиции (Управление и администрирование): 282</t>
  </si>
  <si>
    <t>*   Министерство юстиции (Осуществление государственной регистрации...): 176</t>
  </si>
  <si>
    <t>*   Министерство юстиции (Осуществление гарантированной государством юридической помощ): 191</t>
  </si>
  <si>
    <t>*   Министерство юстиции (Исполнение уголовных наказаний...): 272</t>
  </si>
  <si>
    <t>*   Министерство юстиции (Осуществление судебно-экспертной деятельности): 181</t>
  </si>
  <si>
    <t>*   Министерство юстиции (Осуществление деятельности по представлению интересов КР...): 245</t>
  </si>
  <si>
    <t>*   Министерство иностранных дел (Управление и администрирование): 2</t>
  </si>
  <si>
    <t>*   Министерство иностранных дел (Представление интересов КР и ее граждан зарубежом): 2</t>
  </si>
  <si>
    <t>*   Министерство иностранных дел (Предоставление высшего образования...): 44</t>
  </si>
  <si>
    <t>*   Резервные и другие фонды территорий (Резервные и другие фонды территорий): 5</t>
  </si>
  <si>
    <t>*   Министерство финансов (Управление и администрирование): 2</t>
  </si>
  <si>
    <t>*   Министерство финансов (Эффективное управление государственными финансами): 332</t>
  </si>
  <si>
    <t>*   Министерство финансов (Администрирование государственных доходов): 10</t>
  </si>
  <si>
    <t>*   Министерство финансов (Противодействие финансированию террористической деятельности): 104</t>
  </si>
  <si>
    <t>*   Министерство финансов (Пенсионное обеспечение и компенсации...): 46</t>
  </si>
  <si>
    <t>*   Министерство финансов (Общегосударственные программы): 164</t>
  </si>
  <si>
    <t>*   Министерство финансов (Государственные программы</t>
  </si>
  <si>
    <t xml:space="preserve"> мероприятия и выплаты): 118</t>
  </si>
  <si>
    <t>*   Министерство финансов (Трансферты Фонду ОМС при ПКР): 2</t>
  </si>
  <si>
    <t>*   Конституционный суд (Обеспечение конституционного правосудия...): 81</t>
  </si>
  <si>
    <t>*   Министерство экономики и коммерции (Управление и администрирование): 269</t>
  </si>
  <si>
    <t>*   Министерство экономики и коммерции (Благоприятная нормативно-правовая среда...): 240</t>
  </si>
  <si>
    <t>*   Министерство экономики и коммерции (Макроэкономическая политика...): 107</t>
  </si>
  <si>
    <t>*   Министерство экономики и коммерции (Устойчивый рост экспорта...): 213</t>
  </si>
  <si>
    <t>*   Министерство экономики и коммерции (Развитие небанковского финансового рынка): 53</t>
  </si>
  <si>
    <t>*   Министерство экономики и коммерции (Эффективное управление государственным имуществом): 19</t>
  </si>
  <si>
    <t>*   Министерство науки</t>
  </si>
  <si>
    <t xml:space="preserve"> высшего образования (Управление и администрирование): 737</t>
  </si>
  <si>
    <t xml:space="preserve"> высшего образования (Развитие науки</t>
  </si>
  <si>
    <t xml:space="preserve"> инноваций...): 132</t>
  </si>
  <si>
    <t xml:space="preserve"> высшего образования (Содействие улучшению качественного состава...): 19</t>
  </si>
  <si>
    <t xml:space="preserve"> высшего образования (Высшее и Среднее профессиональное образование): 3</t>
  </si>
  <si>
    <t xml:space="preserve"> высшего образования (Государственная поддержка прикладных исследований...): 244</t>
  </si>
  <si>
    <t>*   Министерство просвещения (Управление и администрирование): 1</t>
  </si>
  <si>
    <t>*   Министерство просвещения (Дошкольное образование и предшкольная подготовка): 8</t>
  </si>
  <si>
    <t>*   Министерство просвещения (Школьное образование): 42</t>
  </si>
  <si>
    <t>*   Министерство просвещения (Начальное и среднее профессиональное образование): 2</t>
  </si>
  <si>
    <t>*   Министерство здравоохранения (Управление и администрирование): 321</t>
  </si>
  <si>
    <t>*   Министерство здравоохранения (Программа «Общественное здравоохранение»): 2</t>
  </si>
  <si>
    <t>*   Министерство здравоохранения (Программа «Организация предоставления услуг здравоохранения»): 6</t>
  </si>
  <si>
    <t>*   Министерство здравоохранения (Программа «Медицинское образование...»): 962</t>
  </si>
  <si>
    <t>*   Министерство здравоохранения (Предоставление услуг первично-медико санитарной помощи): 11</t>
  </si>
  <si>
    <t>*   Министерство здравоохранения (Предоставление услуг медицинскими учреждениями на стационарн): 15</t>
  </si>
  <si>
    <t>*   Министерство здравоохранения (Обеспечение доступа к льготному гемодиализному лечению): 2</t>
  </si>
  <si>
    <t>*   Министерство труда</t>
  </si>
  <si>
    <t xml:space="preserve"> социального обеспече (Управление и администрирование): 1</t>
  </si>
  <si>
    <t xml:space="preserve"> социального обеспече (Поддержка семей и детей...): 15</t>
  </si>
  <si>
    <t xml:space="preserve"> социального обеспече (Социальная защита лиц с ограничеными возможностями здоровья): 3</t>
  </si>
  <si>
    <t xml:space="preserve"> социального обеспече (Предоставление денежных компенсаций...): 1</t>
  </si>
  <si>
    <t xml:space="preserve"> социального обеспече (Содействие занятости населения...): 2</t>
  </si>
  <si>
    <t xml:space="preserve"> социального обеспече (Социальная защита жертв от семейного и гендерного насилия): 28</t>
  </si>
  <si>
    <t>*   Академия государственного управления (Управление и администрирование): 35</t>
  </si>
  <si>
    <t>*   Академия государственного управления (Предоставление высшего профессионального образования...): 36</t>
  </si>
  <si>
    <t>*   Академия государственного управления (Повышение квалификации государственных и муниципальных служа): 48</t>
  </si>
  <si>
    <t>*   Министерство водных ресурсов</t>
  </si>
  <si>
    <t xml:space="preserve"> сельского (Управление и администрирование): 425</t>
  </si>
  <si>
    <t xml:space="preserve"> сельского (Развитие животноводства...): 1</t>
  </si>
  <si>
    <t xml:space="preserve"> сельского (Государственная поддержка и развитие растениеводства): 479</t>
  </si>
  <si>
    <t xml:space="preserve"> сельского (Государственная поддержка и развитие ирригации): 5</t>
  </si>
  <si>
    <t xml:space="preserve"> сельского (Цифровизация сельского хозяйства): 579</t>
  </si>
  <si>
    <t>Total: 435</t>
  </si>
  <si>
    <t>111.1 тыс.сом"</t>
  </si>
  <si>
    <t>The model's total (435,144,111.1 тыс. сом) does not match the reference total of approximately 593,152,147.3 тыс. сом.</t>
  </si>
  <si>
    <t>The Ministry of Education (Министерство просвещения Кыргызской Респ) receives more funding.</t>
  </si>
  <si>
    <t>*   **Ministry of Education:** 55</t>
  </si>
  <si>
    <t>333.7 тыс.сом (sum of programs: 1</t>
  </si>
  <si>
    <t>869.4 + 8</t>
  </si>
  <si>
    <t>657.5 + 42</t>
  </si>
  <si>
    <t>106.4 + 2</t>
  </si>
  <si>
    <t>700.0)</t>
  </si>
  <si>
    <t>*   **Ministry of Health:** 31</t>
  </si>
  <si>
    <t>121.2 тыс.сом (sum of programs: 321</t>
  </si>
  <si>
    <t>933.8 + 2</t>
  </si>
  <si>
    <t>534.1 + 6</t>
  </si>
  <si>
    <t>318.8 + 962</t>
  </si>
  <si>
    <t>011.6 + 11</t>
  </si>
  <si>
    <t>430.6 + 15</t>
  </si>
  <si>
    <t>295.2 - *Note: The provided context lists the Ministry of Health's programs totaling 36</t>
  </si>
  <si>
    <t>524.1 тыс.сом</t>
  </si>
  <si>
    <t xml:space="preserve"> but the Ministry of Education's total is higher.*)</t>
  </si>
  <si>
    <t>333.7 тыс.сом</t>
  </si>
  <si>
    <t>*   **Ministry of Health:** 36</t>
  </si>
  <si>
    <t>524.1 тыс.сом"</t>
  </si>
  <si>
    <t>Correctly identifies Ministry of Education as receiving more funding, but provides incorrect funding figures compared to the reference.</t>
  </si>
  <si>
    <t>The provided context does not contain the total program-level budget for 2026 and 2027, as it only lists individual programs and measures. Therefore, there is not enough information to determine if the total budget grows or shrinks or to calculate the percentage.</t>
  </si>
  <si>
    <t>The program with the smallest non-zero funding in 2026 is "Внесение предложений по защите материальных и социальных пра" (under Общественное объединение «Республикански») with 739.4 тыс.сом.</t>
  </si>
  <si>
    <t>The answer correctly identifies the program and the exact funding amount, matching the reference.</t>
  </si>
  <si>
    <t>The model answer does not provide the correct unit (Процент) and claims lack of information, which is incorrect.</t>
  </si>
  <si>
    <t>The following 7 ministries/agencies have exactly one budget program:</t>
  </si>
  <si>
    <t>7. Академия государственного управления при (Note: This entity has 3 programs listed</t>
  </si>
  <si>
    <t xml:space="preserve"> but the question asks for those with exactly one. Re-evaluating the list: Архив Президента</t>
  </si>
  <si>
    <t xml:space="preserve"> Конституционный суд</t>
  </si>
  <si>
    <t xml:space="preserve"> Омбудсмен</t>
  </si>
  <si>
    <t xml:space="preserve"> Общественное объединение</t>
  </si>
  <si>
    <t xml:space="preserve"> Резервные и другие фонды территорий</t>
  </si>
  <si>
    <t xml:space="preserve"> and Фонды Президента are the only ones with exactly one program).</t>
  </si>
  <si>
    <t>Corrected count: 6"</t>
  </si>
  <si>
    <t>The model answer gives 6 (or 7) ministries, which does not match the correct count of 19.</t>
  </si>
  <si>
    <t>Based on the provided context, 2 programs show funding growth of more than 10% between 2026 and 2027:</t>
  </si>
  <si>
    <t>1. **Министерство экономики и коммерции Кыргы** (program: Благоприятная нормативно-правовая среда для активизации при): 240</t>
  </si>
  <si>
    <t>842.6 to 245</t>
  </si>
  <si>
    <t>180.7 (growth is &lt; 10%) — *Correction: Checking all programs.*</t>
  </si>
  <si>
    <t>* **Министерство водных ресурсов</t>
  </si>
  <si>
    <t xml:space="preserve"> сельского** (program: Государственная поддержка и развитие растениеводства): 479</t>
  </si>
  <si>
    <t>477.5 (~34% growth)</t>
  </si>
  <si>
    <t>* **Министерство финансов Кыргызской Республ** (program: Общегосударственные программы): 164</t>
  </si>
  <si>
    <t>857.2 to 112</t>
  </si>
  <si>
    <t>631.2 (decrease)</t>
  </si>
  <si>
    <t>* **Министерство финансов Кыргызской Республ** (program: Государственные программы</t>
  </si>
  <si>
    <t>161.3 to 131</t>
  </si>
  <si>
    <t>316.2 (~11% growth)</t>
  </si>
  <si>
    <t>Total: 2 programs."</t>
  </si>
  <si>
    <t>The answer identifies the correct concept (count of programs with &gt;10% growth) but provides an incorrect number (2 instead of the correct 9).</t>
  </si>
  <si>
    <t>The provided context does not contain the total 2026 program budget, so the share for the Ministry of Finance cannot be calculated.</t>
  </si>
  <si>
    <t>The model claims the share cannot be calculated, contradicting the reference which provides the correct 56% share.</t>
  </si>
  <si>
    <t>The budget measure with the largest 2026 funding is "Обеспечение базовой части пенсии" (Ministry of Finance) with 33,574,380.8 тыс.сом.</t>
  </si>
  <si>
    <t>The model gave a different measure and amount, not matching the reference answer.</t>
  </si>
  <si>
    <t>Total budget programs: 54</t>
  </si>
  <si>
    <t>Total budget measures: 138"</t>
  </si>
  <si>
    <t>2. Администрирование государственных доходов (Министерство финансов Кыргызской Республ): -1</t>
  </si>
  <si>
    <t>3. Государственная поддержка и развитие ирригации (Министерство водных ресурсов</t>
  </si>
  <si>
    <t xml:space="preserve"> сельского): -1</t>
  </si>
  <si>
    <t>069.1 тыс.сом"</t>
  </si>
  <si>
    <t>Model correctly lists two of the three programs but replaces the second reference program with an incorrect one.</t>
  </si>
  <si>
    <t>statements_full</t>
  </si>
  <si>
    <t>The provided context does not contain information regarding a 'School Education' program or specific program allocations for the Ministry of Education (Министерство просвещения Кыргызской Республики).</t>
  </si>
  <si>
    <t>The model did not provide the required funding figure and claimed the information was unavailable, which is incorrect.</t>
  </si>
  <si>
    <t>Model provides the same total funding value, correctly expressed as 56.4 billion som / 56,424,894.1 thousand som.</t>
  </si>
  <si>
    <t>The model answer fails to provide the budget figure given in the reference, stating the information is missing.</t>
  </si>
  <si>
    <t>The model correctly identifies the program with the smallest non-zero funding and provides the exact amount of 739.4 тыс. сом.</t>
  </si>
  <si>
    <t>The model answer gives 22 ministries/agencies, which does not match the correct answer of 19.</t>
  </si>
  <si>
    <t>The model answer states 3 programs, which does not match the correct value of 9.</t>
  </si>
  <si>
    <t>The model answer does not provide the correct share (56%) and claims insufficient information, which is incorrect.</t>
  </si>
  <si>
    <t>The model correctly identifies the measure and provides an equivalent rounded funding amount.</t>
  </si>
  <si>
    <t>The model did not provide the required numbers, stating lack of information.</t>
  </si>
  <si>
    <t>markdown_full</t>
  </si>
  <si>
    <t>The model correctly identifies the program and exact funding amount as in the reference.</t>
  </si>
  <si>
    <t>There are 56 ministries and agencies represented in the program-based budget.</t>
  </si>
  <si>
    <t>The provided context does not contain a "Ministry of Education"; however, it lists the "Министерство просвещения Кыргызской Респ" (Ministry of Education/Enlightenment) with the following program funding for 2026:</t>
  </si>
  <si>
    <t>Correct entity (Ministry of Education) but the total funding figure is incorrect compared to the reference value.</t>
  </si>
  <si>
    <t>*   Центральная комиссия по выборам (Внедрение электронной системы фискализации...): 59</t>
  </si>
  <si>
    <t>*   Государственное агентство гражданской ав (Управление и администрирование): 99</t>
  </si>
  <si>
    <t>*   Государственное агентство гражданской ав (Подготовка квалифицированных специалистов...): 24</t>
  </si>
  <si>
    <t>*   Министерство транспорта и коммуникаций (Управление и администрирование): 119</t>
  </si>
  <si>
    <t>*   Министерство транспорта и коммуникаций (Поддержание автомобильных дорог...): 8</t>
  </si>
  <si>
    <t>*   Министерство транспорта и коммуникаций (Реабилитация международных транспортных коридоров): 1</t>
  </si>
  <si>
    <t>*   Министерство транспорта и коммуникаций (Развитие автомобильных перевозок...): 320</t>
  </si>
  <si>
    <t>*   Министерство культуры</t>
  </si>
  <si>
    <t xml:space="preserve"> информации и мол (Управление и администрирование): 574</t>
  </si>
  <si>
    <t xml:space="preserve"> информации и мол (Сохранение и развитие культуры...): 4</t>
  </si>
  <si>
    <t xml:space="preserve"> информации и мол (Образование в сфере культуры и искусства): 1</t>
  </si>
  <si>
    <t>*   Министерство чрезвычайных ситуаций (Управление и администрирование): 184</t>
  </si>
  <si>
    <t>*   Министерство чрезвычайных ситуаций (Прогнозирование опасных природных процессов и явлений): 691</t>
  </si>
  <si>
    <t>*   Министерство чрезвычайных ситуаций (Предупреждение и ликвидация чрезвычайных ситуаций): 3</t>
  </si>
  <si>
    <t>*   Министерство чрезвычайных ситуаций (Подготовка органов самоуправления...): 63</t>
  </si>
  <si>
    <t>*   Министерство чрезвычайных ситуаций (Управление материальными ценностями...): 4</t>
  </si>
  <si>
    <t>*   Министерство чрезвычайных ситуаций (Управление</t>
  </si>
  <si>
    <t xml:space="preserve"> обеспечение сохранение и развития лесных ресурсо): 1</t>
  </si>
  <si>
    <t>*   Центрально-Азиатский институт прикладных (Управление и администрирование): 6</t>
  </si>
  <si>
    <t>*   Центрально-Азиатский институт прикладных (Исследование опасных природных ресурсов...): 22</t>
  </si>
  <si>
    <t>*   Государственное агенство физической куль (Управление и администрирование): 54</t>
  </si>
  <si>
    <t>*   Государственное агенство физической куль (Развитие массового спорта и высшего спорта): 2</t>
  </si>
  <si>
    <t>*   Государственная служба испонения наказан (Планирование</t>
  </si>
  <si>
    <t xml:space="preserve"> управление</t>
  </si>
  <si>
    <t xml:space="preserve"> администрирование...): 2</t>
  </si>
  <si>
    <t>*   Государственная служба испонения наказан (Предупреждение и пересечение таможенных правонарушений): 551</t>
  </si>
  <si>
    <t>*   ОО «Кыргызское общ» (Обеспечение равных прав и возможностей...): 20</t>
  </si>
  <si>
    <t>*   ОО «Кыргызское общ» (Социальная защита работающих инвалидов...): 55</t>
  </si>
  <si>
    <t>*   Национальная комиссия по государственном (Управление и администрирование): 26</t>
  </si>
  <si>
    <t>*   Национальная комиссия по государственном (ГУ «Кыргызтест»...): 38</t>
  </si>
  <si>
    <t>*   Государственное агентство по земельным р (Государственная поддержка и развитие земельных ресурсов): 2</t>
  </si>
  <si>
    <t>*   Государственное агентство по регистрации (Политика в сфере регистрации транспортных средств...): 1</t>
  </si>
  <si>
    <t>*   Государственное агентство по управлению (Реализация государственной политики по эффективному управлен): 147</t>
  </si>
  <si>
    <t>*   Государственное учреждение «Фонд зеленой (Управление и администрирование): 14</t>
  </si>
  <si>
    <t>*   Министерство энергетики (Управление и администрирование): 128</t>
  </si>
  <si>
    <t>*   Министерство энергетики (Создание экономических стимулов...): 78</t>
  </si>
  <si>
    <t>*   Министерство энергетики (Мониторинг и контроль по энергетическому...): 71</t>
  </si>
  <si>
    <t>*   Министерство энергетики (Развитие научно-технического потенциала): 24</t>
  </si>
  <si>
    <t>*   Государственное агентство по контролю за (Управление и администрирование): 42</t>
  </si>
  <si>
    <t>*   Национальное агентство по инвестициям пр (Управление и администрирование): 71</t>
  </si>
  <si>
    <t>*   Национальное агентство по инвестициям пр (Привлечение прямых иностранных инвестиций...): 29</t>
  </si>
  <si>
    <t>*   Государственное агентство по защите перс (Управление и администрирование): 43</t>
  </si>
  <si>
    <t>*   Государственное агентство по защите перс (Реализация программ дополнительного образования...): 16</t>
  </si>
  <si>
    <t>*   Государственное агентство по делам госуд (Управление и администрирование): 76</t>
  </si>
  <si>
    <t>*   Государственное агентство по делам госуд (Совершенствование государственной кадровой политики): 24</t>
  </si>
  <si>
    <t>*   Государственное агентство по делам госуд (Совершенствование системы местного самоуправления): 16</t>
  </si>
  <si>
    <t>*   Министерство строительства</t>
  </si>
  <si>
    <t xml:space="preserve"> архитектуры (Управление и администрирование): 304</t>
  </si>
  <si>
    <t xml:space="preserve"> архитектуры (Осуществление государственного контроля...): 88</t>
  </si>
  <si>
    <t>*   Национальное агентство по делам религий (Управление и администрирование): 61</t>
  </si>
  <si>
    <t>*   Министерство природных ресурсов</t>
  </si>
  <si>
    <t xml:space="preserve"> экологи (Управление и администрирование): 1</t>
  </si>
  <si>
    <t xml:space="preserve"> экологи (Обеспечение экологического контроля...): 241</t>
  </si>
  <si>
    <t xml:space="preserve"> экологи (Сохранение биоразнообразия): 309</t>
  </si>
  <si>
    <t xml:space="preserve"> экологи (Развитие гидрометеослужбы): 86</t>
  </si>
  <si>
    <t xml:space="preserve"> экологи (Государственный заказ по недропользованию): 23</t>
  </si>
  <si>
    <t>*   Секретариат Национальной комиссии Кыргыз (Управление и администрирование): 8</t>
  </si>
  <si>
    <t>*   Министерство цифрового развития и иннова (Управление и администрирование): 487</t>
  </si>
  <si>
    <t>*   Министерство цифрового развития и иннова (Развитие электрической и почтовой связи): 235</t>
  </si>
  <si>
    <t>*   Министерство цифрового развития и иннова (Обеспечение сохранности документов архивного фонда КР): 476</t>
  </si>
  <si>
    <t>*   Национальный институт стратегических ини (Управление и администрирование): 13</t>
  </si>
  <si>
    <t>*   Национальный институт стратегических ини (Аналитическая</t>
  </si>
  <si>
    <t xml:space="preserve"> научная и информационная поддержка...): 42</t>
  </si>
  <si>
    <t>*   Национальный статистический комитет Кырг (Управление и администрирование): 616</t>
  </si>
  <si>
    <t>*   Национальный статистический комитет Кырг (Обеспечение качественного и достоверного статистического уче): 65</t>
  </si>
  <si>
    <t>*   Национальный статистический комитет Кырг (Разработка</t>
  </si>
  <si>
    <t xml:space="preserve"> совершенствование и внедрение научно-обоснованно): 13</t>
  </si>
  <si>
    <t>*   Секретариат Совета безопасности Кыргызск (Секретариат Совета безопасности): 6</t>
  </si>
  <si>
    <t>*   Национальная академия наук Кыргызской Ре (Управление и администрирование): 60</t>
  </si>
  <si>
    <t>*   Национальная академия наук Кыргызской Ре (Развитие физико-технических...): 231</t>
  </si>
  <si>
    <t>*   Национальная академия наук Кыргызской Ре (Развитие химико-технологических...): 254</t>
  </si>
  <si>
    <t>*   Национальная академия наук Кыргызской Ре (Развитие гуманитарных исследований): 96</t>
  </si>
  <si>
    <t>*   ГУ «Клиническая (Предоставление медицинских услуг...): 415</t>
  </si>
  <si>
    <t>*   Национальный центр Кыргызской Республики (Управление и администрирование): 32</t>
  </si>
  <si>
    <t>*   Секретариат Народного Курултая («Обеспечение деятельности Народного Курултая»): 33</t>
  </si>
  <si>
    <t>*   Редакции журналов и газет (Издание газеты «Эркин- Тоо»): 6</t>
  </si>
  <si>
    <t>*   Телерадиовещательные компании Кыргызской (Управление и администрирование): 208</t>
  </si>
  <si>
    <t>*   Телерадиовещательные компании Кыргызской (Координирование</t>
  </si>
  <si>
    <t xml:space="preserve"> создание программ ТВ и РВ): 1</t>
  </si>
  <si>
    <t>*   Телерадиовещательные компании Кыргызской (Создание и распространение телерадиовещания...): 140</t>
  </si>
  <si>
    <t>*   Телерадиовещательные компании Кыргызской (Создание и распространение ТВ и РВ программ): 77</t>
  </si>
  <si>
    <t>*   ГУ «Дирекция по (Управление и администрирование): 70</t>
  </si>
  <si>
    <t>*   Центр перевода Кабинета Министров Кыргыз (Управление и администрирование): 39</t>
  </si>
  <si>
    <t>*   ГУ «Национальная (Управление и администрирование): 11</t>
  </si>
  <si>
    <t>*   ГУ «Национальная (Организация и планирования мероприятий...): 31</t>
  </si>
  <si>
    <t>Total: 455</t>
  </si>
  <si>
    <t>141.1 тыс.сом"</t>
  </si>
  <si>
    <t>The answer provides a total budget figure (right entity) but the number (455.4 bn som) does not match the reference value of approximately 593.2 bn som.</t>
  </si>
  <si>
    <t>The Ministry of Health (Министерство здравоохранения Кыргызской) receives more funding.</t>
  </si>
  <si>
    <t>*   **Ministry of Health:** 32</t>
  </si>
  <si>
    <t>1933.8 + 2</t>
  </si>
  <si>
    <t>295.2 + 2</t>
  </si>
  <si>
    <t>800.0 + 2</t>
  </si>
  <si>
    <t>023.2 = 41</t>
  </si>
  <si>
    <t>547.3 тыс.сом.</t>
  </si>
  <si>
    <t>*   **Ministry of Education (Министерство просвещения Кыргызской Респ):** 1</t>
  </si>
  <si>
    <t>080.8 + 1</t>
  </si>
  <si>
    <t>180.0 = 56</t>
  </si>
  <si>
    <t>894.1 тыс.сом.</t>
  </si>
  <si>
    <t>*Correction based on calculation:* The Ministry of Education (Министерство просвещения Кыргызской Респ) receives more funding."</t>
  </si>
  <si>
    <t>Model correctly identifies Ministry of Education as receiving more funding, matching the reference values.</t>
  </si>
  <si>
    <t>The provided context does not contain the total program-level budget for 2026 and 2027, as it only lists individual programs and measures. Therefore, there is not enough information to determine if the total budget grows or shrinks or by what percentage.</t>
  </si>
  <si>
    <t>The model claims insufficient information, whereas the reference provides a specific decline of 7.1%.</t>
  </si>
  <si>
    <t>The model correctly identified the program and its funding amount, matching the reference answer.</t>
  </si>
  <si>
    <t>The total 2026 program funding for the Ministry of Transport and Communications is 9,643,520.2 тыс.сом (consisting of 119,287.5 for "Управление и администрирование", 8,025,670.7 for "Поддержание автомобильных дорог общего пользования в рабочем", 1,410,765.1 for "Реабилитация международных транспортных коридоров", and 320,964.6 for "Развитие автомобильных перевозок Кыргызской Республики").</t>
  </si>
  <si>
    <t>The model's figure (9,643,520.2) does not match the reference total (16,881,928.10).</t>
  </si>
  <si>
    <t>The following 14 ministries/agencies have exactly one budget program:</t>
  </si>
  <si>
    <t>14. Государственное агентство по защите перс"</t>
  </si>
  <si>
    <t>The model provides a count of ministries/agencies with exactly one budget program, but the number (14) does not match the correct value (19).</t>
  </si>
  <si>
    <t>1. **Министерство транспорта и коммуникаций К** (Реабилитация международных транспортных коридоров): 1</t>
  </si>
  <si>
    <t>765.1 to 1</t>
  </si>
  <si>
    <t>2. **Министерство финансов Кыргызской Республ** (Общегосударственные программы): 164</t>
  </si>
  <si>
    <t>631.2 (Decrease) — *Correction: Only the following meet the criteria:*</t>
  </si>
  <si>
    <t>3. **Министерство финансов Кыргызской Республ** (Государственные программы</t>
  </si>
  <si>
    <t>4. **Министерство финансов Кыргызской Республ** (Государственный бюджетный резерв - measure level</t>
  </si>
  <si>
    <t xml:space="preserve"> but requested programs): 1</t>
  </si>
  <si>
    <t>000.0 to 7</t>
  </si>
  <si>
    <t>753.2 (Measure)</t>
  </si>
  <si>
    <t>765.1 $\rightarrow$ 1</t>
  </si>
  <si>
    <t>135.5 (~38.7%)</t>
  </si>
  <si>
    <t>2. **Министерство финансов Кыргызской Республ** (Государственные программы</t>
  </si>
  <si>
    <t>161.3 $\rightarrow$ 131</t>
  </si>
  <si>
    <t>316.2 (~11%)</t>
  </si>
  <si>
    <t>The model answer states 2 (or 3) programs, which contradicts the correct answer of 9</t>
  </si>
  <si>
    <t>The model answer fails to provide the correct share (56%) and incorrectly claims insufficient information.</t>
  </si>
  <si>
    <t>The budget measure with the largest 2026 funding is "Обеспечение базовой части пенсии" under the Ministry of Finance of the Kyrgyz Republic, with 33,574,380.8 тыс.сом.</t>
  </si>
  <si>
    <t>The model gave a different budget measure and amount, not the correct 'Повышение социальных выплат' with 76,517,019.4</t>
  </si>
  <si>
    <t>The program "Управление материальными ценностями государственного и мобил" receives the most 2026 funding under the Ministry of Emergency Situations, with 4,522,247.8 тыс.сом.</t>
  </si>
  <si>
    <t>The model correctly identifies the program and provides the exact funding amount matching the reference.</t>
  </si>
  <si>
    <t>Total budget programs: 95</t>
  </si>
  <si>
    <t>Total budget measures: 178"</t>
  </si>
  <si>
    <t>2. Реализация проектов государственных инвестиций (Министерство энергетики Кыргызской Республ): +2</t>
  </si>
  <si>
    <t>954.4 тыс.сом (increase)</t>
  </si>
  <si>
    <t>3. Реализация проектов государственных инвестиций (Министерство финансов Кыргызской Республ): -959</t>
  </si>
  <si>
    <t>321.7 тыс.сом</t>
  </si>
  <si>
    <t>4. Обеспечение и координация деятельности по реализации единой (Управление делами Президента Кыргызской): -265</t>
  </si>
  <si>
    <t>953.9 тыс.сом</t>
  </si>
  <si>
    <t>1. Общегосударственные программы (Министерство финансов Кыргызской Республ): -52</t>
  </si>
  <si>
    <t>226.0 тыс.сом</t>
  </si>
  <si>
    <t>2. Реализация проектов государственных инвестиций (Министерство финансов Кыргызской Республ): -959</t>
  </si>
  <si>
    <t>3. Обеспечение и координация деятельности по реализации единой (Управление делами Президента Кыргызской): -265</t>
  </si>
  <si>
    <t>Only the first program matches the reference; the other two listed are incorrect, so the answer is related but wrong.</t>
  </si>
  <si>
    <t>deepseek-v3.2</t>
  </si>
  <si>
    <t>The context does not contain information on the funding for a 'School Education' program under the Ministry of Education.</t>
  </si>
  <si>
    <t>The model did not provide the required funding figure, stating the information is unavailable, which is incorrect.</t>
  </si>
  <si>
    <t>The context does not specify the number of budget programs for the Ministry of Health (code 37).</t>
  </si>
  <si>
    <t>The model answer states the number is unspecified, contradicting the reference answer of 8.</t>
  </si>
  <si>
    <t>Based solely on the provided context, the program with the largest funding allocation is 'Министерство просвещения Кыргызской Республики' with 56.4 billion som.</t>
  </si>
  <si>
    <t>The context lists 41 distinct GRBS codes for ministries, agencies, and other entities.</t>
  </si>
  <si>
    <t>The model mentions ministries and agencies but gives an incorrect count (41) instead of the correct total of 88.</t>
  </si>
  <si>
    <t>1.1 billion som.</t>
  </si>
  <si>
    <t>Model answer correctly approximates the reference value (1.127 billion som) as 1.1 billion som.</t>
  </si>
  <si>
    <t>56.4 billion som</t>
  </si>
  <si>
    <t>Model answer correctly gives the total funding as 56.4 billion som, matching the reference value (56,424,894.11 тыс. сом) with acceptable rounding.</t>
  </si>
  <si>
    <t>The context does not contain the total budget across all program-level items for 2026. It only provides individual allocations for specific ministries and agencies.</t>
  </si>
  <si>
    <t>The model answer fails to provide the correct total budget value, stating the information is missing instead of giving the ~593.2 billion som figure.</t>
  </si>
  <si>
    <t>The context does not contain the specific funding amounts for the Ministry of Health (code 37) or the Ministry of Education (code 34) to make a comparison.</t>
  </si>
  <si>
    <t>The model claims the information is missing, whereas the reference provides the amounts and indicates Education receives more funding.</t>
  </si>
  <si>
    <t>The context does not contain the information needed to calculate the overall total program-level budget change between 2026 and 2027.</t>
  </si>
  <si>
    <t>The model did not provide the required answer of a 7.1% decline, claiming lack of information instead.</t>
  </si>
  <si>
    <t>Program 45/263 'Общегосударственные программы' has the smallest non-zero funding in 2026 at 0.0 тыс. сом.</t>
  </si>
  <si>
    <t>Model gave an incorrect program and a zero amount, not matching the reference's program with 739.4 тыс. сом.</t>
  </si>
  <si>
    <t>The most commonly used unit of measurement for performance indicators in the 2026 budget is percentage (%).</t>
  </si>
  <si>
    <t>The model correctly identifies the unit as percentage (%), matching the reference answer.</t>
  </si>
  <si>
    <t>16.9 billion som.</t>
  </si>
  <si>
    <t>The model gave 16.9 billion som, which does not match the reference value of 16,881,928.10 (approximately 16.9 million som).</t>
  </si>
  <si>
    <t>The context does not contain the specific data on the number of budget programs allocated to each ministry/agency, so it is not possible to determine how many have exactly one.</t>
  </si>
  <si>
    <t>The model says the data is unavailable, whereas the correct answer is 19.</t>
  </si>
  <si>
    <t>Based on the provided context, no program shows funding growth of more than 10% between 2026 and 2027. The largest increase shown is for Program 43/001 at approximately 25.5% (from 119,287.5 to 149,718.3), but this is not explicitly stated as a growth percentage in the context; only the raw numbers are given. The context only provides specific percentage changes for various 'Управление и администрирование' funding lines, and none of those exceed 10%.</t>
  </si>
  <si>
    <t>The model answer states no programs exceed 10% growth, contradicting the reference answer of 9 programs.</t>
  </si>
  <si>
    <t>Based on the context, there are 9 rows with a performance indicator measured in people (чел.).</t>
  </si>
  <si>
    <t>Identifies the correct entity (rows with performance indicator measured in people) but gives the wrong number; reference answer is 50, model says 9.</t>
  </si>
  <si>
    <t>The context does not contain the numerical data needed to calculate the share of the total 2026 program budget allocated to the Ministry of Finance (General State Expenditures).</t>
  </si>
  <si>
    <t>The model did not provide the correct share (56%) and instead claimed insufficient data, which is incorrect.</t>
  </si>
  <si>
    <t>The budget measure "Государственный долг" has the largest 2026 funding at 38.0 billion som.</t>
  </si>
  <si>
    <t>The context does not specify the funding amounts for individual programs under the Ministry of Emergency Situations (code 45).</t>
  </si>
  <si>
    <t>The model answer says the information is not specified, which contradicts the reference that provides the specific program and amount.</t>
  </si>
  <si>
    <t>The context does not contain the total number of budget programs and budget measures for the 2026 program-based budget.</t>
  </si>
  <si>
    <t>The model answer does not provide the required numbers and incorrectly claims the information is unavailable.</t>
  </si>
  <si>
    <t>Based solely on the provided context, the three programs with the largest percentage decreases are:</t>
  </si>
  <si>
    <t>1. 'Цифровизация сельского хозяйства' (Министерство водных ресурсов</t>
  </si>
  <si>
    <t xml:space="preserve"> сельского хозяйства и перерабатывающей промышленности Кыргызской Республики) decreases by 85.2%.</t>
  </si>
  <si>
    <t>3. 'Общегосударственные программы' (Министерство финансов Кыргызской Республики (Общегосударственные программы</t>
  </si>
  <si>
    <t xml:space="preserve"> мероприятия и выплаты)) decreases by 31.9%.</t>
  </si>
  <si>
    <t>The context does not contain the absolute funding amounts</t>
  </si>
  <si>
    <t xml:space="preserve"> only percentage changes. Therefore</t>
  </si>
  <si>
    <t xml:space="preserve"> it is not possible to determine the largest absolute funding decreases."</t>
  </si>
  <si>
    <t>The model answer lists incorrect programs and states it cannot determine absolute decreases, not matching the reference answer.</t>
  </si>
  <si>
    <t>The context provided does not contain information about the Ministry of Education or a 'School Education' program.</t>
  </si>
  <si>
    <t>The provided context does not contain any information about the Ministry of Health or its budget programs.</t>
  </si>
  <si>
    <t>The program with the largest funding allocation in the 2026 budget is "Реализация государственной политики и осуществление межотрас" under Управление делами Президента Кыргызской, with 3,297,739.7 тыс.сом.</t>
  </si>
  <si>
    <t>The provided context does not contain a complete list or a total count of all ministries and agencies. It only shows data for specific entities.</t>
  </si>
  <si>
    <t>The model did not provide the correct number (88) and claimed insufficient information, which is incorrect.</t>
  </si>
  <si>
    <t>The total 2026 funding for the Жогорку Кенеш (Jogorku Kenesh) is the sum of its two programs: 1,047,143.9 thousand som (for "Управление и администрирование") and 80,163.0 thousand som (for "Обеспечение информацией о деятельности, контроля исполнения,"). This equals 1,127,306.9 thousand som.</t>
  </si>
  <si>
    <t>The model provides the exact total funding value matching the reference answer.</t>
  </si>
  <si>
    <t>The provided context does not contain any entries for the Ministry of Education.</t>
  </si>
  <si>
    <t>The model answer does not provide the required funding figure and incorrectly claims no data exists.</t>
  </si>
  <si>
    <t>The total budget across all program-level items for 2026 is 9,000,974.0 тыс. сом.</t>
  </si>
  <si>
    <t>This is the sum of the 2026 values for each row where ""Level"" is ""program"": 1</t>
  </si>
  <si>
    <t>143.9 + 80</t>
  </si>
  <si>
    <t>163.0 + 669</t>
  </si>
  <si>
    <t>719.2 + 18</t>
  </si>
  <si>
    <t>086.2 + 2</t>
  </si>
  <si>
    <t>000.0 + 2</t>
  </si>
  <si>
    <t>368.8 + 805</t>
  </si>
  <si>
    <t>338.5 + 116</t>
  </si>
  <si>
    <t>882.7 + 3</t>
  </si>
  <si>
    <t>739.7 + 406</t>
  </si>
  <si>
    <t>745.3 + 290</t>
  </si>
  <si>
    <t>900.9 + 3</t>
  </si>
  <si>
    <t>392.5 = 9</t>
  </si>
  <si>
    <t>974.0"</t>
  </si>
  <si>
    <t>The model's total (9,000,974.0 тыс. сом) does not match the reference total of approximately 593,152,147.3 тыс. сом.</t>
  </si>
  <si>
    <t>The context provided does not contain information on the Ministry of Health or the Ministry of Education.</t>
  </si>
  <si>
    <t>The model claims no information is available, but the reference clearly provides the funding amounts, making the answer incorrect.</t>
  </si>
  <si>
    <t>Based on the provided context, the total program-level budget for the listed entities grows from 2026 to 2027.</t>
  </si>
  <si>
    <t>The total for 2026 is 10</t>
  </si>
  <si>
    <t>439.9 + 801</t>
  </si>
  <si>
    <t>630.0 + 6</t>
  </si>
  <si>
    <t>192.0 + 180</t>
  </si>
  <si>
    <t>862.0 + 2</t>
  </si>
  <si>
    <t>338.5 + 1</t>
  </si>
  <si>
    <t>827.0 + 3</t>
  </si>
  <si>
    <t>392.5 = 28</t>
  </si>
  <si>
    <t>636.6 тыс. сом.</t>
  </si>
  <si>
    <t>The total for 2027 is 10</t>
  </si>
  <si>
    <t>700.0 + 801</t>
  </si>
  <si>
    <t>136.0 + 184</t>
  </si>
  <si>
    <t>479.0 + 2</t>
  </si>
  <si>
    <t>414.9 + 819</t>
  </si>
  <si>
    <t>431.4 + 1</t>
  </si>
  <si>
    <t>199.0 + 3</t>
  </si>
  <si>
    <t>809.0 + 409</t>
  </si>
  <si>
    <t>477.6 + 296</t>
  </si>
  <si>
    <t>718.9 + 3</t>
  </si>
  <si>
    <t>664.5 = 29</t>
  </si>
  <si>
    <t>660.3 тыс. сом.</t>
  </si>
  <si>
    <t>The growth is (29</t>
  </si>
  <si>
    <t>660.3 - 28</t>
  </si>
  <si>
    <t>636.6) / 28</t>
  </si>
  <si>
    <t>636.6 = 0.0051</t>
  </si>
  <si>
    <t xml:space="preserve"> or approximately 0.51%."</t>
  </si>
  <si>
    <t>The model states the budget grows by 0.51%, contradicting the reference that it declines by 7.1%.</t>
  </si>
  <si>
    <t>The program with the smallest non-zero funding in 2026 is "Управление и общая координация развития сельскохозяйственной" under Верховный суд Кыргызской Республики, with 3392.5 тыс.сом.</t>
  </si>
  <si>
    <t>Количество (Количество принятых постановлений, Количество проведенных встреч, Количество изданных распоряжений, Количество обслуживаемых смет, Количество государственных учреждений, Количество изготавливаемых наград, Количество лиц, Количество рейсов, Количество детей, Количество выданных документов и т.д.).</t>
  </si>
  <si>
    <t>The model gave 'Количество' (quantity) instead of the correct unit 'Процент (%)'.</t>
  </si>
  <si>
    <t>The provided context does not contain information on the Ministry of Transport and Communications or its 2026 program funding.</t>
  </si>
  <si>
    <t>The model did not provide the required funding figure, stating the information was unavailable, which is incorrect.</t>
  </si>
  <si>
    <t>Based on the provided context, no ministry/agency has exactly one budget program. All listed entities have multiple programs or measures under their main program headings.</t>
  </si>
  <si>
    <t>The model answer states zero ministries have exactly one program, contradicting the correct answer of 19.</t>
  </si>
  <si>
    <t>Based on the provided context, no programs show funding growth of more than 10% between 2026 and 2027. All listed programs have increases of less than 5% or show a decrease.</t>
  </si>
  <si>
    <t>Model answer contradicts the reference answer, stating zero programs instead of the correct nine.</t>
  </si>
  <si>
    <t>The context does not contain any performance indicators measured in people (чел.).</t>
  </si>
  <si>
    <t>The provided context does not contain any entries for the Ministry of Finance or General State Expenditures, so the share cannot be determined.</t>
  </si>
  <si>
    <t>The model answer incorrectly claims the information is unavailable, whereas the reference provides a specific share of 56%.</t>
  </si>
  <si>
    <t>The budget measure with the largest 2026 funding is "Оказание государственной поддержки в случае возникновения не" under the "Фонды Президента и Кабинета Министров Кы" program, with 2,000,000.0 тыс.сом.</t>
  </si>
  <si>
    <t>The provided context does not contain any information about the Ministry of Emergency Situations or its programs.</t>
  </si>
  <si>
    <t>The model answer does not provide the required program and funding, contradicting the reference answer.</t>
  </si>
  <si>
    <t>Based on the provided context, the 2026 program-based budget contains 12 total budget programs and 28 total budget measures.</t>
  </si>
  <si>
    <t>The answer mentions budget programs and measures but provides incorrect numbers (12 and 28 instead of 168 and 342).</t>
  </si>
  <si>
    <t>Based solely on the provided context, the programs with the largest absolute funding decrease from 2026 to 2027 are:</t>
  </si>
  <si>
    <t>1.  Управление делами Президента Кыргызской Республики</t>
  </si>
  <si>
    <t xml:space="preserve"> program ""Обеспечение и координация деятельности по реализации единой государственной политики в области архивного дела и делопроизводства"": Decrease of 265</t>
  </si>
  <si>
    <t>953.9 тыс. сом (from 2</t>
  </si>
  <si>
    <t>368.8 to 2</t>
  </si>
  <si>
    <t>414.9).</t>
  </si>
  <si>
    <t>2.  Управление делами Президента Кыргызской Республики</t>
  </si>
  <si>
    <t xml:space="preserve"> measure ""Обеспечение высокого уровня предоставления государственных услуг в сфере здравоохранения"": Decrease of 276</t>
  </si>
  <si>
    <t>872.1 тыс. сом (from 1</t>
  </si>
  <si>
    <t>358.0 to 916</t>
  </si>
  <si>
    <t>485.9).</t>
  </si>
  <si>
    <t>3.  Управление делами Президента Кыргызской Республики</t>
  </si>
  <si>
    <t xml:space="preserve"> measure ""Обеспечение деятельности должностных лиц</t>
  </si>
  <si>
    <t xml:space="preserve"> возложенных на УДП КР"": Decrease of 6</t>
  </si>
  <si>
    <t>395.8 тыс. сом (from 239</t>
  </si>
  <si>
    <t>481.8 to 233</t>
  </si>
  <si>
    <t>086.0)."</t>
  </si>
  <si>
    <t>The context does not contain information about a 'School Education' program or its funding under the Ministry of Education (Министерство просвещения).</t>
  </si>
  <si>
    <t>The model answer claims no information is available, contradicting the reference which provides a specific funding amount.</t>
  </si>
  <si>
    <t>Based on the provided context, the Ministry of Health (Министерство здравоохранения Кыргызской Республики, code 37) has three budget programs mentioned: "Управление и администрирование" (code 001), "Программа «Общественное здравоохранение»" (code 372), and "Программа «Организация предоставления услуг здравоохранения»" (code 373).</t>
  </si>
  <si>
    <t>The model gave an incorrect number of budget programs (three) instead of the correct answer (8).</t>
  </si>
  <si>
    <t>The program with the largest funding allocation in the 2026 budget is 'Министерство финансов Кыргызской Республики (Общегосударственные программы, мероприятия и выплаты)' with 332.1 billion som.</t>
  </si>
  <si>
    <t>The model identified the correct program but gave an incorrect funding amount.</t>
  </si>
  <si>
    <t>The context lists 68 distinct GRBS codes (from 11 to 88) for ministries, agencies, and other entities allocated budget programs in the 2026 republican budget.</t>
  </si>
  <si>
    <t>The model gave 68 instead of the correct total of 88 ministries and agencies.</t>
  </si>
  <si>
    <t>Model answer correctly approximates the total funding (1.1 billion som) matching the reference value of 1,127,306.9 тыс. сом.</t>
  </si>
  <si>
    <t>The total 2026 budget across all program-level items is 332.1 billion som for 'Министерство финансов Кыргызской Республики (Общегосударственные программы, мероприятия и выплаты)'. The context does not provide a sum of all individual ministry allocations to calculate a single overall total.</t>
  </si>
  <si>
    <t>The model answer gives an incorrect figure (332.1 bn) and fails to provide the correct total of approximately 593.2 bn som.</t>
  </si>
  <si>
    <t>Ministry of Education (Министерство просвещения) receives more funding. Its total is 56,424,894.1 thousand som in 2026, compared to the Ministry of Health's (Министерство здравоохранения) 41,621,347.3 thousand som in 2026.</t>
  </si>
  <si>
    <t>The model correctly identifies the Ministry of Education as receiving more funding and provides the matching figures.</t>
  </si>
  <si>
    <t>The context does not contain information about the total program-level budget change from 2026 to 2027. It only provides changes for individual ministries and agencies.</t>
  </si>
  <si>
    <t>The model answer incorrectly states no information is available, whereas the reference provides a specific decline of 7.1%.</t>
  </si>
  <si>
    <t>Program 40/402 'Внесение предложений по защите материальных и социальных прав ветеранов и ветеранских организаций' has the smallest non-zero funding in 2026 at 739.4 тыс. сом.</t>
  </si>
  <si>
    <t>The model correctly identifies the program with the smallest non-zero funding and gives the exact amount of 739.4 тыс. сом.</t>
  </si>
  <si>
    <t>Based on the provided context, the information to determine the exact number of ministries/agencies with exactly one budget program is not available. The context lists ministries/agencies and some of their programs but does not provide a complete list of all programs for each entity.</t>
  </si>
  <si>
    <t>The model answer states the information is unavailable, contradicting the reference answer of 19.</t>
  </si>
  <si>
    <t>Based solely on the provided context, the number of programs with funding growth of more than 10% from 2026 to 2027 is **3**.</t>
  </si>
  <si>
    <t>3. Program 44/001 'Управление и администрирование' (Министерство цифрового развития и инновационных технологий Кыргызской Республики): decreases by 61.3% (Note: This is a decrease</t>
  </si>
  <si>
    <t xml:space="preserve"> not growth. The context also shows Program 69/001 for the same ministry with a large decrease</t>
  </si>
  <si>
    <t xml:space="preserve"> but no specific growth &gt;10% for that code. The only explicit growth rates &gt;10% are the 133.6% and 25.5% listed.)</t>
  </si>
  <si>
    <t>Clarification: The context lists many growth percentages</t>
  </si>
  <si>
    <t xml:space="preserve"> but only the two increases (133.6% and 25.5%) are explicitly over 10%. The total budget growth for 'Министерство энергетики' is 33.2%</t>
  </si>
  <si>
    <t xml:space="preserve"> but this is for the total budget</t>
  </si>
  <si>
    <t xml:space="preserve"> not a specific program's funding in the provided data. Therefore</t>
  </si>
  <si>
    <t xml:space="preserve"> based strictly on the program funding growth figures given</t>
  </si>
  <si>
    <t xml:space="preserve"> the count is 2. However</t>
  </si>
  <si>
    <t xml:space="preserve"> the question asks for ""programs</t>
  </si>
  <si>
    <t xml:space="preserve"> and the context includes Program 45/263 'Общегосударственные программы' which goes from 0.0 in 2026 to 275.0 in 2027</t>
  </si>
  <si>
    <t xml:space="preserve"> which is an increase from zero. This represents an infinite percentage growth and should be counted as growth &gt;10%. Adding this gives a total of 3 programs."</t>
  </si>
  <si>
    <t>The model answer gives 3 programs, but the correct number is 9, so it is incorrect.</t>
  </si>
  <si>
    <t>Based on the provided context, there are 22 rows with a performance indicator measured in people (чел.).</t>
  </si>
  <si>
    <t>The model identified the correct type of rows but gave an incorrect count (22 instead of the correct 50).</t>
  </si>
  <si>
    <t>Based solely on the provided context, the total 2026 allocation for 'Министерство финансов Кыргызской Республики (Общегосударственные программы, мероприятия и выплаты)' (code 26) is 332,149,236.1 thousand som. The context does not provide the total sum of the entire 2026 program-based budget, so the share cannot be calculated.</t>
  </si>
  <si>
    <t>The model answer says the share cannot be calculated, whereas the reference provides a specific share of 56%.</t>
  </si>
  <si>
    <t>The budget measure "Государственный долг" receives 38.0 billion som in 2026, which is the largest funding amount listed for any measure.</t>
  </si>
  <si>
    <t>Based solely on the provided context, the program under the Ministry of Emergency Situations (code 45) that receives the most 2026 funding is 'Управление и администрирование' (code 001), allocated 184,945.8 thousand som in 2026.</t>
  </si>
  <si>
    <t>The context does not contain the total number of budget programs and budget measures in the 2026 program-based budget.</t>
  </si>
  <si>
    <t>The model answer incorrectly states the information is unavailable, whereas the reference provides the exact numbers.</t>
  </si>
  <si>
    <t>Based solely on the provided context, the largest absolute funding decreases from 2026 to 2027 are:</t>
  </si>
  <si>
    <t>1. 'Общегосударственные программы' (Министерство финансов Кыргызской Республики (Общегосударственные программы</t>
  </si>
  <si>
    <t xml:space="preserve"> мероприятия и выплаты)): Decrease of 31.9%.</t>
  </si>
  <si>
    <t>2. 'Цифровизация сельского хозяйства' (Министерство водных ресурсов</t>
  </si>
  <si>
    <t xml:space="preserve"> сельского хозяйства и перерабатывающей промышленности Кыргызской Республики): Decrease of 85.2%.</t>
  </si>
  <si>
    <t>Note: The context provides percentage changes but not the absolute som amounts for these specific programs</t>
  </si>
  <si>
    <t xml:space="preserve"> so the ranking is based on the magnitude of the percentage decreases reported."</t>
  </si>
  <si>
    <t>Only one of the three programs matches the reference; the other two are incorrect, so the answer is largely wrong.</t>
  </si>
  <si>
    <t>The provided context does not contain information about the Ministry of Education or a 'School Education' program.</t>
  </si>
  <si>
    <t>The provided context does not contain any entries for the Ministry of Health.</t>
  </si>
  <si>
    <t>The model did not provide the correct number (8) and claimed lack of information, which is incorrect.</t>
  </si>
  <si>
    <t>Based on the provided context, the program with the largest funding allocation in the 2026 budget is "Общегосударственные программы" under Министерство финансов Кыргызской Республики, with 164,663,857.2 тыс. сом.</t>
  </si>
  <si>
    <t>The model correctly identified the program and the exact funding amount as in the reference.</t>
  </si>
  <si>
    <t>The provided context does not contain a complete list or a total count of all ministries and agencies. It only shows a partial list starting from Жогорку Кенеш and ending with Министерство финансов. Therefore, the information is insufficient to determine the total number.</t>
  </si>
  <si>
    <t>The model answer says the information is insufficient, whereas the correct answer is the specific number 88.</t>
  </si>
  <si>
    <t>The total 2026 funding for the Жогорку Кенеш Кыргызской Республики is 1,127,306.9 thousand som.</t>
  </si>
  <si>
    <t>This is the sum of its two programs: ""Управление и администрирование"" (1</t>
  </si>
  <si>
    <t>143.9) and ""Обеспечение информацией о деятельности</t>
  </si>
  <si>
    <t xml:space="preserve"> контроля исполнения</t>
  </si>
  <si>
    <t xml:space="preserve"> (80</t>
  </si>
  <si>
    <t>163.0)."</t>
  </si>
  <si>
    <t>The model provides the exact total funding value matching the reference.</t>
  </si>
  <si>
    <t>The model answer does not provide the required funding figure and incorrectly claims no data, whereas the reference gives a specific amount.</t>
  </si>
  <si>
    <t>Based on the provided context, the total budget across all program-level items for 2026 is 164,663,857.2 тыс. сом. This is the amount for the "Общегосударственные программы" program under Министерство финансов Кыргызской Республики.</t>
  </si>
  <si>
    <t>The model gave a much lower figure (164.7 bn som) and referenced a single program, not the total ~593.2 bn som required.</t>
  </si>
  <si>
    <t>The provided context does not contain information about the Ministry of Health or the Ministry of Education.</t>
  </si>
  <si>
    <t>The model claims no information is available, but the reference provides clear figures showing Ministry of Education receives more funding.</t>
  </si>
  <si>
    <t>Based on the provided context, it is not possible to determine the total program-level budget change between 2026 and 2027. The context only contains selected programs and measures, not a complete list or a total sum.</t>
  </si>
  <si>
    <t>The model says it cannot determine the change, whereas the reference provides a specific decline of 7.1%.</t>
  </si>
  <si>
    <t>The program with the smallest non-zero funding in 2026 is "Льготное кредитование малого и среднего предпринимательства" under Министерство финансов Кыргызской Республики, with 20,000.0 тыс.сом.</t>
  </si>
  <si>
    <t>The most commonly used unit of measurement for performance indicators in the 2026 budget is a count or quantity (e.g., количество, число, доля, процент). Specific examples from the context include: Количество (number), Доля (share/proportion), Процент (percentage), Количество (amount), Уровень (level), and Сумма (sum).</t>
  </si>
  <si>
    <t>Model answer does not state that percentage is the most common unit, providing an incorrect answer.</t>
  </si>
  <si>
    <t>The provided context does not contain information on the Ministry of Transport and Communications.</t>
  </si>
  <si>
    <t>Based on the provided context, the number of ministries/agencies with exactly one budget program is 3.</t>
  </si>
  <si>
    <t>3. Военная прокуратура Кыргызской Республик"</t>
  </si>
  <si>
    <t>The model gave 3 instead of the correct number 19, so the answer is incorrect.</t>
  </si>
  <si>
    <t>Based on the provided context, no programs show funding growth of more than 10% between 2026 and 2027. All year-to-year changes for the listed programs are incremental and well below 10%.</t>
  </si>
  <si>
    <t>The model answer states zero programs have &gt;10% growth, contradicting the reference answer of 9.</t>
  </si>
  <si>
    <t>Based on the provided context, none of the rows have a performance indicator measured in people (чел.). The indicators use measures like percentages, quantities, amounts, or other units, but not "чел."</t>
  </si>
  <si>
    <t>The model answered that no rows have a people-based indicator, contradicting the correct answer of 50.</t>
  </si>
  <si>
    <t>Based on the provided context, the total 2026 program budget for the Ministry of Finance (including all its programs and measures) is 118,757,161.3 thousand som for "Государственные программы, мероприятия и выплаты" and 164,663,857.2 thousand som for "Общегосударственные программы". However, the context does not provide the overall total of the entire 2026 program-based budget for all ministries. Therefore, it is not possible to calculate the share.</t>
  </si>
  <si>
    <t>The model answer fails to provide the correct share (56%) and claims insufficient data, which is incorrect.</t>
  </si>
  <si>
    <t>Based solely on the provided context, the budget measure with the largest 2026 funding is "Обеспечение базовой части пенсии" (Ensuring the basic part of the pension) under the Ministry of Finance, with 33,574,380.8 thousand som for 2026.</t>
  </si>
  <si>
    <t>Based on the provided context, the 2026 program-based budget contains 38 budget programs and 77 budget measures.</t>
  </si>
  <si>
    <t>The answer mentions budget programs and measures but provides incorrect numbers compared to the reference.</t>
  </si>
  <si>
    <t>Based on the provided context, the programs with the largest absolute funding decrease from 2026 to 2027 are:</t>
  </si>
  <si>
    <t>1.  Министерство финансов Кыргызской Республики</t>
  </si>
  <si>
    <t xml:space="preserve"> program ""Общегосударственные программы"": Decrease of 52</t>
  </si>
  <si>
    <t>226.0 тыс. сом (from 164</t>
  </si>
  <si>
    <t>857.2 in 2026 to 112</t>
  </si>
  <si>
    <t>631.2 in 2027).</t>
  </si>
  <si>
    <t>2.  Министерство финансов Кыргызской Республики</t>
  </si>
  <si>
    <t xml:space="preserve"> program ""Администрирование государственных доходов"": Decrease of 1</t>
  </si>
  <si>
    <t>042.7 тыс. сом (from 10</t>
  </si>
  <si>
    <t>609.5 in 2026 to 9</t>
  </si>
  <si>
    <t>566.8 in 2027).</t>
  </si>
  <si>
    <t xml:space="preserve"> program ""Обеспечение и координация деятельности по реализации единой государственной политики в области имущественных отношений</t>
  </si>
  <si>
    <t xml:space="preserve"> государственных закупок</t>
  </si>
  <si>
    <t xml:space="preserve"> наград</t>
  </si>
  <si>
    <t xml:space="preserve"> связи</t>
  </si>
  <si>
    <t xml:space="preserve"> транспорта и организации государственных мероприятий"": Decrease of 265</t>
  </si>
  <si>
    <t>368.8 in 2026 to 2</t>
  </si>
  <si>
    <t>414.9 in 2027)."</t>
  </si>
  <si>
    <t>The context does not contain information on a specific 'School Education' program or its funding under the Ministry of Education (Министерство просвещения).</t>
  </si>
  <si>
    <t>The model answer does not provide the required funding figure and states the information is unavailable, which is incorrect.</t>
  </si>
  <si>
    <t>Based solely on the provided context, the program with the largest funding allocation in the 2026 budget is 'Министерство финансов Кыргызской Республики (Общегосударственные программы, мероприятия и выплаты)' with a total allocation of 332.1 billion som.</t>
  </si>
  <si>
    <t>Identifies the correct program but provides an incorrect funding amount.</t>
  </si>
  <si>
    <t>The context lists 68 distinct ministries and agencies with GRBS codes and allocations in the 2026 program-based budget.</t>
  </si>
  <si>
    <t>Provides a number for ministries and agencies but the value (68) does not match the correct total (88).</t>
  </si>
  <si>
    <t>The total 2026 budget across all program-level items is not provided in the context. The context only gives individual allocations for specific ministries and agencies.</t>
  </si>
  <si>
    <t>Model answer incorrectly states the total budget is not provided, whereas the reference gives a specific value.</t>
  </si>
  <si>
    <t>Ministry of Education (Министерство просвещения, code 34) receives more funding with 56,424,894.1 thousand som in 2026, compared to Ministry of Health (Министерство здравоохранения, code 37) with 41,621,347.3 thousand som in 2026.</t>
  </si>
  <si>
    <t>The model correctly identifies Ministry of Education as receiving more funding and provides matching figures.</t>
  </si>
  <si>
    <t>The context does not contain the total program-level budget figure for 2026 and 2027, so the overall percentage change cannot be determined.</t>
  </si>
  <si>
    <t>The model answer fails to provide the correct fact that the budget declines by 7.1%.</t>
  </si>
  <si>
    <t>The model correctly identifies the program with the smallest non-zero funding and gives the exact amount, despite a minor variation in the program name.</t>
  </si>
  <si>
    <t>The context does not contain the information needed to determine how many ministries/agencies have exactly one budget program.</t>
  </si>
  <si>
    <t>The model answer does not provide the required number (19) and instead claims insufficient information, which is incorrect.</t>
  </si>
  <si>
    <t>Based on the context, only one program shows funding growth of more than 10% between 2026 and 2027: 'Управление и администрирование' for Национальная академия наук Кыргызской Республики, which increases by 133.6%.</t>
  </si>
  <si>
    <t>The model gave an incorrect number (1) instead of the correct count of 9 programs.</t>
  </si>
  <si>
    <t>Based on the provided context, there are 24 rows with a performance indicator measured in people (чел.).</t>
  </si>
  <si>
    <t>The model identified the correct type of rows but gave the wrong count (24 instead of the correct 50).</t>
  </si>
  <si>
    <t>The total 2026 allocation for 'Министерство финансов Кыргызской Республики (Общегосударственные программы, мероприятия и выплаты)' (code 26) is 332,149,236.1 thousand som. The context does not provide the overall total of the 2026 program budget, so the share cannot be calculated.</t>
  </si>
  <si>
    <t>The model answer does not provide the required share (56%) and incorrectly claims the total is unavailable, contradicting the reference.</t>
  </si>
  <si>
    <t>The model answer does not provide the required numbers and incorrectly claims the information is missing.</t>
  </si>
  <si>
    <t>Based solely on the provided context, the three programs with the largest absolute funding decreases from 2026 to 2027 are:</t>
  </si>
  <si>
    <t>1.  **'Общегосударственные программы' (Министерство финансов Кыргызской Республики (Общегосударственные программы</t>
  </si>
  <si>
    <t xml:space="preserve"> мероприятия и выплаты))** – Decrease of 31.9%.</t>
  </si>
  <si>
    <t>2.  **'Цифровизация сельского хозяйства' (Министерство водных ресурсов</t>
  </si>
  <si>
    <t xml:space="preserve"> сельского хозяйства и перерабатывающей промышленности Кыргызской Республики)** – Decrease of 85.2%.</t>
  </si>
  <si>
    <t>**Note:** The context provides percentage changes but not the absolute funding amounts for these specific programs</t>
  </si>
  <si>
    <t xml:space="preserve"> so the ranking is based on the magnitude of the percentage decrease."</t>
  </si>
  <si>
    <t>Only one of the three listed programs matches the reference; the other two are incorrect, so the answer is largely wrong.</t>
  </si>
  <si>
    <t>The model answer exactly matches the reference value, providing the correct funding amount.</t>
  </si>
  <si>
    <t>Based on the context, the Ministry of Health (Министерство здравоохранения) has 6 budget programs for 2026.</t>
  </si>
  <si>
    <t>The answer correctly identifies the Ministry of Health but gives the wrong number of budget programs (6 instead of the correct 8).</t>
  </si>
  <si>
    <t>Based solely on the provided context, the program with the largest funding allocation in the 2026 budget is "Общегосударственные программы" under Министерство финансов Кыргызской Республики, with 164,663,857.2 тыс. сом.</t>
  </si>
  <si>
    <t>Based on the provided context, the total number of distinct ministries and agencies listed is 21.</t>
  </si>
  <si>
    <t>The model answer gives 21, which does not match the correct total of 88 ministries and agencies.</t>
  </si>
  <si>
    <t>The total 2026 funding for the Жогорку Кенеш (Jogorku Kenesh) is the sum of its two programs: 1,047,143.9 thousand som for "Управление и администрирование" and 80,163.0 thousand som for "Обеспечение информацией о деятельности, контроля исполнения," which equals 1,127,306.9 thousand som.</t>
  </si>
  <si>
    <t>Model answer provides the exact total funding of 1,127,306.9 thousand som, matching the reference.</t>
  </si>
  <si>
    <t>Based on the context, the total 2026 funding for the Ministry of Education (Министерство просвещения) across all its programs is 55,433,913.1 тыс. сом.</t>
  </si>
  <si>
    <t>1. Управление и администрирование: 1</t>
  </si>
  <si>
    <t>2. Дошкольное образование и предшкольная подготовка: 8</t>
  </si>
  <si>
    <t>3. Школьное образование: 42</t>
  </si>
  <si>
    <t>4. Начальное и среднее профессиональное образование: 2</t>
  </si>
  <si>
    <t>Sum: 1</t>
  </si>
  <si>
    <t>080.8 = 55</t>
  </si>
  <si>
    <t>913.1"</t>
  </si>
  <si>
    <t>Correct entity (total funding for Ministry of Education) but the amount 55,433,913.1 тыс. сом does not match the reference 56,424,894.11 тыс. сом.</t>
  </si>
  <si>
    <t>Based on the provided context, the total budget across all program-level items for 2026 cannot be calculated. The context contains only a partial list of programs and measures, not a complete budget summary.</t>
  </si>
  <si>
    <t>The model claims the budget cannot be calculated, contradicting the reference which provides the total budget value.</t>
  </si>
  <si>
    <t>Based on the provided context, the Ministry of Health (Министерство здравоохранения) receives more funding than the Ministry of Education (Министерство просвещения) in 2026.</t>
  </si>
  <si>
    <t>The total 2026 funding for the Ministry of Health's listed programs is 38</t>
  </si>
  <si>
    <t>916.9 thousand som.</t>
  </si>
  <si>
    <t>The total 2026 funding for the Ministry of Education's listed programs is 55</t>
  </si>
  <si>
    <t>893.1 thousand som.</t>
  </si>
  <si>
    <t>**Ministry of Health (2026): 38</t>
  </si>
  <si>
    <t>916.9 тыс. сом**</t>
  </si>
  <si>
    <t>**Ministry of Education (2026): 55</t>
  </si>
  <si>
    <t>893.1 тыс. сом**</t>
  </si>
  <si>
    <t>Therefore</t>
  </si>
  <si>
    <t xml:space="preserve"> the Ministry of Education receives more funding."</t>
  </si>
  <si>
    <t>The answer ultimately states that the Ministry of Education receives more funding, which matches the reference, but it also contains contradictory and incorrect statements about the Ministry of Health receiving more.</t>
  </si>
  <si>
    <t>Based on the provided context, the total program-level budget for all listed ministries cannot be calculated. The context only shows individual program and measure budgets, not a summed total for all programs. Therefore, it is impossible to determine if the total grows or shrinks between 2026 and 2027, or by what percentage.</t>
  </si>
  <si>
    <t>The model claims the information cannot be determined, contradicting the reference that states a 7.1% decline.</t>
  </si>
  <si>
    <t>The program with the smallest non-zero funding in 2026 is "Внесение предложений по защите материальных и социальных прав" by Общественное объединение «Республикански», with 739.4 тыс. сом.</t>
  </si>
  <si>
    <t>The most commonly used unit of measurement for performance indicators in the 2026 budget is a count or quantity (e.g., "Количество" - number, amount).</t>
  </si>
  <si>
    <t>The model gave an incorrect unit (count/quantity) instead of the correct unit percentage.</t>
  </si>
  <si>
    <t>The provided context does not contain any entries for the Ministry of Transport and Communications. Therefore, the total 2026 program funding for this ministry cannot be determined from the given information.</t>
  </si>
  <si>
    <t>The model claims the information is unavailable, whereas the reference provides a specific total funding value, making the answer incorrect.</t>
  </si>
  <si>
    <t>Based on the context, the following ministries/agencies have exactly one budget program listed:</t>
  </si>
  <si>
    <t>**Total: 7 ministries/agencies.**"</t>
  </si>
  <si>
    <t>The answer addresses the correct entity (the count) but provides the wrong number (7 instead of 19).</t>
  </si>
  <si>
    <t>Based on the provided context, none of the programs show a funding growth of more than 10% between 2026 and 2027. All listed year-to-year changes are less than 10%.</t>
  </si>
  <si>
    <t>The model answered that no programs have &gt;10% growth, contradicting the correct answer of 9.</t>
  </si>
  <si>
    <t>Based on the provided context, none of the performance indicators are measured in people (чел.). The indicators use units like percentages, quantities, monetary amounts, or other specific measures, but not "чел."</t>
  </si>
  <si>
    <t>The model answer states there are no rows with indicators measured in people, contradicting the reference answer of 50.</t>
  </si>
  <si>
    <t>Based solely on the provided context, the total 2026 program budget for the Ministry of Finance (including all its programs and measures) is 118,757,161.3 thousand som for the program "Государственные программы, мероприятия и выплаты". However, the context does not provide the total program budget for all ministries combined, so the requested share cannot be calculated.</t>
  </si>
  <si>
    <t>The model answer fails to provide the correct share (56%) and incorrectly states it cannot calculate, thus not matching the reference answer.</t>
  </si>
  <si>
    <t>The model gave a different measure and amount, not matching the reference's largest funding of Повышение социальных выплат at 76,517,019.4.</t>
  </si>
  <si>
    <t>The provided context does not contain any entries for the Ministry of Emergency Situations.</t>
  </si>
  <si>
    <t>The model says no entries exist, contradicting the reference which lists a specific program and amount.</t>
  </si>
  <si>
    <t>Based on the provided context, the 2026 program-based budget contains 56 budget programs and 144 budget measures.</t>
  </si>
  <si>
    <t>1. **Министерство финансов Кыргызской Республики - Общегосударственные программы**: Decrease of 52</t>
  </si>
  <si>
    <t>2. **Министерство финансов Кыргызской Республики - Администрирование государственных доходов**: Decrease of 1</t>
  </si>
  <si>
    <t>3. **Управление делами Президента Кыргызской Республики - Обеспечение и координация деятельности по реализации единой государственной политики в сфере государственных услуг</t>
  </si>
  <si>
    <t xml:space="preserve"> управления государственным имуществом</t>
  </si>
  <si>
    <t xml:space="preserve"> обеспечения деятельности государственных органов</t>
  </si>
  <si>
    <t xml:space="preserve"> организаций и учреждений**: Decrease of 265</t>
  </si>
  <si>
    <t>Only the first program matches the reference; the other two listed are incorrect.</t>
  </si>
  <si>
    <t>The model claims no information is available, contradicting the reference which provides a specific funding amount.</t>
  </si>
  <si>
    <t>The answer identifies the correct program but gives an incorrect funding amount.</t>
  </si>
  <si>
    <t>The context lists 68 distinct GRBS codes/entities that are allocated budget programs in the 2026 republican budget.</t>
  </si>
  <si>
    <t>The answer mentions a related count (68) but gives the wrong number, not the correct 88.</t>
  </si>
  <si>
    <t>Model answer approximates the reference value (1.127 billion) as 1.1 billion som, which is an acceptable rounding.</t>
  </si>
  <si>
    <t>Model answer incorrectly claims the total budget is not provided, whereas the reference gives a specific value of approximately 593.2 billion som.</t>
  </si>
  <si>
    <t>Ministry of Education (Министерство просвещения, code 34) receives more funding than Ministry of Health (Министерство здравоохранения, code 37). In 2026, the Ministry of Education is allocated 56,424,894.1 thousand som, while the Ministry of Health is allocated 41,621,347.3 thousand som.</t>
  </si>
  <si>
    <t>The answer correctly identifies the Ministry of Education as receiving more funding and provides the accurate figures matching the reference.</t>
  </si>
  <si>
    <t>The context does not contain the total consolidated program-level budget figure for 2026 and 2027, so the overall percentage change cannot be determined.</t>
  </si>
  <si>
    <t>The model answer fails to provide the correct percentage change, contradicting the reference answer.</t>
  </si>
  <si>
    <t>The model correctly identifies the unit as percentage, matching the reference answer.</t>
  </si>
  <si>
    <t>The model claims insufficient information, but the reference provides a specific answer (19), so the response is incorrect.</t>
  </si>
  <si>
    <t>Based on the provided context, the number of programs with funding growth exceeding 10% from 2026 to 2027 is 3.</t>
  </si>
  <si>
    <t>3. Program 80/001 'Управление и администрирование' (Министерство цифрового развития и инновационных технологий Кыргызской Республики) with a -61.3% change</t>
  </si>
  <si>
    <t xml:space="preserve"> which is not growth. There is a discrepancy. The context states funding for this program ""decreases by 61.3%""</t>
  </si>
  <si>
    <t xml:space="preserve"> so it should not be counted. The correct count based on actual growth &gt;10% is 2.</t>
  </si>
  <si>
    <t>However</t>
  </si>
  <si>
    <t xml:space="preserve"> the context also includes total budget growth figures for ministries</t>
  </si>
  <si>
    <t xml:space="preserve"> not specific programs. The only explicit program funding growth rates over 10% are the 133.6% and 25.5% increases. Therefore</t>
  </si>
  <si>
    <t xml:space="preserve"> the precise answer from the program data is 2."</t>
  </si>
  <si>
    <t>The model answer gives 2 (or 3) programs, which does not match the correct answer of 9.</t>
  </si>
  <si>
    <t>Based on the provided context, 22 rows have a performance indicator measured in people (чел.).</t>
  </si>
  <si>
    <t>The model identified the correct entity (rows with performance indicator measured in people) but gave an incorrect number (22 instead of 50).</t>
  </si>
  <si>
    <t>The total 2026 allocation for 'Министерство финансов Кыргызской Республики (Общегосударственные программы, мероприятия и выплаты)' is 332,149,236.1 thousand som. The context does not provide the total 2026 program budget figure needed to calculate the share.</t>
  </si>
  <si>
    <t>The model did not provide the required share (56%) and incorrectly states insufficient information.</t>
  </si>
  <si>
    <t>The budget measure "Государственный долг" receives 38.0 billion som in 2026, which is the largest funding amount listed for any specific measure.</t>
  </si>
  <si>
    <t>Note: The context provides percentage changes but not the absolute funding amounts for these specific programs</t>
  </si>
  <si>
    <t>The 2026 funding for the 'School Education' program under the Ministry of Education (Министерство просвещения) is 42,380,106.4 thousand som.</t>
  </si>
  <si>
    <t>The model provides the exact same funding amount, correctly matching the reference answer.</t>
  </si>
  <si>
    <t>Based on the context, the Ministry of Health (Министерство здравоохранения Кыргызской Республики) has 6 budget programs for 2026.</t>
  </si>
  <si>
    <t>Based on the provided context, the total number of distinct ministries and agencies listed is 52.</t>
  </si>
  <si>
    <t>The answer addresses the correct entity (total ministries and agencies) but provides the wrong number (52 instead of 88).</t>
  </si>
  <si>
    <t>The total 2026 funding for the Жогорку Кенеш (Jogorku Kenesh) is 1,127,306.9 thousand som.</t>
  </si>
  <si>
    <t>- ""Управление и администрирование"": 1</t>
  </si>
  <si>
    <t>143.9 thousand som</t>
  </si>
  <si>
    <t>- ""Обеспечение информацией о деятельности</t>
  </si>
  <si>
    <t>: 80</t>
  </si>
  <si>
    <t>163.0 thousand som"</t>
  </si>
  <si>
    <t>Based on the provided context, the total 2026 funding for the Ministry of Education (Министерство просвещения) across all its programs is 55,413,713.1 тыс. сом.</t>
  </si>
  <si>
    <t>* Управление и администрирование: 1</t>
  </si>
  <si>
    <t>* Дошкольное образование и предшкольная подготовка: 8</t>
  </si>
  <si>
    <t>* Школьное образование: 42</t>
  </si>
  <si>
    <t>* Начальное и среднее профессиональное образование: 2</t>
  </si>
  <si>
    <t>* Реализация проектов государственных инвестиций: 1</t>
  </si>
  <si>
    <t>180.0 (This measure is listed under the ministry's programs in the context)"</t>
  </si>
  <si>
    <t>The answer references the correct ministry and total funding concept but gives an incorrect total amount (55,413,713.1 vs. 56,424,894.11 тыс. сом).</t>
  </si>
  <si>
    <t>Based on the provided context, the total budget across all program-level items for 2026 cannot be determined. The context contains individual program amounts but does not provide a sum total.</t>
  </si>
  <si>
    <t>The model says the total cannot be determined, whereas the reference provides a specific total of approximately 593.2 billion som.</t>
  </si>
  <si>
    <t>Based on the provided context, the Ministry of Health (Министерство здравоохранения) receives more funding than the Ministry of Education (Министерство просвещения).</t>
  </si>
  <si>
    <t>The total 2026 budget for the Ministry of Health's listed programs is 38</t>
  </si>
  <si>
    <t>937.9 thousand som. The total 2026 budget for the Ministry of Education's listed programs is 55</t>
  </si>
  <si>
    <t>813.1 thousand som.</t>
  </si>
  <si>
    <t>**Note:** The Ministry of Science</t>
  </si>
  <si>
    <t xml:space="preserve"> Higher Education and Innovation (Министерство науки</t>
  </si>
  <si>
    <t xml:space="preserve"> высшего образования и инноваций) is a separate entity in the budget."</t>
  </si>
  <si>
    <t>The model incorrectly states that the Ministry of Health receives more funding, contradicting the reference which shows the Ministry of Education receives more.</t>
  </si>
  <si>
    <t>Based on the provided context, it is not possible to determine the total program-level budget change between 2026 and 2027. The context only contains individual program and measure budgets for specific ministries and agencies, not a consolidated total for all programs.</t>
  </si>
  <si>
    <t>The program with the smallest non-zero funding in 2026 is "Внесение предложений по защите материальных и социальных прав" under Общественное объединение «Республикански», with 739.4 тыс. сом.</t>
  </si>
  <si>
    <t>The model correctly identifies the same program and exact funding amount as the reference.</t>
  </si>
  <si>
    <t>Based on the context, the total 2026 program funding for the Ministry of Transport and Communications is the sum of its listed programs: 119,287.5 тыс. сом (Управление и администрирование) + 8,025,670.7 тыс. сом (Поддержание автомобильных дорог) + 1,410,765.1 тыс. сом (Реабилитация международных транспортных коридоров) + 320,964.6 тыс. сом (Развитие автомобильных перевозок).</t>
  </si>
  <si>
    <t>The total is **9</t>
  </si>
  <si>
    <t>687.9 тыс. сом**."</t>
  </si>
  <si>
    <t>The answer references the correct ministry but provides an incorrect total funding amount.</t>
  </si>
  <si>
    <t>Based on the context, it is not possible to determine how many ministries/agencies have exactly one budget program. The provided data lists programs and measures for each entity, but a full count of programs per entity is not given in a summarized form.</t>
  </si>
  <si>
    <t>The model answer says it cannot determine the number, whereas the correct answer is 19.</t>
  </si>
  <si>
    <t>Based on the provided context, none of the programs show a funding growth of more than 10% between 2026 and 2027. All year-to-year changes in the "2026 (тыс.сом)" and "2027" columns are less than a 10% increase.</t>
  </si>
  <si>
    <t>The model answer states zero programs, contradicting the correct answer of 9.</t>
  </si>
  <si>
    <t>Based on the provided context, none of the rows have a performance indicator measured in people (чел.). The indicators use other units such as percentages, quantities, amounts, or descriptive outcomes.</t>
  </si>
  <si>
    <t>The model answered that no rows have a people-based indicator, contradicting the correct answer of 50 rows.</t>
  </si>
  <si>
    <t>Based on the provided context, the total 2026 program budget for the Ministry of Finance (Министерство финансов Кыргызской Республики) is the sum of its listed programs: 2077532.3 + 332704.9 + 10614609.5 + 104267.8 + 2418048.5 + 46670347.3 + 164663857.2 + 118757161.3 + 2057870.4 = 341,398,398.9 тыс. сом.</t>
  </si>
  <si>
    <t>The context does not provide the total program budget for all ministries combined</t>
  </si>
  <si>
    <t xml:space="preserve"> so the share cannot be calculated."</t>
  </si>
  <si>
    <t>The model answer fails to provide the correct share (56%) and incorrectly states the share cannot be calculated.</t>
  </si>
  <si>
    <t>The budget measure with the largest 2026 funding is "Обеспечение базовой части пенсии" (Ensuring the basic part of the pension) under the Ministry of Finance, with 33,574,380.8 thousand som.</t>
  </si>
  <si>
    <t>The program "Предупреждение и ликвидация чрезвычайных ситуаций" under the Министерство чрезвычайных ситуаций receives the most 2026 funding, at 3,803,591.2 тыс. сом.</t>
  </si>
  <si>
    <t>Based on the provided context, the 2026 program-based budget contains 94 budget programs and 213 budget measures.</t>
  </si>
  <si>
    <t>1. **Министерство финансов Кыргызской Республики / Общегосударственные программы**: Decrease of 52</t>
  </si>
  <si>
    <t>2. **Министерство финансов Кыргызской Республики / Администрирование государственных доходов**: Decrease of 1</t>
  </si>
  <si>
    <t>3. **Министерство культуры</t>
  </si>
  <si>
    <t xml:space="preserve"> информации и мол / Сохранение и развитие культуры</t>
  </si>
  <si>
    <t xml:space="preserve"> искусства</t>
  </si>
  <si>
    <t xml:space="preserve"> информационной ср**: Decrease of 84</t>
  </si>
  <si>
    <t>255.3 тыс. сом (from 4</t>
  </si>
  <si>
    <t>597.9 in 2026 to 4</t>
  </si>
  <si>
    <t>342.6 in 2027)."</t>
  </si>
  <si>
    <t>Only the first program matches the reference; the other two listed programs are incorrect, so the answer is largely wrong.</t>
  </si>
  <si>
    <t>deepseek-v3.2-thinking</t>
  </si>
  <si>
    <t>The context does not contain information about the specific funding for a 'School Education' program under the Ministry of Education (Министерство просвещения).</t>
  </si>
  <si>
    <t>The model answer claims no information is available, whereas the reference provides a specific funding amount, making the answer incorrect.</t>
  </si>
  <si>
    <t>Based solely on the provided context, the entity with the largest total funding allocation is 'Министерство просвещения Кыргызской Республики' with 56.4 billion som.</t>
  </si>
  <si>
    <t>The context does not provide information on specific programs within these entities</t>
  </si>
  <si>
    <t xml:space="preserve"> only the total allocations for the government bodies (GRBS)."</t>
  </si>
  <si>
    <t>The model answer gives a different program and amount, not matching the reference answer.</t>
  </si>
  <si>
    <t>Based on the context, 14 ministries and 7 state agencies are listed, totaling 21 ministries and agencies.</t>
  </si>
  <si>
    <t>Model answer gives 21 instead of the correct total of 88 ministries and agencies.</t>
  </si>
  <si>
    <t>Model gave an appropriately rounded figure (1.1 billion som) matching the reference total of 1,127,306.9 тыс. сом (~1.127 billion som).</t>
  </si>
  <si>
    <t>The context does not contain information about a "Министерство образования" (Ministry of Education). It lists a "Министерство просвещения Кыргызской Республики" (code 34) with a total 2026 allocation of 56.4 billion som.</t>
  </si>
  <si>
    <t>Model provides the correct total funding (≈56.4 billion som) matching the reference value.</t>
  </si>
  <si>
    <t>The context does not contain the total budget across all program-level items for 2026.</t>
  </si>
  <si>
    <t>The model answer fails to provide the required budget figure and incorrectly claims the information is missing.</t>
  </si>
  <si>
    <t>The context does not contain specific funding amounts for the Ministry of Health (code 37) or the Ministry of Education (code 34), so a comparison cannot be made.</t>
  </si>
  <si>
    <t>The model claims no data is available, but the reference provides specific amounts showing Ministry of Education receives more funding.</t>
  </si>
  <si>
    <t>The context does not contain information on the total program-level budget change between 2026 and 2027. It only provides individual percentage changes for specific ministries and agencies.</t>
  </si>
  <si>
    <t>The model says no information is available, whereas the reference provides a specific decline of 7.1%.</t>
  </si>
  <si>
    <t>Программа 16/166 'Управление и общая координация развития сельскохозяйственной отрасли' имеет финансирование 3,392.5 тыс. сом в 2026 году.</t>
  </si>
  <si>
    <t>The model gave a different program and amount, not the smallest non-zero funding of 739.4 тыс. сом.</t>
  </si>
  <si>
    <t>Процент (%).</t>
  </si>
  <si>
    <t>The model answer matches the reference answer exactly, providing the correct unit of measurement.</t>
  </si>
  <si>
    <t>The context does not contain information on the number of budget programs allocated to each ministry/agency.</t>
  </si>
  <si>
    <t>The model answer claims lack of information, failing to provide the correct number (19).</t>
  </si>
  <si>
    <t>Two programs show funding growth of more than 10% between 2026 and 2027: Program 43/001 (~25.51% growth) and Program 80/001 (~133.59% growth).</t>
  </si>
  <si>
    <t>The answer identifies the correct type of entity (programs) but gives the wrong count (2 instead of the correct 9).</t>
  </si>
  <si>
    <t>The model identified the correct entity (the count of rows) but gave an incorrect number (10 instead of 50).</t>
  </si>
  <si>
    <t>The context does not contain the numerical data needed to calculate this share.</t>
  </si>
  <si>
    <t>The model did not provide the correct share (56%) and instead claimed lack of data, which is incorrect.</t>
  </si>
  <si>
    <t>Бюджетная мера "Государственный долг" имеет наибольшее финансирование в 2026 году — 38.0 миллиардов сом.</t>
  </si>
  <si>
    <t>The context does not contain information about specific budget programs or their funding amounts for the Ministry of Emergency Situations (code 45).</t>
  </si>
  <si>
    <t>The model answer says no information is available, which is incorrect compared to the reference answer that provides the specific program and amount.</t>
  </si>
  <si>
    <t>The context does not contain information on the total number of budget programs and budget measures.</t>
  </si>
  <si>
    <t>Based solely on the provided context, it is not possible to determine the largest absolute funding decreases. The context only provides percentage changes from 2026 to 2027, not the actual funding amounts (absolute numbers). Therefore, the top 3 programs by absolute decrease cannot be identified.</t>
  </si>
  <si>
    <t>The model claims insufficient data, but the reference provides the top three programs, so the answer is incorrect.</t>
  </si>
  <si>
    <t>The context provided does not contain any information about the Ministry of Education or a 'School Education' program.</t>
  </si>
  <si>
    <t>The model did not provide the required funding figure and incorrectly claimed the information was missing.</t>
  </si>
  <si>
    <t>Программа "Реализация государственной политики и осуществление межотрас" под Управлением делами Президента Кыргызской Республики имеет наибольшее финансирование в 2026 году — 3,297,739.7 тыс. сом.</t>
  </si>
  <si>
    <t>Based solely on the provided context, there are 6 ministries/agencies represented. They are:</t>
  </si>
  <si>
    <t>6. Верховный суд Кыргызской Республики"</t>
  </si>
  <si>
    <t>The model answer states 6 ministries/agencies, which does not match the correct total of 88.</t>
  </si>
  <si>
    <t>1127306.9 тыс. сом</t>
  </si>
  <si>
    <t>The model provides the exact same funding amount as the reference, matching the key figure.</t>
  </si>
  <si>
    <t>The context provided does not contain any entries for the Ministry of Education. Therefore, the information on its total 2026 funding is not available in the given data.</t>
  </si>
  <si>
    <t>The model claims the information is unavailable, contradicting the reference which provides a specific funding amount.</t>
  </si>
  <si>
    <t>11,603,480.7 тыс. сом</t>
  </si>
  <si>
    <t>The model's figure (11.6 billion som) does not match the reference total of about 593.2 billion som.</t>
  </si>
  <si>
    <t>The context provided does not contain information about the Ministry of Health or the Ministry of Education.</t>
  </si>
  <si>
    <t>The total program-level budget shrinks slightly between 2026 and 2027. Based on the sum of all "program" rows for 2026 (11,223,480.7 тыс. сом) and 2027 (11,198,130.7 тыс. сом), the decrease is approximately 0.23%.</t>
  </si>
  <si>
    <t>The answer identifies a decline but gives an incorrect percentage (0.23% vs the correct 7.1%).</t>
  </si>
  <si>
    <t>Программа "Управление и общая координация развития сельскохозяйственной" под министерством "Верховный суд Кыргызской Республики" имеет финансирование в 2026 году в размере 3392.5 тыс. сом.</t>
  </si>
  <si>
    <t>Количество (например, количество принятых постановлений, количество изданных распоряжений, количество проведенных встреч).</t>
  </si>
  <si>
    <t>The model gave 'Количество' instead of the correct unit 'Процент (%)'.</t>
  </si>
  <si>
    <t>The context does not contain information about the Ministry of Transport and Communications.</t>
  </si>
  <si>
    <t>The model did not provide the required funding amount and incorrectly claimed the information was unavailable.</t>
  </si>
  <si>
    <t>The model answer gives 3, which does not match the correct value of 19.</t>
  </si>
  <si>
    <t>Based on the provided context, no programs show funding growth of more than 10% between 2026 and 2027. All calculated changes are below that threshold.</t>
  </si>
  <si>
    <t>The model answered that no programs show &gt;10% growth, contradicting the correct answer of 9.</t>
  </si>
  <si>
    <t>Based on the provided context, no rows have a performance indicator measured in people (чел.). The indicators use units such as percentages, counts of documents, meetings, programs, or other measures, but not "чел."</t>
  </si>
  <si>
    <t>Model answer states zero rows, contradicting the correct answer of 50 rows.</t>
  </si>
  <si>
    <t>The context does not contain information about the Ministry of Finance or "General State Expenditures" in the provided data.</t>
  </si>
  <si>
    <t>The model answer fails to provide the correct share (56%) and incorrectly claims the information is missing.</t>
  </si>
  <si>
    <t>Мера "Регистрация населения и актов гражданского состояния" имеет наибольшее финансирование в 2026 году — 2 385 292.1 тыс. сом.</t>
  </si>
  <si>
    <t>Based solely on the provided context, the 2026 program-based budget contains 11 budget programs and 24 budget measures.</t>
  </si>
  <si>
    <t>Based solely on the provided context, only one program shows an absolute funding decrease from 2026 to 2027:</t>
  </si>
  <si>
    <t>1.  Управление делами Президента Кыргызской — program ""Обеспечение и координация деятельности по реализации единой"" decreases from 2</t>
  </si>
  <si>
    <t>368.8 тыс. сом (2026) to 2</t>
  </si>
  <si>
    <t>414.9 тыс. сом (2027).</t>
  </si>
  <si>
    <t>No other programs in the provided data show a decrease; all others show stable or increased funding. Therefore</t>
  </si>
  <si>
    <t xml:space="preserve"> only one program can be named</t>
  </si>
  <si>
    <t xml:space="preserve"> not three."</t>
  </si>
  <si>
    <t>The model answer does not match any of the three programs listed in the reference answer.</t>
  </si>
  <si>
    <t>The context does not contain information about the funding for a 'School Education' program under the Ministry of Education (Министерство просвещения Кыргызской Республики).</t>
  </si>
  <si>
    <t>The model claims no information is available, but the reference provides a specific funding amount, so the answer is incorrect.</t>
  </si>
  <si>
    <t>Based on the provided context, the Ministry of Health (Министерство здравоохранения Кыргызской Республики, code 37) has three budget programs mentioned: "Управление и администрирование" (001), "Программа «Общественное здравоохранение»" (372), and "Программа «Организация предоставления услуг здравоохранения»" (373).</t>
  </si>
  <si>
    <t>The model gave an incorrect number (three) instead of the correct eight budget programs.</t>
  </si>
  <si>
    <t>Программа "Общегосударственные программы, мероприятия и выплаты" под Министерством финансов Кыргызской Республики имеет самое крупное выделение — 332.1 миллиарда сом.</t>
  </si>
  <si>
    <t>Correct program identified but funding amount is incorrect.</t>
  </si>
  <si>
    <t>Based solely on the provided context, 51 ministries and agencies are explicitly stated to be allocated budget programs in the 2026 republican budget.</t>
  </si>
  <si>
    <t>Model identified the count of ministries and agencies but gave the wrong number (51 vs. correct 88).</t>
  </si>
  <si>
    <t>56,424,894.1 thousand som (56.4 billion som).</t>
  </si>
  <si>
    <t>The model provides the same total funding value, matching the reference amount (minor rounding acceptable).</t>
  </si>
  <si>
    <t>The total budget across all program-level items for 2026 is not provided in the context.</t>
  </si>
  <si>
    <t>The model says the total budget is not provided, whereas the reference gives a specific value (~593.2 billion som).</t>
  </si>
  <si>
    <t>Ministry of Education (code 34) receives more funding: 56,424,894.1 thousand som in 2026, compared to Ministry of Health (code 37): 41,621,347.3 thousand som in 2026.</t>
  </si>
  <si>
    <t>The model correctly identifies Ministry of Education receives more funding and provides the accurate amounts matching the reference.</t>
  </si>
  <si>
    <t>The context does not contain information about the total program-level budget change between 2026 and 2027. It only provides changes for individual ministries and agencies.</t>
  </si>
  <si>
    <t>Model answer incorrectly claims no information, whereas reference provides a specific decline of 7.1%.</t>
  </si>
  <si>
    <t>The model provides the same value (≈16.9 billion som) matching the reference figure, with acceptable rounding.</t>
  </si>
  <si>
    <t>The context does not specify the number of budget programs allocated to each ministry/agency. Therefore, it is not possible to determine how many have exactly one budget program.</t>
  </si>
  <si>
    <t>The model says the number cannot be determined, contradicting the correct answer of 19.</t>
  </si>
  <si>
    <t>Three programs show funding growth of more than 10% between 2026 and 2027:</t>
  </si>
  <si>
    <t>- Program 41/413 (34.1% increase)"</t>
  </si>
  <si>
    <t>The model identified the correct type of entity (program count) but gave the wrong number (3 instead of 9).</t>
  </si>
  <si>
    <t>The model identified the correct type of information (a count of rows) but gave an incorrect number (24 instead of 50).</t>
  </si>
  <si>
    <t>The context does not provide the total 2026 program budget figure, so the share for the Ministry of Finance (General State Expenditures) cannot be calculated.</t>
  </si>
  <si>
    <t>The model says the share cannot be calculated, but the reference provides a specific 56% share, so the answer is incorrect.</t>
  </si>
  <si>
    <t>"Повышение социальных выплат" receives 76.5 billion som in 2026.</t>
  </si>
  <si>
    <t>The model correctly identifies the measure and provides the matching funding amount (rounded)</t>
  </si>
  <si>
    <t>Программа "Управление и администрирование" (code 001) under the Ministry of Emergency Situations receives 184,945.8 thousand som in 2026, which is the highest funding amount indicated for its programs.</t>
  </si>
  <si>
    <t>The context does not contain enough information to determine the total number of budget programs and budget measures in the 2026 program-based budget.</t>
  </si>
  <si>
    <t>The model claims insufficient information, but the reference provides the exact numbers, so the answer is incorrect.</t>
  </si>
  <si>
    <t>The context does not contain enough information to determine the absolute funding decreases, as it primarily provides percentage changes and only a few specific program amounts. The absolute decrease cannot be calculated without the 2026 funding figures for the programs with the largest percentage decreases.</t>
  </si>
  <si>
    <t>The model answer does not provide the required programs and states insufficient information, contrary to the reference answer.</t>
  </si>
  <si>
    <t>The context provided does not contain any information about the Ministry of Health or its budget programs.</t>
  </si>
  <si>
    <t>The model answer states no information is available, which is incorrect since the correct answer is 8.</t>
  </si>
  <si>
    <t>The program with the largest funding allocation in the 2026 budget is "Общегосударственные программы" (National programs) under the Ministry of Finance, with 164,663,857.2 thousand soms.</t>
  </si>
  <si>
    <t>The model correctly identifies the program and provides the exact funding amount as in the reference.</t>
  </si>
  <si>
    <t>Based on the provided context, there are 15 distinct ministries and agencies represented in the program-based budget.</t>
  </si>
  <si>
    <t>The model gave 15 instead of the correct total of 88 ministries and agencies.</t>
  </si>
  <si>
    <t>The total 2026 funding for the Jogorku Kenesh is 1,127,306.9 thousand som. This is the sum of its two programs: "Управление и администрирование" (1,047,143.9) and "Обеспечение информацией о деятельности, контроля исполнения" (80,163.0).</t>
  </si>
  <si>
    <t>The provided context does not contain any entries for the Ministry of Education. Therefore, the total 2026 funding for its programs cannot be determined from the given information.</t>
  </si>
  <si>
    <t>The model claims the information is unavailable, whereas the reference provides a specific total funding amount.</t>
  </si>
  <si>
    <t>372,455,209.3 (тыс. сом)</t>
  </si>
  <si>
    <t>The model's figure (372,455,209.3 тыс. сом) does not match the reference total budget of approximately 593,152,147.3 тыс. сом.</t>
  </si>
  <si>
    <t>The provided context does not contain information for the Ministry of Health or the Ministry of Education. Therefore, a comparison of their funding cannot be made.</t>
  </si>
  <si>
    <t>The model claims no information is available, but the reference provides clear funding figures showing Ministry of Education receives more funding.</t>
  </si>
  <si>
    <t>The context does not contain the total program-level budget amounts for 2026 and 2027, so it is not possible to determine whether it grew or shrank, or by what percentage.</t>
  </si>
  <si>
    <t>The program with the smallest non-zero funding in 2026 is the measure "Транспортное обеспечение экс Президента КР и бывших руководи" under "Управление делами Президента Кыргызской" with 374.0 тыс.сом.</t>
  </si>
  <si>
    <t>The model gave a different program and amount than the reference, which specifies a different program with 739.4 тыс. сом.</t>
  </si>
  <si>
    <t>Процентные доли, соотношения и количества (например, "Доля", "Процент", "Отношение", "Количество").</t>
  </si>
  <si>
    <t>Model includes 'Процент' but adds extra units, not giving the single most common unit as required.</t>
  </si>
  <si>
    <t>The provided context does not contain any information about the Ministry of Transport and Communications.</t>
  </si>
  <si>
    <t>The model claims no information is available, whereas the reference provides a specific total funding value.</t>
  </si>
  <si>
    <t>Six ministries/agencies have exactly one budget program: Администрация Президента Кыргызской Республики, Архив Президента Кыргызской Республики, Фонды Президента и Кабинета Министров Кыргызской Республики, Военная прокуратура Кыргызской Республики, Омбудсмен (Акыйкатчы) Кыргызской Республики, and Резервные и другие фонды территорий.</t>
  </si>
  <si>
    <t>The model gave the number six, which does not match the correct answer of 19.</t>
  </si>
  <si>
    <t>2 programs.</t>
  </si>
  <si>
    <t>The answer addresses the correct entity (number of programs) but gives the wrong figure (2 instead of 9).</t>
  </si>
  <si>
    <t>The Ministry of Finance's total 2026 budget is 207,753,232.3 thousand som. The total program budget for 2026 is 515,930,488.8 thousand som. The Ministry of Finance's share is approximately 40.27%.</t>
  </si>
  <si>
    <t>Identifies the correct entity (Ministry of Finance share) but provides an incorrect percentage (40.27% vs the correct 56%).</t>
  </si>
  <si>
    <t>The budget measure with the largest 2026 funding is "Повышение социальных выплат" under the Ministry of Finance, with 76,517,019.4 thousand som.</t>
  </si>
  <si>
    <t>The model correctly identified the measure and the exact funding amount.</t>
  </si>
  <si>
    <t>Based on the provided context, the 2026 program-based budget contains 40 budget programs and 114 budget measures.</t>
  </si>
  <si>
    <t>Based on the provided context, the top 3 programs with the largest absolute funding decrease from 2026 to 2027 are:</t>
  </si>
  <si>
    <t>226.0 тыс.сом (from 164</t>
  </si>
  <si>
    <t>631.2).</t>
  </si>
  <si>
    <t>042.7 тыс.сом (from 10</t>
  </si>
  <si>
    <t>609.5 to 9</t>
  </si>
  <si>
    <t>566.8).</t>
  </si>
  <si>
    <t>3.  Управление делами Президента Кыргызской</t>
  </si>
  <si>
    <t xml:space="preserve"> program ""Обеспечение и координация деятельности по реализации единой"": Decrease of 265</t>
  </si>
  <si>
    <t>953.9 тыс.сом (from 2</t>
  </si>
  <si>
    <t>414.9)."</t>
  </si>
  <si>
    <t>The context does not contain information about the funding for a specific 'School Education' program under the Ministry of Education (Министерство просвещения).</t>
  </si>
  <si>
    <t>The model claims no information is available, whereas the reference provides a specific funding amount, so the answer is incorrect.</t>
  </si>
  <si>
    <t>The Ministry of Health (code 37) has six budget programs mentioned in the context: codes 001, 372, 373, 374, 375, and 376.</t>
  </si>
  <si>
    <t>Correct entity (Ministry of Health) but gives wrong number of programs (six vs eight).</t>
  </si>
  <si>
    <t>Based solely on the provided context, the largest funding allocation mentioned for a specific program in the 2026 budget is 42.4 billion som for the program 'Школьное образование' under 'Министерство просвещения Кыргызской Республики'.</t>
  </si>
  <si>
    <t>Model answer cites a different program and amount, not matching the reference's 'Общегосударственные программы' with 164,663,857.2 тыс. сом.</t>
  </si>
  <si>
    <t>Based solely on the provided context, the total number of ministries and agencies represented is 70.</t>
  </si>
  <si>
    <t>The count is derived from the list of entities explicitly stated to have allocations or budget programs in the 2026 program-based budget</t>
  </si>
  <si>
    <t xml:space="preserve"> each with a unique GRBS code (11 through 88)."</t>
  </si>
  <si>
    <t>The model identified the correct concept (total ministries and agencies) but gave an incorrect number (70 vs. the correct 88).</t>
  </si>
  <si>
    <t>The model correctly approximates the reference value (1,127,306.9 thousand som ≈ 1.1 billion som).</t>
  </si>
  <si>
    <t>56,424,894.1 thousand som.</t>
  </si>
  <si>
    <t>The model provides the same total funding value, matching the reference answer (minor rounding acceptable).</t>
  </si>
  <si>
    <t>Министерство просвещения Кыргызской Республики (code 34) receives more funding with 56,424,894.1 thousand som in 2026, compared to Министерство здравоохранения Кыргызской Республики (code 37) with 41,621,347.3 thousand som in 2026.</t>
  </si>
  <si>
    <t>The context does not contain information about the total program-level budget change from 2026 to 2027.</t>
  </si>
  <si>
    <t>The model claims no information is available, but the reference provides a specific answer (declines by 7.1%).</t>
  </si>
  <si>
    <t>The most commonly used unit of measurement for performance indicators is percentage (%).</t>
  </si>
  <si>
    <t>Model's rounded figure 16.9 billion som matches the reference value of 16,881,928.10 (≈16.88 billion som).</t>
  </si>
  <si>
    <t>The context does not contain enough information to determine how many ministries/agencies have exactly one budget program.</t>
  </si>
  <si>
    <t>Three programs show funding growth exceeding 10% between 2026 and 2027:</t>
  </si>
  <si>
    <t>3. Program 41/413 'Государственная поддержка и развитие растениеводства': Increase of approximately 34.12%."</t>
  </si>
  <si>
    <t>The model gave the wrong number of programs (3 instead of the correct 9).</t>
  </si>
  <si>
    <t>The model gave 27 instead of the correct number 50, so the answer is incorrect.</t>
  </si>
  <si>
    <t>The context does not provide the total 2026 program budget, so the share for the Ministry of Finance (General State Expenditures, code 26) cannot be calculated.</t>
  </si>
  <si>
    <t>The model answer claims the share cannot be calculated, whereas the reference provides a specific 56% share.</t>
  </si>
  <si>
    <t>Бюджетная мера "Повышение социальных выплат" имеет наибольшее финансирование в 2026 году — 76.5 миллиардов сом.</t>
  </si>
  <si>
    <t>Identifies the correct budget measure but gives an incorrect funding amount (misstates billions instead of the correct 76.5 million)</t>
  </si>
  <si>
    <t>Based solely on the provided context, the program under the Ministry of Emergency Situations (code 45) that receives the most 2026 funding is the program **'Государственные программы, мероприятия и выплаты'** through the budget measure **'Спецсчет МЧС КР'**, which receives 300.0 million som.</t>
  </si>
  <si>
    <t>This is higher than the 184.9 million som allocated to its program 'Управление и администрирование'."</t>
  </si>
  <si>
    <t>The model answer gives a different program and incorrect funding amounts, not matching the reference answer.</t>
  </si>
  <si>
    <t>Based on the provided funding data for 2026 and 2027:</t>
  </si>
  <si>
    <t>1. Program 22/001 'Управление и администрирование' (Министерство юстиции Кыргызской Республики): Decrease of 16</t>
  </si>
  <si>
    <t>2. Program 21/001 'Управление и администрирование' (Министерство экономики и коммерции Кыргызской Республики): Decrease of 946.8 тыс. сом (from 115</t>
  </si>
  <si>
    <t>3. Program 46/001 'Управление и администрирование' (Центрально-Азиатский институт прикладных исследований Земли): Decrease of 65.9 тыс. сом (from 6</t>
  </si>
  <si>
    <t>The model answer lists unrelated programs that do not match any of the three programs identified in the reference answer.</t>
  </si>
  <si>
    <t>42,380,106.4 (тыс.сом)</t>
  </si>
  <si>
    <t>The model provides the exact same numeric value and unit as the reference answer.</t>
  </si>
  <si>
    <t>The answer references the correct entity (Ministry of Health) but gives an incorrect number of programs.</t>
  </si>
  <si>
    <t>The program with the largest 2026 funding allocation is "Общегосударственные программы" under Министерство финансов Кыргызской Республики, with 164,663,857.2 тыс.сом.</t>
  </si>
  <si>
    <t>The answer provides a number for the total ministries and agencies, but the value 24 is incorrect; the correct figure is 88.</t>
  </si>
  <si>
    <t>The model answer exactly matches the reference value for total 2026 funding.</t>
  </si>
  <si>
    <t>55,412,714.2 тыс. сом</t>
  </si>
  <si>
    <t>Correct entity but the numeric value does not match the reference amount.</t>
  </si>
  <si>
    <t>505,990,798.8 thousand som</t>
  </si>
  <si>
    <t>The answer addresses the total budget (right entity) but provides an incorrect figure (505.99 bn vs 593.2 bn som).</t>
  </si>
  <si>
    <t>The Ministry of Education (Министерство просвещения) receives more funding in 2026.</t>
  </si>
  <si>
    <t>The total for the Ministry of Education's listed programs in 2026 is 55</t>
  </si>
  <si>
    <t>714.1 thousand som.</t>
  </si>
  <si>
    <t>The total for the Ministry of Health's listed programs in 2026 is 38</t>
  </si>
  <si>
    <t>324.1 thousand som."</t>
  </si>
  <si>
    <t>Correctly identified Education as receiving more funding, but provided incorrect funding figures.</t>
  </si>
  <si>
    <t>The total program-level budget shrinks from 2026 to 2027. The total for 2026 is 1,047,143.9 + 80,163.0 + 669,719.2 + 18,086.2 + 2,030,000.0 + 2,837,368.8 + 805,338.5 + 116,882.7 + 3,297,739.7 + 406,745.3 + 290,900.9 + 3,392.5 + 3,787,470.5 + 165,033.1 + 561,208.7 + 174,569.0 + 59,137.4 + 15,000.0 + 666,610.0 + 365,908.9 + 248,904.5 + 68,715.5 + 152,559.6 + 115,861.1 + 282,746.0 + 176,690.6 + 191,314.8 + 272,664.0 + 181,071.6 + 245,999.5 + 2,287,244.9 + 2,408,549.4 + 44,684.4 + 5,159,304.8 + 2,077,532.3 + 332,704.9 + 10,614,609.5 + 104,267.8 + 46,670,347.3 + 164,663,857.2 + 118,757,161.3 + 2,057,870.4 + 81,635.4 + 269,739.3 + 240,842.6 + 107,895.4 + 213,365.4 + 53,903.0 + 19,561.8 + 737,759.3 + 132,692.0 + 19,428.6 + 3,669,147.5 + 244,173.0 + 1,962,869.4 + 8,891,657.5 + 42,380,106.4 + 2,178,080.8 + 321,933.8 + 2,170,534.1 + 6,305,318.8 + 962,011.6 + 11,104,430.6 + 15,638,295.2 + 2,530,800.0 + 1,567,378.5 + 15,529,568.0 + 3,099,750.4 + 1,061,098.4 + 2,013,985.2 + 28,651.2 + 35,953.6 + 36,155.1 + 48,781.2 + 739.4 + 425,993.2 + 1,294,075.7 + 479,788.0 + 5,039,751.9 + 579,867.8 = 466,703,473.0 (тыс. сом). The total for 2027 is 1,069,070.0 + 80,163.0 + 683,113.6 + 18,447.9 + 2,030,000.0 + 2,571,414.9 + 819,431.4 + 119,819.9 + 3,303,809.0 + 409,477.6 + 296,718.9 + 3,664.5 + 3,053,203.4 + 168,890.8 + 572,339.1 + 178,060.4 + 60,620.1 + 15,000.0 + 662,126.6 + 373,227.0 + 253,882.6 + 70,089.8 + 136,463.5 + 114,914.3 + 266,500.3 + 199,769.7 + 195,752.1 + 277,496.3 + 165,221.1 + 250,919.5 + 2,331,345.1 + 2,450,711.8 + 45,702.4 + 5,198,766.8 + 2,100,402.2 + 336,444.9 + 9,479,566.8 + 106,329.2 + 46,670,347.3 + 112,194,631.2 + 131,802,316.2 + 2,057,870.4 + 83,268.1 + 269,739.3 + 245,180.7 + 115,448.1 + 200,269.7 + 54,981.1 + 19,561.8 + 769,728.9 + 136,834.6 + 19,428.6 + 3,674,725.0 + 244,196.9 + 1,967,522.0 + 8,892,351.5 + 43,462,341.1 + 2,178,083.4 + 326,433.8 + 2,120,832.0 + 7,072,644.7 + 976,420.6 + 10,923,008.0 + 15,671,462.3 + 2,530,800.0 + 1,567,378.5 + 15,990,640.7 + 3,106,928.9 + 1,061,098.4 + 2,010,984.9 + 28,651.2 + 34,962.0 + 36,155.1 + 48,527.7 + 739.4 + 435,960.8 + 1,312,981.9 + 643,477.5 + 3,774,682.8 + 85,800.3 = 466,703,473.0 (тыс. сом). The totals are identical, so the change is 0%.</t>
  </si>
  <si>
    <t>Model states a 0% change, contradicting the reference which says a 7.1% decline</t>
  </si>
  <si>
    <t>The program with the smallest non-zero funding in 2026 is "Внесение предложений по защите материальных и социальных пра" under "Общественное объединение «Республикански" with 739.4 тыс.сом.</t>
  </si>
  <si>
    <t>The model correctly identifies the program and its funding amount matching the reference.</t>
  </si>
  <si>
    <t>Количество (number/quantity).</t>
  </si>
  <si>
    <t>The model gave 8, but the correct number is 19, so the answer is incorrect.</t>
  </si>
  <si>
    <t>Based on the provided context, none of the rows have a performance indicator measured in "чел." (people). The indicators use terms like "количество детей," "количество лиц," or "количество обслуживаемых," but not the abbreviation "чел."</t>
  </si>
  <si>
    <t>The model says no rows have a 'чел.' indicator, contradicting the correct answer of 50.</t>
  </si>
  <si>
    <t>Identifies the correct entity (share for Ministry of Finance) but gives an incorrect percentage.</t>
  </si>
  <si>
    <t>The budget measure with the largest 2026 funding is "Обеспечение базовой части пенсии" under the Ministry of Finance, with 33,574,380.8 тыс.сом.</t>
  </si>
  <si>
    <t>The model gave a different measure and amount, not matching the reference's largest funding measure.</t>
  </si>
  <si>
    <t>The provided context does not contain any entries for the Ministry of Emergency Situations. Therefore, it is not possible to identify which program under that ministry receives the most 2026 funding.</t>
  </si>
  <si>
    <t>The model answer does not provide the correct program and funding amount, contradicting the reference answer.</t>
  </si>
  <si>
    <t>Based on the provided context, the 2026 program-based budget contains 77 budget programs and 154 budget measures.</t>
  </si>
  <si>
    <t>1.  **Общегосударственные программы** (Министерство финансов Кыргызской Республики): Decrease of 52</t>
  </si>
  <si>
    <t>2.  **Администрирование государственных доходов** (Министерство финансов Кыргызской Республики): Decrease of 1</t>
  </si>
  <si>
    <t>3.  **Реализация проектов государственных инвестиций** (Министерство экономики и коммерции Кыргызской Республики): Decrease of 545</t>
  </si>
  <si>
    <t>749.7 тыс.сом (from 4</t>
  </si>
  <si>
    <t>551.3 to 3</t>
  </si>
  <si>
    <t>801.6)."</t>
  </si>
  <si>
    <t>Only one of the three listed programs matches the reference; the other two are incorrect or missing, so the answer is largely wrong.</t>
  </si>
  <si>
    <t>The context does not contain information about a program named 'School Education' or its funding under the Ministry of Education (Министерство просвещения).</t>
  </si>
  <si>
    <t>The Ministry of Health (code 37) has six budget programs listed in the context.</t>
  </si>
  <si>
    <t>The answer correctly identifies the Ministry of Health but gives the wrong number of budget programs (six instead of eight).</t>
  </si>
  <si>
    <t>Correct entity (total ministries and agencies) but provides the wrong number (64 instead of 88).</t>
  </si>
  <si>
    <t>Model answer correctly rounds the reference value (1,127,306.9 thousand som ≈ 1.1 billion som) and provides the accurate total funding.</t>
  </si>
  <si>
    <t>The model provides the same total funding value, correctly matching the reference amount (minor rounding difference acceptable).</t>
  </si>
  <si>
    <t>Министерство просвещения (code 34) receives more funding with 56,424,894.1 thousand som in 2026, compared to Министерство здравоохранения (code 37) with 41,621,347.3 thousand som.</t>
  </si>
  <si>
    <t>The context does not contain information about the total program-level budget change between 2026 and 2027.</t>
  </si>
  <si>
    <t>Model claims no information while reference provides a specific decline of 7.1%, so answer is incorrect.</t>
  </si>
  <si>
    <t>Program 40/402 'Внесение предложений по защите материальных и социальных прав ветеранов и ветеранских организаций' has the smallest non-zero funding in 2026: 739.4 тыс. сом.</t>
  </si>
  <si>
    <t>The answer correctly identifies the program with the smallest non-zero funding and provides the exact amount of 739.4 тыс. сом.</t>
  </si>
  <si>
    <t>The model says the information is unavailable, contradicting the reference answer of 19.</t>
  </si>
  <si>
    <t>Model provided a numeric answer (3) but the correct number is 9, so the entity is right but the value is wrong.</t>
  </si>
  <si>
    <t>The model gave 28 instead of the correct number 50, so the answer is incorrect.</t>
  </si>
  <si>
    <t>The context does not contain the total 2026 program budget figure, so the share for the Ministry of Finance (General State Expenditures) cannot be calculated.</t>
  </si>
  <si>
    <t>The model answer incorrectly claims the share cannot be calculated, whereas the reference provides a specific share of 56%.</t>
  </si>
  <si>
    <t>Бюджетное мероприятие "Повышение социальных выплат" имеет наибольшее финансирование в 2026 году — 76.5 миллиардов сом.</t>
  </si>
  <si>
    <t>The model correctly identifies 'Повышение социальных выплат' as the largest measure and gives a matching amount (rounded to 76.5 billion som).</t>
  </si>
  <si>
    <t>The program "Управление и администрирование" (code 001) under the Ministry of Emergency Situations (code 45) receives 184,945.8 thousand som in 2026, which is the highest funding allocation for a program under that ministry.</t>
  </si>
  <si>
    <t>The model answer names a different program and amount, not matching the reference's highest-funded program.</t>
  </si>
  <si>
    <t>The context does not specify the total number of budget programs and budget measures in the 2026 program-based budget.</t>
  </si>
  <si>
    <t>The model answer claims the information is unspecified, which is incorrect compared to the reference answer.</t>
  </si>
  <si>
    <t>Based on the provided funding data:</t>
  </si>
  <si>
    <t>1. Program 22/001 'Управление и администрирование' (Министерство юстиции Кыргызской Республики): decrease of 16</t>
  </si>
  <si>
    <t>746.0 in 2026 to 266</t>
  </si>
  <si>
    <t>500.3 in 2027).</t>
  </si>
  <si>
    <t>2. Program 21/001 'Управление и администрирование' (Генеральная прокуратура Кыргызской Республики): decrease of 946.8 тыс. сом (from 115</t>
  </si>
  <si>
    <t>861.1 in 2026 to 114</t>
  </si>
  <si>
    <t>914.3 in 2027).</t>
  </si>
  <si>
    <t>3. Program 46/001 'Управление и администрирование' (Военная прокуратура Кыргызской Республики): decrease of 65.9 тыс. сом (from 6</t>
  </si>
  <si>
    <t>239.5 in 2026 to 6</t>
  </si>
  <si>
    <t>173.6 in 2027)."</t>
  </si>
  <si>
    <t>The model answer lists different programs than the reference and does not match the correct top three decreasing programs.</t>
  </si>
  <si>
    <t>The Ministry of Health has 7 budget programs.</t>
  </si>
  <si>
    <t>The answer correctly identifies the Ministry of Health but gives the wrong number of budget programs (7 instead of 8).</t>
  </si>
  <si>
    <t>The program with the largest funding allocation in the 2026 budget is "Общегосударственные программы" under the Ministry of Finance, with 164,663,857.2 тыс.сом.</t>
  </si>
  <si>
    <t>The model gave 52, but the correct total is 88, so the answer is incorrect.</t>
  </si>
  <si>
    <t>56424894.1 тыс. сом</t>
  </si>
  <si>
    <t>The model provides the same total funding value, matching the reference amount (minor formatting difference only).</t>
  </si>
  <si>
    <t>550,972,542.2 тыс. сом</t>
  </si>
  <si>
    <t>Identifies the total budget but provides an incorrect amount compared to the reference value.</t>
  </si>
  <si>
    <t>The Ministry of Education (Министерство просвещения) receives more funding. Its total 2026 budget is 55,412,714.1 тыс. сом, while the Ministry of Health's (Министерство здравоохранения) total is 39,033,324.1 тыс. сом.</t>
  </si>
  <si>
    <t>Correctly identified that the Ministry of Education receives more funding, but the reported budget figures differ from the reference values.</t>
  </si>
  <si>
    <t>The context does not contain a total program-level budget figure for 2026 and 2027, so it is not possible to determine the overall growth or shrinkage percentage.</t>
  </si>
  <si>
    <t>The model answer does not provide the correct fact that the budget declines by 7.1%.</t>
  </si>
  <si>
    <t>The program/measure with the smallest non-zero funding in 2026 is "Транспортное обеспечение экс Президента КР и бывших руководи" under Управление делами Президента Кыргызской, with 374.0 тыс. сом.</t>
  </si>
  <si>
    <t>The most commonly used units of measurement for performance indicators are percentages (e.g., Доля, Процент, Отношение) and counts/quantities (e.g., Количество).</t>
  </si>
  <si>
    <t>Model mentions percentages, the correct unit, but adds unrelated counts, so not a precise answer.</t>
  </si>
  <si>
    <t>9,554,723.3 тыс. сом</t>
  </si>
  <si>
    <t>The model's figure (9,554,723.3) does not match the reference total (16,881,928.10).</t>
  </si>
  <si>
    <t>The model identified the correct entity (count of ministries/agencies with one program) but gave an incorrect number (22 vs 19).</t>
  </si>
  <si>
    <t>The answer addresses the correct entity (number of programs) but provides an incorrect value (1 instead of 9).</t>
  </si>
  <si>
    <t>Based on the provided context, there are 0 rows where the performance indicator is explicitly measured in people (чел.). The indicators use descriptive terms like "количество детей," "количество лиц," "количество слушателей," etc., but not the abbreviation "чел."</t>
  </si>
  <si>
    <t>The model answered 0 rows, but the correct answer is 50, so it is completely incorrect.</t>
  </si>
  <si>
    <t>The answer gives a percentage for the Ministry of Finance share, but the value (34.1%) does not match the correct 56%.</t>
  </si>
  <si>
    <t>The budget measure with the largest 2026 funding is "Поддержание функционирования сети общеобразовательных, внешк" under Министерство просвещения, with 42,158,805.5 тыс. сом.</t>
  </si>
  <si>
    <t>The program "Управление материальными ценностями государственного и мобил" under the Ministry of Emergency Situations receives the most 2026 funding, with 4,522,247.8 тыс. сом.</t>
  </si>
  <si>
    <t>Based on the provided context, the 2026 program-based budget contains:</t>
  </si>
  <si>
    <t>- 213 budget measures."</t>
  </si>
  <si>
    <t>1.  Министерство водных ресурсов, сельского хозяйства и перерабатывающей промышленности — программа "Государственная поддержка и развитие ирригации": уменьшение на 1,265,069.1 тыс. сом (с 5,039,751.9 в 2026 до 3,774,682.8 в 2027).</t>
  </si>
  <si>
    <t>2.  Министерство финансов Кыргызской Республики — программа ""Администрирование государственных доходов"": уменьшение на 1</t>
  </si>
  <si>
    <t>042.7 тыс. сом (с 10</t>
  </si>
  <si>
    <t>609.5 в 2026 до 9</t>
  </si>
  <si>
    <t>566.8 в 2027).</t>
  </si>
  <si>
    <t>3.  Министерство культуры</t>
  </si>
  <si>
    <t xml:space="preserve"> информации и молодежи — программа ""Координирование</t>
  </si>
  <si>
    <t xml:space="preserve"> создание программ ТВ и РВ"": уменьшение на 445</t>
  </si>
  <si>
    <t>563.9 тыс. сом (с 1</t>
  </si>
  <si>
    <t>130.4 в 2026 до 798</t>
  </si>
  <si>
    <t>566.5 в 2027)."</t>
  </si>
  <si>
    <t>mistral-small-4</t>
  </si>
  <si>
    <t>Insufficient information.</t>
  </si>
  <si>
    <t>The model did not provide the required funding figure, giving an insufficient information response.</t>
  </si>
  <si>
    <t>The context does not provide the number of budget programs allocated to the Ministry of Health (code 37).</t>
  </si>
  <si>
    <t>The model answer states the information is unavailable, contradicting the reference answer of 8.</t>
  </si>
  <si>
    <t>Министерство просвещения Кыргызской Республики — 56.4 billion som.</t>
  </si>
  <si>
    <t>The model gave 37, but the correct total is 88, so the answer is incorrect.</t>
  </si>
  <si>
    <t>56.4 billion som.</t>
  </si>
  <si>
    <t>The model correctly gives the total funding as 56.4 billion som, matching the reference value (56,424,894.11 тыс. сом) with acceptable rounding.</t>
  </si>
  <si>
    <t>The context does not provide the total budget across all program-level items for 2026.</t>
  </si>
  <si>
    <t>The model claims the information is unavailable, whereas the reference provides a specific total budget value.</t>
  </si>
  <si>
    <t>Not enough information.</t>
  </si>
  <si>
    <t>The model says there is not enough information, but the reference provides the funding amounts showing Ministry of Education receives more.</t>
  </si>
  <si>
    <t>The total program-level budget shrinks by **7.7%** between 2026 and 2027.</t>
  </si>
  <si>
    <t>Correct direction of change but incorrect percentage value.</t>
  </si>
  <si>
    <t>Program 16/166 'Управление и общая координация развития сельскохозяйственной отрасли' with 3,392.5 тыс. сом.</t>
  </si>
  <si>
    <t>The model gave a different program and amount, not matching the reference's smallest non-zero funding.</t>
  </si>
  <si>
    <t>Percentage (%).</t>
  </si>
  <si>
    <t>The model correctly identifies the unit as Percentage (%), matching the reference answer.</t>
  </si>
  <si>
    <t>Cannot be determined from the provided context.</t>
  </si>
  <si>
    <t>The model did not provide the correct number (19) and claimed it could not be determined.</t>
  </si>
  <si>
    <t>The model gave 3, but the correct number is 9, so the answer is incorrect.</t>
  </si>
  <si>
    <t>The model gave 11, but the correct number is 50, so the answer is incorrect.</t>
  </si>
  <si>
    <t>The context does not provide the total 2026 program budget or the specific budget allocation for the Ministry of Finance (General State Expenditures, code 26). Therefore, the share cannot be determined.</t>
  </si>
  <si>
    <t>The model says the share cannot be determined, but the reference provides a specific 56% share, so the answer is incorrect.</t>
  </si>
  <si>
    <t>'Государственный долг' with 38.0 billion som.</t>
  </si>
  <si>
    <t>The model answer says there is not enough information, but the reference provides a specific program and amount, so the answer is incorrect.</t>
  </si>
  <si>
    <t>The context does not provide information on the total number of budget programs and measures in the 2026 program-based budget.</t>
  </si>
  <si>
    <t>The model claims no information is available, which is incorrect as the reference provides the numbers.</t>
  </si>
  <si>
    <t>1. Цифровизация сельского хозяйства (Министерство водных ресурсов, сельского хозяйства и перерабатывающей промышленности) – 85.2%</t>
  </si>
  <si>
    <t>3. Координирование</t>
  </si>
  <si>
    <t xml:space="preserve"> создание программ ТВ и РВ (Телерадиовещательные компании) – 35.8%"</t>
  </si>
  <si>
    <t>Not listed in the provided context.</t>
  </si>
  <si>
    <t>The model did not provide the required funding figure, giving an incorrect response.</t>
  </si>
  <si>
    <t>The context does not provide information about the Ministry of Health's budget programs.</t>
  </si>
  <si>
    <t>The model did not provide the correct number (8) and instead claimed no information was available.</t>
  </si>
  <si>
    <t>Управление делами Президента Кыргызской Республики — Реализация государственной политики и осуществление межотраслевой координации: 3297739.7 тыс.сом</t>
  </si>
  <si>
    <t>The model answered 5, which does not match the correct total of 88 ministries and agencies.</t>
  </si>
  <si>
    <t>The context does not provide information about a "Ministry of Education" or its programs.</t>
  </si>
  <si>
    <t>10,471,43.9 + 80,163.0 + 669,719.2 + 18,086.2 + 2,030,000.0 + 2,837,368.8 + 805,338.5 + 116,882.7 + 3,297,739.7 + 406,745.3 + 290,900.9 + 3,392.5 = **10,537,471.7 тыс.сом**</t>
  </si>
  <si>
    <t>The model's total (≈10.5 billion som) does not match the reference total of ≈593.2 billion som.</t>
  </si>
  <si>
    <t>The model says there is not enough information, but the reference provides the funding amounts and clearly indicates Ministry of Education receives more.</t>
  </si>
  <si>
    <t>Grows by 1.14%.</t>
  </si>
  <si>
    <t>The model states the budget grows by 1.14%, contradicting the reference that it declines by 7.1%.</t>
  </si>
  <si>
    <t>Управление и общая координация развития сельскохозяйственной отрасли (3392.5 тыс.сом).</t>
  </si>
  <si>
    <t>"Количество" (number)</t>
  </si>
  <si>
    <t>The model gave 'Количество' (number) instead of the correct unit 'Процент (%)'.</t>
  </si>
  <si>
    <t>The model did not provide the required funding amount, contradicting the reference answer.</t>
  </si>
  <si>
    <t>The context does not contain any information about the Ministry of Finance (General State Expenditures) or its budget allocation.</t>
  </si>
  <si>
    <t>The model answer incorrectly states no information, while the reference provides the correct share of 56%.</t>
  </si>
  <si>
    <t>«Обслуживание официальных делегаций» — 697100.8 тыс.сом.</t>
  </si>
  <si>
    <t>The context does not include any programs or measures under the Ministry of Emergency Situations.</t>
  </si>
  <si>
    <t>The model answer says no information is available, which contradicts the reference that provides a specific program and funding amount.</t>
  </si>
  <si>
    <t>Total budget programs: 10</t>
  </si>
  <si>
    <t>Total budget measures: 25"</t>
  </si>
  <si>
    <t>The model gave 10 programs and 25 measures, which do not match the correct figures of 168 programs and 342 measures.</t>
  </si>
  <si>
    <t>1. Обеспечение и координация деятельности по реализации единой (2837368.8 → 2571414.9 тыс.сом)</t>
  </si>
  <si>
    <t>3. Обеспечение деятельности Администрации Президента Кыргызской Республики (431602.0 → 439714.6 тыс.сом)"</t>
  </si>
  <si>
    <t>The model listed different programs than the reference answer, providing incorrect entities.</t>
  </si>
  <si>
    <t>The context does not provide specific information about a 'School Education' program under the Ministry of Education.</t>
  </si>
  <si>
    <t>The model answer does not provide the required funding figure and incorrectly claims the information is unavailable.</t>
  </si>
  <si>
    <t>The answer references the correct entity (Ministry of Health) but provides an incorrect number of programs.</t>
  </si>
  <si>
    <t>'Школьное образование' under 'Министерство просвещения Кыргызской Республики' with 42.4 billion som.</t>
  </si>
  <si>
    <t>The model gave 47, but the correct total is 88, so the answer is incorrect.</t>
  </si>
  <si>
    <t>56,424,894.1 thousand som</t>
  </si>
  <si>
    <t>The total budget across all program-level items for 2026 is **332.1 billion som** (for 'Министерство финансов Кыргызской Республики (Общегосударственные программы, мероприятия и выплаты)').</t>
  </si>
  <si>
    <t>The model gave 332.1 billion som, which does not match the reference total of approximately 593.2 billion som.</t>
  </si>
  <si>
    <t>Ministry of Education</t>
  </si>
  <si>
    <t>The model correctly identifies Ministry of Education as receiving more funding, matching the reference answer.</t>
  </si>
  <si>
    <t>The total program-level budget shrinks by 7.7% between 2026 and 2027.</t>
  </si>
  <si>
    <t>Correct direction of change but percentage value is inaccurate (7.7% vs 7.1%).</t>
  </si>
  <si>
    <t>Program 40/402 'Внесение предложений по защите материальных и социальных прав ветеранов и ветеранских организаций': 2026 funding = 739.4 тыс. сом.</t>
  </si>
  <si>
    <t>%.</t>
  </si>
  <si>
    <t>The model correctly identified the unit as percent, matching the reference answer.</t>
  </si>
  <si>
    <t>16,881,928.1 thousand som</t>
  </si>
  <si>
    <t>The model provides the same numeric value (16,881,928.1) matching the reference 16,881,928.10, with acceptable rounding and unit interpretation.</t>
  </si>
  <si>
    <t>12 ministries/agencies have exactly one budget program.</t>
  </si>
  <si>
    <t>The answer mentions ministries/agencies but gives the wrong number (12 instead of 19).</t>
  </si>
  <si>
    <t>The model identified the correct entity (number of programs) but gave an incorrect value (10 instead of the correct 9).</t>
  </si>
  <si>
    <t>The model gave 15, but the correct number is 50, so the answer is incorrect.</t>
  </si>
  <si>
    <t>332,149,236.1 / 15,547,163,000 = **2.14%**</t>
  </si>
  <si>
    <t>The model gave an incorrect share (2.14%) with a wrong denominator, not matching the reference 56%.</t>
  </si>
  <si>
    <t>'ОАО «Национальная электрическая сеть Кыргызстана»' with 12.8 billion som.</t>
  </si>
  <si>
    <t>Under ministry 'Министерство чрезвычайных ситуаций Кыргызской Республики' (code 45), the program 'Управление и администрирование' (code 001) receives 184,945.8 thousand som in 2026.</t>
  </si>
  <si>
    <t>The context does not provide enough information to determine the total number of budget programs and budget measures in the 2026 program-based budget.</t>
  </si>
  <si>
    <t>1. **Министерство цифрового развития и инновационных технологий** – 61.3%</t>
  </si>
  <si>
    <t>3. **Министерство водных ресурсов</t>
  </si>
  <si>
    <t xml:space="preserve"> сельского хозяйства и перерабатывающей промышленности** – 85.2%"</t>
  </si>
  <si>
    <t>The model answer lists unrelated ministries and percentages, not the three programs identified in the reference answer.</t>
  </si>
  <si>
    <t>The model claimed insufficient information instead of providing the correct funding amount.</t>
  </si>
  <si>
    <t>The context does not contain information about the Ministry of Health.</t>
  </si>
  <si>
    <t>**Пенсионное обеспечение и компенсации за счет бюджетных средств** (46,670,347.3 тыс.сом)</t>
  </si>
  <si>
    <t>The model gave a different program and amount, not the largest funding allocation as stated in the reference.</t>
  </si>
  <si>
    <t>The model gave 15, but the correct total is 88, so the answer is incorrect.</t>
  </si>
  <si>
    <t>2,128,470.8 тыс.сом</t>
  </si>
  <si>
    <t>The model gave an incorrect funding amount, not matching the reference value of 1,127,306.9 тыс. сом.</t>
  </si>
  <si>
    <t>The context does not provide any data for the Ministry of Education.</t>
  </si>
  <si>
    <t>The model answer says no data is provided, failing to give the correct total funding value.</t>
  </si>
  <si>
    <t>188,583,713.9 тыс.сом</t>
  </si>
  <si>
    <t>The model's figure (188,583,713.9 тыс. сом) does not match the reference total budget of approximately 593,152,147.3 тыс. сом.</t>
  </si>
  <si>
    <t>The context does not provide funding data for the Ministry of Health. Only the Ministry of Education's funding is not listed in the provided context. Therefore, the answer cannot be determined from the given data.</t>
  </si>
  <si>
    <t>The model claims insufficient data, but the reference provides clear figures showing Education receives more funding.</t>
  </si>
  <si>
    <t>The total program-level budget **shrinks** between 2026 and 2027 by **1.9%**.</t>
  </si>
  <si>
    <t>*(Calculated as: (Total 2027 - Total 2026) / Total 2026 × 100. Exact totals derived from summing all program-level amounts for each year.)*"</t>
  </si>
  <si>
    <t>Correctly identifies a budget decline but gives the wrong percentage (1.9% vs. 7.1%).</t>
  </si>
  <si>
    <t>The model gave only a number (3220.0) without the correct program name or amount, which does not match the reference answer.</t>
  </si>
  <si>
    <t>"Количество" (Quantity)</t>
  </si>
  <si>
    <t>The model answered 'Quantity' instead of the correct unit 'Percent (%)'.</t>
  </si>
  <si>
    <t>The model refused to provide the required figure, giving no answer.</t>
  </si>
  <si>
    <t>Model provided a numeric answer but it is incorrect (10 instead of the correct 19).</t>
  </si>
  <si>
    <t>The model answered 1, but the correct number is 9, so the answer is incorrect.</t>
  </si>
  <si>
    <t>The answer addresses the correct entity (number of rows) but provides an incorrect count (11 vs. 50).</t>
  </si>
  <si>
    <t>164663857.2 / (sum of all 2026 program budgets) = ?</t>
  </si>
  <si>
    <t>Sum of all 2026 program budgets = 203</t>
  </si>
  <si>
    <t>000 + 2</t>
  </si>
  <si>
    <t>368.8 + 116</t>
  </si>
  <si>
    <t>739.7 + 80</t>
  </si>
  <si>
    <t>533.85 + 1</t>
  </si>
  <si>
    <t>827 + 24</t>
  </si>
  <si>
    <t>49.4 + 228</t>
  </si>
  <si>
    <t>724.49 + 66</t>
  </si>
  <si>
    <t>971.92 + 104</t>
  </si>
  <si>
    <t>714.39 + 18</t>
  </si>
  <si>
    <t>086.2 + 165</t>
  </si>
  <si>
    <t>033.1 + 174</t>
  </si>
  <si>
    <t>569 + 66</t>
  </si>
  <si>
    <t>661 + 15</t>
  </si>
  <si>
    <t>255.96 + 11</t>
  </si>
  <si>
    <t>586.11 + 28</t>
  </si>
  <si>
    <t>274.6 + 40</t>
  </si>
  <si>
    <t>674.53 + 3</t>
  </si>
  <si>
    <t>392.5 + 3</t>
  </si>
  <si>
    <t>470.5 + 515</t>
  </si>
  <si>
    <t>930.48 + 2</t>
  </si>
  <si>
    <t>532.3 + 46</t>
  </si>
  <si>
    <t>347.3 + 11</t>
  </si>
  <si>
    <t>716.13 = 310</t>
  </si>
  <si>
    <t>000 (approximate)</t>
  </si>
  <si>
    <t>Share = 164</t>
  </si>
  <si>
    <t>857.2 / 310</t>
  </si>
  <si>
    <t>000 ≈ 53.1%</t>
  </si>
  <si>
    <t>**53.1%**"</t>
  </si>
  <si>
    <t>The model answer gives an incorrect percentage (53.1%) and uses different numbers, not matching the reference 56% share.</t>
  </si>
  <si>
    <t>**Обеспечение деятельности и координация деятельности по реализации единой государственной политики** (2,837,368.8 тыс.сом)</t>
  </si>
  <si>
    <t>The model gave a different measure and amount, not the correct largest funding measure.</t>
  </si>
  <si>
    <t>The context does not contain information about the Ministry of Emergency Situations or its programs.</t>
  </si>
  <si>
    <t>Total budget measures: 76"</t>
  </si>
  <si>
    <t>1. **Обеспечение высокого уровня предоставления государственных услуг** (Управление делами Президента Кыргызской Республики): 276,872.1 тыс.сом (1,193,358.0 → 916,485.9)</t>
  </si>
  <si>
    <t>2. **Реализация государственной политики и осуществление межотраслевой координации** (Управление делами Президента Кыргызской Республики): 744</t>
  </si>
  <si>
    <t>536.3 тыс.сом (3</t>
  </si>
  <si>
    <t>739.7 → 2</t>
  </si>
  <si>
    <t>203.4)</t>
  </si>
  <si>
    <t>3. **Осуществление правосудия** (Верховный суд Кыргызской Республики): 736</t>
  </si>
  <si>
    <t>867.1 тыс.сом (2</t>
  </si>
  <si>
    <t>862.4 → 1</t>
  </si>
  <si>
    <t>995.3)"</t>
  </si>
  <si>
    <t>The model answer lists different programs that do not match any of the three programs identified in the reference answer.</t>
  </si>
  <si>
    <t>The answer mentions the correct entity (Ministry of Health) but gives an incorrect number of programs.</t>
  </si>
  <si>
    <t>The model provides the same total funding value, correctly matching the reference amount (rounded) and unit.</t>
  </si>
  <si>
    <t>**Ministry of Education** receives more funding.</t>
  </si>
  <si>
    <t>- Ministry of Health (code 37): 41</t>
  </si>
  <si>
    <t>347.3 thousand som in 2026.</t>
  </si>
  <si>
    <t>- Ministry of Education (code 34): 56</t>
  </si>
  <si>
    <t>894.1 thousand som in 2026."</t>
  </si>
  <si>
    <t>The model correctly identified the unit as Percentage (%), matching the reference answer.</t>
  </si>
  <si>
    <t>The model gave the correct numeric value but incorrectly added 'thousand som', changing the magnitude and making the answer inaccurate.</t>
  </si>
  <si>
    <t>The model identified the correct entity (ministries/agencies with exactly one budget program) but gave the wrong number (12 instead of 19).</t>
  </si>
  <si>
    <t>The model gave an incorrect denominator and percentage, not matching the reference 56% share.</t>
  </si>
  <si>
    <t>1. **Программа «Общегосударственные программы» (Министерство финансов КР)** – decrease of **31.9%** (exact amounts not provided in context).</t>
  </si>
  <si>
    <t>2. **«Цифровизация сельского хозяйства» (Министерство водных ресурсов</t>
  </si>
  <si>
    <t xml:space="preserve"> с/х и перерабатывающей промышленности)** – decrease of **85.2%** (exact amounts not provided in context).</t>
  </si>
  <si>
    <t>3. **«Создание и распространение телерадиовещания на территории КР и за ее пределами» (Телерадиовещательные компании КР)** – decrease of **61.7%** (exact amounts not provided in context)."</t>
  </si>
  <si>
    <t>Only the first program matches the reference; the second and third programs are incorrect, so the answer does not provide the correct top three.</t>
  </si>
  <si>
    <t>The model provides the exact numeric value matching the reference; omission of the unit does not affect correctness.</t>
  </si>
  <si>
    <t>Correct entity (Ministry of Health) but the number of budget programs given (3) is incorrect; the reference states 8.</t>
  </si>
  <si>
    <t>**Ministry of Finance of the Kyrgyz Republic — "Общегосударственные программы"** with **164,663,857.2 тыс.сом**.</t>
  </si>
  <si>
    <t>The model correctly identified the program and its exact funding amount as in the reference.</t>
  </si>
  <si>
    <t>The answer addresses the correct entity (total ministries and agencies) but provides an incorrect number (25 vs. 88).</t>
  </si>
  <si>
    <t>Exact match of the numeric value and unit, formatting difference is negligible.</t>
  </si>
  <si>
    <t>1962869.4 + 8891657.5 + 42380106.4 + 2178080.8 + 1012180.0 = 56424894.1</t>
  </si>
  <si>
    <t>The model correctly calculates and presents the total as 56,424,894.1 тыс. сом, matching the reference value.</t>
  </si>
  <si>
    <t>1,085,537,737.9 тыс.сом</t>
  </si>
  <si>
    <t>The model's figure (1,085,537,737.9 тыс. сом) does not match the reference total budget of approximately 593.2 billion сом (593,152,147.3 тыс. сом).</t>
  </si>
  <si>
    <t>Ministry of Education: 42,380,106.4 тыс.сом (2026)</t>
  </si>
  <si>
    <t>Ministry of Health: 15</t>
  </si>
  <si>
    <t>295.2 тыс.сом (2026)</t>
  </si>
  <si>
    <t>Ministry of Education receives more funding."</t>
  </si>
  <si>
    <t>Identifies the correct ministry (Education) as receiving more funding, but provides incorrect funding figures.</t>
  </si>
  <si>
    <t>The total program-level budget grows between 2026 and 2027 by approximately 1.5%.</t>
  </si>
  <si>
    <t>The model states the budget grows by 1.5%, contradicting the reference that it declines by 7.1%.</t>
  </si>
  <si>
    <t>Общественное объединение «Республиканский совет женщин» — 739.4 тыс.сом</t>
  </si>
  <si>
    <t>The answer provides the correct funding amount but attributes it to the wrong program, not the one listed in the reference.</t>
  </si>
  <si>
    <t>Процент.</t>
  </si>
  <si>
    <t>The model correctly identified the most common unit as percent, matching the reference answer.</t>
  </si>
  <si>
    <t>Model identified the correct entity (the count) but gave the wrong number (10 instead of 19).</t>
  </si>
  <si>
    <t>The model identified the correct type of answer (a number of programs) but gave an incorrect value (11 instead of the correct 9).</t>
  </si>
  <si>
    <t>164,663,857.2 тыс.сом</t>
  </si>
  <si>
    <t>The model gave an unrelated amount, not the 56% share or the correct figure from the reference.</t>
  </si>
  <si>
    <t>**Обеспечение базовой части пенсии** (33,574,380.8 тыс.сом)</t>
  </si>
  <si>
    <t>The model gave a different budget measure and amount, not the one with the largest funding per the reference.</t>
  </si>
  <si>
    <t>Спецсчет МЧС КР — 300000.0 тыс.сом.</t>
  </si>
  <si>
    <t>**Programs:** 48</t>
  </si>
  <si>
    <t>**Measures:** 112"</t>
  </si>
  <si>
    <t>1. **Министерство финансов Кыргызской Республ** – "Общегосударственные программы" (164663857.2 → 112194631.2, decrease: 52469226.0)</t>
  </si>
  <si>
    <t>2. **Министерство финансов Кыргызской Республ** – ""Администрирование государственных доходов"" (10614609.5 → 9479566.8</t>
  </si>
  <si>
    <t xml:space="preserve"> decrease: 1135042.7)</t>
  </si>
  <si>
    <t>3. **Министерство финансов Кыргыз"</t>
  </si>
  <si>
    <t>Only the first program matches the reference; the other two listed programs are incorrect, so the answer is not correct.</t>
  </si>
  <si>
    <t>The answer references the correct entity (Ministry of Health) but gives an incorrect number of budget programs.</t>
  </si>
  <si>
    <t>Model answer correctly approximates the reference value (1.1 billion ≈ 1,127,306.9 тыс. сом).</t>
  </si>
  <si>
    <t>Program 40/402 'Внесение предложений по защите материальных и социальных прав ветеранов и ветеранских организаций'</t>
  </si>
  <si>
    <t>The model identifies the correct program but omits the funding amount, missing a key part of the answer.</t>
  </si>
  <si>
    <t>Numeric value matches reference but adds incorrect unit (thousand som), altering the actual amount.</t>
  </si>
  <si>
    <t>Correct entity (ministries/agencies) but the number given (12) does not match the reference (19).</t>
  </si>
  <si>
    <t>The model answer claims insufficient information, whereas the reference provides the exact numbers, so it is incorrect.</t>
  </si>
  <si>
    <t>Only the first program matches; the second and third listed programs differ from the reference answer, so the answer is incorrect.</t>
  </si>
  <si>
    <t>The model provides the exact numeric value matching the reference; unit omission is acceptable.</t>
  </si>
  <si>
    <t>The answer addresses the Ministry of Health but gives the wrong number (3 instead of the correct 8).</t>
  </si>
  <si>
    <t>**Ministry of Finance of the Kyrgyz Republic – "General Programs"** with **164,663,857.2 thousand soms**.</t>
  </si>
  <si>
    <t>The model correctly identified the program and exact funding amount matching the reference.</t>
  </si>
  <si>
    <t>Provides the correct numeric amount but omits the unit (тыс. сом), resulting in partial correctness.</t>
  </si>
  <si>
    <t>1962869.4 + 8891657.5 + 42380106.4 + 2178080.8 + 1012180.0 = 55424893.7</t>
  </si>
  <si>
    <t>The model provides the correct total (≈56,424,894.1 тыс. сом), matching the reference value.</t>
  </si>
  <si>
    <t>The model's figure (1,061,483,730.9) does not match the reference total budget of about 593.2 billion som.</t>
  </si>
  <si>
    <t>**Ministry of Education:** 42,380,106.4 тыс.сом (2026)</t>
  </si>
  <si>
    <t>**Ministry of Health:** 15</t>
  </si>
  <si>
    <t>**Ministry of Education receives more funding.**"</t>
  </si>
  <si>
    <t>Correctly identifies Ministry of Education receives more, but provides incorrect funding figures.</t>
  </si>
  <si>
    <t>The total program-level budget shrinks between 2026 and 2027 by approximately **11.1%**.</t>
  </si>
  <si>
    <t>*(Calculated by summing all program-level budgets for 2026 and 2027</t>
  </si>
  <si>
    <t xml:space="preserve"> then computing the percentage change.)*"</t>
  </si>
  <si>
    <t>The answer correctly states the budget declines, but gives an incorrect percentage (11.1% vs the correct 7.1%).</t>
  </si>
  <si>
    <t>Общественное объединение «Республиканский совет ветеранов войны и труда Кыргызской Республики» — 739.4 тыс.сом</t>
  </si>
  <si>
    <t>The answer gives the correct amount but names a different entity (an organization) instead of the program specified in the reference.</t>
  </si>
  <si>
    <t>Процент освоения средств, выделенных на бюджетную меру.</t>
  </si>
  <si>
    <t>Model answer correctly identifies the unit as percent, matching the reference.</t>
  </si>
  <si>
    <t>The answer addresses the correct entity (Ministry of Transport and Communications) but provides an incorrect funding amount.</t>
  </si>
  <si>
    <t>The model identified the correct entity (the count of ministries/agencies with one budget program) but gave an incorrect number (10 instead of 19).</t>
  </si>
  <si>
    <t>164663857.2 тыс.сом</t>
  </si>
  <si>
    <t>The model gave an unrelated amount instead of the correct 56% share (or the correct amount), thus it is incorrect.</t>
  </si>
  <si>
    <t>The model gave a different budget measure with a lower amount, not the correct measure 'Повышение социальных выплат' with 76,517,019.4.</t>
  </si>
  <si>
    <t>Программа «Предупреждение и ликвидация чрезвычайных ситуаций» — 3803591.2 тыс.сом.</t>
  </si>
  <si>
    <t>Model answered a different program and amount, not matching the reference answer.</t>
  </si>
  <si>
    <t>Total budget programs: 100</t>
  </si>
  <si>
    <t>Total budget measures: 200"</t>
  </si>
  <si>
    <t>1. **Общегосударственные программы** (Министерство финансов Кыргызской Республики): 164663857.2 → 112194631.2 (уменьшение на 52469226.0 тыс.сом)</t>
  </si>
  <si>
    <t>2. **Финансирование проектов экономического развития и накопленных** (Мини"</t>
  </si>
  <si>
    <t>Only the first program matches the reference; the second listed program is different and the third is missing, so the answer is largely incorrect.</t>
  </si>
  <si>
    <t>qwen3.5</t>
  </si>
  <si>
    <t>The provided context does not contain information on the specific funding for the 'School Education' program. It only states the total 2026 allocation for the Ministry of Education ('Министерство просвещения Кыргызской Республики') is 56.4 billion som.</t>
  </si>
  <si>
    <t>The model did not provide the correct funding figure of 42,380,106.4 тыс. сом and gave an unrelated statement.</t>
  </si>
  <si>
    <t>[ERROR: 'NoneType' object has no attribute 'strip']</t>
  </si>
  <si>
    <t>API error, not evaluated</t>
  </si>
  <si>
    <t>Министерство просвещения Кыргызской Республики has the largest funding allocation at 56.4 billion som.</t>
  </si>
  <si>
    <t>The model gave an incorrect program and amount, not matching the reference answer.</t>
  </si>
  <si>
    <t>14 ministries and 5 agencies are explicitly named among 47 unique entities (GRBS codes) listed in the context.</t>
  </si>
  <si>
    <t>The model answer gives 19 entities (14 ministries + 5 agencies) instead of the correct total of 88.</t>
  </si>
  <si>
    <t>56.4 billion som for 'Министерство просвещения Кыргызской Республики'.</t>
  </si>
  <si>
    <t>The model provides the correct total funding (≈56.4 billion som), matching the reference value (56,424,894.11 тыс. сом) with acceptable rounding.</t>
  </si>
  <si>
    <t>The model answer does not provide the required budget figure and incorrectly claims the information is missing.</t>
  </si>
  <si>
    <t>The context does not contain enough information. Specific funding amounts are not listed for the Ministry of Health (code 37) or the Ministry of Education (code 34).</t>
  </si>
  <si>
    <t>The model claims insufficient information, but the reference provides clear funding amounts showing Education receives more.</t>
  </si>
  <si>
    <t>The context does not contain enough information to determine the total program-level budget growth or shrinkage percentage between 2026 and 2027. It only provides percentage changes for individual ministries and agencies, not the aggregate total.</t>
  </si>
  <si>
    <t>Program 16/166 'Управление и общая координация развития сельскохозяйственной отрасли': 3,392.5 тыс. сом.</t>
  </si>
  <si>
    <t>Percent (%)</t>
  </si>
  <si>
    <t>The model correctly identifies the unit as Percent (%), matching the reference answer.</t>
  </si>
  <si>
    <t>The provided context does not specify the number of budget programs allocated to each ministry/agency.</t>
  </si>
  <si>
    <t>The model did not provide the correct number (19) and claimed the information was unavailable.</t>
  </si>
  <si>
    <t>2 programs (Program 43/001 and Program 80/001).</t>
  </si>
  <si>
    <t>Model identified the count of programs but gave the wrong number (2 instead of the correct 9).</t>
  </si>
  <si>
    <t>10 rows</t>
  </si>
  <si>
    <t>The model identified the correct entity (number of rows) but gave an incorrect value (10 instead of 50).</t>
  </si>
  <si>
    <t>The provided context does not contain information on budget amounts or the total 2026 program budget, so the share cannot be determined.</t>
  </si>
  <si>
    <t>The model answer fails to provide the correct share (56%) and incorrectly claims the information is unavailable.</t>
  </si>
  <si>
    <t>Budget measure 'Государственный долг' receives 38.0 billion som in 2026.</t>
  </si>
  <si>
    <t>The provided context does not contain information on specific programs or funding amounts for the Ministry of Emergency Situations.</t>
  </si>
  <si>
    <t>The model answer does not provide the required program and funding information, contrary to the reference answer.</t>
  </si>
  <si>
    <t>The provided context does not contain information on the total number of budget programs and budget measures.</t>
  </si>
  <si>
    <t>The model did not provide the required numbers, stating lack of information, which is incorrect.</t>
  </si>
  <si>
    <t>The context does not contain enough information. It provides only percentage changes, not absolute budget amounts, so the largest absolute funding decrease cannot be determined.</t>
  </si>
  <si>
    <t>The model answer does not provide the required programs and incorrectly claims insufficient information, contrary to the reference answer.</t>
  </si>
  <si>
    <t>The provided context does not contain information about the Ministry of Education or the 'School Education' program. The data provided covers only the Jogorku Kenesh, Presidential Administration, Presidential Archive, Presidential and Cabinet Funds, Presidential Affairs Office, and Supreme Court.</t>
  </si>
  <si>
    <t>The model claims the information is missing, whereas the reference provides a specific funding amount, so the answer is incorrect.</t>
  </si>
  <si>
    <t>The provided context does not contain information about the Ministry of Health.</t>
  </si>
  <si>
    <t>Реализация государственной политики и осуществление межотрас (Управление делами Президента Кыргызской) — 3297739.7 тыс.сом.</t>
  </si>
  <si>
    <t>6 unique ministries and agencies are represented.</t>
  </si>
  <si>
    <t>The model gave 6 instead of the correct total of 88 ministries and agencies.</t>
  </si>
  <si>
    <t>1,127,306.9 тыс.сом (сумма программ: 1,047,143.9 + 80,163.0)</t>
  </si>
  <si>
    <t>The provided context does not contain information about the Ministry of Education. It lists budget data only for the Jogorku Kenesh, Presidential Administration, Presidential Archive, Presidential and Cabinet Funds, Office of Affairs of the President, and Supreme Court.</t>
  </si>
  <si>
    <t>The model answer says the information is not present, which is incorrect; the reference provides a specific total funding value.</t>
  </si>
  <si>
    <t>11,603,480.7 тыс.сом</t>
  </si>
  <si>
    <t>The model's figure (11.6 million thousand som) does not match the reference total of about 593.2 billion som.</t>
  </si>
  <si>
    <t>The provided context does not contain budget information for the Ministry of Health or the Ministry of Education.</t>
  </si>
  <si>
    <t>The model claims no budget info is available, contradicting the reference which provides the figures and indicates Ministry of Education receives more funding.</t>
  </si>
  <si>
    <t>Total program-level budget 2026: 11,603,480.7 тыс.сом.</t>
  </si>
  <si>
    <t>Total program-level budget 2027: 11</t>
  </si>
  <si>
    <t>130.7 тыс.сом.</t>
  </si>
  <si>
    <t>The budget shrinks by 1.71%."</t>
  </si>
  <si>
    <t>The answer correctly states the budget shrinks, but gives an incorrect percentage (1.71% vs the correct 7.1%).</t>
  </si>
  <si>
    <t>Program: Управление и общая координация развития сельскохозяйственной</t>
  </si>
  <si>
    <t>2026 Funding: 3392.5 тыс.сом"</t>
  </si>
  <si>
    <t>The model gave a different program and funding amount, not matching the reference answer.</t>
  </si>
  <si>
    <t>The context does not explicitly list units of measurement. However, based on indicator names, "Quantity" (Количество) is the most frequent descriptor (20 out of 41 indicators).</t>
  </si>
  <si>
    <t>The model answer incorrectly states 'Quantity' as the most common unit, while the reference answer specifies 'Percent (%)'.</t>
  </si>
  <si>
    <t>The provided context does not contain information about the Ministry of Transport and Communications.</t>
  </si>
  <si>
    <t>3 ministries/agencies have exactly one budget program: Администрация Президента Кыргызской Респ, Архив Президента Кыргызской Республики, Фонды Президента и Кабинета Министров Кы.</t>
  </si>
  <si>
    <t>The model identified ministries/agencies but gave the wrong count (3 instead of the correct 19).</t>
  </si>
  <si>
    <t>0 programs show funding growth of more than 10% between 2026 and 2027. The highest growth among programs is approximately 8.02% (Верховный суд Кыргызской Республики, program: Управление и общая координация развития сельскохозяйственной, from 3392.5 to 3664.5 тыс.сом).</t>
  </si>
  <si>
    <t>The model answer states 0 programs, contradicting the correct answer of 9 programs.</t>
  </si>
  <si>
    <t>2 rows refer to counts of people ('Количество лиц', 'Количество детей'); units are not explicitly specified in the context.</t>
  </si>
  <si>
    <t>Model identified rows with people-based indicators but gave the wrong count (2 instead of the correct 50).</t>
  </si>
  <si>
    <t>The provided context does not contain information about the Ministry of Finance or the total 2026 program budget.</t>
  </si>
  <si>
    <t>The model did not provide the correct share (56%) and claimed lack of information, which is incorrect.</t>
  </si>
  <si>
    <t>Регистрация населения и актов гражданского состояния (Управление делами Президента Кыргызской) — 2385292.1 тыс.сом</t>
  </si>
  <si>
    <t>The provided context does not contain information about the Ministry of Emergency Situations.</t>
  </si>
  <si>
    <t>The model claims no information is available, contradicting the reference which provides the specific program and amount.</t>
  </si>
  <si>
    <t>Total items: 41"</t>
  </si>
  <si>
    <t>The model gave 12 programs and 29 measures, which does not match the correct figures of 168 programs and 342 measures.</t>
  </si>
  <si>
    <t>Only one program shows a funding decrease from 2026 to 2027; insufficient data to list top 3.</t>
  </si>
  <si>
    <t xml:space="preserve">   - 2026: 2</t>
  </si>
  <si>
    <t>368.8 тыс.сом</t>
  </si>
  <si>
    <t xml:space="preserve">   - 2027: 2</t>
  </si>
  <si>
    <t>414.9 тыс.сом</t>
  </si>
  <si>
    <t xml:space="preserve">   - Decrease: 265</t>
  </si>
  <si>
    <t>All other 11 programs show an increase or no change in funding."</t>
  </si>
  <si>
    <t>The model answer does not list any of the three programs identified in the reference and incorrectly claims only one program decreased.</t>
  </si>
  <si>
    <t>The provided context does not contain information on the 2026 funding for the 'School Education' program. It only states the total 2026 allocation for 'Министерство просвещения Кыргызской Республики' is 56.4 billion som.</t>
  </si>
  <si>
    <t>The model did not provide the correct funding figure of 42,380,106.4 тыс. сом and instead claimed the information was unavailable.</t>
  </si>
  <si>
    <t>The Ministry of Health (code 37) has 3 budget programs listed in the provided context: 'Управление и администрирование' (code 001), 'Программа «Общественное здравоохранение»' (code 372), and 'Программа «Организация предоставления услуг здравоохранения»' (code 373).</t>
  </si>
  <si>
    <t>Correctly identified the Ministry of Health but gave the wrong number of budget programs (3 instead of 8).</t>
  </si>
  <si>
    <t>The program 'Школьное образование' under 'Министерство просвещения Кыргызской Республики' has the largest funding allocation at 42.4 billion som.</t>
  </si>
  <si>
    <t>The provided context lists 60 unique entities (GRBS codes).</t>
  </si>
  <si>
    <t>Identifies the correct type of entity (ministries/agencies) but provides an incorrect number (60 vs. 88).</t>
  </si>
  <si>
    <t>The total 2026 allocation for 'Министерство просвещения Кыргызской Республики' is 56,424,894.1 thousand som.</t>
  </si>
  <si>
    <t>The model provides the same total funding value (56,424,894.1 thousand som) matching the reference answer.</t>
  </si>
  <si>
    <t>The context does not contain enough information to determine the total budget across all program-level items for 2026. While individual 2026 allocations for various ministries and agencies are provided, no aggregate total is stated.</t>
  </si>
  <si>
    <t>The model claims insufficient information, but the reference provides the total budget value, so the answer is incorrect.</t>
  </si>
  <si>
    <t>Ministry of Health ('Министерство здравоохранения Кыргызской Республики', code 37): 41,621,347.3 thousand som in 2026.</t>
  </si>
  <si>
    <t>Ministry of Education ('Министерство просвещения Кыргызской Республики'</t>
  </si>
  <si>
    <t xml:space="preserve"> code 34): 56</t>
  </si>
  <si>
    <t>894.1 thousand som in 2026.</t>
  </si>
  <si>
    <t>The Ministry of Education receives more funding."</t>
  </si>
  <si>
    <t>The model correctly states the funding amounts for both ministries and correctly identifies the Ministry of Education as receiving more funding.</t>
  </si>
  <si>
    <t>The context does not contain enough information to determine the growth or shrinkage of the total program-level budget between 2026 and 2027.</t>
  </si>
  <si>
    <t>Program 40/402 'Внесение предложений по защите материальных и социальных прав ветеранов и ветеранских организаций', 739.4 тыс. сом.</t>
  </si>
  <si>
    <t>The total 2026 allocation for 'Министерство транспорта и коммуникаций Кыргызской Республики' is 16,881,928.1 thousand som.</t>
  </si>
  <si>
    <t>The model provides the exact same numeric value (16,881,928.1) matching the reference answer, with appropriate unit.</t>
  </si>
  <si>
    <t>Based on the provided context, 20 ministries/agencies are listed with exactly one budget program detailed. The context does not contain enough information to determine the program count for the remaining ministries/agencies mentioned.</t>
  </si>
  <si>
    <t>12. Министерство науки</t>
  </si>
  <si>
    <t>37 other ministries/agencies are mentioned in the introductory list but lack specific program allocation details in the context."</t>
  </si>
  <si>
    <t>The answer provides a count of ministries with exactly one program, but the number (20) does not match the correct value (19).</t>
  </si>
  <si>
    <t>25 rows</t>
  </si>
  <si>
    <t>The model identified the correct type of rows but gave an incorrect count (25 instead of the correct 50).</t>
  </si>
  <si>
    <t>The context does not provide the total 2026 program budget, so the share cannot be calculated. The 2026 allocation for 'Министерство финансов Кыргызской Республики (Общегосударственные программы, мероприятия и выплаты)' (code 26) is 332,149,236.1 thousand som.</t>
  </si>
  <si>
    <t>The answer fails to provide the correct share (56%) and incorrectly claims the share cannot be calculated.</t>
  </si>
  <si>
    <t>Budget measure 'Повышение социальных выплат' receives 76.5 billion som in 2026.</t>
  </si>
  <si>
    <t>Program 'Управление и администрирование' (code 001) receives the most funding, allocated 184,945.8 thousand som in 2026.</t>
  </si>
  <si>
    <t>The context does not provide the total number of budget programs and budget measures in the 2026 program-based budget.</t>
  </si>
  <si>
    <t>The model answer claims the information is unavailable, which is incorrect as the reference provides the numbers.</t>
  </si>
  <si>
    <t>The context does not contain enough information to identify the top 3 programs with the largest absolute funding decrease. Base funding amounts for 2026 are missing for most programs listed with percentage changes, preventing calculation of absolute decreases. Among the programs with explicit absolute funding data provided, only Program 46/001 'Управление и администрирование' shows a decrease (65.9 тыс. сом).</t>
  </si>
  <si>
    <t>The model answer does not provide the three programs listed in the reference and gives an unrelated answer.</t>
  </si>
  <si>
    <t>2026 Allocation: 164663857.2 тыс.сом"</t>
  </si>
  <si>
    <t>The model correctly identified the program, ministry, and exact funding amount matching the reference.</t>
  </si>
  <si>
    <t>15 unique ministries and agencies are represented.</t>
  </si>
  <si>
    <t>The answer mentions ministries and agencies but gives the wrong total number (15 instead of 88).</t>
  </si>
  <si>
    <t>The provided context does not contain budget information for the Ministry of Education.</t>
  </si>
  <si>
    <t>The model answer fails to provide the required funding figure and incorrectly claims the information is unavailable.</t>
  </si>
  <si>
    <t>372,455,209.3 тыс.сом</t>
  </si>
  <si>
    <t>The answer addresses the total program-level budget (correct entity) but provides an incorrect figure (372,455,209.3 тыс. сом vs the correct ~593,152,147.3 тыс. сом).</t>
  </si>
  <si>
    <t>The model incorrectly claims no budget information is present, while the reference provides the figures showing Education receives more funding.</t>
  </si>
  <si>
    <t>The total program-level budget shrinks by 11.12% from 371,455,208.8 thousand som in 2026 to 330,136,171.2 thousand som in 2027.</t>
  </si>
  <si>
    <t>Correctly identifies a shrink but gives an incorrect percentage (11.12% vs 7.1%).</t>
  </si>
  <si>
    <t>Верховный суд Кыргызской Республики, program «Управление и общая координация развития сельскохозяйственной»: 3392.5 тыс.сом.</t>
  </si>
  <si>
    <t>Model answered a different program with a different funding amount, not matching the reference answer.</t>
  </si>
  <si>
    <t>Based on the provided context, the most commonly used unit of measurement for performance indicators is **Count** (indicated by "Количество" or "кол/во"), appearing in approximately **43** indicators. This is followed by **Percentage/Share/Ratio** (indicated by "Процент", "Доля", "Отношение", "Соотношение"), appearing in approximately **37** indicators, and **Amount** (indicated by "Объем средств", "Сумма"), appearing in approximately **22** indicators. A significant number of indicators (**~35**) use descriptive outcomes without a specific numerical unit.</t>
  </si>
  <si>
    <t>Model answer incorrectly states the most common unit is Count, while reference says it is Percentage (%)</t>
  </si>
  <si>
    <t>6 ministries/agencies have exactly one budget program:</t>
  </si>
  <si>
    <t>6. Резервные и другие фонды территорий"</t>
  </si>
  <si>
    <t>The answer provides a related list but gives the wrong number (6 instead of the correct 19).</t>
  </si>
  <si>
    <t>2 programs show funding growth of more than 10% between 2026 and 2027:</t>
  </si>
  <si>
    <t>1. **Министерство юстиции Кыргызской Республи** — Program: «Осуществление государственной регистрации</t>
  </si>
  <si>
    <t xml:space="preserve"> перерегистрации и»</t>
  </si>
  <si>
    <t xml:space="preserve">   - 2026: 176</t>
  </si>
  <si>
    <t>690.6 тыс.сом</t>
  </si>
  <si>
    <t xml:space="preserve">   - 2027: 199</t>
  </si>
  <si>
    <t>769.7 тыс.сом</t>
  </si>
  <si>
    <t xml:space="preserve">   - Growth: 13.06%</t>
  </si>
  <si>
    <t>2. **Министерство финансов Кыргызской Республ** — Program: «Государственные программы</t>
  </si>
  <si>
    <t xml:space="preserve"> мероприятия и выплаты»</t>
  </si>
  <si>
    <t xml:space="preserve">   - 2026: 118</t>
  </si>
  <si>
    <t>161.3 тыс.сом</t>
  </si>
  <si>
    <t xml:space="preserve">   - 2027: 131</t>
  </si>
  <si>
    <t>316.2 тыс.сом</t>
  </si>
  <si>
    <t xml:space="preserve">   - Growth: 10.98%"</t>
  </si>
  <si>
    <t>Model provided a count of programs but the number (2) is incorrect; the correct count is 9.</t>
  </si>
  <si>
    <t>3 rows have a performance indicator measured in people (persons/children/listeners):</t>
  </si>
  <si>
    <t>3. Министерство финансов Кыргызской Республ (measure: Переподготовка и повышение квалификации сотрудников госуправ) — Indicator: Количество слушателей"</t>
  </si>
  <si>
    <t>The answer provides a count of rows (3) but the correct count is 50, so the entity is right but the number is incorrect.</t>
  </si>
  <si>
    <t>The context does not provide the total 2026 program budget sum required to calculate the exact share. The Ministry of Finance program "Общегосударственные программы" (General State Programs) is allocated 164,663,857.2 thousand soms in 2026.</t>
  </si>
  <si>
    <t>The model answer does not provide the correct share (56%) or the correct figures, and claims insufficient data, which is incorrect.</t>
  </si>
  <si>
    <t>2026 Funding: 76517019.4 тыс.сом"</t>
  </si>
  <si>
    <t>The model correctly identifies the measure and provides the exact funding amount matching the reference.</t>
  </si>
  <si>
    <t>The model claims no information is available, contradicting the reference which provides a specific program and funding amount.</t>
  </si>
  <si>
    <t>Budget programs: 41</t>
  </si>
  <si>
    <t>Total: 171"</t>
  </si>
  <si>
    <t>1. Общегосударственные программы (Министерство финансов Кыргызской Республ): 52469226.0 тыс.сом (164663857.2 – 112194631.2)</t>
  </si>
  <si>
    <t>3. Планирование</t>
  </si>
  <si>
    <t xml:space="preserve"> социальному пр (Верховный суд Кыргызской Республики): 734267.1 тыс.сом (3787470.5 – 3053203.4)"</t>
  </si>
  <si>
    <t>The provided context does not contain information about the 'School Education' program funding. It only states the total 2026 allocation for the 'Министерство просвещения Кыргызской Республики' is 56.4 billion som.</t>
  </si>
  <si>
    <t>The Ministry of Health (code 37) has 6 budget programs:</t>
  </si>
  <si>
    <t>6. 'Предоставление услуг медицинскими учреждениями на стационарном уровне' (code 376)"</t>
  </si>
  <si>
    <t>Program 'Школьное образование' under 'Министерство просвещения Кыргызской Республики': 42.4 billion som.</t>
  </si>
  <si>
    <t>The model gave a different program and amount, not matching the reference's largest allocation.</t>
  </si>
  <si>
    <t>Based on the provided context, there are 60 unique ministries and agencies (GRBS codes) represented in the 2026 program-based budget.</t>
  </si>
  <si>
    <t xml:space="preserve"> 88."</t>
  </si>
  <si>
    <t>The answer addresses the correct entity (ministries and agencies) but provides an incorrect total count (60 instead of 88).</t>
  </si>
  <si>
    <t>Model gives a rounded figure (1.1 billion som) that matches the reference total of 1,127,306.9 тыс. сом (~1.127 billion som).</t>
  </si>
  <si>
    <t>The total 2026 allocation for 'Министерство просвещения Кыргызской Республики' (code 34) is 56,424,894.1 thousand som.</t>
  </si>
  <si>
    <t>The model provides the exact total funding value, matching the reference (minor rounding acceptable).</t>
  </si>
  <si>
    <t>The context does not contain enough information to determine the total budget across all program-level items for 2026.</t>
  </si>
  <si>
    <t>The model claims insufficient information, but the reference provides a specific total budget value, so the answer is wrong.</t>
  </si>
  <si>
    <t>Ministry of Education (Министерство просвещения Кыргызской Республики) receives more funding: 56,424,894.1 thousand som in 2026. Ministry of Health (Министерство здравоохранения Кыргызской Республики) receives 41,621,347.3 thousand som in 2026.</t>
  </si>
  <si>
    <t>The context does not contain enough information. It provides budget changes for specific ministries and agencies, but does not specify the growth or shrinkage percentage for the total program-level budget as a whole.</t>
  </si>
  <si>
    <t>The model says there is insufficient information, whereas the reference provides a specific answer (declines by 7.1%).</t>
  </si>
  <si>
    <t>The model correctly identifies the program with the smallest non-zero funding and provides the exact amount matching the reference.</t>
  </si>
  <si>
    <t>16,881,928.1 thousand som (16.9 billion som)</t>
  </si>
  <si>
    <t>The model provides the exact numeric value matching the reference, correctly interpreting the unit.</t>
  </si>
  <si>
    <t>The context does not contain enough information to determine the exact number of ministries/agencies with exactly one budget program, as complete program lists are not provided for all listed entities.</t>
  </si>
  <si>
    <t>The model claims insufficient information, whereas the reference provides the exact number (19).</t>
  </si>
  <si>
    <t>3 programs show funding growth of more than 10% between 2026 and 2027:</t>
  </si>
  <si>
    <t>1. Program 80/001 'Управление и администрирование' (133.6% growth</t>
  </si>
  <si>
    <t xml:space="preserve"> from 60</t>
  </si>
  <si>
    <t>699.7 тыс. сом).</t>
  </si>
  <si>
    <t>2. Program 43/001 'Управление и администрирование' (25.5% growth</t>
  </si>
  <si>
    <t xml:space="preserve"> from 119</t>
  </si>
  <si>
    <t>718.3 тыс. сом).</t>
  </si>
  <si>
    <t>3. Program 41/413 'Государственная поддержка и развитие растениеводства' (34.1% growth</t>
  </si>
  <si>
    <t xml:space="preserve"> from 479</t>
  </si>
  <si>
    <t>477.5 тыс. сом)."</t>
  </si>
  <si>
    <t>The model identified the correct type of answer (a count) but gave the wrong number (3 instead of the correct 9).</t>
  </si>
  <si>
    <t>27 rows have a performance indicator measured in people (чел.).</t>
  </si>
  <si>
    <t>Correct entity identified but the number (27) does not match the reference value (50).</t>
  </si>
  <si>
    <t>The context does not contain the total 2026 program budget required to calculate the share. The 2026 allocation for 'Министерство финансов Кыргызской Республики (Общегосударственные программы, мероприятия и выплаты)' (code 26) is 332,149,236.1 thousand som.</t>
  </si>
  <si>
    <t>The model answer fails to provide the required share percentage (56%) and instead says the total budget is missing, so it does not contain the key fact.</t>
  </si>
  <si>
    <t>Program 'Управление и администрирование' (code 001) receives 184,945.8 thousand som in 2026.</t>
  </si>
  <si>
    <t>The model did not provide the required numbers, stating lack of information, which is a refusal to answer.</t>
  </si>
  <si>
    <t>1. Program 22/001 'Управление и администрирование': 16,245.7 тыс. сом decrease (2026: 282,746.0; 2027: 266,500.3)</t>
  </si>
  <si>
    <t>2. Program 21/001 'Управление и администрирование': 946.8 тыс. сом decrease (2026: 115</t>
  </si>
  <si>
    <t>861.1; 2027: 114</t>
  </si>
  <si>
    <t>914.3)</t>
  </si>
  <si>
    <t>3. Program 46/001 'Управление и администрирование': 65.9 тыс. сом decrease (2026: 6</t>
  </si>
  <si>
    <t>239.5; 2027: 6</t>
  </si>
  <si>
    <t>173.6)"</t>
  </si>
  <si>
    <t>The model answer lists unrelated programs and figures, not the three programs identified in the reference answer.</t>
  </si>
  <si>
    <t>42380106.4 thousand som</t>
  </si>
  <si>
    <t>The model provides the exact same numeric value in thousand som, matching the reference answer.</t>
  </si>
  <si>
    <t>7 budget programs:</t>
  </si>
  <si>
    <t>The answer addresses the Ministry of Health but gives an incorrect count (7 instead of the correct 8 budget programs).</t>
  </si>
  <si>
    <t>The model correctly identified the program, ministry, and exact allocation amount matching the reference.</t>
  </si>
  <si>
    <t>24 ministries and agencies.</t>
  </si>
  <si>
    <t>Correctly identifies ministries and agencies but gives the wrong total count (24 vs. 88).</t>
  </si>
  <si>
    <t>1,127,306.9 thousand som (sum of two programs: 1,047,143.9 for "Управление и администрирование" and 80,163.0 for "Обеспечение информацией о деятельности, контроля исполнения,").</t>
  </si>
  <si>
    <t>The model provides the exact same total funding value (1,127,306.9 thousand som) as the reference, which is correct.</t>
  </si>
  <si>
    <t>55,412,714.1 тыс.сом (Министерство просвещения Кыргызской Респ)</t>
  </si>
  <si>
    <t>080.8"</t>
  </si>
  <si>
    <t>Correct ministry identified, but total funding figure does not match the reference value.</t>
  </si>
  <si>
    <t>505,990,798.8 тыс.сом</t>
  </si>
  <si>
    <t>The answer addresses the total budget (right entity) but provides an incorrect figure (505.99 bn vs 593.2 bn).</t>
  </si>
  <si>
    <t>Министерство просвещения Кыргызской Респ: 56,424,894.1 тыс.сом</t>
  </si>
  <si>
    <t>Министерство здравоохранения Кыргызской: 41</t>
  </si>
  <si>
    <t>347.3 тыс.сом</t>
  </si>
  <si>
    <t>Министерство просвещения Кыргызской Респ receives more funding."</t>
  </si>
  <si>
    <t>The model correctly states the education ministry receives more funding with matching figures.</t>
  </si>
  <si>
    <t>The total program-level budget shrinks between 2026 and 2027.</t>
  </si>
  <si>
    <t>*   **2026 Total:** 505</t>
  </si>
  <si>
    <t>798.8 thousand som</t>
  </si>
  <si>
    <t>*   **2027 Total:** 465</t>
  </si>
  <si>
    <t>673.9 thousand som</t>
  </si>
  <si>
    <t>*   **Change:** -40</t>
  </si>
  <si>
    <t>124.9 thousand som</t>
  </si>
  <si>
    <t>*   **Percentage:** -8.04%"</t>
  </si>
  <si>
    <t>Correctly identifies a decline but gives an incorrect percentage (8.04% vs the reference 7.1%).</t>
  </si>
  <si>
    <t>Program: Внесение предложений по защите материальных и социальных пра</t>
  </si>
  <si>
    <t>2026 Funding: 739.4 тыс.сом"</t>
  </si>
  <si>
    <t>The model correctly identified the program and its 2026 funding of 739.4 тыс. сом, matching the reference answer.</t>
  </si>
  <si>
    <t>The context does not specify a standard unit of measurement column for performance indicators. Based on the text in the "Indicator" column, the most frequently used metric type is **Count/Quantity** (indicated by the word "Количество"), followed by **Percentage/Share** ("Процент"/"Доля") and **Index** ("Индекс").</t>
  </si>
  <si>
    <t>Model answer states Count/Quantity is most frequent, contradicting the reference that the most common unit is Percentage (%)</t>
  </si>
  <si>
    <t>8 ministries/agencies have exactly one budget program:</t>
  </si>
  <si>
    <t>8. Общественное объединение «Республикански"</t>
  </si>
  <si>
    <t>Model provided a count of ministries/agencies but gave the wrong number (8 instead of the correct 19).</t>
  </si>
  <si>
    <t>4 programs show funding growth of more than 10% between 2026 and 2027:</t>
  </si>
  <si>
    <t>1.  **Министерство юстиции Кыргызской Республики** — *Осуществление государственной регистрации</t>
  </si>
  <si>
    <t xml:space="preserve"> перерегистрации и*: 176</t>
  </si>
  <si>
    <t>690.6 → 199</t>
  </si>
  <si>
    <t>769.7 тыс.сом (**+13.06%**)</t>
  </si>
  <si>
    <t>2.  **Министерство финансов Кыргызской Республики** — *Государственные программы</t>
  </si>
  <si>
    <t xml:space="preserve"> мероприятия и выплаты*: 118</t>
  </si>
  <si>
    <t>161.3 → 131</t>
  </si>
  <si>
    <t>316.2 тыс.сом (**+10.98%**)</t>
  </si>
  <si>
    <t>3.  **Министерство здравоохранения Кыргызской** — *Программа «Организация предоставления услуг здравоохранения»*: 6</t>
  </si>
  <si>
    <t>318.8 → 7</t>
  </si>
  <si>
    <t>644.7 тыс.сом (**+12.17%**)</t>
  </si>
  <si>
    <t>4.  **Министерство водных ресурсов</t>
  </si>
  <si>
    <t xml:space="preserve"> сельского** — *Государственная поддержка и развитие растениеводства*: 479</t>
  </si>
  <si>
    <t>788.0 → 643</t>
  </si>
  <si>
    <t>477.5 тыс.сом (**+34.12%**)"</t>
  </si>
  <si>
    <t>The answer addresses the correct entity (count of programs) but provides the wrong number (4 instead of the correct 9).</t>
  </si>
  <si>
    <t>24 rows have performance indicators measuring counts of individuals (e.g., "Количество лиц", "Количество детей", "Количество пациентов", "Количество выпускников", "Количество специалистов", "Количество врачей", "Количество ЛОВЗ", "Количество ветеранов", "Количество безработных", "Количество служащих", "Количество слушателей", "Численность сотрудников", "Количество обслуживаемых", "Количество получающих пособия", "Годовой объем обучающихся студентов", "Количество зарегистрированных с сахарным диабетом"). The unit "чел." is not explicitly written in the indicator text, but the indicators semantically represent headcounts.</t>
  </si>
  <si>
    <t>**Precise Count:** 24"</t>
  </si>
  <si>
    <t>The model identified the correct type of rows but gave an incorrect count (24 instead of the reference 50).</t>
  </si>
  <si>
    <t>The budget for the Ministry of Finance program "Общегосударственные программы" (General State Programs) in 2026 is 164,663,857.2 thousand som. The provided context does not explicitly state the total 2026 program budget sum required to calculate the exact share.</t>
  </si>
  <si>
    <t>The model answer does not provide the correct share (56%) and gives an unrelated figure, failing to answer the question.</t>
  </si>
  <si>
    <t>The model correctly identifies the measure 'Повышение социальных выплат' and provides the exact funding amount matching the reference.</t>
  </si>
  <si>
    <t>The provided context does not contain information about programs under the Ministry of Emergency Situations. The ministry is not listed in the table; the only reference to "МЧС" is a measure under the Ministry of Finance ("Спецсчет МЧС КР").</t>
  </si>
  <si>
    <t>The model answer does not provide the correct program or funding amount, contradicting the reference answer.</t>
  </si>
  <si>
    <t>Based on the provided context for the 2026 program-based budget (Приложение 14):</t>
  </si>
  <si>
    <t>*   **Total Budget Measures:** 257"</t>
  </si>
  <si>
    <t>1. **Министерство финансов Кыргызской Республ** — Общегосударственные программы: 164,663,857.2 (2026) to 112,194,631.2 (2027). Decrease: 52,469,226.0 тыс.сом.</t>
  </si>
  <si>
    <t>2. **Министерство водных ресурсов</t>
  </si>
  <si>
    <t xml:space="preserve"> сельского** — Государственная поддержка и развитие ирригации: 5</t>
  </si>
  <si>
    <t>751.9 (2026) to 3</t>
  </si>
  <si>
    <t>682.8 (2027). Decrease: 1</t>
  </si>
  <si>
    <t>069.1 тыс.сом.</t>
  </si>
  <si>
    <t>3. **Министерство финансов Кыргызской Республ** — Администрирование государственных доходов: 10</t>
  </si>
  <si>
    <t>609.5 (2026) to 9</t>
  </si>
  <si>
    <t>566.8 (2027). Decrease: 1</t>
  </si>
  <si>
    <t>042.7 тыс.сом."</t>
  </si>
  <si>
    <t>The answer includes two of the three correct programs but replaces 'Реализация проектов государственных инвестиций' with an incorrect program, so it's partially correct.</t>
  </si>
  <si>
    <t>The context does not contain information on the funding for the 'School Education' program under the Ministry of Education. The total 2026 allocation for the Ministry of Education (Министерство просвещения Кыргызской Республики) is 56.4 billion som.</t>
  </si>
  <si>
    <t>The model answer does not provide the correct funding figure of 42,380,106.4 тыс. сом and gives an unrelated total allocation.</t>
  </si>
  <si>
    <t>6 budget programs (codes 001, 372, 373, 374, 375, 376).</t>
  </si>
  <si>
    <t>The answer correctly identifies the Ministry of Health and mentions budget programs, but gives the wrong number (6 instead of the correct 8).</t>
  </si>
  <si>
    <t>The context lists 60 unique GRBS (budget agency) codes with allocations in the 2026 program-based budget. These include ministries, agencies, courts, funds, and other bodies (e.g., codes 11–28, 31, 34, 37–49, 50–60, 64, 65, 68–70, 74, 79, 80–88). Specific entities include 16 Ministries (e.g., Finance, Justice, Health) and 10 Agencies (e.g., Civil Aviation, Personal Data, Investment), along with other budget recipients labeled as "Ministry" or "Agency" in the text (e.g., Supreme Court, Accounting Chamber).</t>
  </si>
  <si>
    <t>**Total unique GRBS codes/entities listed: 60.**"</t>
  </si>
  <si>
    <t>Model answer gives 60 instead of the correct total of 88 ministries and agencies.</t>
  </si>
  <si>
    <t>The context does not contain enough information to determine the total budget across all program-level items for 2026. While individual allocations for various ministries and agencies are provided, no aggregate total is stated.</t>
  </si>
  <si>
    <t>The model claims insufficient information, whereas the reference provides a specific total budget figure.</t>
  </si>
  <si>
    <t>Ministry 'Министерство просвещения Кыргызской Республики' (code 34) receives more funding: 56,424,894.1 thousand som in 2026.</t>
  </si>
  <si>
    <t>Ministry 'Министерство здравоохранения Кыргызской Республики' (code 37): 41</t>
  </si>
  <si>
    <t>347.3 thousand som in 2026."</t>
  </si>
  <si>
    <t>The model correctly identifies the Ministry of Education as receiving more funding and provides the accurate figures matching the reference.</t>
  </si>
  <si>
    <t>The context does not contain enough information to determine the total program-level budget growth or shrinkage percentage between 2026 and 2027. It only provides budget change percentages and allocations for specific individual ministries and agencies.</t>
  </si>
  <si>
    <t>Program 40/402 'Внесение предложений по защите материальных и социальных прав ветеранов и ветеранских организаций': 739.4 тыс. сом.</t>
  </si>
  <si>
    <t>The model provides the exact numeric value (16,881,928.1 ≈ 16,881,928.10) matching the reference answer.</t>
  </si>
  <si>
    <t>Based on the provided context, 22 ministries/agencies are explicitly listed with exactly one budget program. The context does not specify the number of programs for the other listed ministries.</t>
  </si>
  <si>
    <t>33 ministries/agencies are mentioned as allocated budget programs without specific program breakdowns in the context."</t>
  </si>
  <si>
    <t>The model gave a number (22) for ministries/agencies with exactly one program, but the correct number is 19, so the answer is partially correct.</t>
  </si>
  <si>
    <t>2. Program 41/413 'Государственная поддержка и развитие растениеводства' (34.1% growth</t>
  </si>
  <si>
    <t>477.5 тыс. сом).</t>
  </si>
  <si>
    <t>3. Program 43/001 'Управление и администрирование' (25.5% growth</t>
  </si>
  <si>
    <t>718.3 тыс. сом)."</t>
  </si>
  <si>
    <t>The model identified the correct type of entity (program count) but gave an incorrect number (3 instead of the correct 9).</t>
  </si>
  <si>
    <t>The context does not provide the total 2026 program budget required to calculate the share. The 2026 allocation for 'Министерство финансов Кыргызской Республики (Общегосударственные программы, мероприятия и выплаты)' is 332,149,236.1 thousand som.</t>
  </si>
  <si>
    <t>The model answer fails to provide the required share percentage (56%) and claims insufficient data, missing the key fact.</t>
  </si>
  <si>
    <t>Under Ministry 'Министерство чрезвычайных ситуаций Кыргызской Республики' (code 45), the program 'Управление и администрирование' (code 001) is allocated 184,945.8 thousand som in 2026.</t>
  </si>
  <si>
    <t>1. Program 22/001 'Управление и администрирование': 16,245.7 тыс. сом (282,746.0 - 266,500.3)</t>
  </si>
  <si>
    <t>2. Program 21/001 'Управление и администрирование': 946.8 тыс. сом (115</t>
  </si>
  <si>
    <t>861.1 - 114</t>
  </si>
  <si>
    <t>3. Program 46/001 'Управление и администрирование': 65.9 тыс. сом (6</t>
  </si>
  <si>
    <t>239.5 - 6</t>
  </si>
  <si>
    <t>The model answer lists different programs and values, not the three programs identified in the reference answer.</t>
  </si>
  <si>
    <t>42380106.4 thousand soms</t>
  </si>
  <si>
    <t>7 budget programs</t>
  </si>
  <si>
    <t>The answer references the correct entity (Ministry of Health budget programs) but gives the wrong number (7 instead of 8).</t>
  </si>
  <si>
    <t>59 unique entities are listed under the "Ministry" column in the provided budget table.</t>
  </si>
  <si>
    <t>The model gave 59 ministries only, which is incorrect and omits agencies; the correct total is 88.</t>
  </si>
  <si>
    <t>Total 2026 funding for the Jogorku Kenesh is 1,127,306.9 thousand som.</t>
  </si>
  <si>
    <t>*   Обеспечение информацией о деятельности</t>
  </si>
  <si>
    <t>Total 2026 funding for Ministry of Education (Министерство просвещения Кыргызской Респ) programs: 55,412,714.1 thousand som.</t>
  </si>
  <si>
    <t>The answer addresses the correct entity (total 2026 funding for Ministry of Education) but gives an incorrect total amount (55,412,714.1 vs. 56,424,894.11 thousand som).</t>
  </si>
  <si>
    <t>550,536,543.2 тыс.сом</t>
  </si>
  <si>
    <t>Identifies the total budget (correct entity) but gives an incorrect amount (550.5 bn vs 593.2 bn).</t>
  </si>
  <si>
    <t>Министерство просвещения Кыргызской Респ: 56,424,894.1 тыс.сом (сумма программ и мер: 1,962,869.4 + 8,891,657.5 + 42,380,106.4 + 2,178,080.8 + 1,012,180.0).</t>
  </si>
  <si>
    <t>347.3 тыс.сом (сумма программ: 321</t>
  </si>
  <si>
    <t>023.2).</t>
  </si>
  <si>
    <t>Министерство просвещения Кыргызской Респ получает больше финансирования."</t>
  </si>
  <si>
    <t>The model correctly identifies the Ministry of Education receives more funding, matching the reference values.</t>
  </si>
  <si>
    <t>The context does not provide a total sum for the program-level budget, only individual line items. Therefore, the exact percentage change cannot be calculated precisely from the provided text alone. However, major program items indicate a shrinkage (e.g., Ministry of Finance "Общегосударственные программы" decreases from 164,663,857.2 to 112,194,631.2 thousand som, and "Стабилизационный фонд КР" measure within it decreases from 50,000,000.0 to 10,000,000.0 thousand som), while others grow (e.g., Ministry of Finance "Государственные программы, мероприятия и выплаты" increases from 118,757,161.3 to 131,802,316.2 thousand som). Without a consolidated total, a precise percentage is unavailable.</t>
  </si>
  <si>
    <t>*Wait</t>
  </si>
  <si>
    <t xml:space="preserve"> I can try to sum the Program rows specifically.*</t>
  </si>
  <si>
    <t>Let's look at the instruction again: ""Be precise with numbers. If the context doesn't contain enough information</t>
  </si>
  <si>
    <t xml:space="preserve"> say so.""</t>
  </si>
  <si>
    <t>Since I cannot guarantee precision on a manual sum of 150 items</t>
  </si>
  <si>
    <t xml:space="preserve"> I must say so.</t>
  </si>
  <si>
    <t>*Final Answer Formulation*: The context does not contain the total program-level budget sum."</t>
  </si>
  <si>
    <t>Model answer does not provide the required percentage change and states insufficient data, contradicting the reference that the budget declines by 7.1%.</t>
  </si>
  <si>
    <t>Funding (2026): 739.4 тыс.сом"</t>
  </si>
  <si>
    <t>The model correctly identifies the program and its 2026 funding of 739.4 тыс. сом, matching the reference answer.</t>
  </si>
  <si>
    <t>The context does not explicitly specify units of measurement. Indicator names most frequently reference "Количество" (Count), "Процент" (Percent), and "Индекс" (Index).</t>
  </si>
  <si>
    <t>The model fails to identify Percent as the most common unit and instead says the context doesn't specify, providing an incorrect answer.</t>
  </si>
  <si>
    <t>9,876,687.9 тыс.сом</t>
  </si>
  <si>
    <t>Correct entity (Ministry of Transport and Communications) but the funding amount is incorrect.</t>
  </si>
  <si>
    <t>21 ministries/agencies have exactly one budget program.</t>
  </si>
  <si>
    <t>21. Центр перевода Кабинета Министров Кыргыз"</t>
  </si>
  <si>
    <t>The model identified the correct type of answer (a count) but gave the wrong number (21 instead of 19).</t>
  </si>
  <si>
    <t>7 programs show funding growth of more than 10% between 2026 and 2027:</t>
  </si>
  <si>
    <t>1.  **Министерство юстиции Кыргызской Республики** — Осуществление государственной регистрации</t>
  </si>
  <si>
    <t xml:space="preserve"> перерегистрации и (13.06%)</t>
  </si>
  <si>
    <t>2.  **Министерство финансов Кыргызской Республики** — Государственные программы</t>
  </si>
  <si>
    <t xml:space="preserve"> мероприятия и выплаты (10.98%)</t>
  </si>
  <si>
    <t xml:space="preserve"> сельского хозяйства и перерабатывающей промышленности** — Государственная поддержка и развитие растениеводства (34.12%)</t>
  </si>
  <si>
    <t>7.  **Национальная академия наук Кыргызской Республики** — Управление и администрирование (133.59%)"</t>
  </si>
  <si>
    <t>The model identified programs with &gt;10% growth but gave the wrong count (7 instead of the correct 9).</t>
  </si>
  <si>
    <t>The context does not explicitly state the unit "чел." for any indicator. However, 37 rows contain performance indicators that semantically measure counts of people (e.g., "Количество лиц", "Количество детей", "Численность сотрудников", "Количество пациентов", "Количество выпускников", "Количество слушателей", "Число пролеченных больных").</t>
  </si>
  <si>
    <t>Gives a count for rows but states 37, which is incorrect compared to the correct value of 50.</t>
  </si>
  <si>
    <t>The context does not provide the total 2026 program budget sum required to calculate the share. The Ministry of Finance program "Общегосударственные программы" is allocated 164,663,857.2 thousand soms in 2026.</t>
  </si>
  <si>
    <t>The model answer does not provide the correct share (56%) and gives unrelated figures, failing to answer the question.</t>
  </si>
  <si>
    <t>Программа: Управление материальными ценностями государственного и мобил</t>
  </si>
  <si>
    <t>Финансирование 2026: 4522247.8 тыс.сом"</t>
  </si>
  <si>
    <t>The model correctly identified the program and provided the exact 2026 funding amount matching the reference.</t>
  </si>
  <si>
    <t>*   **Total Items:** 483"</t>
  </si>
  <si>
    <t>The answer addresses the correct entities (programs and measures) but provides incorrect numbers for both.</t>
  </si>
  <si>
    <t>1. Министерство финансов Кыргызской Республ — Общегосударственные программы: 52,469,226.0 тыс.сом</t>
  </si>
  <si>
    <t>2. Министерство водных ресурсов</t>
  </si>
  <si>
    <t xml:space="preserve"> сельского — Государственная поддержка и развитие ирригации: 1</t>
  </si>
  <si>
    <t>069.1 тыс.сом</t>
  </si>
  <si>
    <t>3. Министерство финансов Кыргызской Республ — Администрирование государственных доходов: 1</t>
  </si>
  <si>
    <t>042.7 тыс.сом"</t>
  </si>
  <si>
    <t>Model correctly identified two of the three programs with the largest funding decrease but listed an incorrect third program.</t>
  </si>
  <si>
    <t>separate run of the judge on the TF-IDF output - if it contains the reference answer</t>
  </si>
  <si>
    <t>if the judge says the answer is there, and the model refuses, the problem is TF-IDF</t>
  </si>
  <si>
    <t>check the logs</t>
  </si>
  <si>
    <t>move towards what user would be getting</t>
  </si>
  <si>
    <t>look what tf-idf selects and why</t>
  </si>
  <si>
    <t>why is it not selecting what it should be selecting.</t>
  </si>
  <si>
    <t>compare tf-idf on markdown vs. statements</t>
  </si>
  <si>
    <t>THESIS</t>
  </si>
  <si>
    <t>create google docs</t>
  </si>
  <si>
    <t>outline thesis proposal</t>
  </si>
  <si>
    <t>what if tf-idf failure is because some questions require analyzing the data, not just retrieval</t>
  </si>
  <si>
    <t>Примерно 593.0 млрд сом (593,028,014.8 тыс. сом)</t>
  </si>
  <si>
    <t>Ministry</t>
  </si>
  <si>
    <t>1) Общегосударственные программы (Министерство Финансов); 2) Государственная поддержка и развитие ирригации (Минводресурсов); 3) Администрирование государственных доходов (Министерство финансов)</t>
  </si>
  <si>
    <t>168 программ и 393 мер</t>
  </si>
  <si>
    <t>try one model on statements only - pure text, not in json</t>
  </si>
  <si>
    <t>separate the scores on different types of questions</t>
  </si>
  <si>
    <t>do the statements help on certain type of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</si>
</sst>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8" x14ac:knownFonts="1">
    <font>
      <sz val="11"/>
      <color theme="1"/>
      <name val="Calibri"/>
      <scheme val="minor"/>
    </font>
    <font>
      <sz val="11"/>
      <color theme="1"/>
      <name val="Calibri"/>
      <family val="2"/>
      <charset val="204"/>
      <scheme val="minor"/>
    </font>
    <font>
      <sz val="11"/>
      <color theme="1"/>
      <name val="Calibri"/>
      <family val="2"/>
      <charset val="204"/>
    </font>
    <font>
      <sz val="11"/>
      <color rgb="FF000000"/>
      <name val="Times New Roman"/>
      <family val="1"/>
      <charset val="204"/>
    </font>
    <font>
      <b/>
      <sz val="12"/>
      <color rgb="FF000000"/>
      <name val="Times New Roman"/>
      <family val="1"/>
      <charset val="204"/>
    </font>
    <font>
      <sz val="11"/>
      <name val="Calibri"/>
      <family val="2"/>
      <charset val="204"/>
    </font>
    <font>
      <sz val="9"/>
      <color rgb="FF000000"/>
      <name val="Times New Roman"/>
      <family val="1"/>
      <charset val="204"/>
    </font>
    <font>
      <b/>
      <sz val="9"/>
      <color rgb="FF000000"/>
      <name val="Times New Roman"/>
      <family val="1"/>
      <charset val="204"/>
    </font>
    <font>
      <sz val="9"/>
      <color theme="1"/>
      <name val="Times New Roman"/>
      <family val="1"/>
      <charset val="204"/>
    </font>
    <font>
      <sz val="9"/>
      <color rgb="FFFFFFFF"/>
      <name val="Times New Roman"/>
      <family val="1"/>
      <charset val="204"/>
    </font>
    <font>
      <b/>
      <sz val="10"/>
      <color rgb="FF000000"/>
      <name val="Times New Roman"/>
      <family val="1"/>
      <charset val="204"/>
    </font>
    <font>
      <b/>
      <sz val="11"/>
      <name val="Arial"/>
      <family val="2"/>
    </font>
    <font>
      <i/>
      <sz val="10"/>
      <color rgb="FF666666"/>
      <name val="Arial"/>
      <family val="2"/>
    </font>
    <font>
      <b/>
      <sz val="16"/>
      <color rgb="FF2B5797"/>
      <name val="Arial"/>
      <family val="2"/>
    </font>
    <font>
      <b/>
      <sz val="11"/>
      <color rgb="FFFFFFFF"/>
      <name val="Arial"/>
      <family val="2"/>
    </font>
    <font>
      <sz val="11"/>
      <name val="Arial"/>
      <family val="2"/>
    </font>
    <font>
      <b/>
      <sz val="13"/>
      <color rgb="FF2B5797"/>
      <name val="Arial"/>
      <family val="2"/>
    </font>
    <font>
      <sz val="11"/>
      <color theme="1"/>
      <name val="Calibri"/>
      <family val="2"/>
      <scheme val="minor"/>
    </font>
  </fonts>
  <fills count="33">
    <fill>
      <patternFill patternType="none"/>
    </fill>
    <fill>
      <patternFill patternType="gray125"/>
    </fill>
    <fill>
      <patternFill patternType="solid">
        <fgColor rgb="FFFFFFFF"/>
        <bgColor rgb="FFFFFFFF"/>
      </patternFill>
    </fill>
    <fill>
      <patternFill patternType="solid">
        <fgColor rgb="FFB6DDE8"/>
        <bgColor rgb="FFB6DDE8"/>
      </patternFill>
    </fill>
    <fill>
      <patternFill patternType="solid">
        <fgColor rgb="FFDAEEF3"/>
        <bgColor rgb="FFDAEEF3"/>
      </patternFill>
    </fill>
    <fill>
      <patternFill patternType="solid">
        <fgColor rgb="FFD8EDF2"/>
        <bgColor rgb="FFD8EDF2"/>
      </patternFill>
    </fill>
    <fill>
      <patternFill patternType="solid">
        <fgColor theme="0"/>
        <bgColor theme="0"/>
      </patternFill>
    </fill>
    <fill>
      <patternFill patternType="solid">
        <fgColor rgb="FFDBEEF3"/>
        <bgColor rgb="FFDBEEF3"/>
      </patternFill>
    </fill>
    <fill>
      <patternFill patternType="solid">
        <fgColor theme="0"/>
        <bgColor indexed="64"/>
      </patternFill>
    </fill>
    <fill>
      <patternFill patternType="solid">
        <fgColor theme="0"/>
        <bgColor rgb="FFFFFFFF"/>
      </patternFill>
    </fill>
    <fill>
      <patternFill patternType="solid">
        <fgColor rgb="FFB2DCE7"/>
        <bgColor rgb="FFB2DCE7"/>
      </patternFill>
    </fill>
    <fill>
      <patternFill patternType="solid">
        <fgColor rgb="FFFFFFFF"/>
      </patternFill>
    </fill>
    <fill>
      <patternFill patternType="solid">
        <fgColor theme="8" tint="0.79998168889431442"/>
        <bgColor indexed="64"/>
      </patternFill>
    </fill>
    <fill>
      <patternFill patternType="solid">
        <fgColor rgb="FFD6EAF8"/>
      </patternFill>
    </fill>
    <fill>
      <patternFill patternType="solid">
        <fgColor rgb="FFD5F5E3"/>
      </patternFill>
    </fill>
    <fill>
      <patternFill patternType="solid">
        <fgColor rgb="FFFDEBD0"/>
      </patternFill>
    </fill>
    <fill>
      <patternFill patternType="solid">
        <fgColor rgb="FFF2F3F4"/>
      </patternFill>
    </fill>
    <fill>
      <patternFill patternType="solid">
        <fgColor rgb="FFFADBD8"/>
      </patternFill>
    </fill>
    <fill>
      <patternFill patternType="solid">
        <fgColor rgb="FF2B5797"/>
      </patternFill>
    </fill>
    <fill>
      <patternFill patternType="solid">
        <fgColor rgb="FFFFFF00"/>
      </patternFill>
    </fill>
    <fill>
      <patternFill patternType="solid">
        <fgColor theme="8" tint="-0.249977111117893"/>
        <bgColor rgb="FFB6DDE8"/>
      </patternFill>
    </fill>
    <fill>
      <patternFill patternType="solid">
        <fgColor theme="8" tint="-0.249977111117893"/>
        <bgColor indexed="64"/>
      </patternFill>
    </fill>
    <fill>
      <patternFill patternType="solid">
        <fgColor rgb="FFD6F6E3"/>
        <bgColor rgb="FFDAEEF3"/>
      </patternFill>
    </fill>
    <fill>
      <patternFill patternType="solid">
        <fgColor rgb="FFD6F6E3"/>
        <bgColor rgb="FFD8EDF2"/>
      </patternFill>
    </fill>
    <fill>
      <patternFill patternType="solid">
        <fgColor rgb="FFD6F6E3"/>
        <bgColor rgb="FFDBEEF3"/>
      </patternFill>
    </fill>
    <fill>
      <patternFill patternType="solid">
        <fgColor rgb="FFD6F6E3"/>
        <bgColor indexed="64"/>
      </patternFill>
    </fill>
    <fill>
      <patternFill patternType="solid">
        <fgColor theme="0"/>
      </patternFill>
    </fill>
    <fill>
      <patternFill patternType="solid">
        <fgColor theme="5" tint="0.79998168889431442"/>
        <bgColor rgb="FFB6DDE8"/>
      </patternFill>
    </fill>
    <fill>
      <patternFill patternType="solid">
        <fgColor theme="5" tint="0.79998168889431442"/>
        <bgColor indexed="64"/>
      </patternFill>
    </fill>
    <fill>
      <patternFill patternType="solid">
        <fgColor theme="5" tint="0.79998168889431442"/>
        <bgColor rgb="FFB2DCE7"/>
      </patternFill>
    </fill>
    <fill>
      <patternFill patternType="solid">
        <fgColor rgb="FFFDEBD1"/>
        <bgColor rgb="FFFFFFFF"/>
      </patternFill>
    </fill>
    <fill>
      <patternFill patternType="solid">
        <fgColor rgb="FFFDEBD1"/>
        <bgColor theme="0"/>
      </patternFill>
    </fill>
    <fill>
      <patternFill patternType="solid">
        <fgColor rgb="FFFDEBD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bottom style="thin">
        <color indexed="64"/>
      </bottom>
      <diagonal/>
    </border>
    <border>
      <left style="thin">
        <color rgb="FFCCCCCC"/>
      </left>
      <right/>
      <top/>
      <bottom/>
      <diagonal/>
    </border>
  </borders>
  <cellStyleXfs count="2">
    <xf numFmtId="0" fontId="0" fillId="0" borderId="0"/>
    <xf numFmtId="43" fontId="17" fillId="0" borderId="0" applyFont="0" applyFill="0" applyBorder="0" applyAlignment="0" applyProtection="0"/>
  </cellStyleXfs>
  <cellXfs count="224">
    <xf numFmtId="0" fontId="0" fillId="0" borderId="0" xfId="0"/>
    <xf numFmtId="0" fontId="2" fillId="2" borderId="0" xfId="0" applyFont="1" applyFill="1" applyAlignment="1">
      <alignment wrapText="1"/>
    </xf>
    <xf numFmtId="0" fontId="2" fillId="2" borderId="0" xfId="0" applyFont="1" applyFill="1" applyAlignment="1">
      <alignment horizontal="center" vertical="center"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6" fillId="4" borderId="1" xfId="0" applyFont="1" applyFill="1" applyBorder="1" applyAlignment="1">
      <alignment horizontal="left" vertical="center" wrapText="1"/>
    </xf>
    <xf numFmtId="164" fontId="6" fillId="4"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164" fontId="6" fillId="2" borderId="1" xfId="0" applyNumberFormat="1" applyFont="1" applyFill="1" applyBorder="1" applyAlignment="1">
      <alignment horizontal="center" vertical="center" wrapText="1"/>
    </xf>
    <xf numFmtId="164" fontId="6" fillId="3" borderId="1" xfId="0" applyNumberFormat="1" applyFont="1" applyFill="1" applyBorder="1" applyAlignment="1">
      <alignment horizontal="center" vertical="center" wrapText="1"/>
    </xf>
    <xf numFmtId="0" fontId="8" fillId="0" borderId="1" xfId="0" applyFont="1" applyBorder="1" applyAlignment="1">
      <alignment horizontal="center" vertical="center"/>
    </xf>
    <xf numFmtId="0" fontId="8" fillId="2" borderId="1" xfId="0" applyFont="1" applyFill="1" applyBorder="1" applyAlignment="1">
      <alignment horizontal="center" vertical="center"/>
    </xf>
    <xf numFmtId="0" fontId="8" fillId="4" borderId="1" xfId="0" applyFont="1" applyFill="1" applyBorder="1" applyAlignment="1">
      <alignment horizontal="center" vertical="center"/>
    </xf>
    <xf numFmtId="0" fontId="8"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1" fillId="0" borderId="0" xfId="0" applyFont="1" applyAlignment="1">
      <alignment horizontal="center" vertical="center"/>
    </xf>
    <xf numFmtId="0" fontId="6" fillId="6" borderId="1" xfId="0" applyFont="1" applyFill="1" applyBorder="1" applyAlignment="1">
      <alignment horizontal="center" vertical="center" wrapText="1"/>
    </xf>
    <xf numFmtId="0" fontId="6" fillId="6" borderId="1" xfId="0" quotePrefix="1" applyFont="1" applyFill="1" applyBorder="1" applyAlignment="1">
      <alignment horizontal="center" vertical="center" wrapText="1"/>
    </xf>
    <xf numFmtId="0" fontId="6" fillId="6" borderId="1" xfId="0" applyFont="1" applyFill="1" applyBorder="1" applyAlignment="1">
      <alignment horizontal="left" vertical="center" wrapText="1"/>
    </xf>
    <xf numFmtId="164" fontId="6" fillId="6"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164" fontId="6" fillId="0" borderId="1" xfId="0" applyNumberFormat="1" applyFont="1" applyBorder="1" applyAlignment="1">
      <alignment horizontal="center" vertical="center" wrapText="1"/>
    </xf>
    <xf numFmtId="164" fontId="6" fillId="8" borderId="1" xfId="0" applyNumberFormat="1" applyFont="1" applyFill="1" applyBorder="1" applyAlignment="1">
      <alignment horizontal="center" vertical="center" wrapText="1"/>
    </xf>
    <xf numFmtId="0" fontId="6" fillId="0" borderId="7" xfId="0" applyFont="1" applyBorder="1" applyAlignment="1">
      <alignment horizontal="center" vertical="center" wrapText="1"/>
    </xf>
    <xf numFmtId="164" fontId="0" fillId="0" borderId="0" xfId="0" applyNumberFormat="1"/>
    <xf numFmtId="0" fontId="6" fillId="0" borderId="0" xfId="0" applyFont="1" applyAlignment="1">
      <alignment horizontal="center" vertical="center" wrapText="1"/>
    </xf>
    <xf numFmtId="0" fontId="6" fillId="9" borderId="1" xfId="0" applyFont="1" applyFill="1" applyBorder="1" applyAlignment="1">
      <alignment horizontal="center" vertical="center" wrapText="1"/>
    </xf>
    <xf numFmtId="0" fontId="8" fillId="5" borderId="1" xfId="0" quotePrefix="1" applyFont="1" applyFill="1" applyBorder="1" applyAlignment="1">
      <alignment horizontal="center" vertical="center" wrapText="1"/>
    </xf>
    <xf numFmtId="0" fontId="8" fillId="5" borderId="1" xfId="0" applyFont="1" applyFill="1" applyBorder="1" applyAlignment="1">
      <alignment vertical="center" wrapText="1"/>
    </xf>
    <xf numFmtId="0" fontId="8" fillId="5" borderId="1" xfId="0" applyFont="1" applyFill="1" applyBorder="1" applyAlignment="1">
      <alignment horizontal="left" vertical="center" wrapText="1"/>
    </xf>
    <xf numFmtId="164" fontId="8" fillId="5" borderId="1" xfId="0" applyNumberFormat="1" applyFont="1" applyFill="1" applyBorder="1" applyAlignment="1">
      <alignment horizontal="center" vertical="center" wrapText="1"/>
    </xf>
    <xf numFmtId="4" fontId="8" fillId="5" borderId="1" xfId="0" applyNumberFormat="1" applyFont="1" applyFill="1" applyBorder="1" applyAlignment="1">
      <alignment horizontal="center" vertical="center" wrapText="1"/>
    </xf>
    <xf numFmtId="0" fontId="2" fillId="2" borderId="0" xfId="0" applyFont="1" applyFill="1" applyAlignment="1">
      <alignment vertical="center" wrapText="1"/>
    </xf>
    <xf numFmtId="0" fontId="1" fillId="0" borderId="0" xfId="0" applyFont="1" applyAlignment="1">
      <alignment vertical="center" wrapText="1"/>
    </xf>
    <xf numFmtId="164" fontId="6" fillId="10" borderId="1" xfId="0" applyNumberFormat="1" applyFont="1" applyFill="1" applyBorder="1" applyAlignment="1">
      <alignment horizontal="center" vertical="center" wrapText="1"/>
    </xf>
    <xf numFmtId="0" fontId="6" fillId="5" borderId="1" xfId="0" applyFont="1" applyFill="1" applyBorder="1" applyAlignment="1">
      <alignment horizontal="left" vertical="center" wrapText="1"/>
    </xf>
    <xf numFmtId="164" fontId="6" fillId="5" borderId="1" xfId="0" applyNumberFormat="1" applyFont="1" applyFill="1" applyBorder="1" applyAlignment="1">
      <alignment horizontal="center" vertical="center" wrapText="1"/>
    </xf>
    <xf numFmtId="0" fontId="6" fillId="5" borderId="1" xfId="0" quotePrefix="1" applyFont="1" applyFill="1" applyBorder="1" applyAlignment="1">
      <alignment horizontal="center" vertical="center" wrapText="1"/>
    </xf>
    <xf numFmtId="0" fontId="8" fillId="5" borderId="1" xfId="0" applyFont="1" applyFill="1" applyBorder="1" applyAlignment="1">
      <alignment horizontal="center" vertical="center"/>
    </xf>
    <xf numFmtId="0" fontId="8" fillId="6" borderId="1" xfId="0" applyFont="1" applyFill="1" applyBorder="1" applyAlignment="1">
      <alignment horizontal="center" vertical="center"/>
    </xf>
    <xf numFmtId="164" fontId="10" fillId="8" borderId="1" xfId="0" applyNumberFormat="1" applyFont="1" applyFill="1" applyBorder="1" applyAlignment="1">
      <alignment horizontal="center" vertical="center" wrapText="1"/>
    </xf>
    <xf numFmtId="0" fontId="0" fillId="0" borderId="0" xfId="0" applyAlignment="1">
      <alignment horizontal="right" vertical="center"/>
    </xf>
    <xf numFmtId="0" fontId="8" fillId="7" borderId="1" xfId="0" applyFont="1" applyFill="1" applyBorder="1" applyAlignment="1">
      <alignment horizontal="center" vertical="center" wrapText="1"/>
    </xf>
    <xf numFmtId="164" fontId="8" fillId="7" borderId="1" xfId="0" applyNumberFormat="1" applyFont="1" applyFill="1" applyBorder="1" applyAlignment="1">
      <alignment horizontal="center" vertical="center" wrapText="1"/>
    </xf>
    <xf numFmtId="164" fontId="8" fillId="12" borderId="1" xfId="0" applyNumberFormat="1" applyFont="1" applyFill="1" applyBorder="1" applyAlignment="1">
      <alignment horizontal="center" vertical="center" wrapText="1"/>
    </xf>
    <xf numFmtId="164" fontId="8" fillId="4" borderId="1" xfId="0" applyNumberFormat="1" applyFont="1" applyFill="1" applyBorder="1" applyAlignment="1">
      <alignment horizontal="center" vertical="center" wrapText="1"/>
    </xf>
    <xf numFmtId="164" fontId="8" fillId="0" borderId="1" xfId="0" applyNumberFormat="1" applyFont="1" applyBorder="1" applyAlignment="1">
      <alignment horizontal="center" vertical="center" wrapText="1"/>
    </xf>
    <xf numFmtId="0" fontId="6" fillId="11"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3" fillId="2" borderId="0" xfId="0" applyFont="1" applyFill="1" applyAlignment="1">
      <alignment horizontal="left" vertical="center" wrapText="1"/>
    </xf>
    <xf numFmtId="0" fontId="14" fillId="18" borderId="11" xfId="0" applyFont="1" applyFill="1" applyBorder="1" applyAlignment="1">
      <alignment horizontal="left" vertical="center" wrapText="1"/>
    </xf>
    <xf numFmtId="0" fontId="11" fillId="0" borderId="11" xfId="0" applyFont="1" applyBorder="1" applyAlignment="1">
      <alignment vertical="top"/>
    </xf>
    <xf numFmtId="0" fontId="15" fillId="0" borderId="11" xfId="0" applyFont="1" applyBorder="1" applyAlignment="1">
      <alignment vertical="top"/>
    </xf>
    <xf numFmtId="0" fontId="12" fillId="0" borderId="11" xfId="0" applyFont="1" applyBorder="1" applyAlignment="1">
      <alignment vertical="top" wrapText="1"/>
    </xf>
    <xf numFmtId="0" fontId="11" fillId="15" borderId="11" xfId="0" applyFont="1" applyFill="1" applyBorder="1" applyAlignment="1">
      <alignment vertical="top"/>
    </xf>
    <xf numFmtId="0" fontId="11" fillId="16" borderId="11" xfId="0" applyFont="1" applyFill="1" applyBorder="1" applyAlignment="1">
      <alignment vertical="top"/>
    </xf>
    <xf numFmtId="0" fontId="11" fillId="14" borderId="11" xfId="0" applyFont="1" applyFill="1" applyBorder="1" applyAlignment="1">
      <alignment vertical="top"/>
    </xf>
    <xf numFmtId="0" fontId="11" fillId="13" borderId="11" xfId="0" applyFont="1" applyFill="1" applyBorder="1" applyAlignment="1">
      <alignment vertical="top"/>
    </xf>
    <xf numFmtId="0" fontId="11" fillId="17" borderId="11" xfId="0" applyFont="1" applyFill="1" applyBorder="1" applyAlignment="1">
      <alignment vertical="top"/>
    </xf>
    <xf numFmtId="0" fontId="15" fillId="0" borderId="11" xfId="0" applyFont="1" applyBorder="1" applyAlignment="1">
      <alignment vertical="top" wrapText="1"/>
    </xf>
    <xf numFmtId="0" fontId="11" fillId="19" borderId="11" xfId="0" applyFont="1" applyFill="1" applyBorder="1" applyAlignment="1">
      <alignment vertical="top"/>
    </xf>
    <xf numFmtId="0" fontId="11" fillId="0" borderId="0" xfId="0" applyFont="1"/>
    <xf numFmtId="0" fontId="12" fillId="13" borderId="0" xfId="0" applyFont="1" applyFill="1"/>
    <xf numFmtId="0" fontId="12" fillId="14" borderId="0" xfId="0" applyFont="1" applyFill="1"/>
    <xf numFmtId="0" fontId="12" fillId="15" borderId="0" xfId="0" applyFont="1" applyFill="1"/>
    <xf numFmtId="0" fontId="12" fillId="16" borderId="0" xfId="0" applyFont="1" applyFill="1"/>
    <xf numFmtId="0" fontId="12" fillId="17" borderId="0" xfId="0" applyFont="1" applyFill="1"/>
    <xf numFmtId="0" fontId="12" fillId="0" borderId="0" xfId="0" applyFont="1"/>
    <xf numFmtId="0" fontId="0" fillId="0" borderId="8" xfId="0" applyBorder="1"/>
    <xf numFmtId="0" fontId="0" fillId="0" borderId="5" xfId="0" applyBorder="1"/>
    <xf numFmtId="0" fontId="14" fillId="18" borderId="11" xfId="0" applyFont="1" applyFill="1" applyBorder="1" applyAlignment="1">
      <alignment horizontal="center" vertical="center"/>
    </xf>
    <xf numFmtId="0" fontId="15" fillId="14" borderId="11" xfId="0" applyFont="1" applyFill="1" applyBorder="1" applyAlignment="1">
      <alignment vertical="top" wrapText="1"/>
    </xf>
    <xf numFmtId="0" fontId="15" fillId="15" borderId="11" xfId="0" applyFont="1" applyFill="1" applyBorder="1" applyAlignment="1">
      <alignment vertical="top" wrapText="1"/>
    </xf>
    <xf numFmtId="0" fontId="15" fillId="17" borderId="11" xfId="0" applyFont="1" applyFill="1" applyBorder="1" applyAlignment="1">
      <alignment vertical="top" wrapText="1"/>
    </xf>
    <xf numFmtId="0" fontId="15" fillId="0" borderId="12" xfId="0" applyFont="1" applyBorder="1" applyAlignment="1">
      <alignment vertical="top" wrapText="1"/>
    </xf>
    <xf numFmtId="0" fontId="6" fillId="2" borderId="1" xfId="0" applyFont="1" applyFill="1" applyBorder="1" applyAlignment="1">
      <alignment vertical="center" wrapText="1"/>
    </xf>
    <xf numFmtId="0" fontId="2" fillId="2" borderId="0" xfId="0" applyFont="1" applyFill="1" applyAlignment="1">
      <alignment horizontal="left" wrapText="1"/>
    </xf>
    <xf numFmtId="0" fontId="0" fillId="0" borderId="0" xfId="0" applyAlignment="1">
      <alignment horizontal="left"/>
    </xf>
    <xf numFmtId="0" fontId="15" fillId="0" borderId="0" xfId="0" applyFont="1" applyAlignment="1">
      <alignment vertical="top" wrapText="1"/>
    </xf>
    <xf numFmtId="0" fontId="7" fillId="20" borderId="1" xfId="0" applyFont="1" applyFill="1" applyBorder="1" applyAlignment="1">
      <alignment horizontal="center" vertical="center"/>
    </xf>
    <xf numFmtId="0" fontId="7" fillId="20" borderId="1" xfId="0" applyFont="1" applyFill="1" applyBorder="1" applyAlignment="1">
      <alignment horizontal="left" vertical="center"/>
    </xf>
    <xf numFmtId="0" fontId="7" fillId="20" borderId="1" xfId="0" applyFont="1" applyFill="1" applyBorder="1" applyAlignment="1">
      <alignment horizontal="center" vertical="center" wrapText="1"/>
    </xf>
    <xf numFmtId="0" fontId="0" fillId="21" borderId="6" xfId="0" applyFill="1" applyBorder="1"/>
    <xf numFmtId="0" fontId="0" fillId="21" borderId="4" xfId="0" applyFill="1" applyBorder="1"/>
    <xf numFmtId="164" fontId="6" fillId="20" borderId="1" xfId="0" applyNumberFormat="1" applyFont="1" applyFill="1" applyBorder="1" applyAlignment="1">
      <alignment horizontal="center" vertical="center" wrapText="1"/>
    </xf>
    <xf numFmtId="0" fontId="6" fillId="22" borderId="1" xfId="0" applyFont="1" applyFill="1" applyBorder="1" applyAlignment="1">
      <alignment horizontal="center" vertical="center" wrapText="1"/>
    </xf>
    <xf numFmtId="0" fontId="6" fillId="22" borderId="1" xfId="0" applyFont="1" applyFill="1" applyBorder="1" applyAlignment="1">
      <alignment horizontal="left" vertical="top" wrapText="1"/>
    </xf>
    <xf numFmtId="0" fontId="6" fillId="22" borderId="1" xfId="0" applyFont="1" applyFill="1" applyBorder="1" applyAlignment="1">
      <alignment horizontal="left" vertical="center" wrapText="1"/>
    </xf>
    <xf numFmtId="164" fontId="6" fillId="22" borderId="1" xfId="0" applyNumberFormat="1" applyFont="1" applyFill="1" applyBorder="1" applyAlignment="1">
      <alignment horizontal="center" vertical="center" wrapText="1"/>
    </xf>
    <xf numFmtId="0" fontId="8" fillId="22" borderId="1" xfId="0" applyFont="1" applyFill="1" applyBorder="1" applyAlignment="1">
      <alignment horizontal="center" vertical="center" wrapText="1"/>
    </xf>
    <xf numFmtId="0" fontId="8" fillId="22" borderId="1" xfId="0" applyFont="1" applyFill="1" applyBorder="1" applyAlignment="1">
      <alignment horizontal="center" vertical="center"/>
    </xf>
    <xf numFmtId="0" fontId="6" fillId="23" borderId="1" xfId="0" applyFont="1" applyFill="1" applyBorder="1" applyAlignment="1">
      <alignment horizontal="center" vertical="center" wrapText="1"/>
    </xf>
    <xf numFmtId="0" fontId="8" fillId="23" borderId="1" xfId="0" applyFont="1" applyFill="1" applyBorder="1" applyAlignment="1">
      <alignment horizontal="center" vertical="center" wrapText="1"/>
    </xf>
    <xf numFmtId="0" fontId="6" fillId="22" borderId="1" xfId="0" applyFont="1" applyFill="1" applyBorder="1" applyAlignment="1">
      <alignment horizontal="center" vertical="center"/>
    </xf>
    <xf numFmtId="0" fontId="6" fillId="22" borderId="1" xfId="0" applyFont="1" applyFill="1" applyBorder="1" applyAlignment="1">
      <alignment vertical="center" wrapText="1"/>
    </xf>
    <xf numFmtId="0" fontId="6" fillId="22" borderId="1" xfId="0" applyFont="1" applyFill="1" applyBorder="1" applyAlignment="1">
      <alignment vertical="top" wrapText="1"/>
    </xf>
    <xf numFmtId="164" fontId="6" fillId="22" borderId="1" xfId="0" applyNumberFormat="1" applyFont="1" applyFill="1" applyBorder="1" applyAlignment="1">
      <alignment vertical="center" wrapText="1"/>
    </xf>
    <xf numFmtId="0" fontId="8" fillId="24" borderId="1" xfId="0" applyFont="1" applyFill="1" applyBorder="1" applyAlignment="1">
      <alignment horizontal="center" vertical="center" wrapText="1"/>
    </xf>
    <xf numFmtId="164" fontId="8" fillId="24" borderId="1" xfId="0" applyNumberFormat="1" applyFont="1" applyFill="1" applyBorder="1" applyAlignment="1">
      <alignment horizontal="center" vertical="center" wrapText="1"/>
    </xf>
    <xf numFmtId="164" fontId="8" fillId="25" borderId="1" xfId="0" applyNumberFormat="1" applyFont="1" applyFill="1" applyBorder="1" applyAlignment="1">
      <alignment horizontal="center" vertical="center" wrapText="1"/>
    </xf>
    <xf numFmtId="164" fontId="8" fillId="22" borderId="1" xfId="0" applyNumberFormat="1" applyFont="1" applyFill="1" applyBorder="1" applyAlignment="1">
      <alignment horizontal="center" vertical="center" wrapText="1"/>
    </xf>
    <xf numFmtId="0" fontId="6" fillId="23" borderId="1" xfId="0" applyFont="1" applyFill="1" applyBorder="1" applyAlignment="1">
      <alignment horizontal="left" vertical="center" wrapText="1"/>
    </xf>
    <xf numFmtId="164" fontId="6" fillId="23" borderId="1" xfId="0" applyNumberFormat="1" applyFont="1" applyFill="1" applyBorder="1" applyAlignment="1">
      <alignment horizontal="center" vertical="center" wrapText="1"/>
    </xf>
    <xf numFmtId="0" fontId="8" fillId="23" borderId="1" xfId="0" applyFont="1" applyFill="1" applyBorder="1" applyAlignment="1">
      <alignment horizontal="center" vertical="center"/>
    </xf>
    <xf numFmtId="0" fontId="8" fillId="23" borderId="1" xfId="0" quotePrefix="1" applyFont="1" applyFill="1" applyBorder="1" applyAlignment="1">
      <alignment horizontal="center" vertical="center" wrapText="1"/>
    </xf>
    <xf numFmtId="0" fontId="8" fillId="23" borderId="1" xfId="0" applyFont="1" applyFill="1" applyBorder="1" applyAlignment="1">
      <alignment vertical="center" wrapText="1"/>
    </xf>
    <xf numFmtId="0" fontId="8" fillId="23" borderId="1" xfId="0" applyFont="1" applyFill="1" applyBorder="1" applyAlignment="1">
      <alignment horizontal="left" vertical="center" wrapText="1"/>
    </xf>
    <xf numFmtId="164" fontId="8" fillId="23" borderId="1" xfId="0" applyNumberFormat="1" applyFont="1" applyFill="1" applyBorder="1" applyAlignment="1">
      <alignment horizontal="center" vertical="center" wrapText="1"/>
    </xf>
    <xf numFmtId="4" fontId="8" fillId="23" borderId="1" xfId="0" applyNumberFormat="1" applyFont="1" applyFill="1" applyBorder="1" applyAlignment="1">
      <alignment horizontal="center" vertical="center" wrapText="1"/>
    </xf>
    <xf numFmtId="0" fontId="6" fillId="23" borderId="1" xfId="0" quotePrefix="1" applyFont="1" applyFill="1" applyBorder="1" applyAlignment="1">
      <alignment horizontal="center" vertical="center" wrapText="1"/>
    </xf>
    <xf numFmtId="0" fontId="12" fillId="25" borderId="0" xfId="0" applyFont="1" applyFill="1"/>
    <xf numFmtId="0" fontId="6" fillId="23" borderId="5" xfId="0" applyFont="1" applyFill="1" applyBorder="1" applyAlignment="1">
      <alignment horizontal="center" vertical="center" wrapText="1"/>
    </xf>
    <xf numFmtId="43" fontId="15" fillId="0" borderId="11" xfId="1" applyFont="1" applyBorder="1" applyAlignment="1">
      <alignment vertical="top" wrapText="1"/>
    </xf>
    <xf numFmtId="0" fontId="14" fillId="18" borderId="11" xfId="0" applyFont="1" applyFill="1" applyBorder="1" applyAlignment="1">
      <alignment horizontal="center" vertical="center" wrapText="1"/>
    </xf>
    <xf numFmtId="0" fontId="0" fillId="0" borderId="0" xfId="0" applyAlignment="1">
      <alignment wrapText="1"/>
    </xf>
    <xf numFmtId="0" fontId="6" fillId="22" borderId="1" xfId="0" applyFont="1" applyFill="1" applyBorder="1" applyAlignment="1">
      <alignment horizontal="left" vertical="top"/>
    </xf>
    <xf numFmtId="0" fontId="6" fillId="22" borderId="1" xfId="0" applyFont="1" applyFill="1" applyBorder="1" applyAlignment="1">
      <alignment horizontal="left" vertical="center"/>
    </xf>
    <xf numFmtId="164" fontId="6" fillId="22" borderId="1" xfId="0" applyNumberFormat="1" applyFont="1" applyFill="1" applyBorder="1" applyAlignment="1">
      <alignment horizontal="center" vertical="center"/>
    </xf>
    <xf numFmtId="0" fontId="6" fillId="22" borderId="1" xfId="0" applyFont="1" applyFill="1" applyBorder="1" applyAlignment="1">
      <alignment vertical="center"/>
    </xf>
    <xf numFmtId="0" fontId="6" fillId="22" borderId="1" xfId="0" applyFont="1" applyFill="1" applyBorder="1" applyAlignment="1">
      <alignment vertical="top"/>
    </xf>
    <xf numFmtId="164" fontId="6" fillId="22" borderId="1" xfId="0" applyNumberFormat="1" applyFont="1" applyFill="1" applyBorder="1" applyAlignment="1">
      <alignment vertical="center"/>
    </xf>
    <xf numFmtId="0" fontId="8" fillId="23" borderId="1" xfId="0" quotePrefix="1" applyFont="1" applyFill="1" applyBorder="1" applyAlignment="1">
      <alignment horizontal="center" vertical="center"/>
    </xf>
    <xf numFmtId="0" fontId="8" fillId="23" borderId="1" xfId="0" applyFont="1" applyFill="1" applyBorder="1" applyAlignment="1">
      <alignment vertical="center"/>
    </xf>
    <xf numFmtId="0" fontId="8" fillId="23" borderId="1" xfId="0" applyFont="1" applyFill="1" applyBorder="1" applyAlignment="1">
      <alignment horizontal="left" vertical="center"/>
    </xf>
    <xf numFmtId="164" fontId="8" fillId="23" borderId="1" xfId="0" applyNumberFormat="1" applyFont="1" applyFill="1" applyBorder="1" applyAlignment="1">
      <alignment horizontal="center" vertical="center"/>
    </xf>
    <xf numFmtId="0" fontId="6" fillId="23" borderId="1" xfId="0" applyFont="1" applyFill="1" applyBorder="1" applyAlignment="1">
      <alignment horizontal="center" vertical="center"/>
    </xf>
    <xf numFmtId="0" fontId="6" fillId="23" borderId="1" xfId="0" applyFont="1" applyFill="1" applyBorder="1" applyAlignment="1">
      <alignment horizontal="left" vertical="center"/>
    </xf>
    <xf numFmtId="164" fontId="6" fillId="23" borderId="1" xfId="0" applyNumberFormat="1" applyFont="1" applyFill="1" applyBorder="1" applyAlignment="1">
      <alignment horizontal="center" vertical="center"/>
    </xf>
    <xf numFmtId="0" fontId="6" fillId="23" borderId="1" xfId="0" quotePrefix="1" applyFont="1" applyFill="1" applyBorder="1" applyAlignment="1">
      <alignment horizontal="center" vertical="center"/>
    </xf>
    <xf numFmtId="0" fontId="6" fillId="22" borderId="4" xfId="0" applyFont="1" applyFill="1" applyBorder="1" applyAlignment="1">
      <alignment horizontal="center" vertical="center"/>
    </xf>
    <xf numFmtId="0" fontId="6" fillId="22" borderId="4" xfId="0" applyFont="1" applyFill="1" applyBorder="1" applyAlignment="1">
      <alignment vertical="center"/>
    </xf>
    <xf numFmtId="0" fontId="8" fillId="23" borderId="4" xfId="0" applyFont="1" applyFill="1" applyBorder="1" applyAlignment="1">
      <alignment horizontal="center" vertical="center"/>
    </xf>
    <xf numFmtId="0" fontId="6" fillId="23" borderId="4" xfId="0" applyFont="1" applyFill="1" applyBorder="1" applyAlignment="1">
      <alignment horizontal="center" vertical="center"/>
    </xf>
    <xf numFmtId="164" fontId="6" fillId="22" borderId="3" xfId="0" applyNumberFormat="1" applyFont="1" applyFill="1" applyBorder="1" applyAlignment="1">
      <alignment horizontal="center" vertical="center"/>
    </xf>
    <xf numFmtId="164" fontId="6" fillId="22" borderId="3" xfId="0" applyNumberFormat="1" applyFont="1" applyFill="1" applyBorder="1" applyAlignment="1">
      <alignment vertical="center"/>
    </xf>
    <xf numFmtId="164" fontId="8" fillId="23" borderId="3" xfId="0" applyNumberFormat="1" applyFont="1" applyFill="1" applyBorder="1" applyAlignment="1">
      <alignment horizontal="center" vertical="center"/>
    </xf>
    <xf numFmtId="164" fontId="6" fillId="23" borderId="3" xfId="0" applyNumberFormat="1" applyFont="1" applyFill="1" applyBorder="1" applyAlignment="1">
      <alignment horizontal="center" vertical="center"/>
    </xf>
    <xf numFmtId="0" fontId="6" fillId="22" borderId="13" xfId="0" applyFont="1" applyFill="1" applyBorder="1" applyAlignment="1">
      <alignment horizontal="center" vertical="center"/>
    </xf>
    <xf numFmtId="0" fontId="6" fillId="22" borderId="5" xfId="0" applyFont="1" applyFill="1" applyBorder="1" applyAlignment="1">
      <alignment horizontal="center" vertical="center"/>
    </xf>
    <xf numFmtId="0" fontId="6" fillId="22" borderId="5" xfId="0" applyFont="1" applyFill="1" applyBorder="1" applyAlignment="1">
      <alignment horizontal="left" vertical="top"/>
    </xf>
    <xf numFmtId="0" fontId="6" fillId="22" borderId="5" xfId="0" applyFont="1" applyFill="1" applyBorder="1" applyAlignment="1">
      <alignment horizontal="left" vertical="center"/>
    </xf>
    <xf numFmtId="164" fontId="6" fillId="22" borderId="5" xfId="0" applyNumberFormat="1" applyFont="1" applyFill="1" applyBorder="1" applyAlignment="1">
      <alignment horizontal="center" vertical="center"/>
    </xf>
    <xf numFmtId="164" fontId="6" fillId="22" borderId="14" xfId="0" applyNumberFormat="1" applyFont="1" applyFill="1" applyBorder="1" applyAlignment="1">
      <alignment horizontal="center" vertical="center"/>
    </xf>
    <xf numFmtId="0" fontId="6" fillId="22" borderId="10" xfId="0" applyFont="1" applyFill="1" applyBorder="1" applyAlignment="1">
      <alignment horizontal="center" vertical="center"/>
    </xf>
    <xf numFmtId="0" fontId="6" fillId="22" borderId="2" xfId="0" applyFont="1" applyFill="1" applyBorder="1" applyAlignment="1">
      <alignment horizontal="center" vertical="center"/>
    </xf>
    <xf numFmtId="0" fontId="6" fillId="22" borderId="2" xfId="0" applyFont="1" applyFill="1" applyBorder="1" applyAlignment="1">
      <alignment horizontal="left" vertical="top"/>
    </xf>
    <xf numFmtId="0" fontId="6" fillId="22" borderId="2" xfId="0" applyFont="1" applyFill="1" applyBorder="1" applyAlignment="1">
      <alignment horizontal="left" vertical="center"/>
    </xf>
    <xf numFmtId="164" fontId="6" fillId="22" borderId="2" xfId="0" applyNumberFormat="1" applyFont="1" applyFill="1" applyBorder="1" applyAlignment="1">
      <alignment horizontal="center" vertical="center"/>
    </xf>
    <xf numFmtId="164" fontId="6" fillId="22" borderId="15" xfId="0" applyNumberFormat="1" applyFont="1" applyFill="1" applyBorder="1" applyAlignment="1">
      <alignment horizontal="center" vertical="center"/>
    </xf>
    <xf numFmtId="0" fontId="0" fillId="0" borderId="9" xfId="0" applyBorder="1"/>
    <xf numFmtId="0" fontId="17" fillId="0" borderId="16" xfId="0" applyFont="1" applyBorder="1"/>
    <xf numFmtId="0" fontId="6" fillId="22" borderId="15" xfId="0" applyFont="1" applyFill="1" applyBorder="1" applyAlignment="1">
      <alignment horizontal="center" vertical="center"/>
    </xf>
    <xf numFmtId="0" fontId="15" fillId="0" borderId="17" xfId="0" applyFont="1" applyBorder="1" applyAlignment="1">
      <alignment vertical="top" wrapText="1"/>
    </xf>
    <xf numFmtId="0" fontId="6" fillId="2" borderId="13" xfId="0" applyFont="1" applyFill="1" applyBorder="1" applyAlignment="1">
      <alignment vertical="center"/>
    </xf>
    <xf numFmtId="164" fontId="6" fillId="2" borderId="14" xfId="0" applyNumberFormat="1" applyFont="1" applyFill="1" applyBorder="1" applyAlignment="1">
      <alignment vertical="center"/>
    </xf>
    <xf numFmtId="0" fontId="6" fillId="26" borderId="1" xfId="0" applyFont="1" applyFill="1" applyBorder="1" applyAlignment="1">
      <alignment horizontal="center" vertical="center" wrapText="1"/>
    </xf>
    <xf numFmtId="164" fontId="8" fillId="8" borderId="1" xfId="0" applyNumberFormat="1" applyFont="1" applyFill="1" applyBorder="1" applyAlignment="1">
      <alignment horizontal="center" vertical="center" wrapText="1"/>
    </xf>
    <xf numFmtId="0" fontId="8" fillId="8" borderId="1" xfId="0" applyFont="1" applyFill="1" applyBorder="1" applyAlignment="1">
      <alignment horizontal="center" vertical="center" wrapText="1"/>
    </xf>
    <xf numFmtId="0" fontId="6" fillId="2" borderId="1" xfId="0" applyFont="1" applyFill="1" applyBorder="1" applyAlignment="1">
      <alignment vertical="center"/>
    </xf>
    <xf numFmtId="164" fontId="6" fillId="2" borderId="1" xfId="0" applyNumberFormat="1" applyFont="1" applyFill="1" applyBorder="1" applyAlignment="1">
      <alignment vertical="center"/>
    </xf>
    <xf numFmtId="0" fontId="6" fillId="2" borderId="1" xfId="0" applyFont="1" applyFill="1" applyBorder="1" applyAlignment="1">
      <alignment horizontal="left" vertical="center"/>
    </xf>
    <xf numFmtId="164" fontId="6" fillId="2" borderId="1" xfId="0" applyNumberFormat="1" applyFont="1" applyFill="1" applyBorder="1" applyAlignment="1">
      <alignment horizontal="center" vertical="center"/>
    </xf>
    <xf numFmtId="0" fontId="6" fillId="6" borderId="1" xfId="0" applyFont="1" applyFill="1" applyBorder="1" applyAlignment="1">
      <alignment horizontal="left" vertical="center"/>
    </xf>
    <xf numFmtId="164" fontId="6" fillId="6" borderId="1" xfId="0" applyNumberFormat="1" applyFont="1" applyFill="1" applyBorder="1" applyAlignment="1">
      <alignment horizontal="center" vertical="center"/>
    </xf>
    <xf numFmtId="0" fontId="6" fillId="8" borderId="1" xfId="0" applyFont="1" applyFill="1" applyBorder="1" applyAlignment="1">
      <alignment horizontal="left" vertical="center"/>
    </xf>
    <xf numFmtId="164" fontId="6" fillId="8" borderId="1" xfId="0" applyNumberFormat="1" applyFont="1" applyFill="1" applyBorder="1" applyAlignment="1">
      <alignment horizontal="center" vertical="center"/>
    </xf>
    <xf numFmtId="0" fontId="6" fillId="27" borderId="1" xfId="0" applyFont="1" applyFill="1" applyBorder="1" applyAlignment="1">
      <alignment vertical="center"/>
    </xf>
    <xf numFmtId="0" fontId="0" fillId="28" borderId="6" xfId="0" applyFill="1" applyBorder="1" applyAlignment="1">
      <alignment horizontal="left"/>
    </xf>
    <xf numFmtId="0" fontId="0" fillId="28" borderId="6" xfId="0" applyFill="1" applyBorder="1"/>
    <xf numFmtId="0" fontId="0" fillId="28" borderId="4" xfId="0" applyFill="1" applyBorder="1"/>
    <xf numFmtId="164" fontId="6" fillId="27" borderId="1" xfId="0" applyNumberFormat="1" applyFont="1" applyFill="1" applyBorder="1" applyAlignment="1">
      <alignment horizontal="center" vertical="center" wrapText="1"/>
    </xf>
    <xf numFmtId="0" fontId="6" fillId="27" borderId="1" xfId="0" applyFont="1" applyFill="1" applyBorder="1" applyAlignment="1">
      <alignment vertical="top" wrapText="1"/>
    </xf>
    <xf numFmtId="164" fontId="6" fillId="29" borderId="1" xfId="0" applyNumberFormat="1" applyFont="1" applyFill="1" applyBorder="1" applyAlignment="1">
      <alignment horizontal="center" vertical="center" wrapText="1"/>
    </xf>
    <xf numFmtId="0" fontId="8" fillId="30" borderId="1" xfId="0" applyFont="1" applyFill="1" applyBorder="1" applyAlignment="1">
      <alignment vertical="center" wrapText="1"/>
    </xf>
    <xf numFmtId="164" fontId="8" fillId="30" borderId="1" xfId="0" applyNumberFormat="1" applyFont="1" applyFill="1" applyBorder="1" applyAlignment="1">
      <alignment vertical="center" wrapText="1"/>
    </xf>
    <xf numFmtId="0" fontId="8" fillId="30" borderId="1" xfId="0" applyFont="1" applyFill="1" applyBorder="1" applyAlignment="1">
      <alignment horizontal="center" vertical="center" wrapText="1"/>
    </xf>
    <xf numFmtId="0" fontId="8" fillId="30" borderId="1" xfId="0" applyFont="1" applyFill="1" applyBorder="1" applyAlignment="1">
      <alignment horizontal="left" vertical="center" wrapText="1"/>
    </xf>
    <xf numFmtId="164" fontId="8" fillId="30" borderId="1" xfId="0" applyNumberFormat="1" applyFont="1" applyFill="1" applyBorder="1" applyAlignment="1">
      <alignment horizontal="center" vertical="center" wrapText="1"/>
    </xf>
    <xf numFmtId="0" fontId="8" fillId="31" borderId="1" xfId="0" applyFont="1" applyFill="1" applyBorder="1" applyAlignment="1">
      <alignment horizontal="center" vertical="center" wrapText="1"/>
    </xf>
    <xf numFmtId="0" fontId="8" fillId="31" borderId="1" xfId="0" quotePrefix="1" applyFont="1" applyFill="1" applyBorder="1" applyAlignment="1">
      <alignment horizontal="center" vertical="center" wrapText="1"/>
    </xf>
    <xf numFmtId="0" fontId="8" fillId="31" borderId="1" xfId="0" applyFont="1" applyFill="1" applyBorder="1" applyAlignment="1">
      <alignment horizontal="left" vertical="center" wrapText="1"/>
    </xf>
    <xf numFmtId="164" fontId="8" fillId="31" borderId="1" xfId="0" applyNumberFormat="1" applyFont="1" applyFill="1" applyBorder="1" applyAlignment="1">
      <alignment horizontal="center" vertical="center" wrapText="1"/>
    </xf>
    <xf numFmtId="0" fontId="8" fillId="32" borderId="1" xfId="0" applyFont="1" applyFill="1" applyBorder="1" applyAlignment="1">
      <alignment horizontal="left" vertical="center" wrapText="1"/>
    </xf>
    <xf numFmtId="164" fontId="8" fillId="32" borderId="1" xfId="0" applyNumberFormat="1" applyFont="1" applyFill="1" applyBorder="1" applyAlignment="1">
      <alignment horizontal="center" vertical="center" wrapText="1"/>
    </xf>
    <xf numFmtId="0" fontId="2" fillId="32" borderId="1" xfId="0" applyFont="1" applyFill="1" applyBorder="1"/>
    <xf numFmtId="0" fontId="17" fillId="0" borderId="0" xfId="0" applyFont="1"/>
    <xf numFmtId="3" fontId="0" fillId="0" borderId="0" xfId="0" applyNumberFormat="1"/>
    <xf numFmtId="9" fontId="0" fillId="0" borderId="0" xfId="0" applyNumberFormat="1"/>
    <xf numFmtId="4" fontId="0" fillId="0" borderId="0" xfId="0" applyNumberFormat="1" applyAlignment="1">
      <alignment wrapText="1"/>
    </xf>
    <xf numFmtId="10" fontId="0" fillId="0" borderId="0" xfId="0" applyNumberFormat="1" applyAlignment="1">
      <alignment wrapText="1"/>
    </xf>
    <xf numFmtId="0" fontId="13" fillId="0" borderId="0" xfId="0" applyFont="1" applyAlignment="1">
      <alignment horizontal="left"/>
    </xf>
    <xf numFmtId="0" fontId="0" fillId="0" borderId="0" xfId="0"/>
    <xf numFmtId="0" fontId="16" fillId="0" borderId="0" xfId="0" applyFont="1"/>
    <xf numFmtId="0" fontId="6" fillId="3" borderId="1" xfId="0" applyFont="1" applyFill="1" applyBorder="1" applyAlignment="1">
      <alignment horizontal="left" vertical="top" wrapText="1"/>
    </xf>
    <xf numFmtId="0" fontId="0" fillId="0" borderId="6" xfId="0" applyBorder="1"/>
    <xf numFmtId="0" fontId="0" fillId="0" borderId="4" xfId="0" applyBorder="1"/>
    <xf numFmtId="164" fontId="6" fillId="2" borderId="1" xfId="0" applyNumberFormat="1" applyFont="1" applyFill="1" applyBorder="1" applyAlignment="1">
      <alignment horizontal="center" vertical="center" wrapText="1"/>
    </xf>
    <xf numFmtId="0" fontId="0" fillId="0" borderId="8" xfId="0" applyBorder="1"/>
    <xf numFmtId="0" fontId="0" fillId="0" borderId="5" xfId="0" applyBorder="1"/>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17" fillId="0" borderId="8" xfId="0" applyFont="1" applyBorder="1"/>
    <xf numFmtId="0" fontId="17" fillId="0" borderId="5" xfId="0" applyFont="1" applyBorder="1"/>
    <xf numFmtId="0" fontId="6"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5" fillId="0" borderId="1" xfId="0" applyFont="1" applyBorder="1" applyAlignment="1">
      <alignment horizontal="center"/>
    </xf>
    <xf numFmtId="0" fontId="6" fillId="4" borderId="1" xfId="0" applyFont="1" applyFill="1" applyBorder="1" applyAlignment="1">
      <alignment horizontal="left" vertical="top" wrapText="1"/>
    </xf>
    <xf numFmtId="0" fontId="3" fillId="2" borderId="0" xfId="0" applyFont="1" applyFill="1" applyAlignment="1">
      <alignment horizontal="left" vertical="center" wrapText="1"/>
    </xf>
    <xf numFmtId="0" fontId="4" fillId="2" borderId="0" xfId="0" applyFont="1" applyFill="1" applyAlignment="1">
      <alignment horizontal="center" vertical="center" wrapText="1"/>
    </xf>
    <xf numFmtId="0" fontId="0" fillId="0" borderId="0" xfId="0" applyAlignment="1">
      <alignment horizontal="left"/>
    </xf>
    <xf numFmtId="0" fontId="15" fillId="0" borderId="11" xfId="0" applyFont="1" applyBorder="1" applyAlignment="1">
      <alignment horizontal="center" vertical="top" wrapText="1"/>
    </xf>
  </cellXfs>
  <cellStyles count="2">
    <cellStyle name="Comma" xfId="1" builtinId="3"/>
    <cellStyle name="Normal" xfId="0" builtinId="0"/>
  </cellStyles>
  <dxfs count="30">
    <dxf>
      <border diagonalUp="0" diagonalDown="0" outline="0">
        <left/>
        <right/>
        <top style="thin">
          <color indexed="64"/>
        </top>
        <bottom/>
      </border>
    </dxf>
    <dxf>
      <border diagonalUp="0" diagonalDown="0" outline="0">
        <left/>
        <right/>
        <top style="thin">
          <color indexed="64"/>
        </top>
        <bottom/>
      </border>
    </dxf>
    <dxf>
      <font>
        <b val="0"/>
        <i val="0"/>
        <strike val="0"/>
        <condense val="0"/>
        <extend val="0"/>
        <outline val="0"/>
        <shadow val="0"/>
        <u val="none"/>
        <vertAlign val="baseline"/>
        <sz val="9"/>
        <color rgb="FF000000"/>
        <name val="Times New Roman"/>
        <family val="1"/>
        <charset val="204"/>
        <scheme val="none"/>
      </font>
      <fill>
        <patternFill patternType="solid">
          <fgColor rgb="FFDAEEF3"/>
          <bgColor rgb="FFD6F6E3"/>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9"/>
        <color rgb="FF000000"/>
        <name val="Times New Roman"/>
        <family val="1"/>
        <charset val="204"/>
        <scheme val="none"/>
      </font>
      <numFmt numFmtId="164" formatCode="#,##0.0"/>
      <fill>
        <patternFill patternType="solid">
          <fgColor rgb="FFDAEEF3"/>
          <bgColor rgb="FFD6F6E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rgb="FF000000"/>
        <name val="Times New Roman"/>
        <family val="1"/>
        <charset val="204"/>
        <scheme val="none"/>
      </font>
      <fill>
        <patternFill patternType="solid">
          <fgColor rgb="FFDAEEF3"/>
          <bgColor rgb="FFD6F6E3"/>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rgb="FF000000"/>
        <name val="Times New Roman"/>
        <family val="1"/>
        <charset val="204"/>
        <scheme val="none"/>
      </font>
      <fill>
        <patternFill patternType="solid">
          <fgColor rgb="FFDAEEF3"/>
          <bgColor rgb="FFD6F6E3"/>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rgb="FF000000"/>
        <name val="Times New Roman"/>
        <family val="1"/>
        <charset val="204"/>
        <scheme val="none"/>
      </font>
      <fill>
        <patternFill patternType="solid">
          <fgColor rgb="FFDAEEF3"/>
          <bgColor rgb="FFD6F6E3"/>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rgb="FF000000"/>
        <name val="Times New Roman"/>
        <family val="1"/>
        <charset val="204"/>
        <scheme val="none"/>
      </font>
      <fill>
        <patternFill patternType="solid">
          <fgColor rgb="FFDAEEF3"/>
          <bgColor rgb="FFD6F6E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rgb="FF000000"/>
        <name val="Times New Roman"/>
        <family val="1"/>
        <charset val="204"/>
        <scheme val="none"/>
      </font>
      <fill>
        <patternFill patternType="solid">
          <fgColor rgb="FFDAEEF3"/>
          <bgColor rgb="FFD6F6E3"/>
        </patternFill>
      </fill>
      <alignment horizontal="center" vertical="center" textRotation="0" wrapText="0" indent="0" justifyLastLine="0" shrinkToFit="0" readingOrder="0"/>
      <border diagonalUp="0" diagonalDown="0" outline="0">
        <left/>
        <right style="thin">
          <color indexed="64"/>
        </right>
        <top style="thin">
          <color indexed="64"/>
        </top>
        <bottom/>
      </border>
    </dxf>
    <dxf>
      <numFmt numFmtId="164" formatCode="#,##0.0"/>
    </dxf>
    <dxf>
      <numFmt numFmtId="0" formatCode="General"/>
    </dxf>
    <dxf>
      <font>
        <b val="0"/>
        <i val="0"/>
        <strike val="0"/>
        <condense val="0"/>
        <extend val="0"/>
        <outline val="0"/>
        <shadow val="0"/>
        <u val="none"/>
        <vertAlign val="baseline"/>
        <sz val="9"/>
        <color rgb="FF000000"/>
        <name val="Times New Roman"/>
        <family val="1"/>
        <charset val="204"/>
        <scheme val="none"/>
      </font>
      <numFmt numFmtId="164" formatCode="#,##0.0"/>
      <fill>
        <patternFill patternType="solid">
          <fgColor rgb="FFDAEEF3"/>
          <bgColor rgb="FFD6F6E3"/>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rgb="FF000000"/>
        <name val="Times New Roman"/>
        <family val="1"/>
        <charset val="204"/>
        <scheme val="none"/>
      </font>
      <numFmt numFmtId="164" formatCode="#,##0.0"/>
      <fill>
        <patternFill patternType="solid">
          <fgColor rgb="FFDAEEF3"/>
          <bgColor rgb="FFD6F6E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Times New Roman"/>
        <family val="1"/>
        <charset val="204"/>
        <scheme val="none"/>
      </font>
      <fill>
        <patternFill patternType="solid">
          <fgColor rgb="FFDAEEF3"/>
          <bgColor rgb="FFD6F6E3"/>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Times New Roman"/>
        <family val="1"/>
        <charset val="204"/>
        <scheme val="none"/>
      </font>
      <fill>
        <patternFill patternType="solid">
          <fgColor rgb="FFDAEEF3"/>
          <bgColor rgb="FFD6F6E3"/>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Times New Roman"/>
        <family val="1"/>
        <charset val="204"/>
        <scheme val="none"/>
      </font>
      <fill>
        <patternFill patternType="solid">
          <fgColor rgb="FFDAEEF3"/>
          <bgColor rgb="FFD6F6E3"/>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Times New Roman"/>
        <family val="1"/>
        <charset val="204"/>
        <scheme val="none"/>
      </font>
      <fill>
        <patternFill patternType="solid">
          <fgColor rgb="FFDAEEF3"/>
          <bgColor rgb="FFD6F6E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Times New Roman"/>
        <family val="1"/>
        <charset val="204"/>
        <scheme val="none"/>
      </font>
      <fill>
        <patternFill patternType="solid">
          <fgColor rgb="FFDAEEF3"/>
          <bgColor rgb="FFD6F6E3"/>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9"/>
        <color rgb="FF000000"/>
        <name val="Times New Roman"/>
        <family val="1"/>
        <charset val="204"/>
        <scheme val="none"/>
      </font>
      <numFmt numFmtId="164" formatCode="#,##0.0"/>
      <fill>
        <patternFill patternType="solid">
          <fgColor rgb="FFFFFFFF"/>
          <bgColor rgb="FFFFFFFF"/>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000000"/>
        <name val="Times New Roman"/>
        <family val="1"/>
        <charset val="204"/>
        <scheme val="none"/>
      </font>
      <numFmt numFmtId="164"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rgb="FF000000"/>
        <name val="Times New Roman"/>
        <family val="1"/>
        <charset val="204"/>
        <scheme val="none"/>
      </font>
      <fill>
        <patternFill patternType="solid">
          <fgColor rgb="FFFFFFFF"/>
          <bgColor rgb="FFFFFFFF"/>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000000"/>
        <name val="Times New Roman"/>
        <family val="1"/>
        <charset val="204"/>
        <scheme val="none"/>
      </font>
      <fill>
        <patternFill patternType="solid">
          <fgColor rgb="FFFFFFFF"/>
          <bgColor rgb="FFFFFFFF"/>
        </patternFill>
      </fill>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textRotation="0" wrapText="0" indent="0" justifyLastLine="0" shrinkToFit="0" readingOrder="0"/>
    </dxf>
    <dxf>
      <border outline="0">
        <bottom style="thin">
          <color indexed="64"/>
        </bottom>
      </border>
    </dxf>
    <dxf>
      <alignment textRotation="0" wrapText="0" indent="0" justifyLastLine="0" shrinkToFit="0" readingOrder="0"/>
    </dxf>
  </dxfs>
  <tableStyles count="0" defaultTableStyle="TableStyleMedium2" defaultPivotStyle="PivotStyleLight16"/>
  <colors>
    <mruColors>
      <color rgb="FFFDEBD1"/>
      <color rgb="FFD6F6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valuated_results_v1_1" connectionId="2" xr16:uid="{DB50A955-7D07-E949-9F6C-250A071B4873}"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valuated_results_v1" connectionId="1" xr16:uid="{1EEF732B-B81F-F744-BFA9-0535518227BF}" autoFormatId="16" applyNumberFormats="0" applyBorderFormats="0" applyFontFormats="1" applyPatternFormats="1"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0B5853-A93B-FE45-9AC7-66D550221880}" name="Table2" displayName="Table2" ref="A1:B344" totalsRowCount="1" headerRowDxfId="29" dataDxfId="27" headerRowBorderDxfId="28" tableBorderDxfId="26" totalsRowBorderDxfId="25">
  <autoFilter ref="A1:B343" xr:uid="{350B5853-A93B-FE45-9AC7-66D550221880}"/>
  <sortState xmlns:xlrd2="http://schemas.microsoft.com/office/spreadsheetml/2017/richdata2" ref="A2:B343">
    <sortCondition descending="1" ref="B1:B343"/>
  </sortState>
  <tableColumns count="2">
    <tableColumn id="1" xr3:uid="{D1EC6F20-7E72-004B-B457-6F2116A4C3FE}" name="Column1" totalsRowLabel="Координация деятельности ООПТ и пропаганда вопросов по сохранению экосистем, мероприятия по сохранению биоразнообразия на территории ООПТ, а также проведение научной деятельности, сохранение и воспроизводство объектов биоразнообразия" dataDxfId="24" totalsRowDxfId="23"/>
    <tableColumn id="2" xr3:uid="{55C660B0-D03E-F544-92AF-6A35EBDC9149}" name="Column2" totalsRowLabel="309,621.3" dataDxfId="22" totalsRow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871355-1D41-C94A-A6ED-E094F463363D}" name="Table1" displayName="Table1" ref="A2:I171" totalsRowCount="1" headerRowBorderDxfId="20" tableBorderDxfId="19" totalsRowBorderDxfId="18">
  <autoFilter ref="A2:I170" xr:uid="{F6871355-1D41-C94A-A6ED-E094F463363D}">
    <filterColumn colId="2">
      <filters blank="1"/>
    </filterColumn>
  </autoFilter>
  <sortState xmlns:xlrd2="http://schemas.microsoft.com/office/spreadsheetml/2017/richdata2" ref="A3:I170">
    <sortCondition ref="I2:I170"/>
  </sortState>
  <tableColumns count="9">
    <tableColumn id="1" xr3:uid="{675457E6-BEF4-C54F-ADE3-4267134DAA36}" name="Column1" totalsRowLabel="Total" dataDxfId="17" totalsRowDxfId="8"/>
    <tableColumn id="2" xr3:uid="{4176A42C-7605-1E47-8C56-C75F8DBB77D7}" name="Column2" dataDxfId="16" totalsRowDxfId="7"/>
    <tableColumn id="3" xr3:uid="{D0D3BB0F-6FC3-9F43-A354-6E840F2BFBCE}" name="Column3" dataDxfId="15" totalsRowDxfId="6"/>
    <tableColumn id="4" xr3:uid="{89644D8A-6D20-AC4B-A735-3D4BF92B8C41}" name="Column4" dataDxfId="14" totalsRowDxfId="5"/>
    <tableColumn id="5" xr3:uid="{5481785A-79DD-5547-8CAA-2036A8BD24E6}" name="Column5" totalsRowFunction="count" dataDxfId="13" totalsRowDxfId="4"/>
    <tableColumn id="6" xr3:uid="{92264843-C907-904A-9515-E1570157A079}" name="2,026.0" totalsRowFunction="sum" dataDxfId="12" totalsRowDxfId="3"/>
    <tableColumn id="7" xr3:uid="{415CCEC2-804E-6547-9BB4-73EC0A15D07C}" name="2,027.0" dataDxfId="11" totalsRowDxfId="2"/>
    <tableColumn id="8" xr3:uid="{33B22DD9-5FDA-914B-A6F6-25ECC8EDC801}" name="diff" totalsRowFunction="count" dataDxfId="10" totalsRowDxfId="1">
      <calculatedColumnFormula>(Table1[[#This Row],[2,027.0]]/Table1[[#This Row],[2,026.0]]) - 1</calculatedColumnFormula>
    </tableColumn>
    <tableColumn id="9" xr3:uid="{F618B7EE-9F78-1946-B15F-D960A7C23195}" name="diff2" dataDxfId="9" totalsRowDxfId="0">
      <calculatedColumnFormula>Table1[[#This Row],[2,027.0]]-Table1[[#This Row],[2,026.0]]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8.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B5797"/>
  </sheetPr>
  <dimension ref="A1:C37"/>
  <sheetViews>
    <sheetView showGridLines="0" zoomScale="125" workbookViewId="0">
      <pane ySplit="1" topLeftCell="A2" activePane="bottomLeft" state="frozen"/>
      <selection pane="bottomLeft" activeCell="C13" sqref="C13"/>
    </sheetView>
  </sheetViews>
  <sheetFormatPr baseColWidth="10" defaultColWidth="8.83203125" defaultRowHeight="15" x14ac:dyDescent="0.2"/>
  <cols>
    <col min="1" max="1" width="30" customWidth="1"/>
    <col min="2" max="2" width="20" customWidth="1"/>
    <col min="3" max="3" width="60" customWidth="1"/>
  </cols>
  <sheetData>
    <row r="1" spans="1:3" ht="20" x14ac:dyDescent="0.2">
      <c r="A1" s="198" t="s">
        <v>0</v>
      </c>
      <c r="B1" s="199"/>
      <c r="C1" s="199"/>
    </row>
    <row r="3" spans="1:3" x14ac:dyDescent="0.2">
      <c r="A3" s="58" t="s">
        <v>1</v>
      </c>
      <c r="B3" s="58" t="s">
        <v>2</v>
      </c>
      <c r="C3" s="58" t="s">
        <v>3</v>
      </c>
    </row>
    <row r="4" spans="1:3" x14ac:dyDescent="0.2">
      <c r="A4" s="59" t="s">
        <v>4</v>
      </c>
      <c r="B4" s="60" t="s">
        <v>5</v>
      </c>
      <c r="C4" s="61" t="s">
        <v>6</v>
      </c>
    </row>
    <row r="5" spans="1:3" x14ac:dyDescent="0.2">
      <c r="A5" s="59" t="s">
        <v>7</v>
      </c>
      <c r="B5" s="60" t="s">
        <v>8</v>
      </c>
      <c r="C5" s="61" t="s">
        <v>9</v>
      </c>
    </row>
    <row r="6" spans="1:3" x14ac:dyDescent="0.2">
      <c r="A6" s="59" t="s">
        <v>10</v>
      </c>
      <c r="B6" s="60" t="s">
        <v>11</v>
      </c>
      <c r="C6" s="61"/>
    </row>
    <row r="7" spans="1:3" x14ac:dyDescent="0.2">
      <c r="A7" s="59" t="s">
        <v>12</v>
      </c>
      <c r="B7" s="60" t="s">
        <v>13</v>
      </c>
      <c r="C7" s="61" t="s">
        <v>14</v>
      </c>
    </row>
    <row r="8" spans="1:3" x14ac:dyDescent="0.2">
      <c r="A8" s="59" t="s">
        <v>15</v>
      </c>
      <c r="B8" s="60" t="s">
        <v>16</v>
      </c>
      <c r="C8" s="61" t="s">
        <v>17</v>
      </c>
    </row>
    <row r="9" spans="1:3" x14ac:dyDescent="0.2">
      <c r="A9" s="59" t="s">
        <v>18</v>
      </c>
      <c r="B9" s="60" t="s">
        <v>19</v>
      </c>
      <c r="C9" s="61" t="s">
        <v>20</v>
      </c>
    </row>
    <row r="10" spans="1:3" ht="28" x14ac:dyDescent="0.2">
      <c r="A10" s="59" t="s">
        <v>21</v>
      </c>
      <c r="B10" s="60" t="s">
        <v>22</v>
      </c>
      <c r="C10" s="61" t="s">
        <v>23</v>
      </c>
    </row>
    <row r="11" spans="1:3" x14ac:dyDescent="0.2">
      <c r="A11" s="59" t="s">
        <v>24</v>
      </c>
      <c r="B11" s="60" t="s">
        <v>25</v>
      </c>
      <c r="C11" s="61" t="s">
        <v>26</v>
      </c>
    </row>
    <row r="12" spans="1:3" x14ac:dyDescent="0.2">
      <c r="A12" s="59" t="s">
        <v>27</v>
      </c>
      <c r="B12" s="60" t="s">
        <v>28</v>
      </c>
      <c r="C12" s="61" t="s">
        <v>29</v>
      </c>
    </row>
    <row r="15" spans="1:3" ht="17" x14ac:dyDescent="0.2">
      <c r="A15" s="200" t="s">
        <v>30</v>
      </c>
      <c r="B15" s="199"/>
      <c r="C15" s="199"/>
    </row>
    <row r="16" spans="1:3" x14ac:dyDescent="0.2">
      <c r="A16" s="58" t="s">
        <v>31</v>
      </c>
      <c r="B16" s="58" t="s">
        <v>32</v>
      </c>
      <c r="C16" s="58" t="s">
        <v>33</v>
      </c>
    </row>
    <row r="17" spans="1:3" x14ac:dyDescent="0.2">
      <c r="A17" s="62" t="s">
        <v>34</v>
      </c>
      <c r="B17" s="60" t="s">
        <v>35</v>
      </c>
      <c r="C17" s="61" t="s">
        <v>36</v>
      </c>
    </row>
    <row r="18" spans="1:3" x14ac:dyDescent="0.2">
      <c r="A18" s="63" t="s">
        <v>37</v>
      </c>
      <c r="B18" s="60" t="s">
        <v>38</v>
      </c>
      <c r="C18" s="61" t="s">
        <v>39</v>
      </c>
    </row>
    <row r="19" spans="1:3" x14ac:dyDescent="0.2">
      <c r="A19" s="64" t="s">
        <v>40</v>
      </c>
      <c r="B19" s="60" t="s">
        <v>41</v>
      </c>
      <c r="C19" s="61" t="s">
        <v>42</v>
      </c>
    </row>
    <row r="20" spans="1:3" x14ac:dyDescent="0.2">
      <c r="A20" s="65" t="s">
        <v>43</v>
      </c>
      <c r="B20" s="60" t="s">
        <v>44</v>
      </c>
      <c r="C20" s="61" t="s">
        <v>45</v>
      </c>
    </row>
    <row r="21" spans="1:3" x14ac:dyDescent="0.2">
      <c r="A21" s="66" t="s">
        <v>46</v>
      </c>
      <c r="B21" s="60" t="s">
        <v>44</v>
      </c>
      <c r="C21" s="61" t="s">
        <v>47</v>
      </c>
    </row>
    <row r="22" spans="1:3" x14ac:dyDescent="0.2">
      <c r="A22" s="59" t="s">
        <v>48</v>
      </c>
      <c r="B22" s="60" t="s">
        <v>49</v>
      </c>
      <c r="C22" s="61" t="s">
        <v>50</v>
      </c>
    </row>
    <row r="23" spans="1:3" x14ac:dyDescent="0.2">
      <c r="A23" s="59" t="s">
        <v>51</v>
      </c>
      <c r="B23" s="60" t="s">
        <v>49</v>
      </c>
      <c r="C23" s="61" t="s">
        <v>52</v>
      </c>
    </row>
    <row r="26" spans="1:3" ht="17" x14ac:dyDescent="0.2">
      <c r="A26" s="200" t="s">
        <v>53</v>
      </c>
      <c r="B26" s="199"/>
      <c r="C26" s="199"/>
    </row>
    <row r="27" spans="1:3" x14ac:dyDescent="0.2">
      <c r="A27" s="58" t="s">
        <v>54</v>
      </c>
      <c r="B27" s="58" t="s">
        <v>55</v>
      </c>
      <c r="C27" s="58" t="s">
        <v>33</v>
      </c>
    </row>
    <row r="28" spans="1:3" ht="45" x14ac:dyDescent="0.2">
      <c r="A28" s="59" t="s">
        <v>56</v>
      </c>
      <c r="B28" s="66" t="s">
        <v>57</v>
      </c>
      <c r="C28" s="67" t="s">
        <v>58</v>
      </c>
    </row>
    <row r="29" spans="1:3" ht="45" x14ac:dyDescent="0.2">
      <c r="A29" s="59" t="s">
        <v>59</v>
      </c>
      <c r="B29" s="66" t="s">
        <v>57</v>
      </c>
      <c r="C29" s="67" t="s">
        <v>60</v>
      </c>
    </row>
    <row r="30" spans="1:3" ht="45" x14ac:dyDescent="0.2">
      <c r="A30" s="59" t="s">
        <v>61</v>
      </c>
      <c r="B30" s="62" t="s">
        <v>62</v>
      </c>
      <c r="C30" s="67" t="s">
        <v>63</v>
      </c>
    </row>
    <row r="31" spans="1:3" ht="30" x14ac:dyDescent="0.2">
      <c r="A31" s="59" t="s">
        <v>64</v>
      </c>
      <c r="B31" s="62" t="s">
        <v>62</v>
      </c>
      <c r="C31" s="67" t="s">
        <v>65</v>
      </c>
    </row>
    <row r="32" spans="1:3" ht="30" x14ac:dyDescent="0.2">
      <c r="A32" s="59" t="s">
        <v>66</v>
      </c>
      <c r="B32" s="62" t="s">
        <v>62</v>
      </c>
      <c r="C32" s="67" t="s">
        <v>67</v>
      </c>
    </row>
    <row r="33" spans="1:3" ht="30" x14ac:dyDescent="0.2">
      <c r="A33" s="59" t="s">
        <v>68</v>
      </c>
      <c r="B33" s="62" t="s">
        <v>62</v>
      </c>
      <c r="C33" s="67" t="s">
        <v>69</v>
      </c>
    </row>
    <row r="34" spans="1:3" ht="30" x14ac:dyDescent="0.2">
      <c r="A34" s="59" t="s">
        <v>70</v>
      </c>
      <c r="B34" s="68" t="s">
        <v>71</v>
      </c>
      <c r="C34" s="67" t="s">
        <v>72</v>
      </c>
    </row>
    <row r="35" spans="1:3" ht="30" x14ac:dyDescent="0.2">
      <c r="A35" s="59" t="s">
        <v>73</v>
      </c>
      <c r="B35" s="68" t="s">
        <v>71</v>
      </c>
      <c r="C35" s="67" t="s">
        <v>74</v>
      </c>
    </row>
    <row r="36" spans="1:3" ht="30" x14ac:dyDescent="0.2">
      <c r="A36" s="59" t="s">
        <v>75</v>
      </c>
      <c r="B36" s="68" t="s">
        <v>71</v>
      </c>
      <c r="C36" s="67" t="s">
        <v>76</v>
      </c>
    </row>
    <row r="37" spans="1:3" ht="30" x14ac:dyDescent="0.2">
      <c r="A37" s="59" t="s">
        <v>77</v>
      </c>
      <c r="B37" s="68" t="s">
        <v>71</v>
      </c>
      <c r="C37" s="67" t="s">
        <v>78</v>
      </c>
    </row>
  </sheetData>
  <mergeCells count="3">
    <mergeCell ref="A1:C1"/>
    <mergeCell ref="A26:C26"/>
    <mergeCell ref="A15:C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pageSetUpPr fitToPage="1"/>
  </sheetPr>
  <dimension ref="A1:AB884"/>
  <sheetViews>
    <sheetView zoomScale="163" zoomScaleNormal="100" zoomScaleSheetLayoutView="150" workbookViewId="0">
      <selection activeCell="C14" sqref="C14"/>
    </sheetView>
  </sheetViews>
  <sheetFormatPr baseColWidth="10" defaultColWidth="14.5" defaultRowHeight="15" customHeight="1" x14ac:dyDescent="0.2"/>
  <cols>
    <col min="1" max="1" width="5.83203125" customWidth="1"/>
    <col min="2" max="3" width="5" customWidth="1"/>
    <col min="4" max="4" width="5.6640625" customWidth="1"/>
    <col min="5" max="5" width="47.1640625" customWidth="1"/>
    <col min="6" max="8" width="15.5" customWidth="1"/>
    <col min="9" max="9" width="43.5" customWidth="1"/>
    <col min="10" max="10" width="9" customWidth="1"/>
    <col min="11" max="13" width="11.6640625" customWidth="1"/>
    <col min="14" max="14" width="2.1640625" customWidth="1"/>
    <col min="27" max="27" width="14" customWidth="1"/>
    <col min="28" max="28" width="50" customWidth="1"/>
  </cols>
  <sheetData>
    <row r="1" spans="1:28" ht="70.5" customHeight="1" x14ac:dyDescent="0.2">
      <c r="A1" s="1"/>
      <c r="B1" s="1"/>
      <c r="C1" s="1"/>
      <c r="D1" s="1"/>
      <c r="E1" s="1"/>
      <c r="F1" s="1"/>
      <c r="G1" s="1"/>
      <c r="H1" s="1"/>
      <c r="I1" s="220" t="s">
        <v>79</v>
      </c>
      <c r="J1" s="199"/>
      <c r="K1" s="199"/>
      <c r="L1" s="199"/>
      <c r="M1" s="199"/>
      <c r="N1" s="1"/>
    </row>
    <row r="2" spans="1:28" x14ac:dyDescent="0.2">
      <c r="A2" s="1"/>
      <c r="B2" s="1"/>
      <c r="C2" s="1"/>
      <c r="D2" s="1"/>
      <c r="E2" s="1"/>
      <c r="F2" s="1"/>
      <c r="G2" s="1"/>
      <c r="H2" s="1"/>
      <c r="I2" s="57"/>
      <c r="J2" s="57"/>
      <c r="K2" s="57"/>
      <c r="L2" s="57"/>
      <c r="M2" s="57"/>
      <c r="N2" s="1"/>
    </row>
    <row r="3" spans="1:28" ht="25.5" customHeight="1" x14ac:dyDescent="0.2">
      <c r="A3" s="221" t="s">
        <v>80</v>
      </c>
      <c r="B3" s="199"/>
      <c r="C3" s="199"/>
      <c r="D3" s="199"/>
      <c r="E3" s="199"/>
      <c r="F3" s="199"/>
      <c r="G3" s="199"/>
      <c r="H3" s="199"/>
      <c r="I3" s="199"/>
      <c r="J3" s="199"/>
      <c r="K3" s="199"/>
      <c r="L3" s="199"/>
      <c r="M3" s="199"/>
      <c r="N3" s="1"/>
    </row>
    <row r="4" spans="1:28" ht="12" customHeight="1" x14ac:dyDescent="0.2">
      <c r="A4" s="1"/>
      <c r="B4" s="1"/>
      <c r="C4" s="1"/>
      <c r="D4" s="1"/>
      <c r="E4" s="1"/>
      <c r="F4" s="1"/>
      <c r="G4" s="1"/>
      <c r="H4" s="1"/>
      <c r="I4" s="1"/>
      <c r="J4" s="2"/>
      <c r="K4" s="2"/>
      <c r="L4" s="2"/>
      <c r="M4" s="2"/>
      <c r="N4" s="1"/>
    </row>
    <row r="5" spans="1:28" ht="15" customHeight="1" x14ac:dyDescent="0.2">
      <c r="A5" s="207" t="s">
        <v>81</v>
      </c>
      <c r="B5" s="207" t="s">
        <v>82</v>
      </c>
      <c r="C5" s="207" t="s">
        <v>83</v>
      </c>
      <c r="D5" s="207" t="s">
        <v>84</v>
      </c>
      <c r="E5" s="207" t="s">
        <v>85</v>
      </c>
      <c r="F5" s="207" t="s">
        <v>86</v>
      </c>
      <c r="G5" s="202"/>
      <c r="H5" s="203"/>
      <c r="I5" s="207" t="s">
        <v>87</v>
      </c>
      <c r="J5" s="207" t="s">
        <v>88</v>
      </c>
      <c r="K5" s="3" t="s">
        <v>89</v>
      </c>
      <c r="L5" s="207" t="s">
        <v>90</v>
      </c>
      <c r="M5" s="203"/>
      <c r="N5" s="1"/>
      <c r="AA5" s="69" t="s">
        <v>31</v>
      </c>
      <c r="AB5" s="69" t="s">
        <v>91</v>
      </c>
    </row>
    <row r="6" spans="1:28" ht="15" customHeight="1" x14ac:dyDescent="0.2">
      <c r="A6" s="206"/>
      <c r="B6" s="206"/>
      <c r="C6" s="206"/>
      <c r="D6" s="206"/>
      <c r="E6" s="206"/>
      <c r="F6" s="3" t="s">
        <v>8</v>
      </c>
      <c r="G6" s="3" t="s">
        <v>92</v>
      </c>
      <c r="H6" s="3" t="s">
        <v>93</v>
      </c>
      <c r="I6" s="206"/>
      <c r="J6" s="206"/>
      <c r="K6" s="3" t="s">
        <v>8</v>
      </c>
      <c r="L6" s="3" t="s">
        <v>92</v>
      </c>
      <c r="M6" s="3" t="s">
        <v>93</v>
      </c>
      <c r="N6" s="1"/>
    </row>
    <row r="7" spans="1:28" x14ac:dyDescent="0.2">
      <c r="A7" s="4" t="s">
        <v>94</v>
      </c>
      <c r="B7" s="212" t="s">
        <v>95</v>
      </c>
      <c r="C7" s="202"/>
      <c r="D7" s="202"/>
      <c r="E7" s="202"/>
      <c r="F7" s="202"/>
      <c r="G7" s="202"/>
      <c r="H7" s="202"/>
      <c r="I7" s="202"/>
      <c r="J7" s="202"/>
      <c r="K7" s="202"/>
      <c r="L7" s="202"/>
      <c r="M7" s="203"/>
      <c r="N7" s="1"/>
      <c r="AA7" s="70" t="s">
        <v>43</v>
      </c>
    </row>
    <row r="8" spans="1:28" ht="36" customHeight="1" x14ac:dyDescent="0.2">
      <c r="A8" s="5" t="s">
        <v>94</v>
      </c>
      <c r="B8" s="5" t="s">
        <v>96</v>
      </c>
      <c r="C8" s="6"/>
      <c r="D8" s="6"/>
      <c r="E8" s="7" t="s">
        <v>97</v>
      </c>
      <c r="F8" s="8">
        <v>1047143.9</v>
      </c>
      <c r="G8" s="8">
        <v>1069070</v>
      </c>
      <c r="H8" s="8">
        <v>1091434.7</v>
      </c>
      <c r="I8" s="9" t="s">
        <v>98</v>
      </c>
      <c r="J8" s="9" t="s">
        <v>99</v>
      </c>
      <c r="K8" s="9">
        <v>25</v>
      </c>
      <c r="L8" s="9">
        <v>25</v>
      </c>
      <c r="M8" s="9">
        <v>25</v>
      </c>
      <c r="N8" s="1"/>
      <c r="AA8" s="71" t="s">
        <v>40</v>
      </c>
    </row>
    <row r="9" spans="1:28" ht="36" customHeight="1" x14ac:dyDescent="0.2">
      <c r="A9" s="209" t="s">
        <v>100</v>
      </c>
      <c r="B9" s="209" t="s">
        <v>100</v>
      </c>
      <c r="C9" s="207" t="s">
        <v>100</v>
      </c>
      <c r="D9" s="207"/>
      <c r="E9" s="208" t="s">
        <v>101</v>
      </c>
      <c r="F9" s="204">
        <v>1047143.9</v>
      </c>
      <c r="G9" s="204">
        <v>1069070</v>
      </c>
      <c r="H9" s="204">
        <v>1091434.7</v>
      </c>
      <c r="I9" s="3" t="s">
        <v>102</v>
      </c>
      <c r="J9" s="3" t="s">
        <v>103</v>
      </c>
      <c r="K9" s="3">
        <v>90</v>
      </c>
      <c r="L9" s="3">
        <v>90</v>
      </c>
      <c r="M9" s="3">
        <v>90</v>
      </c>
      <c r="N9" s="1"/>
      <c r="AA9" s="72" t="s">
        <v>34</v>
      </c>
    </row>
    <row r="10" spans="1:28" ht="24" customHeight="1" x14ac:dyDescent="0.2">
      <c r="A10" s="205"/>
      <c r="B10" s="205"/>
      <c r="C10" s="205"/>
      <c r="D10" s="205"/>
      <c r="E10" s="205"/>
      <c r="F10" s="205"/>
      <c r="G10" s="205"/>
      <c r="H10" s="205"/>
      <c r="I10" s="3" t="s">
        <v>104</v>
      </c>
      <c r="J10" s="3" t="s">
        <v>105</v>
      </c>
      <c r="K10" s="3">
        <v>2</v>
      </c>
      <c r="L10" s="3">
        <v>2</v>
      </c>
      <c r="M10" s="3">
        <v>2</v>
      </c>
      <c r="N10" s="1"/>
      <c r="AA10" s="73" t="s">
        <v>37</v>
      </c>
    </row>
    <row r="11" spans="1:28" ht="24" customHeight="1" x14ac:dyDescent="0.2">
      <c r="A11" s="205"/>
      <c r="B11" s="205"/>
      <c r="C11" s="205"/>
      <c r="D11" s="205"/>
      <c r="E11" s="205"/>
      <c r="F11" s="205"/>
      <c r="G11" s="205"/>
      <c r="H11" s="205"/>
      <c r="I11" s="3" t="s">
        <v>106</v>
      </c>
      <c r="J11" s="3" t="s">
        <v>105</v>
      </c>
      <c r="K11" s="3">
        <v>10</v>
      </c>
      <c r="L11" s="3">
        <v>10</v>
      </c>
      <c r="M11" s="3">
        <v>10</v>
      </c>
      <c r="N11" s="1"/>
      <c r="AA11" s="73" t="s">
        <v>37</v>
      </c>
    </row>
    <row r="12" spans="1:28" ht="24" customHeight="1" x14ac:dyDescent="0.2">
      <c r="A12" s="206"/>
      <c r="B12" s="206"/>
      <c r="C12" s="206"/>
      <c r="D12" s="206"/>
      <c r="E12" s="206"/>
      <c r="F12" s="206"/>
      <c r="G12" s="206"/>
      <c r="H12" s="206"/>
      <c r="I12" s="3" t="s">
        <v>107</v>
      </c>
      <c r="J12" s="3" t="s">
        <v>105</v>
      </c>
      <c r="K12" s="3">
        <v>5</v>
      </c>
      <c r="L12" s="3">
        <v>5</v>
      </c>
      <c r="M12" s="3">
        <v>5</v>
      </c>
      <c r="N12" s="1"/>
      <c r="AA12" s="73" t="s">
        <v>37</v>
      </c>
    </row>
    <row r="13" spans="1:28" ht="29.25" customHeight="1" x14ac:dyDescent="0.2">
      <c r="A13" s="5" t="s">
        <v>94</v>
      </c>
      <c r="B13" s="5" t="s">
        <v>108</v>
      </c>
      <c r="C13" s="6"/>
      <c r="D13" s="6"/>
      <c r="E13" s="7" t="s">
        <v>109</v>
      </c>
      <c r="F13" s="8">
        <v>80163</v>
      </c>
      <c r="G13" s="8">
        <v>80163</v>
      </c>
      <c r="H13" s="8">
        <v>80163</v>
      </c>
      <c r="I13" s="9" t="s">
        <v>110</v>
      </c>
      <c r="J13" s="9" t="s">
        <v>105</v>
      </c>
      <c r="K13" s="9">
        <v>400</v>
      </c>
      <c r="L13" s="9">
        <v>400</v>
      </c>
      <c r="M13" s="9">
        <v>400</v>
      </c>
      <c r="N13" s="1"/>
      <c r="AA13" s="71" t="s">
        <v>40</v>
      </c>
    </row>
    <row r="14" spans="1:28" ht="29.25" customHeight="1" x14ac:dyDescent="0.2">
      <c r="A14" s="10" t="s">
        <v>100</v>
      </c>
      <c r="B14" s="10" t="s">
        <v>100</v>
      </c>
      <c r="C14" s="3" t="s">
        <v>100</v>
      </c>
      <c r="D14" s="3"/>
      <c r="E14" s="11" t="s">
        <v>111</v>
      </c>
      <c r="F14" s="12">
        <v>80163</v>
      </c>
      <c r="G14" s="12">
        <v>80163</v>
      </c>
      <c r="H14" s="12">
        <v>80163</v>
      </c>
      <c r="I14" s="3" t="s">
        <v>110</v>
      </c>
      <c r="J14" s="3" t="s">
        <v>105</v>
      </c>
      <c r="K14" s="3">
        <v>400</v>
      </c>
      <c r="L14" s="3">
        <v>400</v>
      </c>
      <c r="M14" s="3">
        <v>400</v>
      </c>
      <c r="N14" s="1"/>
      <c r="AA14" s="72" t="s">
        <v>34</v>
      </c>
    </row>
    <row r="15" spans="1:28" x14ac:dyDescent="0.2">
      <c r="A15" s="210" t="s">
        <v>112</v>
      </c>
      <c r="B15" s="202"/>
      <c r="C15" s="202"/>
      <c r="D15" s="202"/>
      <c r="E15" s="203"/>
      <c r="F15" s="13">
        <v>1127306.8999999999</v>
      </c>
      <c r="G15" s="13">
        <v>1149233</v>
      </c>
      <c r="H15" s="13">
        <v>1171597.7</v>
      </c>
      <c r="I15" s="201"/>
      <c r="J15" s="202"/>
      <c r="K15" s="202"/>
      <c r="L15" s="202"/>
      <c r="M15" s="203"/>
      <c r="N15" s="1"/>
      <c r="AA15" s="74" t="s">
        <v>46</v>
      </c>
    </row>
    <row r="16" spans="1:28" x14ac:dyDescent="0.2">
      <c r="A16" s="4" t="s">
        <v>113</v>
      </c>
      <c r="B16" s="212" t="s">
        <v>114</v>
      </c>
      <c r="C16" s="202"/>
      <c r="D16" s="202"/>
      <c r="E16" s="202"/>
      <c r="F16" s="202"/>
      <c r="G16" s="202"/>
      <c r="H16" s="202"/>
      <c r="I16" s="202"/>
      <c r="J16" s="202"/>
      <c r="K16" s="202"/>
      <c r="L16" s="202"/>
      <c r="M16" s="203"/>
      <c r="N16" s="1"/>
      <c r="AA16" s="70" t="s">
        <v>43</v>
      </c>
    </row>
    <row r="17" spans="1:28" ht="24" customHeight="1" x14ac:dyDescent="0.2">
      <c r="A17" s="5" t="s">
        <v>113</v>
      </c>
      <c r="B17" s="5" t="s">
        <v>115</v>
      </c>
      <c r="C17" s="6"/>
      <c r="D17" s="6"/>
      <c r="E17" s="7" t="s">
        <v>116</v>
      </c>
      <c r="F17" s="8">
        <v>669719.19999999995</v>
      </c>
      <c r="G17" s="8">
        <v>683113.60000000009</v>
      </c>
      <c r="H17" s="8">
        <v>696775.9</v>
      </c>
      <c r="I17" s="9" t="s">
        <v>117</v>
      </c>
      <c r="J17" s="9" t="s">
        <v>99</v>
      </c>
      <c r="K17" s="9">
        <v>0.14000000000000001</v>
      </c>
      <c r="L17" s="9">
        <v>0.14000000000000001</v>
      </c>
      <c r="M17" s="9">
        <v>0.14000000000000001</v>
      </c>
      <c r="N17" s="1"/>
      <c r="AA17" s="71" t="s">
        <v>40</v>
      </c>
      <c r="AB17" s="75" t="s">
        <v>118</v>
      </c>
    </row>
    <row r="18" spans="1:28" ht="36" customHeight="1" x14ac:dyDescent="0.2">
      <c r="A18" s="10" t="s">
        <v>100</v>
      </c>
      <c r="B18" s="10" t="s">
        <v>100</v>
      </c>
      <c r="C18" s="3" t="s">
        <v>100</v>
      </c>
      <c r="D18" s="3"/>
      <c r="E18" s="11" t="s">
        <v>119</v>
      </c>
      <c r="F18" s="12">
        <v>644791.19999999995</v>
      </c>
      <c r="G18" s="12">
        <v>657687</v>
      </c>
      <c r="H18" s="12">
        <v>670840.80000000005</v>
      </c>
      <c r="I18" s="3" t="s">
        <v>117</v>
      </c>
      <c r="J18" s="3" t="s">
        <v>99</v>
      </c>
      <c r="K18" s="3">
        <v>0.14000000000000001</v>
      </c>
      <c r="L18" s="3">
        <v>0.14000000000000001</v>
      </c>
      <c r="M18" s="3">
        <v>0.14000000000000001</v>
      </c>
      <c r="N18" s="1"/>
      <c r="AA18" s="72" t="s">
        <v>34</v>
      </c>
      <c r="AB18" s="75" t="s">
        <v>118</v>
      </c>
    </row>
    <row r="19" spans="1:28" ht="48" customHeight="1" x14ac:dyDescent="0.2">
      <c r="A19" s="10"/>
      <c r="B19" s="10"/>
      <c r="C19" s="3" t="s">
        <v>120</v>
      </c>
      <c r="D19" s="3"/>
      <c r="E19" s="11" t="s">
        <v>121</v>
      </c>
      <c r="F19" s="12">
        <v>17340</v>
      </c>
      <c r="G19" s="12">
        <v>17686.8</v>
      </c>
      <c r="H19" s="12">
        <v>18040.5</v>
      </c>
      <c r="I19" s="14" t="s">
        <v>122</v>
      </c>
      <c r="J19" s="15" t="s">
        <v>99</v>
      </c>
      <c r="K19" s="14">
        <v>100</v>
      </c>
      <c r="L19" s="14">
        <v>100</v>
      </c>
      <c r="M19" s="14">
        <v>100</v>
      </c>
      <c r="N19" s="1"/>
      <c r="AA19" s="72" t="s">
        <v>34</v>
      </c>
      <c r="AB19" s="75" t="s">
        <v>123</v>
      </c>
    </row>
    <row r="20" spans="1:28" ht="24" customHeight="1" x14ac:dyDescent="0.2">
      <c r="A20" s="10" t="s">
        <v>124</v>
      </c>
      <c r="B20" s="10" t="s">
        <v>124</v>
      </c>
      <c r="C20" s="3" t="s">
        <v>124</v>
      </c>
      <c r="D20" s="3"/>
      <c r="E20" s="11" t="s">
        <v>125</v>
      </c>
      <c r="F20" s="12">
        <v>7588</v>
      </c>
      <c r="G20" s="12">
        <v>7739.8</v>
      </c>
      <c r="H20" s="12">
        <v>7894.6</v>
      </c>
      <c r="I20" s="3" t="s">
        <v>126</v>
      </c>
      <c r="J20" s="3" t="s">
        <v>105</v>
      </c>
      <c r="K20" s="3">
        <v>32</v>
      </c>
      <c r="L20" s="3">
        <v>32</v>
      </c>
      <c r="M20" s="3">
        <v>32</v>
      </c>
      <c r="N20" s="1"/>
      <c r="AA20" s="72" t="s">
        <v>34</v>
      </c>
    </row>
    <row r="21" spans="1:28" x14ac:dyDescent="0.2">
      <c r="A21" s="210" t="s">
        <v>112</v>
      </c>
      <c r="B21" s="202"/>
      <c r="C21" s="202"/>
      <c r="D21" s="202"/>
      <c r="E21" s="203"/>
      <c r="F21" s="13">
        <v>669719.19999999995</v>
      </c>
      <c r="G21" s="13">
        <v>683113.60000000009</v>
      </c>
      <c r="H21" s="13">
        <v>696775.9</v>
      </c>
      <c r="I21" s="201"/>
      <c r="J21" s="202"/>
      <c r="K21" s="202"/>
      <c r="L21" s="202"/>
      <c r="M21" s="203"/>
      <c r="N21" s="1"/>
      <c r="AA21" s="74" t="s">
        <v>46</v>
      </c>
    </row>
    <row r="22" spans="1:28" x14ac:dyDescent="0.2">
      <c r="A22" s="4" t="s">
        <v>127</v>
      </c>
      <c r="B22" s="212" t="s">
        <v>128</v>
      </c>
      <c r="C22" s="202"/>
      <c r="D22" s="202"/>
      <c r="E22" s="202"/>
      <c r="F22" s="202"/>
      <c r="G22" s="202"/>
      <c r="H22" s="202"/>
      <c r="I22" s="202"/>
      <c r="J22" s="202"/>
      <c r="K22" s="202"/>
      <c r="L22" s="202"/>
      <c r="M22" s="203"/>
      <c r="N22" s="1"/>
      <c r="AA22" s="70" t="s">
        <v>43</v>
      </c>
    </row>
    <row r="23" spans="1:28" ht="36" customHeight="1" x14ac:dyDescent="0.2">
      <c r="A23" s="5" t="s">
        <v>127</v>
      </c>
      <c r="B23" s="5" t="s">
        <v>96</v>
      </c>
      <c r="C23" s="6"/>
      <c r="D23" s="6"/>
      <c r="E23" s="7" t="s">
        <v>97</v>
      </c>
      <c r="F23" s="8">
        <v>18086.2</v>
      </c>
      <c r="G23" s="8">
        <v>18447.900000000001</v>
      </c>
      <c r="H23" s="8">
        <v>18816.900000000001</v>
      </c>
      <c r="I23" s="5" t="s">
        <v>129</v>
      </c>
      <c r="J23" s="5" t="s">
        <v>99</v>
      </c>
      <c r="K23" s="5">
        <v>40</v>
      </c>
      <c r="L23" s="5">
        <v>40</v>
      </c>
      <c r="M23" s="5">
        <v>40</v>
      </c>
      <c r="N23" s="1"/>
      <c r="AA23" s="71" t="s">
        <v>40</v>
      </c>
    </row>
    <row r="24" spans="1:28" ht="36" customHeight="1" x14ac:dyDescent="0.2">
      <c r="A24" s="209" t="s">
        <v>100</v>
      </c>
      <c r="B24" s="209" t="s">
        <v>100</v>
      </c>
      <c r="C24" s="207" t="s">
        <v>100</v>
      </c>
      <c r="D24" s="207"/>
      <c r="E24" s="208" t="s">
        <v>101</v>
      </c>
      <c r="F24" s="204">
        <v>18086.2</v>
      </c>
      <c r="G24" s="204">
        <v>18447.900000000001</v>
      </c>
      <c r="H24" s="204">
        <v>18816.900000000001</v>
      </c>
      <c r="I24" s="3" t="s">
        <v>130</v>
      </c>
      <c r="J24" s="3" t="s">
        <v>99</v>
      </c>
      <c r="K24" s="3">
        <v>40</v>
      </c>
      <c r="L24" s="3">
        <v>40</v>
      </c>
      <c r="M24" s="3">
        <v>40</v>
      </c>
      <c r="N24" s="1"/>
      <c r="AA24" s="72" t="s">
        <v>34</v>
      </c>
    </row>
    <row r="25" spans="1:28" ht="24" customHeight="1" x14ac:dyDescent="0.2">
      <c r="A25" s="205"/>
      <c r="B25" s="205"/>
      <c r="C25" s="205"/>
      <c r="D25" s="205"/>
      <c r="E25" s="205"/>
      <c r="F25" s="205"/>
      <c r="G25" s="205"/>
      <c r="H25" s="205"/>
      <c r="I25" s="3" t="s">
        <v>131</v>
      </c>
      <c r="J25" s="3" t="s">
        <v>99</v>
      </c>
      <c r="K25" s="3">
        <v>15</v>
      </c>
      <c r="L25" s="3">
        <v>15</v>
      </c>
      <c r="M25" s="3">
        <v>15</v>
      </c>
      <c r="N25" s="1"/>
      <c r="AA25" s="73" t="s">
        <v>37</v>
      </c>
    </row>
    <row r="26" spans="1:28" ht="24" customHeight="1" x14ac:dyDescent="0.2">
      <c r="A26" s="205"/>
      <c r="B26" s="205"/>
      <c r="C26" s="205"/>
      <c r="D26" s="205"/>
      <c r="E26" s="205"/>
      <c r="F26" s="205"/>
      <c r="G26" s="205"/>
      <c r="H26" s="205"/>
      <c r="I26" s="3" t="s">
        <v>132</v>
      </c>
      <c r="J26" s="3" t="s">
        <v>99</v>
      </c>
      <c r="K26" s="3">
        <v>40</v>
      </c>
      <c r="L26" s="3">
        <v>40</v>
      </c>
      <c r="M26" s="3">
        <v>40</v>
      </c>
      <c r="N26" s="1"/>
      <c r="AA26" s="73" t="s">
        <v>37</v>
      </c>
    </row>
    <row r="27" spans="1:28" ht="24" customHeight="1" x14ac:dyDescent="0.2">
      <c r="A27" s="206"/>
      <c r="B27" s="206"/>
      <c r="C27" s="206"/>
      <c r="D27" s="206"/>
      <c r="E27" s="206"/>
      <c r="F27" s="206"/>
      <c r="G27" s="206"/>
      <c r="H27" s="206"/>
      <c r="I27" s="3" t="s">
        <v>133</v>
      </c>
      <c r="J27" s="3" t="s">
        <v>99</v>
      </c>
      <c r="K27" s="3">
        <v>30</v>
      </c>
      <c r="L27" s="3">
        <v>30</v>
      </c>
      <c r="M27" s="3">
        <v>30</v>
      </c>
      <c r="N27" s="1"/>
      <c r="AA27" s="73" t="s">
        <v>37</v>
      </c>
    </row>
    <row r="28" spans="1:28" x14ac:dyDescent="0.2">
      <c r="A28" s="210" t="s">
        <v>112</v>
      </c>
      <c r="B28" s="202"/>
      <c r="C28" s="202"/>
      <c r="D28" s="202"/>
      <c r="E28" s="203"/>
      <c r="F28" s="13">
        <v>18086.2</v>
      </c>
      <c r="G28" s="13">
        <v>18447.900000000001</v>
      </c>
      <c r="H28" s="13">
        <v>18816.900000000001</v>
      </c>
      <c r="I28" s="201"/>
      <c r="J28" s="202"/>
      <c r="K28" s="202"/>
      <c r="L28" s="202"/>
      <c r="M28" s="203"/>
      <c r="N28" s="1"/>
      <c r="AA28" s="74" t="s">
        <v>46</v>
      </c>
    </row>
    <row r="29" spans="1:28" x14ac:dyDescent="0.2">
      <c r="A29" s="4" t="s">
        <v>134</v>
      </c>
      <c r="B29" s="212" t="s">
        <v>135</v>
      </c>
      <c r="C29" s="202"/>
      <c r="D29" s="202"/>
      <c r="E29" s="202"/>
      <c r="F29" s="202"/>
      <c r="G29" s="202"/>
      <c r="H29" s="202"/>
      <c r="I29" s="202"/>
      <c r="J29" s="202"/>
      <c r="K29" s="202"/>
      <c r="L29" s="202"/>
      <c r="M29" s="203"/>
      <c r="N29" s="1"/>
      <c r="AA29" s="70" t="s">
        <v>43</v>
      </c>
    </row>
    <row r="30" spans="1:28" x14ac:dyDescent="0.2">
      <c r="A30" s="5" t="s">
        <v>134</v>
      </c>
      <c r="B30" s="5" t="s">
        <v>136</v>
      </c>
      <c r="C30" s="6"/>
      <c r="D30" s="6"/>
      <c r="E30" s="7" t="s">
        <v>137</v>
      </c>
      <c r="F30" s="8">
        <v>2030000</v>
      </c>
      <c r="G30" s="8">
        <v>2030000</v>
      </c>
      <c r="H30" s="8">
        <v>2030000</v>
      </c>
      <c r="I30" s="5" t="s">
        <v>138</v>
      </c>
      <c r="J30" s="5" t="s">
        <v>105</v>
      </c>
      <c r="K30" s="5">
        <v>112</v>
      </c>
      <c r="L30" s="5">
        <v>112</v>
      </c>
      <c r="M30" s="5">
        <v>112</v>
      </c>
      <c r="N30" s="1"/>
      <c r="AA30" s="71" t="s">
        <v>40</v>
      </c>
    </row>
    <row r="31" spans="1:28" ht="30" customHeight="1" x14ac:dyDescent="0.2">
      <c r="A31" s="209" t="s">
        <v>100</v>
      </c>
      <c r="B31" s="209" t="s">
        <v>100</v>
      </c>
      <c r="C31" s="207" t="s">
        <v>100</v>
      </c>
      <c r="D31" s="207"/>
      <c r="E31" s="208" t="s">
        <v>139</v>
      </c>
      <c r="F31" s="204">
        <v>2000000</v>
      </c>
      <c r="G31" s="204">
        <v>2000000</v>
      </c>
      <c r="H31" s="204">
        <v>2000000</v>
      </c>
      <c r="I31" s="3" t="s">
        <v>140</v>
      </c>
      <c r="J31" s="3" t="s">
        <v>105</v>
      </c>
      <c r="K31" s="3">
        <v>60</v>
      </c>
      <c r="L31" s="3">
        <v>60</v>
      </c>
      <c r="M31" s="3">
        <v>60</v>
      </c>
      <c r="N31" s="1"/>
      <c r="AA31" s="72" t="s">
        <v>34</v>
      </c>
    </row>
    <row r="32" spans="1:28" ht="33.75" customHeight="1" x14ac:dyDescent="0.2">
      <c r="A32" s="206"/>
      <c r="B32" s="206"/>
      <c r="C32" s="206"/>
      <c r="D32" s="206"/>
      <c r="E32" s="206"/>
      <c r="F32" s="206"/>
      <c r="G32" s="206"/>
      <c r="H32" s="206"/>
      <c r="I32" s="3" t="s">
        <v>140</v>
      </c>
      <c r="J32" s="3" t="s">
        <v>105</v>
      </c>
      <c r="K32" s="3">
        <v>60</v>
      </c>
      <c r="L32" s="3">
        <v>60</v>
      </c>
      <c r="M32" s="3">
        <v>60</v>
      </c>
      <c r="N32" s="1"/>
      <c r="AA32" s="73" t="s">
        <v>37</v>
      </c>
    </row>
    <row r="33" spans="1:28" ht="48" customHeight="1" x14ac:dyDescent="0.2">
      <c r="A33" s="10" t="s">
        <v>120</v>
      </c>
      <c r="B33" s="10" t="s">
        <v>120</v>
      </c>
      <c r="C33" s="3" t="s">
        <v>120</v>
      </c>
      <c r="D33" s="3"/>
      <c r="E33" s="11" t="s">
        <v>141</v>
      </c>
      <c r="F33" s="12">
        <v>30000</v>
      </c>
      <c r="G33" s="12">
        <v>30000</v>
      </c>
      <c r="H33" s="12">
        <v>30000</v>
      </c>
      <c r="I33" s="3" t="s">
        <v>140</v>
      </c>
      <c r="J33" s="3" t="s">
        <v>105</v>
      </c>
      <c r="K33" s="3">
        <v>52</v>
      </c>
      <c r="L33" s="3">
        <v>52</v>
      </c>
      <c r="M33" s="3">
        <v>52</v>
      </c>
      <c r="N33" s="1"/>
      <c r="AA33" s="72" t="s">
        <v>34</v>
      </c>
    </row>
    <row r="34" spans="1:28" x14ac:dyDescent="0.2">
      <c r="A34" s="210" t="s">
        <v>112</v>
      </c>
      <c r="B34" s="202"/>
      <c r="C34" s="202"/>
      <c r="D34" s="202"/>
      <c r="E34" s="203"/>
      <c r="F34" s="13">
        <v>2030000</v>
      </c>
      <c r="G34" s="13">
        <v>2030000</v>
      </c>
      <c r="H34" s="13">
        <v>2030000</v>
      </c>
      <c r="I34" s="201"/>
      <c r="J34" s="202"/>
      <c r="K34" s="202"/>
      <c r="L34" s="202"/>
      <c r="M34" s="203"/>
      <c r="N34" s="1"/>
      <c r="AA34" s="74" t="s">
        <v>46</v>
      </c>
    </row>
    <row r="35" spans="1:28" x14ac:dyDescent="0.2">
      <c r="A35" s="4" t="s">
        <v>142</v>
      </c>
      <c r="B35" s="212" t="s">
        <v>143</v>
      </c>
      <c r="C35" s="202"/>
      <c r="D35" s="202"/>
      <c r="E35" s="202"/>
      <c r="F35" s="202"/>
      <c r="G35" s="202"/>
      <c r="H35" s="202"/>
      <c r="I35" s="202"/>
      <c r="J35" s="202"/>
      <c r="K35" s="202"/>
      <c r="L35" s="202"/>
      <c r="M35" s="203"/>
      <c r="N35" s="1"/>
      <c r="AA35" s="70" t="s">
        <v>43</v>
      </c>
    </row>
    <row r="36" spans="1:28" ht="24" customHeight="1" x14ac:dyDescent="0.2">
      <c r="A36" s="5" t="s">
        <v>142</v>
      </c>
      <c r="B36" s="5" t="s">
        <v>144</v>
      </c>
      <c r="C36" s="6"/>
      <c r="D36" s="6"/>
      <c r="E36" s="7" t="s">
        <v>145</v>
      </c>
      <c r="F36" s="8">
        <v>2837368.8</v>
      </c>
      <c r="G36" s="8">
        <v>2571414.9</v>
      </c>
      <c r="H36" s="8">
        <v>2606379.1</v>
      </c>
      <c r="I36" s="5" t="s">
        <v>146</v>
      </c>
      <c r="J36" s="5" t="s">
        <v>99</v>
      </c>
      <c r="K36" s="5">
        <v>100</v>
      </c>
      <c r="L36" s="5">
        <v>100</v>
      </c>
      <c r="M36" s="5">
        <v>100</v>
      </c>
      <c r="N36" s="1"/>
      <c r="AA36" s="71" t="s">
        <v>40</v>
      </c>
    </row>
    <row r="37" spans="1:28" ht="24" customHeight="1" x14ac:dyDescent="0.2">
      <c r="A37" s="10" t="s">
        <v>100</v>
      </c>
      <c r="B37" s="10" t="s">
        <v>100</v>
      </c>
      <c r="C37" s="3" t="s">
        <v>100</v>
      </c>
      <c r="D37" s="3"/>
      <c r="E37" s="11" t="s">
        <v>147</v>
      </c>
      <c r="F37" s="12">
        <v>395954.1</v>
      </c>
      <c r="G37" s="12">
        <v>403873.4</v>
      </c>
      <c r="H37" s="12">
        <v>411950.9</v>
      </c>
      <c r="I37" s="14" t="s">
        <v>148</v>
      </c>
      <c r="J37" s="14" t="s">
        <v>105</v>
      </c>
      <c r="K37" s="17">
        <v>49</v>
      </c>
      <c r="L37" s="17">
        <v>49</v>
      </c>
      <c r="M37" s="17">
        <v>49</v>
      </c>
      <c r="N37" s="1"/>
      <c r="AA37" s="72" t="s">
        <v>34</v>
      </c>
      <c r="AB37" s="75" t="s">
        <v>149</v>
      </c>
    </row>
    <row r="38" spans="1:28" ht="36" customHeight="1" x14ac:dyDescent="0.2">
      <c r="A38" s="10" t="s">
        <v>150</v>
      </c>
      <c r="B38" s="10" t="s">
        <v>150</v>
      </c>
      <c r="C38" s="3" t="s">
        <v>150</v>
      </c>
      <c r="D38" s="3"/>
      <c r="E38" s="11" t="s">
        <v>151</v>
      </c>
      <c r="F38" s="12">
        <v>3220</v>
      </c>
      <c r="G38" s="12">
        <v>3284.4</v>
      </c>
      <c r="H38" s="12">
        <v>3350</v>
      </c>
      <c r="I38" s="3" t="s">
        <v>152</v>
      </c>
      <c r="J38" s="3" t="s">
        <v>105</v>
      </c>
      <c r="K38" s="3">
        <v>67</v>
      </c>
      <c r="L38" s="3">
        <v>67</v>
      </c>
      <c r="M38" s="3">
        <v>67</v>
      </c>
      <c r="N38" s="1"/>
      <c r="AA38" s="72" t="s">
        <v>34</v>
      </c>
    </row>
    <row r="39" spans="1:28" ht="60" customHeight="1" x14ac:dyDescent="0.2">
      <c r="A39" s="10" t="s">
        <v>124</v>
      </c>
      <c r="B39" s="10" t="s">
        <v>124</v>
      </c>
      <c r="C39" s="3" t="s">
        <v>124</v>
      </c>
      <c r="D39" s="3"/>
      <c r="E39" s="11" t="s">
        <v>153</v>
      </c>
      <c r="F39" s="12">
        <v>24285</v>
      </c>
      <c r="G39" s="12">
        <v>24285</v>
      </c>
      <c r="H39" s="12">
        <v>24285</v>
      </c>
      <c r="I39" s="3" t="s">
        <v>154</v>
      </c>
      <c r="J39" s="3" t="s">
        <v>155</v>
      </c>
      <c r="K39" s="3">
        <v>2310</v>
      </c>
      <c r="L39" s="3">
        <v>2310</v>
      </c>
      <c r="M39" s="3">
        <v>2310</v>
      </c>
      <c r="N39" s="1"/>
      <c r="AA39" s="72" t="s">
        <v>34</v>
      </c>
    </row>
    <row r="40" spans="1:28" ht="24" customHeight="1" x14ac:dyDescent="0.2">
      <c r="A40" s="10" t="s">
        <v>156</v>
      </c>
      <c r="B40" s="10" t="s">
        <v>156</v>
      </c>
      <c r="C40" s="3" t="s">
        <v>156</v>
      </c>
      <c r="D40" s="3"/>
      <c r="E40" s="11" t="s">
        <v>157</v>
      </c>
      <c r="F40" s="12">
        <v>374</v>
      </c>
      <c r="G40" s="12">
        <v>381.5</v>
      </c>
      <c r="H40" s="12">
        <v>389.1</v>
      </c>
      <c r="I40" s="3" t="s">
        <v>158</v>
      </c>
      <c r="J40" s="3" t="s">
        <v>159</v>
      </c>
      <c r="K40" s="3">
        <v>2</v>
      </c>
      <c r="L40" s="3">
        <v>2</v>
      </c>
      <c r="M40" s="3">
        <v>2</v>
      </c>
      <c r="N40" s="1"/>
      <c r="AA40" s="72" t="s">
        <v>34</v>
      </c>
    </row>
    <row r="41" spans="1:28" ht="24" customHeight="1" x14ac:dyDescent="0.2">
      <c r="A41" s="10" t="s">
        <v>160</v>
      </c>
      <c r="B41" s="10" t="s">
        <v>160</v>
      </c>
      <c r="C41" s="3" t="s">
        <v>160</v>
      </c>
      <c r="D41" s="3"/>
      <c r="E41" s="11" t="s">
        <v>161</v>
      </c>
      <c r="F41" s="12">
        <v>15619.3</v>
      </c>
      <c r="G41" s="12">
        <v>16417.400000000001</v>
      </c>
      <c r="H41" s="12">
        <v>17231.400000000001</v>
      </c>
      <c r="I41" s="3" t="s">
        <v>162</v>
      </c>
      <c r="J41" s="3" t="s">
        <v>105</v>
      </c>
      <c r="K41" s="3">
        <v>23</v>
      </c>
      <c r="L41" s="3">
        <v>23</v>
      </c>
      <c r="M41" s="3">
        <v>23</v>
      </c>
      <c r="N41" s="1"/>
      <c r="AA41" s="72" t="s">
        <v>34</v>
      </c>
    </row>
    <row r="42" spans="1:28" ht="24" customHeight="1" x14ac:dyDescent="0.2">
      <c r="A42" s="10" t="s">
        <v>163</v>
      </c>
      <c r="B42" s="10" t="s">
        <v>163</v>
      </c>
      <c r="C42" s="3" t="s">
        <v>163</v>
      </c>
      <c r="D42" s="3"/>
      <c r="E42" s="11" t="s">
        <v>164</v>
      </c>
      <c r="F42" s="12">
        <v>239481.8</v>
      </c>
      <c r="G42" s="12">
        <v>233086</v>
      </c>
      <c r="H42" s="12">
        <v>234602.5</v>
      </c>
      <c r="I42" s="3" t="s">
        <v>165</v>
      </c>
      <c r="J42" s="3" t="s">
        <v>99</v>
      </c>
      <c r="K42" s="3">
        <v>100</v>
      </c>
      <c r="L42" s="3">
        <v>100</v>
      </c>
      <c r="M42" s="3">
        <v>100</v>
      </c>
      <c r="N42" s="1"/>
      <c r="AA42" s="72" t="s">
        <v>34</v>
      </c>
      <c r="AB42" s="75" t="s">
        <v>118</v>
      </c>
    </row>
    <row r="43" spans="1:28" ht="24" customHeight="1" x14ac:dyDescent="0.2">
      <c r="A43" s="10" t="s">
        <v>166</v>
      </c>
      <c r="B43" s="10" t="s">
        <v>166</v>
      </c>
      <c r="C43" s="3" t="s">
        <v>166</v>
      </c>
      <c r="D43" s="3"/>
      <c r="E43" s="11" t="s">
        <v>167</v>
      </c>
      <c r="F43" s="12">
        <v>1193358</v>
      </c>
      <c r="G43" s="12">
        <v>916485.9</v>
      </c>
      <c r="H43" s="12">
        <v>929865.4</v>
      </c>
      <c r="I43" s="3" t="s">
        <v>168</v>
      </c>
      <c r="J43" s="3" t="s">
        <v>99</v>
      </c>
      <c r="K43" s="3">
        <v>44</v>
      </c>
      <c r="L43" s="3">
        <v>44</v>
      </c>
      <c r="M43" s="3">
        <v>44</v>
      </c>
      <c r="N43" s="1"/>
      <c r="AA43" s="72" t="s">
        <v>34</v>
      </c>
      <c r="AB43" s="75" t="s">
        <v>169</v>
      </c>
    </row>
    <row r="44" spans="1:28" ht="24" customHeight="1" x14ac:dyDescent="0.2">
      <c r="A44" s="209" t="s">
        <v>170</v>
      </c>
      <c r="B44" s="209" t="s">
        <v>170</v>
      </c>
      <c r="C44" s="207" t="s">
        <v>170</v>
      </c>
      <c r="D44" s="207"/>
      <c r="E44" s="208" t="s">
        <v>171</v>
      </c>
      <c r="F44" s="204">
        <v>267975.8</v>
      </c>
      <c r="G44" s="204">
        <v>271542</v>
      </c>
      <c r="H44" s="204">
        <v>276749.3</v>
      </c>
      <c r="I44" s="3" t="s">
        <v>172</v>
      </c>
      <c r="J44" s="3" t="s">
        <v>105</v>
      </c>
      <c r="K44" s="3">
        <v>180</v>
      </c>
      <c r="L44" s="3">
        <v>180</v>
      </c>
      <c r="M44" s="3">
        <v>180</v>
      </c>
      <c r="N44" s="1"/>
      <c r="AA44" s="72" t="s">
        <v>34</v>
      </c>
      <c r="AB44" s="75" t="s">
        <v>169</v>
      </c>
    </row>
    <row r="45" spans="1:28" ht="24" customHeight="1" x14ac:dyDescent="0.2">
      <c r="A45" s="206"/>
      <c r="B45" s="206"/>
      <c r="C45" s="206"/>
      <c r="D45" s="206"/>
      <c r="E45" s="206"/>
      <c r="F45" s="206"/>
      <c r="G45" s="206"/>
      <c r="H45" s="206"/>
      <c r="I45" s="3" t="s">
        <v>173</v>
      </c>
      <c r="J45" s="3" t="s">
        <v>105</v>
      </c>
      <c r="K45" s="3">
        <v>35</v>
      </c>
      <c r="L45" s="3">
        <v>35</v>
      </c>
      <c r="M45" s="3">
        <v>35</v>
      </c>
      <c r="N45" s="1"/>
      <c r="AA45" s="73" t="s">
        <v>37</v>
      </c>
    </row>
    <row r="46" spans="1:28" x14ac:dyDescent="0.2">
      <c r="A46" s="10" t="s">
        <v>113</v>
      </c>
      <c r="B46" s="10" t="s">
        <v>113</v>
      </c>
      <c r="C46" s="3" t="s">
        <v>113</v>
      </c>
      <c r="D46" s="3"/>
      <c r="E46" s="11" t="s">
        <v>174</v>
      </c>
      <c r="F46" s="12">
        <v>697100.80000000005</v>
      </c>
      <c r="G46" s="12">
        <v>702059.3</v>
      </c>
      <c r="H46" s="12">
        <v>707955.5</v>
      </c>
      <c r="I46" s="3" t="s">
        <v>175</v>
      </c>
      <c r="J46" s="3" t="s">
        <v>105</v>
      </c>
      <c r="K46" s="3">
        <v>29</v>
      </c>
      <c r="L46" s="3">
        <v>29</v>
      </c>
      <c r="M46" s="3">
        <v>29</v>
      </c>
      <c r="N46" s="1"/>
      <c r="AA46" s="72" t="s">
        <v>34</v>
      </c>
      <c r="AB46" s="75" t="s">
        <v>123</v>
      </c>
    </row>
    <row r="47" spans="1:28" x14ac:dyDescent="0.2">
      <c r="A47" s="5" t="s">
        <v>142</v>
      </c>
      <c r="B47" s="5" t="s">
        <v>176</v>
      </c>
      <c r="C47" s="6"/>
      <c r="D47" s="6"/>
      <c r="E47" s="7" t="s">
        <v>177</v>
      </c>
      <c r="F47" s="8">
        <v>805338.5</v>
      </c>
      <c r="G47" s="8">
        <v>819431.39999999991</v>
      </c>
      <c r="H47" s="8">
        <v>835633.9</v>
      </c>
      <c r="I47" s="16" t="s">
        <v>146</v>
      </c>
      <c r="J47" s="16" t="s">
        <v>99</v>
      </c>
      <c r="K47" s="9">
        <v>100</v>
      </c>
      <c r="L47" s="9">
        <v>100</v>
      </c>
      <c r="M47" s="9">
        <v>100</v>
      </c>
      <c r="N47" s="1"/>
      <c r="AA47" s="71" t="s">
        <v>40</v>
      </c>
      <c r="AB47" s="75" t="s">
        <v>169</v>
      </c>
    </row>
    <row r="48" spans="1:28" ht="36" customHeight="1" x14ac:dyDescent="0.2">
      <c r="A48" s="10" t="s">
        <v>150</v>
      </c>
      <c r="B48" s="10" t="s">
        <v>150</v>
      </c>
      <c r="C48" s="3" t="s">
        <v>150</v>
      </c>
      <c r="D48" s="3"/>
      <c r="E48" s="11" t="s">
        <v>178</v>
      </c>
      <c r="F48" s="12">
        <v>20150.8</v>
      </c>
      <c r="G48" s="12">
        <v>20553.8</v>
      </c>
      <c r="H48" s="12">
        <v>20964.900000000001</v>
      </c>
      <c r="I48" s="3" t="s">
        <v>179</v>
      </c>
      <c r="J48" s="3" t="s">
        <v>105</v>
      </c>
      <c r="K48" s="3">
        <v>2</v>
      </c>
      <c r="L48" s="3">
        <v>2</v>
      </c>
      <c r="M48" s="3">
        <v>2</v>
      </c>
      <c r="N48" s="1"/>
      <c r="AA48" s="72" t="s">
        <v>34</v>
      </c>
      <c r="AB48" s="75" t="s">
        <v>169</v>
      </c>
    </row>
    <row r="49" spans="1:28" x14ac:dyDescent="0.2">
      <c r="A49" s="10" t="s">
        <v>124</v>
      </c>
      <c r="B49" s="10" t="s">
        <v>124</v>
      </c>
      <c r="C49" s="3" t="s">
        <v>124</v>
      </c>
      <c r="D49" s="3"/>
      <c r="E49" s="11" t="s">
        <v>180</v>
      </c>
      <c r="F49" s="12">
        <v>105986.6</v>
      </c>
      <c r="G49" s="12">
        <v>106611.9</v>
      </c>
      <c r="H49" s="12">
        <v>108557.9</v>
      </c>
      <c r="I49" s="3" t="s">
        <v>181</v>
      </c>
      <c r="J49" s="3" t="s">
        <v>99</v>
      </c>
      <c r="K49" s="3">
        <v>100</v>
      </c>
      <c r="L49" s="3">
        <v>100</v>
      </c>
      <c r="M49" s="3">
        <v>100</v>
      </c>
      <c r="N49" s="1"/>
      <c r="AA49" s="72" t="s">
        <v>34</v>
      </c>
    </row>
    <row r="50" spans="1:28" ht="24" customHeight="1" x14ac:dyDescent="0.2">
      <c r="A50" s="10" t="s">
        <v>156</v>
      </c>
      <c r="B50" s="10" t="s">
        <v>156</v>
      </c>
      <c r="C50" s="3" t="s">
        <v>156</v>
      </c>
      <c r="D50" s="3"/>
      <c r="E50" s="11" t="s">
        <v>182</v>
      </c>
      <c r="F50" s="12">
        <v>247599.1</v>
      </c>
      <c r="G50" s="12">
        <v>252551.1</v>
      </c>
      <c r="H50" s="12">
        <v>257602.2</v>
      </c>
      <c r="I50" s="3" t="s">
        <v>183</v>
      </c>
      <c r="J50" s="3" t="s">
        <v>99</v>
      </c>
      <c r="K50" s="3">
        <v>100</v>
      </c>
      <c r="L50" s="3">
        <v>100</v>
      </c>
      <c r="M50" s="3">
        <v>100</v>
      </c>
      <c r="N50" s="1"/>
      <c r="AA50" s="72" t="s">
        <v>34</v>
      </c>
      <c r="AB50" s="75" t="s">
        <v>169</v>
      </c>
    </row>
    <row r="51" spans="1:28" ht="36" customHeight="1" x14ac:dyDescent="0.2">
      <c r="A51" s="10" t="s">
        <v>163</v>
      </c>
      <c r="B51" s="10" t="s">
        <v>163</v>
      </c>
      <c r="C51" s="3" t="s">
        <v>163</v>
      </c>
      <c r="D51" s="3"/>
      <c r="E51" s="11" t="s">
        <v>184</v>
      </c>
      <c r="F51" s="12">
        <v>431602</v>
      </c>
      <c r="G51" s="12">
        <v>439714.6</v>
      </c>
      <c r="H51" s="12">
        <v>448508.9</v>
      </c>
      <c r="I51" s="3" t="s">
        <v>185</v>
      </c>
      <c r="J51" s="3" t="s">
        <v>186</v>
      </c>
      <c r="K51" s="3">
        <v>6291.6</v>
      </c>
      <c r="L51" s="3">
        <v>6409.8</v>
      </c>
      <c r="M51" s="3">
        <v>6538</v>
      </c>
      <c r="N51" s="1"/>
      <c r="AA51" s="72" t="s">
        <v>34</v>
      </c>
      <c r="AB51" s="75" t="s">
        <v>123</v>
      </c>
    </row>
    <row r="52" spans="1:28" ht="24" customHeight="1" x14ac:dyDescent="0.2">
      <c r="A52" s="5" t="s">
        <v>142</v>
      </c>
      <c r="B52" s="5" t="s">
        <v>187</v>
      </c>
      <c r="C52" s="6"/>
      <c r="D52" s="6"/>
      <c r="E52" s="7" t="s">
        <v>188</v>
      </c>
      <c r="F52" s="8">
        <v>116882.7</v>
      </c>
      <c r="G52" s="8">
        <v>119819.9</v>
      </c>
      <c r="H52" s="8">
        <v>121610</v>
      </c>
      <c r="I52" s="16" t="s">
        <v>146</v>
      </c>
      <c r="J52" s="16" t="s">
        <v>99</v>
      </c>
      <c r="K52" s="16">
        <v>100</v>
      </c>
      <c r="L52" s="16">
        <v>100</v>
      </c>
      <c r="M52" s="16">
        <v>100</v>
      </c>
      <c r="N52" s="1"/>
      <c r="AA52" s="71" t="s">
        <v>40</v>
      </c>
    </row>
    <row r="53" spans="1:28" ht="24" customHeight="1" x14ac:dyDescent="0.2">
      <c r="A53" s="10" t="s">
        <v>100</v>
      </c>
      <c r="B53" s="10" t="s">
        <v>100</v>
      </c>
      <c r="C53" s="3" t="s">
        <v>100</v>
      </c>
      <c r="D53" s="3"/>
      <c r="E53" s="11" t="s">
        <v>189</v>
      </c>
      <c r="F53" s="12">
        <v>116882.7</v>
      </c>
      <c r="G53" s="12">
        <v>119819.9</v>
      </c>
      <c r="H53" s="12">
        <v>121610</v>
      </c>
      <c r="I53" s="3" t="s">
        <v>190</v>
      </c>
      <c r="J53" s="3" t="s">
        <v>159</v>
      </c>
      <c r="K53" s="3">
        <v>557</v>
      </c>
      <c r="L53" s="3">
        <v>557</v>
      </c>
      <c r="M53" s="3">
        <v>557</v>
      </c>
      <c r="N53" s="1"/>
      <c r="AA53" s="72" t="s">
        <v>34</v>
      </c>
    </row>
    <row r="54" spans="1:28" ht="72" customHeight="1" x14ac:dyDescent="0.2">
      <c r="A54" s="5" t="s">
        <v>142</v>
      </c>
      <c r="B54" s="5" t="s">
        <v>191</v>
      </c>
      <c r="C54" s="6"/>
      <c r="D54" s="6"/>
      <c r="E54" s="7" t="s">
        <v>192</v>
      </c>
      <c r="F54" s="8">
        <v>3297739.7</v>
      </c>
      <c r="G54" s="8">
        <v>3303809</v>
      </c>
      <c r="H54" s="8">
        <v>3310932.8</v>
      </c>
      <c r="I54" s="16" t="s">
        <v>146</v>
      </c>
      <c r="J54" s="16" t="s">
        <v>99</v>
      </c>
      <c r="K54" s="16">
        <v>100</v>
      </c>
      <c r="L54" s="16">
        <v>100</v>
      </c>
      <c r="M54" s="16">
        <v>100</v>
      </c>
      <c r="N54" s="1"/>
      <c r="AA54" s="71" t="s">
        <v>40</v>
      </c>
    </row>
    <row r="55" spans="1:28" ht="24" customHeight="1" x14ac:dyDescent="0.2">
      <c r="A55" s="10" t="s">
        <v>100</v>
      </c>
      <c r="B55" s="10" t="s">
        <v>100</v>
      </c>
      <c r="C55" s="3" t="s">
        <v>100</v>
      </c>
      <c r="D55" s="3"/>
      <c r="E55" s="11" t="s">
        <v>193</v>
      </c>
      <c r="F55" s="12">
        <v>29988.7</v>
      </c>
      <c r="G55" s="12">
        <v>29533.599999999999</v>
      </c>
      <c r="H55" s="12">
        <v>30002.5</v>
      </c>
      <c r="I55" s="3" t="s">
        <v>194</v>
      </c>
      <c r="J55" s="3" t="s">
        <v>105</v>
      </c>
      <c r="K55" s="3">
        <v>36</v>
      </c>
      <c r="L55" s="3">
        <v>36</v>
      </c>
      <c r="M55" s="3">
        <v>36</v>
      </c>
      <c r="N55" s="1"/>
      <c r="AA55" s="72" t="s">
        <v>34</v>
      </c>
    </row>
    <row r="56" spans="1:28" ht="24" customHeight="1" x14ac:dyDescent="0.2">
      <c r="A56" s="10" t="s">
        <v>120</v>
      </c>
      <c r="B56" s="10" t="s">
        <v>120</v>
      </c>
      <c r="C56" s="3" t="s">
        <v>120</v>
      </c>
      <c r="D56" s="3"/>
      <c r="E56" s="11" t="s">
        <v>195</v>
      </c>
      <c r="F56" s="12">
        <v>2385292.09</v>
      </c>
      <c r="G56" s="12">
        <v>2391816.4900000002</v>
      </c>
      <c r="H56" s="12">
        <v>2398471.39</v>
      </c>
      <c r="I56" s="3" t="s">
        <v>196</v>
      </c>
      <c r="J56" s="3" t="s">
        <v>105</v>
      </c>
      <c r="K56" s="3">
        <v>245</v>
      </c>
      <c r="L56" s="3">
        <v>245</v>
      </c>
      <c r="M56" s="3">
        <v>245</v>
      </c>
      <c r="N56" s="1"/>
      <c r="AA56" s="72" t="s">
        <v>34</v>
      </c>
    </row>
    <row r="57" spans="1:28" ht="22.5" customHeight="1" x14ac:dyDescent="0.2">
      <c r="A57" s="10" t="s">
        <v>150</v>
      </c>
      <c r="B57" s="10" t="s">
        <v>150</v>
      </c>
      <c r="C57" s="3" t="s">
        <v>150</v>
      </c>
      <c r="D57" s="3"/>
      <c r="E57" s="11" t="s">
        <v>197</v>
      </c>
      <c r="F57" s="12">
        <v>882458.91</v>
      </c>
      <c r="G57" s="12">
        <v>882458.91</v>
      </c>
      <c r="H57" s="12">
        <v>882458.91</v>
      </c>
      <c r="I57" s="3" t="s">
        <v>198</v>
      </c>
      <c r="J57" s="3" t="s">
        <v>105</v>
      </c>
      <c r="K57" s="3">
        <v>149</v>
      </c>
      <c r="L57" s="3">
        <v>149</v>
      </c>
      <c r="M57" s="3">
        <v>149</v>
      </c>
      <c r="N57" s="1"/>
      <c r="AA57" s="72" t="s">
        <v>34</v>
      </c>
    </row>
    <row r="58" spans="1:28" x14ac:dyDescent="0.2">
      <c r="A58" s="210" t="s">
        <v>112</v>
      </c>
      <c r="B58" s="202"/>
      <c r="C58" s="202"/>
      <c r="D58" s="202"/>
      <c r="E58" s="203"/>
      <c r="F58" s="13">
        <v>7057329.7000000002</v>
      </c>
      <c r="G58" s="13">
        <v>6814475.2000000011</v>
      </c>
      <c r="H58" s="13">
        <v>6874555.8000000007</v>
      </c>
      <c r="I58" s="201"/>
      <c r="J58" s="202"/>
      <c r="K58" s="202"/>
      <c r="L58" s="202"/>
      <c r="M58" s="203"/>
      <c r="N58" s="1"/>
      <c r="AA58" s="74" t="s">
        <v>46</v>
      </c>
    </row>
    <row r="59" spans="1:28" x14ac:dyDescent="0.2">
      <c r="A59" s="4" t="s">
        <v>199</v>
      </c>
      <c r="B59" s="212" t="s">
        <v>200</v>
      </c>
      <c r="C59" s="202"/>
      <c r="D59" s="202"/>
      <c r="E59" s="202"/>
      <c r="F59" s="202"/>
      <c r="G59" s="202"/>
      <c r="H59" s="202"/>
      <c r="I59" s="202"/>
      <c r="J59" s="202"/>
      <c r="K59" s="202"/>
      <c r="L59" s="202"/>
      <c r="M59" s="203"/>
      <c r="N59" s="1"/>
      <c r="AA59" s="70" t="s">
        <v>43</v>
      </c>
    </row>
    <row r="60" spans="1:28" x14ac:dyDescent="0.2">
      <c r="A60" s="5" t="s">
        <v>199</v>
      </c>
      <c r="B60" s="5" t="s">
        <v>96</v>
      </c>
      <c r="C60" s="6"/>
      <c r="D60" s="6"/>
      <c r="E60" s="7" t="s">
        <v>97</v>
      </c>
      <c r="F60" s="8">
        <v>406745.3</v>
      </c>
      <c r="G60" s="8">
        <v>409477.6</v>
      </c>
      <c r="H60" s="8">
        <v>411734.8</v>
      </c>
      <c r="I60" s="9" t="s">
        <v>201</v>
      </c>
      <c r="J60" s="9" t="s">
        <v>99</v>
      </c>
      <c r="K60" s="9">
        <v>100</v>
      </c>
      <c r="L60" s="9">
        <v>100</v>
      </c>
      <c r="M60" s="9">
        <v>100</v>
      </c>
      <c r="N60" s="1"/>
      <c r="AA60" s="71" t="s">
        <v>40</v>
      </c>
    </row>
    <row r="61" spans="1:28" ht="36" customHeight="1" x14ac:dyDescent="0.2">
      <c r="A61" s="10" t="s">
        <v>100</v>
      </c>
      <c r="B61" s="10" t="s">
        <v>100</v>
      </c>
      <c r="C61" s="3" t="s">
        <v>100</v>
      </c>
      <c r="D61" s="3"/>
      <c r="E61" s="11" t="s">
        <v>101</v>
      </c>
      <c r="F61" s="12">
        <v>191801.5</v>
      </c>
      <c r="G61" s="12">
        <v>192673.6</v>
      </c>
      <c r="H61" s="12">
        <v>194431.5</v>
      </c>
      <c r="I61" s="3" t="s">
        <v>202</v>
      </c>
      <c r="J61" s="3" t="s">
        <v>99</v>
      </c>
      <c r="K61" s="3">
        <v>100</v>
      </c>
      <c r="L61" s="3">
        <v>100</v>
      </c>
      <c r="M61" s="3">
        <v>100</v>
      </c>
      <c r="N61" s="1"/>
      <c r="AA61" s="72" t="s">
        <v>34</v>
      </c>
    </row>
    <row r="62" spans="1:28" ht="36" customHeight="1" x14ac:dyDescent="0.2">
      <c r="A62" s="10" t="s">
        <v>120</v>
      </c>
      <c r="B62" s="10" t="s">
        <v>120</v>
      </c>
      <c r="C62" s="3" t="s">
        <v>120</v>
      </c>
      <c r="D62" s="3"/>
      <c r="E62" s="11" t="s">
        <v>203</v>
      </c>
      <c r="F62" s="12">
        <v>214943.8</v>
      </c>
      <c r="G62" s="12">
        <v>216804</v>
      </c>
      <c r="H62" s="12">
        <v>217303.3</v>
      </c>
      <c r="I62" s="17" t="s">
        <v>204</v>
      </c>
      <c r="J62" s="17" t="s">
        <v>99</v>
      </c>
      <c r="K62" s="3">
        <v>100</v>
      </c>
      <c r="L62" s="3">
        <v>100</v>
      </c>
      <c r="M62" s="3">
        <v>100</v>
      </c>
      <c r="N62" s="1"/>
      <c r="AA62" s="72" t="s">
        <v>34</v>
      </c>
    </row>
    <row r="63" spans="1:28" ht="24" customHeight="1" x14ac:dyDescent="0.2">
      <c r="A63" s="5" t="s">
        <v>199</v>
      </c>
      <c r="B63" s="5" t="s">
        <v>205</v>
      </c>
      <c r="C63" s="6"/>
      <c r="D63" s="6"/>
      <c r="E63" s="7" t="s">
        <v>206</v>
      </c>
      <c r="F63" s="8">
        <v>290900.90000000002</v>
      </c>
      <c r="G63" s="8">
        <v>296718.90000000002</v>
      </c>
      <c r="H63" s="8">
        <v>302653.3</v>
      </c>
      <c r="I63" s="9" t="s">
        <v>207</v>
      </c>
      <c r="J63" s="9" t="s">
        <v>99</v>
      </c>
      <c r="K63" s="9">
        <v>0</v>
      </c>
      <c r="L63" s="9">
        <v>0</v>
      </c>
      <c r="M63" s="9">
        <v>0</v>
      </c>
      <c r="N63" s="1"/>
      <c r="AA63" s="71" t="s">
        <v>40</v>
      </c>
    </row>
    <row r="64" spans="1:28" ht="36" customHeight="1" x14ac:dyDescent="0.2">
      <c r="A64" s="10" t="s">
        <v>100</v>
      </c>
      <c r="B64" s="10" t="s">
        <v>100</v>
      </c>
      <c r="C64" s="3" t="s">
        <v>100</v>
      </c>
      <c r="D64" s="3"/>
      <c r="E64" s="11" t="s">
        <v>208</v>
      </c>
      <c r="F64" s="12">
        <v>290900.90000000002</v>
      </c>
      <c r="G64" s="12">
        <v>296718.90000000002</v>
      </c>
      <c r="H64" s="12">
        <v>302653.3</v>
      </c>
      <c r="I64" s="3" t="s">
        <v>209</v>
      </c>
      <c r="J64" s="3" t="s">
        <v>105</v>
      </c>
      <c r="K64" s="3">
        <v>640</v>
      </c>
      <c r="L64" s="3">
        <v>640</v>
      </c>
      <c r="M64" s="3">
        <v>640</v>
      </c>
      <c r="N64" s="1"/>
      <c r="AA64" s="72" t="s">
        <v>34</v>
      </c>
    </row>
    <row r="65" spans="1:28" ht="24" customHeight="1" x14ac:dyDescent="0.2">
      <c r="A65" s="5" t="s">
        <v>199</v>
      </c>
      <c r="B65" s="5" t="s">
        <v>210</v>
      </c>
      <c r="C65" s="6"/>
      <c r="D65" s="6"/>
      <c r="E65" s="7" t="s">
        <v>211</v>
      </c>
      <c r="F65" s="8">
        <v>3392.5</v>
      </c>
      <c r="G65" s="8">
        <v>3664.5</v>
      </c>
      <c r="H65" s="8">
        <v>3764.5</v>
      </c>
      <c r="I65" s="9" t="s">
        <v>212</v>
      </c>
      <c r="J65" s="9" t="s">
        <v>213</v>
      </c>
      <c r="K65" s="9">
        <v>2600</v>
      </c>
      <c r="L65" s="9">
        <v>2600</v>
      </c>
      <c r="M65" s="9">
        <v>2600</v>
      </c>
      <c r="N65" s="1"/>
      <c r="AA65" s="71" t="s">
        <v>40</v>
      </c>
    </row>
    <row r="66" spans="1:28" ht="24" customHeight="1" x14ac:dyDescent="0.2">
      <c r="A66" s="10" t="s">
        <v>100</v>
      </c>
      <c r="B66" s="10" t="s">
        <v>100</v>
      </c>
      <c r="C66" s="3" t="s">
        <v>100</v>
      </c>
      <c r="D66" s="3"/>
      <c r="E66" s="11" t="s">
        <v>214</v>
      </c>
      <c r="F66" s="12">
        <v>3392.5</v>
      </c>
      <c r="G66" s="12">
        <v>3664.5</v>
      </c>
      <c r="H66" s="12">
        <v>3764.5</v>
      </c>
      <c r="I66" s="3" t="s">
        <v>215</v>
      </c>
      <c r="J66" s="3" t="s">
        <v>105</v>
      </c>
      <c r="K66" s="3">
        <v>2600</v>
      </c>
      <c r="L66" s="3">
        <v>2600</v>
      </c>
      <c r="M66" s="3">
        <v>2600</v>
      </c>
      <c r="N66" s="1"/>
      <c r="AA66" s="72" t="s">
        <v>34</v>
      </c>
    </row>
    <row r="67" spans="1:28" ht="60" customHeight="1" x14ac:dyDescent="0.2">
      <c r="A67" s="5" t="s">
        <v>199</v>
      </c>
      <c r="B67" s="5" t="s">
        <v>216</v>
      </c>
      <c r="C67" s="6"/>
      <c r="D67" s="6"/>
      <c r="E67" s="7" t="s">
        <v>217</v>
      </c>
      <c r="F67" s="8">
        <v>3787470.5</v>
      </c>
      <c r="G67" s="8">
        <v>3053203.4</v>
      </c>
      <c r="H67" s="8">
        <v>3118312.9</v>
      </c>
      <c r="I67" s="9" t="s">
        <v>218</v>
      </c>
      <c r="J67" s="9" t="s">
        <v>219</v>
      </c>
      <c r="K67" s="9">
        <v>60</v>
      </c>
      <c r="L67" s="9">
        <v>60</v>
      </c>
      <c r="M67" s="9">
        <v>60</v>
      </c>
      <c r="N67" s="1"/>
      <c r="AA67" s="71" t="s">
        <v>40</v>
      </c>
    </row>
    <row r="68" spans="1:28" ht="24" customHeight="1" x14ac:dyDescent="0.2">
      <c r="A68" s="10" t="s">
        <v>100</v>
      </c>
      <c r="B68" s="10" t="s">
        <v>100</v>
      </c>
      <c r="C68" s="3" t="s">
        <v>100</v>
      </c>
      <c r="D68" s="3"/>
      <c r="E68" s="11" t="s">
        <v>220</v>
      </c>
      <c r="F68" s="12">
        <v>3938.5</v>
      </c>
      <c r="G68" s="12">
        <v>3938.5</v>
      </c>
      <c r="H68" s="12">
        <v>3938.5</v>
      </c>
      <c r="I68" s="17" t="s">
        <v>212</v>
      </c>
      <c r="J68" s="17" t="s">
        <v>99</v>
      </c>
      <c r="K68" s="3">
        <v>100</v>
      </c>
      <c r="L68" s="3">
        <v>100</v>
      </c>
      <c r="M68" s="3">
        <v>100</v>
      </c>
      <c r="N68" s="1"/>
      <c r="AA68" s="72" t="s">
        <v>34</v>
      </c>
      <c r="AB68" s="75" t="s">
        <v>149</v>
      </c>
    </row>
    <row r="69" spans="1:28" ht="24" customHeight="1" x14ac:dyDescent="0.2">
      <c r="A69" s="10" t="s">
        <v>156</v>
      </c>
      <c r="B69" s="10" t="s">
        <v>156</v>
      </c>
      <c r="C69" s="3" t="s">
        <v>156</v>
      </c>
      <c r="D69" s="3"/>
      <c r="E69" s="11" t="s">
        <v>221</v>
      </c>
      <c r="F69" s="12">
        <v>34466.199999999997</v>
      </c>
      <c r="G69" s="12">
        <v>34466.199999999997</v>
      </c>
      <c r="H69" s="12">
        <v>32208.400000000001</v>
      </c>
      <c r="I69" s="17" t="s">
        <v>222</v>
      </c>
      <c r="J69" s="17" t="s">
        <v>223</v>
      </c>
      <c r="K69" s="3">
        <v>72</v>
      </c>
      <c r="L69" s="3">
        <v>72</v>
      </c>
      <c r="M69" s="3">
        <v>72</v>
      </c>
      <c r="N69" s="1"/>
      <c r="AA69" s="72" t="s">
        <v>34</v>
      </c>
    </row>
    <row r="70" spans="1:28" ht="60" customHeight="1" x14ac:dyDescent="0.2">
      <c r="A70" s="10" t="s">
        <v>166</v>
      </c>
      <c r="B70" s="10" t="s">
        <v>166</v>
      </c>
      <c r="C70" s="3" t="s">
        <v>166</v>
      </c>
      <c r="D70" s="3"/>
      <c r="E70" s="11" t="s">
        <v>224</v>
      </c>
      <c r="F70" s="12">
        <v>2249862.4</v>
      </c>
      <c r="G70" s="12">
        <v>1512995.3</v>
      </c>
      <c r="H70" s="12">
        <v>1580362.6</v>
      </c>
      <c r="I70" s="17" t="s">
        <v>225</v>
      </c>
      <c r="J70" s="17" t="s">
        <v>223</v>
      </c>
      <c r="K70" s="3">
        <v>65</v>
      </c>
      <c r="L70" s="3">
        <v>68</v>
      </c>
      <c r="M70" s="3">
        <v>68</v>
      </c>
      <c r="N70" s="1"/>
      <c r="AA70" s="72" t="s">
        <v>34</v>
      </c>
    </row>
    <row r="71" spans="1:28" ht="28.5" customHeight="1" x14ac:dyDescent="0.2">
      <c r="A71" s="10" t="s">
        <v>170</v>
      </c>
      <c r="B71" s="10" t="s">
        <v>170</v>
      </c>
      <c r="C71" s="3" t="s">
        <v>170</v>
      </c>
      <c r="D71" s="3"/>
      <c r="E71" s="11" t="s">
        <v>226</v>
      </c>
      <c r="F71" s="12">
        <v>18389</v>
      </c>
      <c r="G71" s="12">
        <v>18389</v>
      </c>
      <c r="H71" s="12">
        <v>18389</v>
      </c>
      <c r="I71" s="17" t="s">
        <v>212</v>
      </c>
      <c r="J71" s="17" t="s">
        <v>223</v>
      </c>
      <c r="K71" s="3">
        <v>2058</v>
      </c>
      <c r="L71" s="3">
        <v>2058</v>
      </c>
      <c r="M71" s="3">
        <v>2058</v>
      </c>
      <c r="N71" s="1"/>
      <c r="AA71" s="72" t="s">
        <v>34</v>
      </c>
    </row>
    <row r="72" spans="1:28" ht="24" customHeight="1" x14ac:dyDescent="0.2">
      <c r="A72" s="10" t="s">
        <v>227</v>
      </c>
      <c r="B72" s="10" t="s">
        <v>227</v>
      </c>
      <c r="C72" s="3" t="s">
        <v>227</v>
      </c>
      <c r="D72" s="3"/>
      <c r="E72" s="11" t="s">
        <v>228</v>
      </c>
      <c r="F72" s="12">
        <v>309258.59999999998</v>
      </c>
      <c r="G72" s="12">
        <v>309258.59999999998</v>
      </c>
      <c r="H72" s="12">
        <v>309258.59999999998</v>
      </c>
      <c r="I72" s="17" t="s">
        <v>229</v>
      </c>
      <c r="J72" s="17" t="s">
        <v>99</v>
      </c>
      <c r="K72" s="3">
        <v>100</v>
      </c>
      <c r="L72" s="3">
        <v>100</v>
      </c>
      <c r="M72" s="3">
        <v>100</v>
      </c>
      <c r="N72" s="1"/>
      <c r="AA72" s="72" t="s">
        <v>34</v>
      </c>
    </row>
    <row r="73" spans="1:28" ht="36" customHeight="1" x14ac:dyDescent="0.2">
      <c r="A73" s="10" t="s">
        <v>94</v>
      </c>
      <c r="B73" s="10" t="s">
        <v>94</v>
      </c>
      <c r="C73" s="3" t="s">
        <v>94</v>
      </c>
      <c r="D73" s="3"/>
      <c r="E73" s="11" t="s">
        <v>230</v>
      </c>
      <c r="F73" s="12">
        <v>306143.5</v>
      </c>
      <c r="G73" s="12">
        <v>306143.5</v>
      </c>
      <c r="H73" s="12">
        <v>306143.5</v>
      </c>
      <c r="I73" s="17" t="s">
        <v>231</v>
      </c>
      <c r="J73" s="17" t="s">
        <v>99</v>
      </c>
      <c r="K73" s="3">
        <v>53</v>
      </c>
      <c r="L73" s="3">
        <v>53</v>
      </c>
      <c r="M73" s="3">
        <v>53</v>
      </c>
      <c r="N73" s="1"/>
      <c r="AA73" s="72" t="s">
        <v>34</v>
      </c>
    </row>
    <row r="74" spans="1:28" ht="24" customHeight="1" x14ac:dyDescent="0.2">
      <c r="A74" s="10" t="s">
        <v>113</v>
      </c>
      <c r="B74" s="10" t="s">
        <v>113</v>
      </c>
      <c r="C74" s="3" t="s">
        <v>113</v>
      </c>
      <c r="D74" s="3"/>
      <c r="E74" s="11" t="s">
        <v>232</v>
      </c>
      <c r="F74" s="12">
        <v>865412.3</v>
      </c>
      <c r="G74" s="12">
        <v>868012.3</v>
      </c>
      <c r="H74" s="12">
        <v>868012.3</v>
      </c>
      <c r="I74" s="17" t="s">
        <v>233</v>
      </c>
      <c r="J74" s="17" t="s">
        <v>99</v>
      </c>
      <c r="K74" s="3">
        <v>2</v>
      </c>
      <c r="L74" s="3">
        <v>2</v>
      </c>
      <c r="M74" s="3">
        <v>2</v>
      </c>
      <c r="N74" s="1"/>
      <c r="AA74" s="72" t="s">
        <v>34</v>
      </c>
      <c r="AB74" s="75" t="s">
        <v>169</v>
      </c>
    </row>
    <row r="75" spans="1:28" x14ac:dyDescent="0.2">
      <c r="A75" s="210" t="s">
        <v>112</v>
      </c>
      <c r="B75" s="202"/>
      <c r="C75" s="202"/>
      <c r="D75" s="202"/>
      <c r="E75" s="203"/>
      <c r="F75" s="13">
        <v>4488509.2</v>
      </c>
      <c r="G75" s="13">
        <v>3763064.4</v>
      </c>
      <c r="H75" s="13">
        <v>3836465.5</v>
      </c>
      <c r="I75" s="201"/>
      <c r="J75" s="202"/>
      <c r="K75" s="202"/>
      <c r="L75" s="202"/>
      <c r="M75" s="203"/>
      <c r="N75" s="1"/>
      <c r="AA75" s="74" t="s">
        <v>46</v>
      </c>
    </row>
    <row r="76" spans="1:28" x14ac:dyDescent="0.2">
      <c r="A76" s="4" t="s">
        <v>234</v>
      </c>
      <c r="B76" s="212" t="s">
        <v>235</v>
      </c>
      <c r="C76" s="202"/>
      <c r="D76" s="202"/>
      <c r="E76" s="202"/>
      <c r="F76" s="202"/>
      <c r="G76" s="202"/>
      <c r="H76" s="202"/>
      <c r="I76" s="202"/>
      <c r="J76" s="202"/>
      <c r="K76" s="202"/>
      <c r="L76" s="202"/>
      <c r="M76" s="203"/>
      <c r="N76" s="1"/>
      <c r="AA76" s="70" t="s">
        <v>43</v>
      </c>
    </row>
    <row r="77" spans="1:28" ht="24" customHeight="1" x14ac:dyDescent="0.2">
      <c r="A77" s="5" t="s">
        <v>234</v>
      </c>
      <c r="B77" s="5" t="s">
        <v>96</v>
      </c>
      <c r="C77" s="6"/>
      <c r="D77" s="6"/>
      <c r="E77" s="7" t="s">
        <v>97</v>
      </c>
      <c r="F77" s="8">
        <v>165033.1</v>
      </c>
      <c r="G77" s="8">
        <v>168890.84</v>
      </c>
      <c r="H77" s="8">
        <v>173293.81</v>
      </c>
      <c r="I77" s="18" t="s">
        <v>236</v>
      </c>
      <c r="J77" s="18" t="s">
        <v>105</v>
      </c>
      <c r="K77" s="18">
        <v>1</v>
      </c>
      <c r="L77" s="18">
        <v>1</v>
      </c>
      <c r="M77" s="18">
        <v>1</v>
      </c>
      <c r="N77" s="1"/>
      <c r="AA77" s="71" t="s">
        <v>40</v>
      </c>
    </row>
    <row r="78" spans="1:28" x14ac:dyDescent="0.2">
      <c r="A78" s="209" t="s">
        <v>100</v>
      </c>
      <c r="B78" s="209" t="s">
        <v>100</v>
      </c>
      <c r="C78" s="207" t="s">
        <v>100</v>
      </c>
      <c r="D78" s="207"/>
      <c r="E78" s="208" t="s">
        <v>101</v>
      </c>
      <c r="F78" s="204">
        <v>147639</v>
      </c>
      <c r="G78" s="204">
        <v>150685.5</v>
      </c>
      <c r="H78" s="204">
        <v>154238</v>
      </c>
      <c r="I78" s="3" t="s">
        <v>237</v>
      </c>
      <c r="J78" s="3" t="s">
        <v>99</v>
      </c>
      <c r="K78" s="3">
        <v>100</v>
      </c>
      <c r="L78" s="3">
        <v>100</v>
      </c>
      <c r="M78" s="3">
        <v>100</v>
      </c>
      <c r="N78" s="1"/>
      <c r="AA78" s="72" t="s">
        <v>34</v>
      </c>
    </row>
    <row r="79" spans="1:28" x14ac:dyDescent="0.2">
      <c r="A79" s="205"/>
      <c r="B79" s="205"/>
      <c r="C79" s="205"/>
      <c r="D79" s="205"/>
      <c r="E79" s="205"/>
      <c r="F79" s="205"/>
      <c r="G79" s="205"/>
      <c r="H79" s="205"/>
      <c r="I79" s="3" t="s">
        <v>238</v>
      </c>
      <c r="J79" s="3" t="s">
        <v>99</v>
      </c>
      <c r="K79" s="3">
        <v>100</v>
      </c>
      <c r="L79" s="3">
        <v>100</v>
      </c>
      <c r="M79" s="3">
        <v>100</v>
      </c>
      <c r="N79" s="1"/>
      <c r="AA79" s="73" t="s">
        <v>37</v>
      </c>
    </row>
    <row r="80" spans="1:28" ht="24" customHeight="1" x14ac:dyDescent="0.2">
      <c r="A80" s="205"/>
      <c r="B80" s="205"/>
      <c r="C80" s="205"/>
      <c r="D80" s="205"/>
      <c r="E80" s="205"/>
      <c r="F80" s="205"/>
      <c r="G80" s="205"/>
      <c r="H80" s="205"/>
      <c r="I80" s="3" t="s">
        <v>239</v>
      </c>
      <c r="J80" s="3" t="s">
        <v>99</v>
      </c>
      <c r="K80" s="3">
        <v>70</v>
      </c>
      <c r="L80" s="3">
        <v>70</v>
      </c>
      <c r="M80" s="3">
        <v>70</v>
      </c>
      <c r="N80" s="1"/>
      <c r="AA80" s="73" t="s">
        <v>37</v>
      </c>
    </row>
    <row r="81" spans="1:28" ht="36" customHeight="1" x14ac:dyDescent="0.2">
      <c r="A81" s="205"/>
      <c r="B81" s="205"/>
      <c r="C81" s="205"/>
      <c r="D81" s="205"/>
      <c r="E81" s="205"/>
      <c r="F81" s="205"/>
      <c r="G81" s="205"/>
      <c r="H81" s="205"/>
      <c r="I81" s="3" t="s">
        <v>240</v>
      </c>
      <c r="J81" s="3" t="s">
        <v>105</v>
      </c>
      <c r="K81" s="3">
        <v>22</v>
      </c>
      <c r="L81" s="3">
        <v>25</v>
      </c>
      <c r="M81" s="3">
        <v>25</v>
      </c>
      <c r="N81" s="1"/>
      <c r="AA81" s="73" t="s">
        <v>37</v>
      </c>
    </row>
    <row r="82" spans="1:28" ht="27" customHeight="1" x14ac:dyDescent="0.2">
      <c r="A82" s="206"/>
      <c r="B82" s="206"/>
      <c r="C82" s="206"/>
      <c r="D82" s="206"/>
      <c r="E82" s="206"/>
      <c r="F82" s="206"/>
      <c r="G82" s="206"/>
      <c r="H82" s="206"/>
      <c r="I82" s="3" t="s">
        <v>241</v>
      </c>
      <c r="J82" s="3" t="s">
        <v>105</v>
      </c>
      <c r="K82" s="3">
        <v>74</v>
      </c>
      <c r="L82" s="3">
        <v>78</v>
      </c>
      <c r="M82" s="3">
        <v>79</v>
      </c>
      <c r="N82" s="1"/>
      <c r="AA82" s="73" t="s">
        <v>37</v>
      </c>
    </row>
    <row r="83" spans="1:28" ht="24" customHeight="1" x14ac:dyDescent="0.2">
      <c r="A83" s="10" t="s">
        <v>120</v>
      </c>
      <c r="B83" s="10" t="s">
        <v>120</v>
      </c>
      <c r="C83" s="3" t="s">
        <v>120</v>
      </c>
      <c r="D83" s="3"/>
      <c r="E83" s="11" t="s">
        <v>203</v>
      </c>
      <c r="F83" s="12">
        <v>17394.099999999999</v>
      </c>
      <c r="G83" s="12">
        <v>18205.34</v>
      </c>
      <c r="H83" s="12">
        <v>19055.810000000001</v>
      </c>
      <c r="I83" s="3" t="s">
        <v>238</v>
      </c>
      <c r="J83" s="3" t="s">
        <v>99</v>
      </c>
      <c r="K83" s="3">
        <v>100</v>
      </c>
      <c r="L83" s="3">
        <v>100</v>
      </c>
      <c r="M83" s="3">
        <v>100</v>
      </c>
      <c r="N83" s="1"/>
      <c r="AA83" s="72" t="s">
        <v>34</v>
      </c>
    </row>
    <row r="84" spans="1:28" ht="24.75" customHeight="1" x14ac:dyDescent="0.2">
      <c r="A84" s="5" t="s">
        <v>234</v>
      </c>
      <c r="B84" s="5" t="s">
        <v>242</v>
      </c>
      <c r="C84" s="6"/>
      <c r="D84" s="6"/>
      <c r="E84" s="7" t="s">
        <v>243</v>
      </c>
      <c r="F84" s="8">
        <v>561208.69999999995</v>
      </c>
      <c r="G84" s="8">
        <v>572339.1</v>
      </c>
      <c r="H84" s="8">
        <v>583247.19999999995</v>
      </c>
      <c r="I84" s="18" t="s">
        <v>244</v>
      </c>
      <c r="J84" s="18" t="s">
        <v>105</v>
      </c>
      <c r="K84" s="18">
        <v>80</v>
      </c>
      <c r="L84" s="18">
        <v>80</v>
      </c>
      <c r="M84" s="18">
        <v>80</v>
      </c>
      <c r="N84" s="1"/>
      <c r="AA84" s="71" t="s">
        <v>40</v>
      </c>
    </row>
    <row r="85" spans="1:28" ht="72" customHeight="1" x14ac:dyDescent="0.2">
      <c r="A85" s="10" t="s">
        <v>100</v>
      </c>
      <c r="B85" s="10" t="s">
        <v>100</v>
      </c>
      <c r="C85" s="3" t="s">
        <v>100</v>
      </c>
      <c r="D85" s="3"/>
      <c r="E85" s="11" t="s">
        <v>245</v>
      </c>
      <c r="F85" s="12">
        <v>561208.69999999995</v>
      </c>
      <c r="G85" s="12">
        <v>572339.1</v>
      </c>
      <c r="H85" s="12">
        <v>583247.19999999995</v>
      </c>
      <c r="I85" s="3" t="s">
        <v>246</v>
      </c>
      <c r="J85" s="3" t="s">
        <v>99</v>
      </c>
      <c r="K85" s="3">
        <v>100</v>
      </c>
      <c r="L85" s="3">
        <v>100</v>
      </c>
      <c r="M85" s="3">
        <v>100</v>
      </c>
      <c r="N85" s="1"/>
      <c r="AA85" s="72" t="s">
        <v>34</v>
      </c>
      <c r="AB85" s="75" t="s">
        <v>169</v>
      </c>
    </row>
    <row r="86" spans="1:28" x14ac:dyDescent="0.2">
      <c r="A86" s="210" t="s">
        <v>112</v>
      </c>
      <c r="B86" s="202"/>
      <c r="C86" s="202"/>
      <c r="D86" s="202"/>
      <c r="E86" s="203"/>
      <c r="F86" s="13">
        <v>726241.79999999993</v>
      </c>
      <c r="G86" s="13">
        <v>741229.94</v>
      </c>
      <c r="H86" s="13">
        <v>756541.01</v>
      </c>
      <c r="I86" s="201"/>
      <c r="J86" s="202"/>
      <c r="K86" s="202"/>
      <c r="L86" s="202"/>
      <c r="M86" s="203"/>
      <c r="N86" s="1"/>
      <c r="AA86" s="74" t="s">
        <v>46</v>
      </c>
    </row>
    <row r="87" spans="1:28" x14ac:dyDescent="0.2">
      <c r="A87" s="4" t="s">
        <v>247</v>
      </c>
      <c r="B87" s="212" t="s">
        <v>248</v>
      </c>
      <c r="C87" s="202"/>
      <c r="D87" s="202"/>
      <c r="E87" s="202"/>
      <c r="F87" s="202"/>
      <c r="G87" s="202"/>
      <c r="H87" s="202"/>
      <c r="I87" s="202"/>
      <c r="J87" s="202"/>
      <c r="K87" s="202"/>
      <c r="L87" s="202"/>
      <c r="M87" s="203"/>
      <c r="N87" s="1"/>
      <c r="AA87" s="70" t="s">
        <v>43</v>
      </c>
    </row>
    <row r="88" spans="1:28" ht="41.25" customHeight="1" x14ac:dyDescent="0.2">
      <c r="A88" s="5" t="s">
        <v>247</v>
      </c>
      <c r="B88" s="5" t="s">
        <v>96</v>
      </c>
      <c r="C88" s="6"/>
      <c r="D88" s="6"/>
      <c r="E88" s="7" t="s">
        <v>97</v>
      </c>
      <c r="F88" s="8">
        <v>174569</v>
      </c>
      <c r="G88" s="8">
        <v>178060.4</v>
      </c>
      <c r="H88" s="8">
        <v>181621.6</v>
      </c>
      <c r="I88" s="9" t="s">
        <v>249</v>
      </c>
      <c r="J88" s="9" t="s">
        <v>99</v>
      </c>
      <c r="K88" s="9">
        <v>100</v>
      </c>
      <c r="L88" s="9">
        <v>100</v>
      </c>
      <c r="M88" s="9">
        <v>100</v>
      </c>
      <c r="N88" s="1"/>
      <c r="AA88" s="71" t="s">
        <v>40</v>
      </c>
    </row>
    <row r="89" spans="1:28" ht="40.5" customHeight="1" x14ac:dyDescent="0.2">
      <c r="A89" s="10" t="s">
        <v>100</v>
      </c>
      <c r="B89" s="10" t="s">
        <v>100</v>
      </c>
      <c r="C89" s="3" t="s">
        <v>100</v>
      </c>
      <c r="D89" s="3"/>
      <c r="E89" s="11" t="s">
        <v>101</v>
      </c>
      <c r="F89" s="12">
        <v>174569</v>
      </c>
      <c r="G89" s="12">
        <v>178060.4</v>
      </c>
      <c r="H89" s="12">
        <v>181621.6</v>
      </c>
      <c r="I89" s="3" t="s">
        <v>250</v>
      </c>
      <c r="J89" s="3" t="s">
        <v>99</v>
      </c>
      <c r="K89" s="3">
        <v>100</v>
      </c>
      <c r="L89" s="3">
        <v>100</v>
      </c>
      <c r="M89" s="3">
        <v>100</v>
      </c>
      <c r="N89" s="1"/>
      <c r="AA89" s="72" t="s">
        <v>34</v>
      </c>
    </row>
    <row r="90" spans="1:28" ht="27.75" customHeight="1" x14ac:dyDescent="0.2">
      <c r="A90" s="5" t="s">
        <v>247</v>
      </c>
      <c r="B90" s="5" t="s">
        <v>251</v>
      </c>
      <c r="C90" s="6"/>
      <c r="D90" s="6"/>
      <c r="E90" s="7" t="s">
        <v>252</v>
      </c>
      <c r="F90" s="8">
        <v>59137.4</v>
      </c>
      <c r="G90" s="8">
        <v>60620.1</v>
      </c>
      <c r="H90" s="8">
        <v>67132.539999999994</v>
      </c>
      <c r="I90" s="9" t="s">
        <v>253</v>
      </c>
      <c r="J90" s="9" t="s">
        <v>99</v>
      </c>
      <c r="K90" s="9">
        <v>100</v>
      </c>
      <c r="L90" s="9">
        <v>100</v>
      </c>
      <c r="M90" s="9">
        <v>100</v>
      </c>
      <c r="N90" s="1"/>
      <c r="AA90" s="71" t="s">
        <v>40</v>
      </c>
    </row>
    <row r="91" spans="1:28" ht="42.75" customHeight="1" x14ac:dyDescent="0.2">
      <c r="A91" s="10" t="s">
        <v>100</v>
      </c>
      <c r="B91" s="10" t="s">
        <v>100</v>
      </c>
      <c r="C91" s="3" t="s">
        <v>100</v>
      </c>
      <c r="D91" s="3"/>
      <c r="E91" s="11" t="s">
        <v>254</v>
      </c>
      <c r="F91" s="12">
        <v>59137.4</v>
      </c>
      <c r="G91" s="12">
        <v>60620.1</v>
      </c>
      <c r="H91" s="12">
        <v>67132.539999999994</v>
      </c>
      <c r="I91" s="3" t="s">
        <v>255</v>
      </c>
      <c r="J91" s="3" t="s">
        <v>99</v>
      </c>
      <c r="K91" s="3">
        <v>100</v>
      </c>
      <c r="L91" s="3">
        <v>100</v>
      </c>
      <c r="M91" s="3">
        <v>100</v>
      </c>
      <c r="N91" s="1"/>
      <c r="AA91" s="72" t="s">
        <v>34</v>
      </c>
      <c r="AB91" s="75" t="s">
        <v>149</v>
      </c>
    </row>
    <row r="92" spans="1:28" ht="60" customHeight="1" x14ac:dyDescent="0.2">
      <c r="A92" s="5" t="s">
        <v>247</v>
      </c>
      <c r="B92" s="5" t="s">
        <v>256</v>
      </c>
      <c r="C92" s="6"/>
      <c r="D92" s="6"/>
      <c r="E92" s="7" t="s">
        <v>257</v>
      </c>
      <c r="F92" s="8">
        <v>15000</v>
      </c>
      <c r="G92" s="8">
        <v>15000</v>
      </c>
      <c r="H92" s="8">
        <v>10000</v>
      </c>
      <c r="I92" s="19" t="s">
        <v>258</v>
      </c>
      <c r="J92" s="19" t="s">
        <v>105</v>
      </c>
      <c r="K92" s="18">
        <v>1</v>
      </c>
      <c r="L92" s="18">
        <v>1</v>
      </c>
      <c r="M92" s="18">
        <v>1</v>
      </c>
      <c r="N92" s="1"/>
      <c r="AA92" s="71" t="s">
        <v>40</v>
      </c>
      <c r="AB92" s="75" t="s">
        <v>169</v>
      </c>
    </row>
    <row r="93" spans="1:28" ht="51" customHeight="1" x14ac:dyDescent="0.2">
      <c r="A93" s="10" t="s">
        <v>120</v>
      </c>
      <c r="B93" s="10" t="s">
        <v>120</v>
      </c>
      <c r="C93" s="3" t="s">
        <v>120</v>
      </c>
      <c r="D93" s="3"/>
      <c r="E93" s="11" t="s">
        <v>259</v>
      </c>
      <c r="F93" s="12">
        <v>15000</v>
      </c>
      <c r="G93" s="12">
        <v>15000</v>
      </c>
      <c r="H93" s="12">
        <v>10000</v>
      </c>
      <c r="I93" s="3" t="s">
        <v>260</v>
      </c>
      <c r="J93" s="3" t="s">
        <v>99</v>
      </c>
      <c r="K93" s="3">
        <v>100</v>
      </c>
      <c r="L93" s="3">
        <v>100</v>
      </c>
      <c r="M93" s="3">
        <v>100</v>
      </c>
      <c r="N93" s="1"/>
      <c r="AA93" s="72" t="s">
        <v>34</v>
      </c>
    </row>
    <row r="94" spans="1:28" x14ac:dyDescent="0.2">
      <c r="A94" s="210" t="s">
        <v>112</v>
      </c>
      <c r="B94" s="202"/>
      <c r="C94" s="202"/>
      <c r="D94" s="202"/>
      <c r="E94" s="203"/>
      <c r="F94" s="13">
        <v>248706.4</v>
      </c>
      <c r="G94" s="13">
        <v>253680.5</v>
      </c>
      <c r="H94" s="13">
        <v>258754.14</v>
      </c>
      <c r="I94" s="201"/>
      <c r="J94" s="202"/>
      <c r="K94" s="202"/>
      <c r="L94" s="202"/>
      <c r="M94" s="203"/>
      <c r="N94" s="1"/>
      <c r="AA94" s="74" t="s">
        <v>46</v>
      </c>
    </row>
    <row r="95" spans="1:28" x14ac:dyDescent="0.2">
      <c r="A95" s="4" t="s">
        <v>261</v>
      </c>
      <c r="B95" s="212" t="s">
        <v>262</v>
      </c>
      <c r="C95" s="202"/>
      <c r="D95" s="202"/>
      <c r="E95" s="202"/>
      <c r="F95" s="202"/>
      <c r="G95" s="202"/>
      <c r="H95" s="202"/>
      <c r="I95" s="202"/>
      <c r="J95" s="202"/>
      <c r="K95" s="202"/>
      <c r="L95" s="202"/>
      <c r="M95" s="203"/>
      <c r="N95" s="1"/>
      <c r="AA95" s="70" t="s">
        <v>43</v>
      </c>
    </row>
    <row r="96" spans="1:28" x14ac:dyDescent="0.2">
      <c r="A96" s="5" t="s">
        <v>261</v>
      </c>
      <c r="B96" s="5" t="s">
        <v>96</v>
      </c>
      <c r="C96" s="6"/>
      <c r="D96" s="6"/>
      <c r="E96" s="7" t="s">
        <v>97</v>
      </c>
      <c r="F96" s="8">
        <v>666610</v>
      </c>
      <c r="G96" s="8">
        <v>662126.57000000007</v>
      </c>
      <c r="H96" s="8">
        <v>675225</v>
      </c>
      <c r="I96" s="16" t="s">
        <v>263</v>
      </c>
      <c r="J96" s="16" t="s">
        <v>99</v>
      </c>
      <c r="K96" s="16">
        <v>100</v>
      </c>
      <c r="L96" s="16">
        <v>100</v>
      </c>
      <c r="M96" s="16">
        <v>100</v>
      </c>
      <c r="N96" s="1"/>
      <c r="AA96" s="71" t="s">
        <v>40</v>
      </c>
    </row>
    <row r="97" spans="1:28" ht="24" customHeight="1" x14ac:dyDescent="0.2">
      <c r="A97" s="10" t="s">
        <v>100</v>
      </c>
      <c r="B97" s="10" t="s">
        <v>100</v>
      </c>
      <c r="C97" s="3" t="s">
        <v>100</v>
      </c>
      <c r="D97" s="3"/>
      <c r="E97" s="11" t="s">
        <v>101</v>
      </c>
      <c r="F97" s="12">
        <v>136298.5</v>
      </c>
      <c r="G97" s="12">
        <v>130323.27</v>
      </c>
      <c r="H97" s="12">
        <v>131336.29999999999</v>
      </c>
      <c r="I97" s="3" t="s">
        <v>264</v>
      </c>
      <c r="J97" s="3" t="s">
        <v>99</v>
      </c>
      <c r="K97" s="3">
        <v>100</v>
      </c>
      <c r="L97" s="3">
        <v>100</v>
      </c>
      <c r="M97" s="3">
        <v>100</v>
      </c>
      <c r="N97" s="1"/>
      <c r="AA97" s="72" t="s">
        <v>34</v>
      </c>
    </row>
    <row r="98" spans="1:28" ht="36" customHeight="1" x14ac:dyDescent="0.2">
      <c r="A98" s="10" t="s">
        <v>120</v>
      </c>
      <c r="B98" s="10" t="s">
        <v>120</v>
      </c>
      <c r="C98" s="3" t="s">
        <v>120</v>
      </c>
      <c r="D98" s="3"/>
      <c r="E98" s="11" t="s">
        <v>203</v>
      </c>
      <c r="F98" s="12">
        <v>530311.5</v>
      </c>
      <c r="G98" s="12">
        <v>531803.30000000005</v>
      </c>
      <c r="H98" s="12">
        <v>543888.69999999995</v>
      </c>
      <c r="I98" s="3" t="s">
        <v>265</v>
      </c>
      <c r="J98" s="3" t="s">
        <v>99</v>
      </c>
      <c r="K98" s="3">
        <v>100</v>
      </c>
      <c r="L98" s="3">
        <v>100</v>
      </c>
      <c r="M98" s="3">
        <v>100</v>
      </c>
      <c r="N98" s="1"/>
      <c r="AA98" s="72" t="s">
        <v>34</v>
      </c>
    </row>
    <row r="99" spans="1:28" ht="24" customHeight="1" x14ac:dyDescent="0.2">
      <c r="A99" s="5" t="s">
        <v>261</v>
      </c>
      <c r="B99" s="5" t="s">
        <v>266</v>
      </c>
      <c r="C99" s="6"/>
      <c r="D99" s="6"/>
      <c r="E99" s="7" t="s">
        <v>267</v>
      </c>
      <c r="F99" s="8">
        <v>365908.9</v>
      </c>
      <c r="G99" s="8">
        <v>373227</v>
      </c>
      <c r="H99" s="8">
        <v>380691.6</v>
      </c>
      <c r="I99" s="18" t="s">
        <v>268</v>
      </c>
      <c r="J99" s="18" t="s">
        <v>269</v>
      </c>
      <c r="K99" s="18">
        <v>4691532.5999999996</v>
      </c>
      <c r="L99" s="18">
        <v>4785363.2</v>
      </c>
      <c r="M99" s="18">
        <v>4881070.5</v>
      </c>
      <c r="N99" s="1"/>
      <c r="AA99" s="71" t="s">
        <v>40</v>
      </c>
      <c r="AB99" s="75" t="s">
        <v>169</v>
      </c>
    </row>
    <row r="100" spans="1:28" x14ac:dyDescent="0.2">
      <c r="A100" s="209" t="s">
        <v>100</v>
      </c>
      <c r="B100" s="209" t="s">
        <v>100</v>
      </c>
      <c r="C100" s="207" t="s">
        <v>100</v>
      </c>
      <c r="D100" s="207"/>
      <c r="E100" s="208" t="s">
        <v>270</v>
      </c>
      <c r="F100" s="204">
        <v>365908.9</v>
      </c>
      <c r="G100" s="204">
        <v>373227</v>
      </c>
      <c r="H100" s="204">
        <v>380691.6</v>
      </c>
      <c r="I100" s="3" t="s">
        <v>271</v>
      </c>
      <c r="J100" s="3" t="s">
        <v>223</v>
      </c>
      <c r="K100" s="3">
        <v>12501</v>
      </c>
      <c r="L100" s="3">
        <v>12751</v>
      </c>
      <c r="M100" s="3">
        <v>13006</v>
      </c>
      <c r="N100" s="1"/>
      <c r="AA100" s="72" t="s">
        <v>34</v>
      </c>
      <c r="AB100" s="75" t="s">
        <v>169</v>
      </c>
    </row>
    <row r="101" spans="1:28" x14ac:dyDescent="0.2">
      <c r="A101" s="205"/>
      <c r="B101" s="205"/>
      <c r="C101" s="205"/>
      <c r="D101" s="205"/>
      <c r="E101" s="205"/>
      <c r="F101" s="205"/>
      <c r="G101" s="205"/>
      <c r="H101" s="205"/>
      <c r="I101" s="3" t="s">
        <v>272</v>
      </c>
      <c r="J101" s="3" t="s">
        <v>223</v>
      </c>
      <c r="K101" s="3">
        <v>3541</v>
      </c>
      <c r="L101" s="3">
        <v>3612</v>
      </c>
      <c r="M101" s="3">
        <v>3684</v>
      </c>
      <c r="N101" s="1"/>
      <c r="AA101" s="73" t="s">
        <v>37</v>
      </c>
    </row>
    <row r="102" spans="1:28" ht="18" customHeight="1" x14ac:dyDescent="0.2">
      <c r="A102" s="206"/>
      <c r="B102" s="206"/>
      <c r="C102" s="206"/>
      <c r="D102" s="206"/>
      <c r="E102" s="206"/>
      <c r="F102" s="206"/>
      <c r="G102" s="206"/>
      <c r="H102" s="206"/>
      <c r="I102" s="3" t="s">
        <v>273</v>
      </c>
      <c r="J102" s="3" t="s">
        <v>223</v>
      </c>
      <c r="K102" s="3">
        <v>2331</v>
      </c>
      <c r="L102" s="3">
        <v>2377</v>
      </c>
      <c r="M102" s="3">
        <v>2425</v>
      </c>
      <c r="N102" s="1"/>
      <c r="AA102" s="73" t="s">
        <v>37</v>
      </c>
    </row>
    <row r="103" spans="1:28" ht="24" customHeight="1" x14ac:dyDescent="0.2">
      <c r="A103" s="5" t="s">
        <v>261</v>
      </c>
      <c r="B103" s="5" t="s">
        <v>274</v>
      </c>
      <c r="C103" s="6"/>
      <c r="D103" s="6"/>
      <c r="E103" s="7" t="s">
        <v>275</v>
      </c>
      <c r="F103" s="8">
        <v>248904.5</v>
      </c>
      <c r="G103" s="8">
        <v>253882.6</v>
      </c>
      <c r="H103" s="8">
        <v>258960.3</v>
      </c>
      <c r="I103" s="18" t="s">
        <v>276</v>
      </c>
      <c r="J103" s="18" t="s">
        <v>223</v>
      </c>
      <c r="K103" s="18">
        <v>956</v>
      </c>
      <c r="L103" s="18">
        <v>975</v>
      </c>
      <c r="M103" s="18">
        <v>994</v>
      </c>
      <c r="N103" s="1"/>
      <c r="AA103" s="71" t="s">
        <v>40</v>
      </c>
      <c r="AB103" s="75" t="s">
        <v>169</v>
      </c>
    </row>
    <row r="104" spans="1:28" ht="45" customHeight="1" x14ac:dyDescent="0.2">
      <c r="A104" s="209" t="s">
        <v>100</v>
      </c>
      <c r="B104" s="209" t="s">
        <v>100</v>
      </c>
      <c r="C104" s="207" t="s">
        <v>100</v>
      </c>
      <c r="D104" s="207"/>
      <c r="E104" s="208" t="s">
        <v>277</v>
      </c>
      <c r="F104" s="204">
        <v>248904.5</v>
      </c>
      <c r="G104" s="204">
        <v>253882.6</v>
      </c>
      <c r="H104" s="204">
        <v>258960.3</v>
      </c>
      <c r="I104" s="3" t="s">
        <v>278</v>
      </c>
      <c r="J104" s="3" t="s">
        <v>223</v>
      </c>
      <c r="K104" s="3">
        <v>139319</v>
      </c>
      <c r="L104" s="3">
        <v>142105</v>
      </c>
      <c r="M104" s="3">
        <v>144947</v>
      </c>
      <c r="N104" s="1"/>
      <c r="AA104" s="72" t="s">
        <v>34</v>
      </c>
      <c r="AB104" s="75" t="s">
        <v>169</v>
      </c>
    </row>
    <row r="105" spans="1:28" ht="31.5" customHeight="1" x14ac:dyDescent="0.2">
      <c r="A105" s="205"/>
      <c r="B105" s="205"/>
      <c r="C105" s="205"/>
      <c r="D105" s="205"/>
      <c r="E105" s="205"/>
      <c r="F105" s="205"/>
      <c r="G105" s="205"/>
      <c r="H105" s="205"/>
      <c r="I105" s="3" t="s">
        <v>279</v>
      </c>
      <c r="J105" s="3" t="s">
        <v>223</v>
      </c>
      <c r="K105" s="3">
        <v>500</v>
      </c>
      <c r="L105" s="3">
        <v>510</v>
      </c>
      <c r="M105" s="3">
        <v>512</v>
      </c>
      <c r="N105" s="1"/>
      <c r="AA105" s="73" t="s">
        <v>37</v>
      </c>
    </row>
    <row r="106" spans="1:28" ht="16.5" customHeight="1" x14ac:dyDescent="0.2">
      <c r="A106" s="206"/>
      <c r="B106" s="206"/>
      <c r="C106" s="206"/>
      <c r="D106" s="206"/>
      <c r="E106" s="206"/>
      <c r="F106" s="206"/>
      <c r="G106" s="206"/>
      <c r="H106" s="206"/>
      <c r="I106" s="3" t="s">
        <v>280</v>
      </c>
      <c r="J106" s="3" t="s">
        <v>223</v>
      </c>
      <c r="K106" s="3">
        <v>988</v>
      </c>
      <c r="L106" s="3">
        <v>1008</v>
      </c>
      <c r="M106" s="3">
        <v>1028</v>
      </c>
      <c r="N106" s="1"/>
      <c r="AA106" s="73" t="s">
        <v>37</v>
      </c>
    </row>
    <row r="107" spans="1:28" ht="23.25" customHeight="1" x14ac:dyDescent="0.2">
      <c r="A107" s="5" t="s">
        <v>261</v>
      </c>
      <c r="B107" s="5" t="s">
        <v>281</v>
      </c>
      <c r="C107" s="6"/>
      <c r="D107" s="6"/>
      <c r="E107" s="7" t="s">
        <v>282</v>
      </c>
      <c r="F107" s="8">
        <v>68715.5</v>
      </c>
      <c r="G107" s="8">
        <v>70089.8</v>
      </c>
      <c r="H107" s="8">
        <v>71491.600000000006</v>
      </c>
      <c r="I107" s="18" t="s">
        <v>283</v>
      </c>
      <c r="J107" s="18" t="s">
        <v>223</v>
      </c>
      <c r="K107" s="18">
        <v>18059</v>
      </c>
      <c r="L107" s="18">
        <v>18420</v>
      </c>
      <c r="M107" s="18">
        <v>18789</v>
      </c>
      <c r="N107" s="1"/>
      <c r="AA107" s="71" t="s">
        <v>40</v>
      </c>
    </row>
    <row r="108" spans="1:28" ht="24" customHeight="1" x14ac:dyDescent="0.2">
      <c r="A108" s="209" t="s">
        <v>100</v>
      </c>
      <c r="B108" s="209" t="s">
        <v>100</v>
      </c>
      <c r="C108" s="207" t="s">
        <v>100</v>
      </c>
      <c r="D108" s="207"/>
      <c r="E108" s="208" t="s">
        <v>284</v>
      </c>
      <c r="F108" s="204">
        <v>21986.7</v>
      </c>
      <c r="G108" s="204">
        <v>22426.400000000001</v>
      </c>
      <c r="H108" s="204">
        <v>22874.9</v>
      </c>
      <c r="I108" s="3" t="s">
        <v>285</v>
      </c>
      <c r="J108" s="3" t="s">
        <v>223</v>
      </c>
      <c r="K108" s="3">
        <v>4863</v>
      </c>
      <c r="L108" s="3">
        <v>4961</v>
      </c>
      <c r="M108" s="3">
        <v>5060</v>
      </c>
      <c r="N108" s="1"/>
      <c r="AA108" s="72" t="s">
        <v>34</v>
      </c>
    </row>
    <row r="109" spans="1:28" ht="24" customHeight="1" x14ac:dyDescent="0.2">
      <c r="A109" s="205"/>
      <c r="B109" s="205"/>
      <c r="C109" s="205"/>
      <c r="D109" s="205"/>
      <c r="E109" s="205"/>
      <c r="F109" s="205"/>
      <c r="G109" s="205"/>
      <c r="H109" s="205"/>
      <c r="I109" s="3" t="s">
        <v>286</v>
      </c>
      <c r="J109" s="3" t="s">
        <v>223</v>
      </c>
      <c r="K109" s="3">
        <v>1393</v>
      </c>
      <c r="L109" s="3">
        <v>1421</v>
      </c>
      <c r="M109" s="3">
        <v>1450</v>
      </c>
      <c r="N109" s="1"/>
      <c r="AA109" s="73" t="s">
        <v>37</v>
      </c>
    </row>
    <row r="110" spans="1:28" x14ac:dyDescent="0.2">
      <c r="A110" s="206"/>
      <c r="B110" s="206"/>
      <c r="C110" s="206"/>
      <c r="D110" s="206"/>
      <c r="E110" s="206"/>
      <c r="F110" s="206"/>
      <c r="G110" s="206"/>
      <c r="H110" s="206"/>
      <c r="I110" s="3" t="s">
        <v>287</v>
      </c>
      <c r="J110" s="3" t="s">
        <v>186</v>
      </c>
      <c r="K110" s="3">
        <v>414</v>
      </c>
      <c r="L110" s="3">
        <v>422</v>
      </c>
      <c r="M110" s="3">
        <v>430</v>
      </c>
      <c r="N110" s="1"/>
      <c r="AA110" s="73" t="s">
        <v>37</v>
      </c>
    </row>
    <row r="111" spans="1:28" ht="24" customHeight="1" x14ac:dyDescent="0.2">
      <c r="A111" s="209" t="s">
        <v>120</v>
      </c>
      <c r="B111" s="209" t="s">
        <v>120</v>
      </c>
      <c r="C111" s="207" t="s">
        <v>120</v>
      </c>
      <c r="D111" s="207"/>
      <c r="E111" s="208" t="s">
        <v>288</v>
      </c>
      <c r="F111" s="204">
        <v>22708.5</v>
      </c>
      <c r="G111" s="204">
        <v>23162.7</v>
      </c>
      <c r="H111" s="204">
        <v>23625.9</v>
      </c>
      <c r="I111" s="3" t="s">
        <v>289</v>
      </c>
      <c r="J111" s="3" t="s">
        <v>223</v>
      </c>
      <c r="K111" s="3">
        <v>192</v>
      </c>
      <c r="L111" s="3">
        <v>196</v>
      </c>
      <c r="M111" s="3">
        <v>200</v>
      </c>
      <c r="N111" s="1"/>
      <c r="AA111" s="72" t="s">
        <v>34</v>
      </c>
    </row>
    <row r="112" spans="1:28" x14ac:dyDescent="0.2">
      <c r="A112" s="205"/>
      <c r="B112" s="205"/>
      <c r="C112" s="205"/>
      <c r="D112" s="205"/>
      <c r="E112" s="205"/>
      <c r="F112" s="205"/>
      <c r="G112" s="205"/>
      <c r="H112" s="205"/>
      <c r="I112" s="3" t="s">
        <v>290</v>
      </c>
      <c r="J112" s="3" t="s">
        <v>223</v>
      </c>
      <c r="K112" s="3">
        <v>52</v>
      </c>
      <c r="L112" s="3">
        <v>53</v>
      </c>
      <c r="M112" s="3">
        <v>54</v>
      </c>
      <c r="N112" s="1"/>
      <c r="AA112" s="73" t="s">
        <v>37</v>
      </c>
    </row>
    <row r="113" spans="1:28" x14ac:dyDescent="0.2">
      <c r="A113" s="206"/>
      <c r="B113" s="206"/>
      <c r="C113" s="206"/>
      <c r="D113" s="206"/>
      <c r="E113" s="206"/>
      <c r="F113" s="206"/>
      <c r="G113" s="206"/>
      <c r="H113" s="206"/>
      <c r="I113" s="3" t="s">
        <v>291</v>
      </c>
      <c r="J113" s="3" t="s">
        <v>223</v>
      </c>
      <c r="K113" s="3">
        <v>444</v>
      </c>
      <c r="L113" s="3">
        <v>453</v>
      </c>
      <c r="M113" s="3">
        <v>462</v>
      </c>
      <c r="N113" s="1"/>
      <c r="AA113" s="73" t="s">
        <v>37</v>
      </c>
    </row>
    <row r="114" spans="1:28" ht="48" customHeight="1" x14ac:dyDescent="0.2">
      <c r="A114" s="10" t="s">
        <v>150</v>
      </c>
      <c r="B114" s="10" t="s">
        <v>150</v>
      </c>
      <c r="C114" s="3" t="s">
        <v>150</v>
      </c>
      <c r="D114" s="3"/>
      <c r="E114" s="11" t="s">
        <v>292</v>
      </c>
      <c r="F114" s="12">
        <v>24020.3</v>
      </c>
      <c r="G114" s="12">
        <v>24500.7</v>
      </c>
      <c r="H114" s="12">
        <v>24990.799999999999</v>
      </c>
      <c r="I114" s="3" t="s">
        <v>293</v>
      </c>
      <c r="J114" s="3" t="s">
        <v>223</v>
      </c>
      <c r="K114" s="3">
        <v>139490</v>
      </c>
      <c r="L114" s="3">
        <v>142280</v>
      </c>
      <c r="M114" s="3">
        <v>145125</v>
      </c>
      <c r="N114" s="1"/>
      <c r="AA114" s="72" t="s">
        <v>34</v>
      </c>
      <c r="AB114" s="75" t="s">
        <v>123</v>
      </c>
    </row>
    <row r="115" spans="1:28" x14ac:dyDescent="0.2">
      <c r="A115" s="210" t="s">
        <v>112</v>
      </c>
      <c r="B115" s="202"/>
      <c r="C115" s="202"/>
      <c r="D115" s="202"/>
      <c r="E115" s="203"/>
      <c r="F115" s="13">
        <v>1350138.9</v>
      </c>
      <c r="G115" s="13">
        <v>1359325.97</v>
      </c>
      <c r="H115" s="13">
        <v>1386368.5</v>
      </c>
      <c r="I115" s="201"/>
      <c r="J115" s="202"/>
      <c r="K115" s="202"/>
      <c r="L115" s="202"/>
      <c r="M115" s="203"/>
      <c r="N115" s="1"/>
      <c r="AA115" s="74" t="s">
        <v>46</v>
      </c>
    </row>
    <row r="116" spans="1:28" x14ac:dyDescent="0.2">
      <c r="A116" s="4" t="s">
        <v>294</v>
      </c>
      <c r="B116" s="212" t="s">
        <v>295</v>
      </c>
      <c r="C116" s="202"/>
      <c r="D116" s="202"/>
      <c r="E116" s="202"/>
      <c r="F116" s="202"/>
      <c r="G116" s="202"/>
      <c r="H116" s="202"/>
      <c r="I116" s="202"/>
      <c r="J116" s="202"/>
      <c r="K116" s="202"/>
      <c r="L116" s="202"/>
      <c r="M116" s="203"/>
      <c r="N116" s="1"/>
      <c r="AA116" s="70" t="s">
        <v>43</v>
      </c>
    </row>
    <row r="117" spans="1:28" ht="40.5" customHeight="1" x14ac:dyDescent="0.2">
      <c r="A117" s="5" t="s">
        <v>294</v>
      </c>
      <c r="B117" s="5" t="s">
        <v>96</v>
      </c>
      <c r="C117" s="6"/>
      <c r="D117" s="6"/>
      <c r="E117" s="7" t="s">
        <v>97</v>
      </c>
      <c r="F117" s="8">
        <v>152559.6</v>
      </c>
      <c r="G117" s="8">
        <v>136463.5</v>
      </c>
      <c r="H117" s="8">
        <v>139192.70000000001</v>
      </c>
      <c r="I117" s="9" t="s">
        <v>296</v>
      </c>
      <c r="J117" s="9" t="s">
        <v>99</v>
      </c>
      <c r="K117" s="9">
        <v>100</v>
      </c>
      <c r="L117" s="9">
        <v>100</v>
      </c>
      <c r="M117" s="9">
        <v>100</v>
      </c>
      <c r="N117" s="1"/>
      <c r="AA117" s="71" t="s">
        <v>40</v>
      </c>
    </row>
    <row r="118" spans="1:28" ht="42.75" customHeight="1" x14ac:dyDescent="0.2">
      <c r="A118" s="10" t="s">
        <v>100</v>
      </c>
      <c r="B118" s="10" t="s">
        <v>100</v>
      </c>
      <c r="C118" s="3" t="s">
        <v>100</v>
      </c>
      <c r="D118" s="3"/>
      <c r="E118" s="11" t="s">
        <v>101</v>
      </c>
      <c r="F118" s="12">
        <v>93672.9</v>
      </c>
      <c r="G118" s="12">
        <v>93745.4</v>
      </c>
      <c r="H118" s="12">
        <v>95575.5</v>
      </c>
      <c r="I118" s="3" t="s">
        <v>297</v>
      </c>
      <c r="J118" s="3" t="s">
        <v>99</v>
      </c>
      <c r="K118" s="3">
        <v>100</v>
      </c>
      <c r="L118" s="3">
        <v>100</v>
      </c>
      <c r="M118" s="3">
        <v>100</v>
      </c>
      <c r="N118" s="1"/>
      <c r="AA118" s="72" t="s">
        <v>34</v>
      </c>
    </row>
    <row r="119" spans="1:28" ht="41.25" customHeight="1" x14ac:dyDescent="0.2">
      <c r="A119" s="10" t="s">
        <v>120</v>
      </c>
      <c r="B119" s="10" t="s">
        <v>120</v>
      </c>
      <c r="C119" s="3" t="s">
        <v>120</v>
      </c>
      <c r="D119" s="3"/>
      <c r="E119" s="11" t="s">
        <v>203</v>
      </c>
      <c r="F119" s="12">
        <v>58886.7</v>
      </c>
      <c r="G119" s="12">
        <v>42718.1</v>
      </c>
      <c r="H119" s="12">
        <v>43617.2</v>
      </c>
      <c r="I119" s="3" t="s">
        <v>298</v>
      </c>
      <c r="J119" s="3" t="s">
        <v>99</v>
      </c>
      <c r="K119" s="3">
        <v>100</v>
      </c>
      <c r="L119" s="3">
        <v>100</v>
      </c>
      <c r="M119" s="3">
        <v>100</v>
      </c>
      <c r="N119" s="1"/>
      <c r="AA119" s="72" t="s">
        <v>34</v>
      </c>
    </row>
    <row r="120" spans="1:28" x14ac:dyDescent="0.2">
      <c r="A120" s="210" t="s">
        <v>112</v>
      </c>
      <c r="B120" s="202"/>
      <c r="C120" s="202"/>
      <c r="D120" s="202"/>
      <c r="E120" s="203"/>
      <c r="F120" s="13">
        <v>152559.6</v>
      </c>
      <c r="G120" s="13">
        <v>136463.5</v>
      </c>
      <c r="H120" s="13">
        <v>139192.70000000001</v>
      </c>
      <c r="I120" s="201"/>
      <c r="J120" s="202"/>
      <c r="K120" s="202"/>
      <c r="L120" s="202"/>
      <c r="M120" s="203"/>
      <c r="N120" s="1"/>
      <c r="AA120" s="74" t="s">
        <v>46</v>
      </c>
    </row>
    <row r="121" spans="1:28" x14ac:dyDescent="0.2">
      <c r="A121" s="4" t="s">
        <v>299</v>
      </c>
      <c r="B121" s="212" t="s">
        <v>300</v>
      </c>
      <c r="C121" s="202"/>
      <c r="D121" s="202"/>
      <c r="E121" s="202"/>
      <c r="F121" s="202"/>
      <c r="G121" s="202"/>
      <c r="H121" s="202"/>
      <c r="I121" s="202"/>
      <c r="J121" s="202"/>
      <c r="K121" s="202"/>
      <c r="L121" s="202"/>
      <c r="M121" s="203"/>
      <c r="N121" s="1"/>
      <c r="AA121" s="70" t="s">
        <v>43</v>
      </c>
    </row>
    <row r="122" spans="1:28" ht="28.5" customHeight="1" x14ac:dyDescent="0.2">
      <c r="A122" s="5" t="s">
        <v>299</v>
      </c>
      <c r="B122" s="5" t="s">
        <v>96</v>
      </c>
      <c r="C122" s="6"/>
      <c r="D122" s="6"/>
      <c r="E122" s="7" t="s">
        <v>97</v>
      </c>
      <c r="F122" s="8">
        <v>115861.1</v>
      </c>
      <c r="G122" s="8">
        <v>114914.3</v>
      </c>
      <c r="H122" s="8">
        <v>117212.6</v>
      </c>
      <c r="I122" s="18" t="s">
        <v>301</v>
      </c>
      <c r="J122" s="18" t="s">
        <v>99</v>
      </c>
      <c r="K122" s="18">
        <v>95</v>
      </c>
      <c r="L122" s="18">
        <v>96</v>
      </c>
      <c r="M122" s="18">
        <v>96</v>
      </c>
      <c r="N122" s="1"/>
      <c r="AA122" s="71" t="s">
        <v>40</v>
      </c>
    </row>
    <row r="123" spans="1:28" ht="28.5" customHeight="1" x14ac:dyDescent="0.2">
      <c r="A123" s="10" t="s">
        <v>100</v>
      </c>
      <c r="B123" s="10" t="s">
        <v>100</v>
      </c>
      <c r="C123" s="3" t="s">
        <v>100</v>
      </c>
      <c r="D123" s="3"/>
      <c r="E123" s="11" t="s">
        <v>101</v>
      </c>
      <c r="F123" s="12">
        <v>115861.1</v>
      </c>
      <c r="G123" s="12">
        <v>114914.3</v>
      </c>
      <c r="H123" s="12">
        <v>117212.6</v>
      </c>
      <c r="I123" s="3" t="s">
        <v>301</v>
      </c>
      <c r="J123" s="3" t="s">
        <v>99</v>
      </c>
      <c r="K123" s="3">
        <v>95</v>
      </c>
      <c r="L123" s="3">
        <v>96</v>
      </c>
      <c r="M123" s="3">
        <v>96</v>
      </c>
      <c r="N123" s="1"/>
      <c r="AA123" s="72" t="s">
        <v>34</v>
      </c>
    </row>
    <row r="124" spans="1:28" x14ac:dyDescent="0.2">
      <c r="A124" s="210" t="s">
        <v>112</v>
      </c>
      <c r="B124" s="202"/>
      <c r="C124" s="202"/>
      <c r="D124" s="202"/>
      <c r="E124" s="203"/>
      <c r="F124" s="13">
        <v>115861.1</v>
      </c>
      <c r="G124" s="13">
        <v>114914.3</v>
      </c>
      <c r="H124" s="13">
        <v>117212.6</v>
      </c>
      <c r="I124" s="201"/>
      <c r="J124" s="202"/>
      <c r="K124" s="202"/>
      <c r="L124" s="202"/>
      <c r="M124" s="203"/>
      <c r="N124" s="1"/>
      <c r="AA124" s="74" t="s">
        <v>46</v>
      </c>
    </row>
    <row r="125" spans="1:28" x14ac:dyDescent="0.2">
      <c r="A125" s="4" t="s">
        <v>302</v>
      </c>
      <c r="B125" s="212" t="s">
        <v>303</v>
      </c>
      <c r="C125" s="202"/>
      <c r="D125" s="202"/>
      <c r="E125" s="202"/>
      <c r="F125" s="202"/>
      <c r="G125" s="202"/>
      <c r="H125" s="202"/>
      <c r="I125" s="202"/>
      <c r="J125" s="202"/>
      <c r="K125" s="202"/>
      <c r="L125" s="202"/>
      <c r="M125" s="203"/>
      <c r="N125" s="1"/>
      <c r="AA125" s="70" t="s">
        <v>43</v>
      </c>
    </row>
    <row r="126" spans="1:28" x14ac:dyDescent="0.2">
      <c r="A126" s="5" t="s">
        <v>302</v>
      </c>
      <c r="B126" s="5" t="s">
        <v>96</v>
      </c>
      <c r="C126" s="6"/>
      <c r="D126" s="6"/>
      <c r="E126" s="7" t="s">
        <v>97</v>
      </c>
      <c r="F126" s="8">
        <v>282746</v>
      </c>
      <c r="G126" s="8">
        <v>266500.3</v>
      </c>
      <c r="H126" s="8">
        <v>290891.5</v>
      </c>
      <c r="I126" s="18" t="s">
        <v>304</v>
      </c>
      <c r="J126" s="18" t="s">
        <v>103</v>
      </c>
      <c r="K126" s="18">
        <v>45</v>
      </c>
      <c r="L126" s="18">
        <v>50</v>
      </c>
      <c r="M126" s="18">
        <v>55</v>
      </c>
      <c r="N126" s="1"/>
      <c r="AA126" s="71" t="s">
        <v>40</v>
      </c>
    </row>
    <row r="127" spans="1:28" ht="61.5" customHeight="1" x14ac:dyDescent="0.2">
      <c r="A127" s="10" t="s">
        <v>100</v>
      </c>
      <c r="B127" s="10" t="s">
        <v>100</v>
      </c>
      <c r="C127" s="3" t="s">
        <v>100</v>
      </c>
      <c r="D127" s="3"/>
      <c r="E127" s="11" t="s">
        <v>101</v>
      </c>
      <c r="F127" s="12">
        <v>282746</v>
      </c>
      <c r="G127" s="12">
        <v>266500.3</v>
      </c>
      <c r="H127" s="12">
        <v>290891.5</v>
      </c>
      <c r="I127" s="17" t="s">
        <v>305</v>
      </c>
      <c r="J127" s="17" t="s">
        <v>99</v>
      </c>
      <c r="K127" s="17">
        <v>100</v>
      </c>
      <c r="L127" s="17">
        <v>100</v>
      </c>
      <c r="M127" s="17">
        <v>100</v>
      </c>
      <c r="N127" s="1"/>
      <c r="AA127" s="72" t="s">
        <v>34</v>
      </c>
    </row>
    <row r="128" spans="1:28" ht="73.5" customHeight="1" x14ac:dyDescent="0.2">
      <c r="A128" s="5" t="s">
        <v>302</v>
      </c>
      <c r="B128" s="5" t="s">
        <v>306</v>
      </c>
      <c r="C128" s="6"/>
      <c r="D128" s="6"/>
      <c r="E128" s="7" t="s">
        <v>307</v>
      </c>
      <c r="F128" s="8">
        <v>176690.64</v>
      </c>
      <c r="G128" s="8">
        <v>199769.7</v>
      </c>
      <c r="H128" s="8">
        <v>183251.5</v>
      </c>
      <c r="I128" s="5" t="s">
        <v>308</v>
      </c>
      <c r="J128" s="5" t="s">
        <v>223</v>
      </c>
      <c r="K128" s="5">
        <v>494537</v>
      </c>
      <c r="L128" s="5">
        <v>504439</v>
      </c>
      <c r="M128" s="5">
        <v>514538</v>
      </c>
      <c r="N128" s="1"/>
      <c r="AA128" s="71" t="s">
        <v>40</v>
      </c>
    </row>
    <row r="129" spans="1:28" x14ac:dyDescent="0.2">
      <c r="A129" s="209" t="s">
        <v>100</v>
      </c>
      <c r="B129" s="209" t="s">
        <v>100</v>
      </c>
      <c r="C129" s="207" t="s">
        <v>100</v>
      </c>
      <c r="D129" s="207"/>
      <c r="E129" s="208" t="s">
        <v>309</v>
      </c>
      <c r="F129" s="204">
        <v>176690.64</v>
      </c>
      <c r="G129" s="204">
        <v>199769.7</v>
      </c>
      <c r="H129" s="204">
        <v>183251.5</v>
      </c>
      <c r="I129" s="20" t="s">
        <v>310</v>
      </c>
      <c r="J129" s="20" t="s">
        <v>223</v>
      </c>
      <c r="K129" s="20">
        <v>6817</v>
      </c>
      <c r="L129" s="20">
        <v>6953</v>
      </c>
      <c r="M129" s="20">
        <v>7000</v>
      </c>
      <c r="N129" s="1"/>
      <c r="AA129" s="72" t="s">
        <v>34</v>
      </c>
    </row>
    <row r="130" spans="1:28" x14ac:dyDescent="0.2">
      <c r="A130" s="205"/>
      <c r="B130" s="205"/>
      <c r="C130" s="205"/>
      <c r="D130" s="205"/>
      <c r="E130" s="205"/>
      <c r="F130" s="205"/>
      <c r="G130" s="205"/>
      <c r="H130" s="205"/>
      <c r="I130" s="20" t="s">
        <v>311</v>
      </c>
      <c r="J130" s="20" t="s">
        <v>223</v>
      </c>
      <c r="K130" s="20">
        <v>4400</v>
      </c>
      <c r="L130" s="20">
        <v>4500</v>
      </c>
      <c r="M130" s="20">
        <v>4600</v>
      </c>
      <c r="N130" s="1"/>
      <c r="AA130" s="73" t="s">
        <v>37</v>
      </c>
    </row>
    <row r="131" spans="1:28" x14ac:dyDescent="0.2">
      <c r="A131" s="205"/>
      <c r="B131" s="205"/>
      <c r="C131" s="205"/>
      <c r="D131" s="205"/>
      <c r="E131" s="205"/>
      <c r="F131" s="205"/>
      <c r="G131" s="205"/>
      <c r="H131" s="205"/>
      <c r="I131" s="20" t="s">
        <v>312</v>
      </c>
      <c r="J131" s="20" t="s">
        <v>223</v>
      </c>
      <c r="K131" s="20">
        <v>477477</v>
      </c>
      <c r="L131" s="20">
        <v>487026</v>
      </c>
      <c r="M131" s="20">
        <v>496575</v>
      </c>
      <c r="N131" s="1"/>
      <c r="AA131" s="73" t="s">
        <v>37</v>
      </c>
    </row>
    <row r="132" spans="1:28" ht="24" customHeight="1" x14ac:dyDescent="0.2">
      <c r="A132" s="206"/>
      <c r="B132" s="206"/>
      <c r="C132" s="206"/>
      <c r="D132" s="206"/>
      <c r="E132" s="206"/>
      <c r="F132" s="206"/>
      <c r="G132" s="206"/>
      <c r="H132" s="206"/>
      <c r="I132" s="20" t="s">
        <v>313</v>
      </c>
      <c r="J132" s="20" t="s">
        <v>223</v>
      </c>
      <c r="K132" s="20">
        <v>5843</v>
      </c>
      <c r="L132" s="20">
        <v>5960</v>
      </c>
      <c r="M132" s="20">
        <v>6000</v>
      </c>
      <c r="N132" s="1"/>
      <c r="AA132" s="73" t="s">
        <v>37</v>
      </c>
    </row>
    <row r="133" spans="1:28" ht="27" customHeight="1" x14ac:dyDescent="0.2">
      <c r="A133" s="5" t="s">
        <v>302</v>
      </c>
      <c r="B133" s="5" t="s">
        <v>314</v>
      </c>
      <c r="C133" s="6"/>
      <c r="D133" s="6"/>
      <c r="E133" s="7" t="s">
        <v>315</v>
      </c>
      <c r="F133" s="8">
        <v>191314.8</v>
      </c>
      <c r="G133" s="8">
        <v>195752.1</v>
      </c>
      <c r="H133" s="8">
        <v>199667</v>
      </c>
      <c r="I133" s="5" t="s">
        <v>316</v>
      </c>
      <c r="J133" s="5" t="s">
        <v>99</v>
      </c>
      <c r="K133" s="5">
        <v>70</v>
      </c>
      <c r="L133" s="5">
        <v>75</v>
      </c>
      <c r="M133" s="5">
        <v>80</v>
      </c>
      <c r="N133" s="1"/>
      <c r="AA133" s="71" t="s">
        <v>40</v>
      </c>
    </row>
    <row r="134" spans="1:28" ht="28.5" customHeight="1" x14ac:dyDescent="0.2">
      <c r="A134" s="10" t="s">
        <v>100</v>
      </c>
      <c r="B134" s="10" t="s">
        <v>100</v>
      </c>
      <c r="C134" s="3" t="s">
        <v>100</v>
      </c>
      <c r="D134" s="3"/>
      <c r="E134" s="11" t="s">
        <v>317</v>
      </c>
      <c r="F134" s="12">
        <v>191314.8</v>
      </c>
      <c r="G134" s="12">
        <v>195752.1</v>
      </c>
      <c r="H134" s="12">
        <v>199667</v>
      </c>
      <c r="I134" s="20" t="s">
        <v>318</v>
      </c>
      <c r="J134" s="20" t="s">
        <v>223</v>
      </c>
      <c r="K134" s="20">
        <v>18119</v>
      </c>
      <c r="L134" s="20">
        <v>18663</v>
      </c>
      <c r="M134" s="20">
        <v>19207</v>
      </c>
      <c r="N134" s="1"/>
      <c r="AA134" s="72" t="s">
        <v>34</v>
      </c>
    </row>
    <row r="135" spans="1:28" ht="97.5" customHeight="1" x14ac:dyDescent="0.2">
      <c r="A135" s="5" t="s">
        <v>302</v>
      </c>
      <c r="B135" s="5" t="s">
        <v>319</v>
      </c>
      <c r="C135" s="6"/>
      <c r="D135" s="6"/>
      <c r="E135" s="7" t="s">
        <v>320</v>
      </c>
      <c r="F135" s="8">
        <v>272664</v>
      </c>
      <c r="G135" s="8">
        <v>277496.3</v>
      </c>
      <c r="H135" s="8">
        <v>282803.7</v>
      </c>
      <c r="I135" s="5" t="s">
        <v>321</v>
      </c>
      <c r="J135" s="5" t="s">
        <v>159</v>
      </c>
      <c r="K135" s="5">
        <v>2000</v>
      </c>
      <c r="L135" s="5">
        <v>2000</v>
      </c>
      <c r="M135" s="5">
        <v>2000</v>
      </c>
      <c r="N135" s="1"/>
      <c r="AA135" s="71" t="s">
        <v>40</v>
      </c>
    </row>
    <row r="136" spans="1:28" ht="55.5" customHeight="1" x14ac:dyDescent="0.2">
      <c r="A136" s="10" t="s">
        <v>100</v>
      </c>
      <c r="B136" s="10" t="s">
        <v>100</v>
      </c>
      <c r="C136" s="3" t="s">
        <v>100</v>
      </c>
      <c r="D136" s="3"/>
      <c r="E136" s="11" t="s">
        <v>322</v>
      </c>
      <c r="F136" s="12">
        <v>272664</v>
      </c>
      <c r="G136" s="12">
        <v>277496.3</v>
      </c>
      <c r="H136" s="12">
        <v>282803.7</v>
      </c>
      <c r="I136" s="20" t="s">
        <v>321</v>
      </c>
      <c r="J136" s="20" t="s">
        <v>159</v>
      </c>
      <c r="K136" s="20">
        <v>2000</v>
      </c>
      <c r="L136" s="20">
        <v>2000</v>
      </c>
      <c r="M136" s="20">
        <v>2000</v>
      </c>
      <c r="N136" s="1"/>
      <c r="AA136" s="72" t="s">
        <v>34</v>
      </c>
    </row>
    <row r="137" spans="1:28" ht="23.25" customHeight="1" x14ac:dyDescent="0.2">
      <c r="A137" s="5" t="s">
        <v>302</v>
      </c>
      <c r="B137" s="5" t="s">
        <v>323</v>
      </c>
      <c r="C137" s="6"/>
      <c r="D137" s="6"/>
      <c r="E137" s="7" t="s">
        <v>324</v>
      </c>
      <c r="F137" s="8">
        <v>181071.6</v>
      </c>
      <c r="G137" s="8">
        <v>165221.1</v>
      </c>
      <c r="H137" s="8">
        <v>168561.6</v>
      </c>
      <c r="I137" s="16" t="s">
        <v>325</v>
      </c>
      <c r="J137" s="16" t="s">
        <v>105</v>
      </c>
      <c r="K137" s="16">
        <v>8000</v>
      </c>
      <c r="L137" s="16">
        <v>8200</v>
      </c>
      <c r="M137" s="16">
        <v>8200</v>
      </c>
      <c r="N137" s="1"/>
      <c r="AA137" s="71" t="s">
        <v>40</v>
      </c>
    </row>
    <row r="138" spans="1:28" ht="23.25" customHeight="1" x14ac:dyDescent="0.2">
      <c r="A138" s="10" t="s">
        <v>100</v>
      </c>
      <c r="B138" s="10" t="s">
        <v>100</v>
      </c>
      <c r="C138" s="3" t="s">
        <v>100</v>
      </c>
      <c r="D138" s="3"/>
      <c r="E138" s="11" t="s">
        <v>325</v>
      </c>
      <c r="F138" s="12">
        <v>181071.6</v>
      </c>
      <c r="G138" s="12">
        <v>165221.1</v>
      </c>
      <c r="H138" s="12">
        <v>168561.6</v>
      </c>
      <c r="I138" s="20" t="s">
        <v>326</v>
      </c>
      <c r="J138" s="20" t="s">
        <v>105</v>
      </c>
      <c r="K138" s="20">
        <v>8000</v>
      </c>
      <c r="L138" s="20">
        <v>8200</v>
      </c>
      <c r="M138" s="20">
        <v>8200</v>
      </c>
      <c r="N138" s="1"/>
      <c r="AA138" s="72" t="s">
        <v>34</v>
      </c>
    </row>
    <row r="139" spans="1:28" ht="36" customHeight="1" x14ac:dyDescent="0.2">
      <c r="A139" s="5" t="s">
        <v>302</v>
      </c>
      <c r="B139" s="5" t="s">
        <v>327</v>
      </c>
      <c r="C139" s="6"/>
      <c r="D139" s="6"/>
      <c r="E139" s="7" t="s">
        <v>328</v>
      </c>
      <c r="F139" s="8">
        <v>245999.5</v>
      </c>
      <c r="G139" s="8">
        <v>250919.5</v>
      </c>
      <c r="H139" s="8">
        <v>255937.9</v>
      </c>
      <c r="I139" s="9" t="s">
        <v>329</v>
      </c>
      <c r="J139" s="9" t="s">
        <v>99</v>
      </c>
      <c r="K139" s="9">
        <v>60</v>
      </c>
      <c r="L139" s="9">
        <v>60</v>
      </c>
      <c r="M139" s="9">
        <v>60</v>
      </c>
      <c r="N139" s="1"/>
      <c r="AA139" s="71" t="s">
        <v>40</v>
      </c>
      <c r="AB139" s="75" t="s">
        <v>149</v>
      </c>
    </row>
    <row r="140" spans="1:28" ht="36" customHeight="1" x14ac:dyDescent="0.2">
      <c r="A140" s="10" t="s">
        <v>120</v>
      </c>
      <c r="B140" s="10" t="s">
        <v>120</v>
      </c>
      <c r="C140" s="3" t="s">
        <v>120</v>
      </c>
      <c r="D140" s="3"/>
      <c r="E140" s="11" t="s">
        <v>330</v>
      </c>
      <c r="F140" s="12">
        <v>237214.4</v>
      </c>
      <c r="G140" s="12">
        <v>241958.7</v>
      </c>
      <c r="H140" s="12">
        <v>246797.9</v>
      </c>
      <c r="I140" s="14" t="s">
        <v>331</v>
      </c>
      <c r="J140" s="14" t="s">
        <v>99</v>
      </c>
      <c r="K140" s="14">
        <v>60</v>
      </c>
      <c r="L140" s="14">
        <v>60</v>
      </c>
      <c r="M140" s="14">
        <v>60</v>
      </c>
      <c r="N140" s="1"/>
      <c r="AA140" s="72" t="s">
        <v>34</v>
      </c>
      <c r="AB140" s="75" t="s">
        <v>149</v>
      </c>
    </row>
    <row r="141" spans="1:28" ht="18" customHeight="1" x14ac:dyDescent="0.2">
      <c r="A141" s="10" t="s">
        <v>150</v>
      </c>
      <c r="B141" s="10" t="s">
        <v>150</v>
      </c>
      <c r="C141" s="3" t="s">
        <v>150</v>
      </c>
      <c r="D141" s="3"/>
      <c r="E141" s="11" t="s">
        <v>332</v>
      </c>
      <c r="F141" s="12">
        <v>8785.1</v>
      </c>
      <c r="G141" s="12">
        <v>8960.7999999999993</v>
      </c>
      <c r="H141" s="12">
        <v>9140</v>
      </c>
      <c r="I141" s="20" t="s">
        <v>333</v>
      </c>
      <c r="J141" s="20" t="s">
        <v>223</v>
      </c>
      <c r="K141" s="20">
        <v>24</v>
      </c>
      <c r="L141" s="20">
        <v>26</v>
      </c>
      <c r="M141" s="20">
        <v>28</v>
      </c>
      <c r="N141" s="1"/>
      <c r="AA141" s="72" t="s">
        <v>34</v>
      </c>
    </row>
    <row r="142" spans="1:28" x14ac:dyDescent="0.2">
      <c r="A142" s="210" t="s">
        <v>112</v>
      </c>
      <c r="B142" s="202"/>
      <c r="C142" s="202"/>
      <c r="D142" s="202"/>
      <c r="E142" s="203"/>
      <c r="F142" s="13">
        <v>1350486.54</v>
      </c>
      <c r="G142" s="13">
        <v>1355659</v>
      </c>
      <c r="H142" s="13">
        <v>1381113.2</v>
      </c>
      <c r="I142" s="201"/>
      <c r="J142" s="202"/>
      <c r="K142" s="202"/>
      <c r="L142" s="202"/>
      <c r="M142" s="203"/>
      <c r="N142" s="1"/>
      <c r="AA142" s="74" t="s">
        <v>46</v>
      </c>
    </row>
    <row r="143" spans="1:28" x14ac:dyDescent="0.2">
      <c r="A143" s="4" t="s">
        <v>334</v>
      </c>
      <c r="B143" s="212" t="s">
        <v>335</v>
      </c>
      <c r="C143" s="202"/>
      <c r="D143" s="202"/>
      <c r="E143" s="202"/>
      <c r="F143" s="202"/>
      <c r="G143" s="202"/>
      <c r="H143" s="202"/>
      <c r="I143" s="202"/>
      <c r="J143" s="202"/>
      <c r="K143" s="202"/>
      <c r="L143" s="202"/>
      <c r="M143" s="203"/>
      <c r="N143" s="1"/>
      <c r="AA143" s="70" t="s">
        <v>43</v>
      </c>
    </row>
    <row r="144" spans="1:28" x14ac:dyDescent="0.2">
      <c r="A144" s="5" t="s">
        <v>334</v>
      </c>
      <c r="B144" s="5" t="s">
        <v>96</v>
      </c>
      <c r="C144" s="6"/>
      <c r="D144" s="6"/>
      <c r="E144" s="7" t="s">
        <v>97</v>
      </c>
      <c r="F144" s="8">
        <v>2287244.9</v>
      </c>
      <c r="G144" s="8">
        <v>2331345.1</v>
      </c>
      <c r="H144" s="8">
        <v>2378310.6</v>
      </c>
      <c r="I144" s="18" t="s">
        <v>304</v>
      </c>
      <c r="J144" s="18" t="s">
        <v>99</v>
      </c>
      <c r="K144" s="18">
        <v>35</v>
      </c>
      <c r="L144" s="18">
        <v>35</v>
      </c>
      <c r="M144" s="18">
        <v>35</v>
      </c>
      <c r="N144" s="1"/>
      <c r="AA144" s="71" t="s">
        <v>40</v>
      </c>
    </row>
    <row r="145" spans="1:28" ht="24" customHeight="1" x14ac:dyDescent="0.2">
      <c r="A145" s="10" t="s">
        <v>100</v>
      </c>
      <c r="B145" s="10" t="s">
        <v>100</v>
      </c>
      <c r="C145" s="3" t="s">
        <v>100</v>
      </c>
      <c r="D145" s="3"/>
      <c r="E145" s="11" t="s">
        <v>101</v>
      </c>
      <c r="F145" s="12">
        <v>2260153.5</v>
      </c>
      <c r="G145" s="12">
        <v>2305356.6</v>
      </c>
      <c r="H145" s="12">
        <v>2351463.7000000002</v>
      </c>
      <c r="I145" s="3" t="s">
        <v>304</v>
      </c>
      <c r="J145" s="3" t="s">
        <v>99</v>
      </c>
      <c r="K145" s="3">
        <v>35</v>
      </c>
      <c r="L145" s="3">
        <v>35</v>
      </c>
      <c r="M145" s="3">
        <v>35</v>
      </c>
      <c r="N145" s="1"/>
      <c r="AA145" s="72" t="s">
        <v>34</v>
      </c>
    </row>
    <row r="146" spans="1:28" ht="24" customHeight="1" x14ac:dyDescent="0.2">
      <c r="A146" s="10" t="s">
        <v>120</v>
      </c>
      <c r="B146" s="10" t="s">
        <v>120</v>
      </c>
      <c r="C146" s="3" t="s">
        <v>120</v>
      </c>
      <c r="D146" s="3"/>
      <c r="E146" s="11" t="s">
        <v>203</v>
      </c>
      <c r="F146" s="12">
        <v>27091.4</v>
      </c>
      <c r="G146" s="12">
        <v>25988.5</v>
      </c>
      <c r="H146" s="12">
        <v>26846.9</v>
      </c>
      <c r="I146" s="3" t="s">
        <v>304</v>
      </c>
      <c r="J146" s="3" t="s">
        <v>99</v>
      </c>
      <c r="K146" s="3">
        <v>35</v>
      </c>
      <c r="L146" s="3">
        <v>35</v>
      </c>
      <c r="M146" s="3">
        <v>35</v>
      </c>
      <c r="N146" s="1"/>
      <c r="AA146" s="72" t="s">
        <v>34</v>
      </c>
    </row>
    <row r="147" spans="1:28" ht="32.25" customHeight="1" x14ac:dyDescent="0.2">
      <c r="A147" s="5" t="s">
        <v>334</v>
      </c>
      <c r="B147" s="5" t="s">
        <v>336</v>
      </c>
      <c r="C147" s="6"/>
      <c r="D147" s="6"/>
      <c r="E147" s="7" t="s">
        <v>337</v>
      </c>
      <c r="F147" s="8">
        <v>2408549.4</v>
      </c>
      <c r="G147" s="8">
        <v>2450711.7999999998</v>
      </c>
      <c r="H147" s="8">
        <v>2493717.4</v>
      </c>
      <c r="I147" s="9" t="s">
        <v>253</v>
      </c>
      <c r="J147" s="9" t="s">
        <v>99</v>
      </c>
      <c r="K147" s="9">
        <v>100</v>
      </c>
      <c r="L147" s="9">
        <v>100</v>
      </c>
      <c r="M147" s="9">
        <v>100</v>
      </c>
      <c r="N147" s="1"/>
      <c r="AA147" s="71" t="s">
        <v>40</v>
      </c>
      <c r="AB147" s="75" t="s">
        <v>149</v>
      </c>
    </row>
    <row r="148" spans="1:28" ht="36" customHeight="1" x14ac:dyDescent="0.2">
      <c r="A148" s="10" t="s">
        <v>100</v>
      </c>
      <c r="B148" s="10" t="s">
        <v>100</v>
      </c>
      <c r="C148" s="3" t="s">
        <v>100</v>
      </c>
      <c r="D148" s="3"/>
      <c r="E148" s="11" t="s">
        <v>338</v>
      </c>
      <c r="F148" s="12">
        <v>2408549.4</v>
      </c>
      <c r="G148" s="12">
        <v>2450711.7999999998</v>
      </c>
      <c r="H148" s="12">
        <v>2493717.4</v>
      </c>
      <c r="I148" s="3" t="s">
        <v>339</v>
      </c>
      <c r="J148" s="3" t="s">
        <v>155</v>
      </c>
      <c r="K148" s="3">
        <v>40</v>
      </c>
      <c r="L148" s="3">
        <v>40</v>
      </c>
      <c r="M148" s="3">
        <v>40</v>
      </c>
      <c r="N148" s="1"/>
      <c r="AA148" s="72" t="s">
        <v>34</v>
      </c>
      <c r="AB148" s="75" t="s">
        <v>169</v>
      </c>
    </row>
    <row r="149" spans="1:28" ht="30.75" customHeight="1" x14ac:dyDescent="0.2">
      <c r="A149" s="5" t="s">
        <v>334</v>
      </c>
      <c r="B149" s="5" t="s">
        <v>340</v>
      </c>
      <c r="C149" s="6"/>
      <c r="D149" s="6"/>
      <c r="E149" s="7" t="s">
        <v>341</v>
      </c>
      <c r="F149" s="8">
        <v>44684.45</v>
      </c>
      <c r="G149" s="8">
        <v>45702.400000000001</v>
      </c>
      <c r="H149" s="8">
        <v>45763.75</v>
      </c>
      <c r="I149" s="9" t="s">
        <v>201</v>
      </c>
      <c r="J149" s="9" t="s">
        <v>99</v>
      </c>
      <c r="K149" s="9">
        <v>100</v>
      </c>
      <c r="L149" s="9">
        <v>100</v>
      </c>
      <c r="M149" s="9">
        <v>100</v>
      </c>
      <c r="N149" s="1"/>
      <c r="AA149" s="71" t="s">
        <v>40</v>
      </c>
    </row>
    <row r="150" spans="1:28" ht="43.5" customHeight="1" x14ac:dyDescent="0.2">
      <c r="A150" s="10" t="s">
        <v>100</v>
      </c>
      <c r="B150" s="10" t="s">
        <v>100</v>
      </c>
      <c r="C150" s="3" t="s">
        <v>100</v>
      </c>
      <c r="D150" s="3"/>
      <c r="E150" s="11" t="s">
        <v>342</v>
      </c>
      <c r="F150" s="12">
        <v>44684.45</v>
      </c>
      <c r="G150" s="12">
        <v>45702.400000000001</v>
      </c>
      <c r="H150" s="12">
        <v>45763.75</v>
      </c>
      <c r="I150" s="3" t="s">
        <v>343</v>
      </c>
      <c r="J150" s="3" t="s">
        <v>99</v>
      </c>
      <c r="K150" s="3">
        <v>90</v>
      </c>
      <c r="L150" s="3">
        <v>90</v>
      </c>
      <c r="M150" s="3">
        <v>90</v>
      </c>
      <c r="N150" s="1"/>
      <c r="AA150" s="72" t="s">
        <v>34</v>
      </c>
    </row>
    <row r="151" spans="1:28" x14ac:dyDescent="0.2">
      <c r="A151" s="210" t="s">
        <v>112</v>
      </c>
      <c r="B151" s="202"/>
      <c r="C151" s="202"/>
      <c r="D151" s="202"/>
      <c r="E151" s="203"/>
      <c r="F151" s="13">
        <v>4740478.75</v>
      </c>
      <c r="G151" s="13">
        <v>4827759.3</v>
      </c>
      <c r="H151" s="13">
        <v>4917791.75</v>
      </c>
      <c r="I151" s="201"/>
      <c r="J151" s="202"/>
      <c r="K151" s="202"/>
      <c r="L151" s="202"/>
      <c r="M151" s="203"/>
      <c r="N151" s="1"/>
      <c r="AA151" s="74" t="s">
        <v>46</v>
      </c>
    </row>
    <row r="152" spans="1:28" x14ac:dyDescent="0.2">
      <c r="A152" s="4" t="s">
        <v>344</v>
      </c>
      <c r="B152" s="212" t="s">
        <v>345</v>
      </c>
      <c r="C152" s="202"/>
      <c r="D152" s="202"/>
      <c r="E152" s="202"/>
      <c r="F152" s="202"/>
      <c r="G152" s="202"/>
      <c r="H152" s="202"/>
      <c r="I152" s="202"/>
      <c r="J152" s="202"/>
      <c r="K152" s="202"/>
      <c r="L152" s="202"/>
      <c r="M152" s="203"/>
      <c r="N152" s="1"/>
      <c r="AA152" s="70" t="s">
        <v>43</v>
      </c>
    </row>
    <row r="153" spans="1:28" x14ac:dyDescent="0.2">
      <c r="A153" s="5" t="s">
        <v>344</v>
      </c>
      <c r="B153" s="5" t="s">
        <v>346</v>
      </c>
      <c r="C153" s="6"/>
      <c r="D153" s="6"/>
      <c r="E153" s="7" t="s">
        <v>345</v>
      </c>
      <c r="F153" s="8">
        <v>5159304.8000000007</v>
      </c>
      <c r="G153" s="8">
        <v>5198766.8000000007</v>
      </c>
      <c r="H153" s="8">
        <v>5198366.8</v>
      </c>
      <c r="I153" s="21" t="s">
        <v>347</v>
      </c>
      <c r="J153" s="21" t="s">
        <v>99</v>
      </c>
      <c r="K153" s="21">
        <v>100</v>
      </c>
      <c r="L153" s="21">
        <v>100</v>
      </c>
      <c r="M153" s="21">
        <v>100</v>
      </c>
      <c r="N153" s="1"/>
      <c r="AA153" s="71" t="s">
        <v>40</v>
      </c>
    </row>
    <row r="154" spans="1:28" x14ac:dyDescent="0.2">
      <c r="A154" s="10" t="s">
        <v>100</v>
      </c>
      <c r="B154" s="10" t="s">
        <v>100</v>
      </c>
      <c r="C154" s="3" t="s">
        <v>100</v>
      </c>
      <c r="D154" s="3"/>
      <c r="E154" s="11" t="s">
        <v>348</v>
      </c>
      <c r="F154" s="12">
        <v>1100000.7</v>
      </c>
      <c r="G154" s="12">
        <v>1100000.7</v>
      </c>
      <c r="H154" s="12">
        <v>1100000.7</v>
      </c>
      <c r="I154" s="3" t="s">
        <v>349</v>
      </c>
      <c r="J154" s="3" t="s">
        <v>99</v>
      </c>
      <c r="K154" s="3">
        <v>100</v>
      </c>
      <c r="L154" s="3">
        <v>100</v>
      </c>
      <c r="M154" s="3">
        <v>100</v>
      </c>
      <c r="N154" s="1"/>
      <c r="AA154" s="72" t="s">
        <v>34</v>
      </c>
    </row>
    <row r="155" spans="1:28" x14ac:dyDescent="0.2">
      <c r="A155" s="10" t="s">
        <v>120</v>
      </c>
      <c r="B155" s="10" t="s">
        <v>120</v>
      </c>
      <c r="C155" s="3" t="s">
        <v>120</v>
      </c>
      <c r="D155" s="3"/>
      <c r="E155" s="11" t="s">
        <v>350</v>
      </c>
      <c r="F155" s="12">
        <v>1942918</v>
      </c>
      <c r="G155" s="12">
        <v>1942918</v>
      </c>
      <c r="H155" s="12">
        <v>1939074.4</v>
      </c>
      <c r="I155" s="3" t="s">
        <v>351</v>
      </c>
      <c r="J155" s="3" t="s">
        <v>99</v>
      </c>
      <c r="K155" s="3">
        <v>95</v>
      </c>
      <c r="L155" s="3">
        <v>95</v>
      </c>
      <c r="M155" s="3">
        <v>95</v>
      </c>
      <c r="N155" s="1"/>
      <c r="AA155" s="72" t="s">
        <v>34</v>
      </c>
    </row>
    <row r="156" spans="1:28" x14ac:dyDescent="0.2">
      <c r="A156" s="10" t="s">
        <v>150</v>
      </c>
      <c r="B156" s="10" t="s">
        <v>150</v>
      </c>
      <c r="C156" s="3" t="s">
        <v>150</v>
      </c>
      <c r="D156" s="3"/>
      <c r="E156" s="11" t="s">
        <v>352</v>
      </c>
      <c r="F156" s="12">
        <v>1819986.1</v>
      </c>
      <c r="G156" s="12">
        <v>1859448.1</v>
      </c>
      <c r="H156" s="12">
        <v>1863291.7</v>
      </c>
      <c r="I156" s="3" t="s">
        <v>353</v>
      </c>
      <c r="J156" s="3" t="s">
        <v>99</v>
      </c>
      <c r="K156" s="3">
        <v>95</v>
      </c>
      <c r="L156" s="3">
        <v>95</v>
      </c>
      <c r="M156" s="3">
        <v>95</v>
      </c>
      <c r="N156" s="1"/>
      <c r="AA156" s="72" t="s">
        <v>34</v>
      </c>
    </row>
    <row r="157" spans="1:28" ht="27" customHeight="1" x14ac:dyDescent="0.2">
      <c r="A157" s="10" t="s">
        <v>124</v>
      </c>
      <c r="B157" s="10" t="s">
        <v>124</v>
      </c>
      <c r="C157" s="3" t="s">
        <v>124</v>
      </c>
      <c r="D157" s="3"/>
      <c r="E157" s="11" t="s">
        <v>354</v>
      </c>
      <c r="F157" s="12">
        <v>30000</v>
      </c>
      <c r="G157" s="12">
        <v>30000</v>
      </c>
      <c r="H157" s="12">
        <v>30000</v>
      </c>
      <c r="I157" s="3" t="s">
        <v>355</v>
      </c>
      <c r="J157" s="3" t="s">
        <v>99</v>
      </c>
      <c r="K157" s="3">
        <v>95</v>
      </c>
      <c r="L157" s="3">
        <v>95</v>
      </c>
      <c r="M157" s="3">
        <v>95</v>
      </c>
      <c r="N157" s="1"/>
      <c r="AA157" s="72" t="s">
        <v>34</v>
      </c>
    </row>
    <row r="158" spans="1:28" ht="24" customHeight="1" x14ac:dyDescent="0.2">
      <c r="A158" s="10" t="s">
        <v>156</v>
      </c>
      <c r="B158" s="10" t="s">
        <v>156</v>
      </c>
      <c r="C158" s="3" t="s">
        <v>156</v>
      </c>
      <c r="D158" s="3"/>
      <c r="E158" s="11" t="s">
        <v>356</v>
      </c>
      <c r="F158" s="12">
        <v>30000</v>
      </c>
      <c r="G158" s="12">
        <v>30000</v>
      </c>
      <c r="H158" s="12">
        <v>30000</v>
      </c>
      <c r="I158" s="3" t="s">
        <v>357</v>
      </c>
      <c r="J158" s="3" t="s">
        <v>99</v>
      </c>
      <c r="K158" s="3">
        <v>90</v>
      </c>
      <c r="L158" s="3">
        <v>90</v>
      </c>
      <c r="M158" s="3">
        <v>90</v>
      </c>
      <c r="N158" s="1"/>
      <c r="AA158" s="72" t="s">
        <v>34</v>
      </c>
    </row>
    <row r="159" spans="1:28" ht="27.75" customHeight="1" x14ac:dyDescent="0.2">
      <c r="A159" s="10" t="s">
        <v>160</v>
      </c>
      <c r="B159" s="10" t="s">
        <v>160</v>
      </c>
      <c r="C159" s="3" t="s">
        <v>160</v>
      </c>
      <c r="D159" s="3"/>
      <c r="E159" s="11" t="s">
        <v>358</v>
      </c>
      <c r="F159" s="12">
        <v>236400</v>
      </c>
      <c r="G159" s="12">
        <v>236400</v>
      </c>
      <c r="H159" s="12">
        <v>236000</v>
      </c>
      <c r="I159" s="3" t="s">
        <v>359</v>
      </c>
      <c r="J159" s="3" t="s">
        <v>99</v>
      </c>
      <c r="K159" s="3">
        <v>100</v>
      </c>
      <c r="L159" s="3">
        <v>100</v>
      </c>
      <c r="M159" s="3">
        <v>100</v>
      </c>
      <c r="N159" s="1"/>
      <c r="AA159" s="72" t="s">
        <v>34</v>
      </c>
    </row>
    <row r="160" spans="1:28" x14ac:dyDescent="0.2">
      <c r="A160" s="210" t="s">
        <v>112</v>
      </c>
      <c r="B160" s="202"/>
      <c r="C160" s="202"/>
      <c r="D160" s="202"/>
      <c r="E160" s="203"/>
      <c r="F160" s="13">
        <v>5159304.8000000007</v>
      </c>
      <c r="G160" s="13">
        <v>5198766.8000000007</v>
      </c>
      <c r="H160" s="13">
        <v>5198366.8</v>
      </c>
      <c r="I160" s="201"/>
      <c r="J160" s="202"/>
      <c r="K160" s="202"/>
      <c r="L160" s="202"/>
      <c r="M160" s="203"/>
      <c r="N160" s="1"/>
      <c r="AA160" s="74" t="s">
        <v>46</v>
      </c>
    </row>
    <row r="161" spans="1:28" x14ac:dyDescent="0.2">
      <c r="A161" s="4" t="s">
        <v>360</v>
      </c>
      <c r="B161" s="212" t="s">
        <v>361</v>
      </c>
      <c r="C161" s="202"/>
      <c r="D161" s="202"/>
      <c r="E161" s="202"/>
      <c r="F161" s="202"/>
      <c r="G161" s="202"/>
      <c r="H161" s="202"/>
      <c r="I161" s="202"/>
      <c r="J161" s="202"/>
      <c r="K161" s="202"/>
      <c r="L161" s="202"/>
      <c r="M161" s="203"/>
      <c r="N161" s="1"/>
      <c r="AA161" s="70" t="s">
        <v>43</v>
      </c>
    </row>
    <row r="162" spans="1:28" x14ac:dyDescent="0.2">
      <c r="A162" s="5" t="s">
        <v>360</v>
      </c>
      <c r="B162" s="5" t="s">
        <v>96</v>
      </c>
      <c r="C162" s="6"/>
      <c r="D162" s="6"/>
      <c r="E162" s="7" t="s">
        <v>97</v>
      </c>
      <c r="F162" s="8">
        <v>2077532.3</v>
      </c>
      <c r="G162" s="8">
        <v>2100402.2400000002</v>
      </c>
      <c r="H162" s="8">
        <v>2115956.2999999998</v>
      </c>
      <c r="I162" s="18" t="s">
        <v>304</v>
      </c>
      <c r="J162" s="18" t="s">
        <v>103</v>
      </c>
      <c r="K162" s="18">
        <v>32</v>
      </c>
      <c r="L162" s="18">
        <v>33</v>
      </c>
      <c r="M162" s="18">
        <v>33</v>
      </c>
      <c r="N162" s="1"/>
      <c r="T162" s="22"/>
      <c r="AA162" s="71" t="s">
        <v>40</v>
      </c>
    </row>
    <row r="163" spans="1:28" ht="24" customHeight="1" x14ac:dyDescent="0.2">
      <c r="A163" s="10" t="s">
        <v>100</v>
      </c>
      <c r="B163" s="10" t="s">
        <v>100</v>
      </c>
      <c r="C163" s="3" t="s">
        <v>100</v>
      </c>
      <c r="D163" s="3"/>
      <c r="E163" s="11" t="s">
        <v>101</v>
      </c>
      <c r="F163" s="12">
        <v>1614854.3</v>
      </c>
      <c r="G163" s="12">
        <v>1628470.8</v>
      </c>
      <c r="H163" s="12">
        <v>1634716.2</v>
      </c>
      <c r="I163" s="3" t="s">
        <v>304</v>
      </c>
      <c r="J163" s="3" t="s">
        <v>103</v>
      </c>
      <c r="K163" s="3">
        <v>32</v>
      </c>
      <c r="L163" s="3">
        <v>33</v>
      </c>
      <c r="M163" s="3">
        <v>33</v>
      </c>
      <c r="N163" s="1"/>
      <c r="AA163" s="72" t="s">
        <v>34</v>
      </c>
    </row>
    <row r="164" spans="1:28" ht="29.25" customHeight="1" x14ac:dyDescent="0.2">
      <c r="A164" s="10" t="s">
        <v>120</v>
      </c>
      <c r="B164" s="10" t="s">
        <v>120</v>
      </c>
      <c r="C164" s="3" t="s">
        <v>120</v>
      </c>
      <c r="D164" s="3"/>
      <c r="E164" s="11" t="s">
        <v>203</v>
      </c>
      <c r="F164" s="12">
        <v>462678</v>
      </c>
      <c r="G164" s="12">
        <v>471931.44</v>
      </c>
      <c r="H164" s="12">
        <v>481240.1</v>
      </c>
      <c r="I164" s="3" t="s">
        <v>304</v>
      </c>
      <c r="J164" s="3" t="s">
        <v>103</v>
      </c>
      <c r="K164" s="3">
        <v>32</v>
      </c>
      <c r="L164" s="3">
        <v>33</v>
      </c>
      <c r="M164" s="3">
        <v>33</v>
      </c>
      <c r="N164" s="1"/>
      <c r="AA164" s="72" t="s">
        <v>34</v>
      </c>
    </row>
    <row r="165" spans="1:28" ht="28.5" customHeight="1" x14ac:dyDescent="0.2">
      <c r="A165" s="5" t="s">
        <v>360</v>
      </c>
      <c r="B165" s="5" t="s">
        <v>362</v>
      </c>
      <c r="C165" s="6"/>
      <c r="D165" s="6"/>
      <c r="E165" s="7" t="s">
        <v>363</v>
      </c>
      <c r="F165" s="8">
        <v>332704.90000000002</v>
      </c>
      <c r="G165" s="8">
        <v>336444.9</v>
      </c>
      <c r="H165" s="8">
        <v>340076.7</v>
      </c>
      <c r="I165" s="9" t="s">
        <v>364</v>
      </c>
      <c r="J165" s="9" t="s">
        <v>99</v>
      </c>
      <c r="K165" s="9">
        <v>100</v>
      </c>
      <c r="L165" s="9">
        <v>100</v>
      </c>
      <c r="M165" s="9">
        <v>100</v>
      </c>
      <c r="N165" s="1"/>
      <c r="AA165" s="71" t="s">
        <v>40</v>
      </c>
    </row>
    <row r="166" spans="1:28" ht="36" customHeight="1" x14ac:dyDescent="0.2">
      <c r="A166" s="10" t="s">
        <v>100</v>
      </c>
      <c r="B166" s="10" t="s">
        <v>100</v>
      </c>
      <c r="C166" s="3" t="s">
        <v>100</v>
      </c>
      <c r="D166" s="3"/>
      <c r="E166" s="11" t="s">
        <v>365</v>
      </c>
      <c r="F166" s="12">
        <v>27771.200000000001</v>
      </c>
      <c r="G166" s="12">
        <v>28046.6</v>
      </c>
      <c r="H166" s="12">
        <v>28225.5</v>
      </c>
      <c r="I166" s="3" t="s">
        <v>366</v>
      </c>
      <c r="J166" s="3" t="s">
        <v>159</v>
      </c>
      <c r="K166" s="3">
        <v>5200</v>
      </c>
      <c r="L166" s="3">
        <v>5200</v>
      </c>
      <c r="M166" s="3">
        <v>5200</v>
      </c>
      <c r="N166" s="1"/>
      <c r="AA166" s="72" t="s">
        <v>34</v>
      </c>
    </row>
    <row r="167" spans="1:28" ht="34.5" customHeight="1" x14ac:dyDescent="0.2">
      <c r="A167" s="209" t="s">
        <v>120</v>
      </c>
      <c r="B167" s="209" t="s">
        <v>120</v>
      </c>
      <c r="C167" s="207" t="s">
        <v>120</v>
      </c>
      <c r="D167" s="207"/>
      <c r="E167" s="208" t="s">
        <v>367</v>
      </c>
      <c r="F167" s="204">
        <v>45181.9</v>
      </c>
      <c r="G167" s="204">
        <v>46085.5</v>
      </c>
      <c r="H167" s="204">
        <v>47007.199999999997</v>
      </c>
      <c r="I167" s="3" t="s">
        <v>368</v>
      </c>
      <c r="J167" s="3" t="s">
        <v>369</v>
      </c>
      <c r="K167" s="3">
        <v>5</v>
      </c>
      <c r="L167" s="3">
        <v>5</v>
      </c>
      <c r="M167" s="3">
        <v>5</v>
      </c>
      <c r="N167" s="1"/>
      <c r="AA167" s="72" t="s">
        <v>34</v>
      </c>
      <c r="AB167" s="75" t="s">
        <v>169</v>
      </c>
    </row>
    <row r="168" spans="1:28" ht="48" customHeight="1" x14ac:dyDescent="0.2">
      <c r="A168" s="205"/>
      <c r="B168" s="205"/>
      <c r="C168" s="205"/>
      <c r="D168" s="205"/>
      <c r="E168" s="205"/>
      <c r="F168" s="205"/>
      <c r="G168" s="205"/>
      <c r="H168" s="205"/>
      <c r="I168" s="3" t="s">
        <v>370</v>
      </c>
      <c r="J168" s="3" t="s">
        <v>371</v>
      </c>
      <c r="K168" s="3">
        <v>100</v>
      </c>
      <c r="L168" s="3">
        <v>100</v>
      </c>
      <c r="M168" s="3">
        <v>100</v>
      </c>
      <c r="N168" s="1"/>
      <c r="AA168" s="73" t="s">
        <v>37</v>
      </c>
    </row>
    <row r="169" spans="1:28" ht="46.5" customHeight="1" x14ac:dyDescent="0.2">
      <c r="A169" s="205"/>
      <c r="B169" s="205"/>
      <c r="C169" s="205"/>
      <c r="D169" s="205"/>
      <c r="E169" s="205"/>
      <c r="F169" s="205"/>
      <c r="G169" s="205"/>
      <c r="H169" s="205"/>
      <c r="I169" s="3" t="s">
        <v>372</v>
      </c>
      <c r="J169" s="3" t="s">
        <v>371</v>
      </c>
      <c r="K169" s="3">
        <v>7</v>
      </c>
      <c r="L169" s="3">
        <v>7</v>
      </c>
      <c r="M169" s="3">
        <v>7</v>
      </c>
      <c r="N169" s="1"/>
      <c r="AA169" s="73" t="s">
        <v>37</v>
      </c>
    </row>
    <row r="170" spans="1:28" ht="30" customHeight="1" x14ac:dyDescent="0.2">
      <c r="A170" s="205"/>
      <c r="B170" s="205"/>
      <c r="C170" s="205"/>
      <c r="D170" s="205"/>
      <c r="E170" s="205"/>
      <c r="F170" s="205"/>
      <c r="G170" s="205"/>
      <c r="H170" s="205"/>
      <c r="I170" s="3" t="s">
        <v>373</v>
      </c>
      <c r="J170" s="3" t="s">
        <v>99</v>
      </c>
      <c r="K170" s="3">
        <v>100</v>
      </c>
      <c r="L170" s="3">
        <v>100</v>
      </c>
      <c r="M170" s="3">
        <v>100</v>
      </c>
      <c r="N170" s="1"/>
      <c r="AA170" s="73" t="s">
        <v>37</v>
      </c>
    </row>
    <row r="171" spans="1:28" ht="22.5" customHeight="1" x14ac:dyDescent="0.2">
      <c r="A171" s="206"/>
      <c r="B171" s="206"/>
      <c r="C171" s="206"/>
      <c r="D171" s="206"/>
      <c r="E171" s="206"/>
      <c r="F171" s="206"/>
      <c r="G171" s="206"/>
      <c r="H171" s="206"/>
      <c r="I171" s="3" t="s">
        <v>374</v>
      </c>
      <c r="J171" s="3" t="s">
        <v>369</v>
      </c>
      <c r="K171" s="3">
        <v>5</v>
      </c>
      <c r="L171" s="3">
        <v>5</v>
      </c>
      <c r="M171" s="3">
        <v>5</v>
      </c>
      <c r="N171" s="1"/>
      <c r="AA171" s="73" t="s">
        <v>37</v>
      </c>
    </row>
    <row r="172" spans="1:28" ht="40.5" customHeight="1" x14ac:dyDescent="0.2">
      <c r="A172" s="10" t="s">
        <v>150</v>
      </c>
      <c r="B172" s="10" t="s">
        <v>150</v>
      </c>
      <c r="C172" s="3" t="s">
        <v>150</v>
      </c>
      <c r="D172" s="3"/>
      <c r="E172" s="11" t="s">
        <v>375</v>
      </c>
      <c r="F172" s="12">
        <v>48732.6</v>
      </c>
      <c r="G172" s="12">
        <v>49595.3</v>
      </c>
      <c r="H172" s="12">
        <v>50394.2</v>
      </c>
      <c r="I172" s="3" t="s">
        <v>376</v>
      </c>
      <c r="J172" s="3" t="s">
        <v>99</v>
      </c>
      <c r="K172" s="3">
        <v>100</v>
      </c>
      <c r="L172" s="3">
        <v>100</v>
      </c>
      <c r="M172" s="3">
        <v>100</v>
      </c>
      <c r="N172" s="1"/>
      <c r="AA172" s="72" t="s">
        <v>34</v>
      </c>
      <c r="AB172" s="75" t="s">
        <v>149</v>
      </c>
    </row>
    <row r="173" spans="1:28" ht="30" customHeight="1" x14ac:dyDescent="0.2">
      <c r="A173" s="10" t="s">
        <v>124</v>
      </c>
      <c r="B173" s="10" t="s">
        <v>124</v>
      </c>
      <c r="C173" s="3" t="s">
        <v>124</v>
      </c>
      <c r="D173" s="3"/>
      <c r="E173" s="11" t="s">
        <v>377</v>
      </c>
      <c r="F173" s="12">
        <v>126104.5</v>
      </c>
      <c r="G173" s="12">
        <v>126104.5</v>
      </c>
      <c r="H173" s="12">
        <v>126104.5</v>
      </c>
      <c r="I173" s="3" t="s">
        <v>378</v>
      </c>
      <c r="J173" s="3" t="s">
        <v>379</v>
      </c>
      <c r="K173" s="3">
        <v>29729.599999999999</v>
      </c>
      <c r="L173" s="3">
        <v>8674.6</v>
      </c>
      <c r="M173" s="3">
        <v>6729.6</v>
      </c>
      <c r="N173" s="1"/>
      <c r="AA173" s="72" t="s">
        <v>34</v>
      </c>
      <c r="AB173" s="75" t="s">
        <v>169</v>
      </c>
    </row>
    <row r="174" spans="1:28" ht="57" customHeight="1" x14ac:dyDescent="0.2">
      <c r="A174" s="10" t="s">
        <v>156</v>
      </c>
      <c r="B174" s="10" t="s">
        <v>156</v>
      </c>
      <c r="C174" s="3" t="s">
        <v>156</v>
      </c>
      <c r="D174" s="3"/>
      <c r="E174" s="11" t="s">
        <v>380</v>
      </c>
      <c r="F174" s="12">
        <v>61872.7</v>
      </c>
      <c r="G174" s="12">
        <v>63110.2</v>
      </c>
      <c r="H174" s="12">
        <v>64372.4</v>
      </c>
      <c r="I174" s="3" t="s">
        <v>381</v>
      </c>
      <c r="J174" s="3" t="s">
        <v>99</v>
      </c>
      <c r="K174" s="3">
        <v>100</v>
      </c>
      <c r="L174" s="3">
        <v>100</v>
      </c>
      <c r="M174" s="3">
        <v>100</v>
      </c>
      <c r="N174" s="1"/>
      <c r="AA174" s="72" t="s">
        <v>34</v>
      </c>
    </row>
    <row r="175" spans="1:28" ht="30" customHeight="1" x14ac:dyDescent="0.2">
      <c r="A175" s="10" t="s">
        <v>160</v>
      </c>
      <c r="B175" s="10" t="s">
        <v>160</v>
      </c>
      <c r="C175" s="3" t="s">
        <v>160</v>
      </c>
      <c r="D175" s="3"/>
      <c r="E175" s="11" t="s">
        <v>382</v>
      </c>
      <c r="F175" s="12">
        <v>23042</v>
      </c>
      <c r="G175" s="12">
        <v>23502.799999999999</v>
      </c>
      <c r="H175" s="12">
        <v>23972.9</v>
      </c>
      <c r="I175" s="3" t="s">
        <v>383</v>
      </c>
      <c r="J175" s="3" t="s">
        <v>223</v>
      </c>
      <c r="K175" s="3">
        <v>55</v>
      </c>
      <c r="L175" s="3">
        <v>60</v>
      </c>
      <c r="M175" s="3">
        <v>65</v>
      </c>
      <c r="N175" s="1"/>
      <c r="AA175" s="72" t="s">
        <v>34</v>
      </c>
    </row>
    <row r="176" spans="1:28" ht="30" customHeight="1" x14ac:dyDescent="0.2">
      <c r="A176" s="217" t="s">
        <v>360</v>
      </c>
      <c r="B176" s="217" t="s">
        <v>384</v>
      </c>
      <c r="C176" s="219"/>
      <c r="D176" s="219"/>
      <c r="E176" s="216" t="s">
        <v>385</v>
      </c>
      <c r="F176" s="211">
        <v>10614609.5</v>
      </c>
      <c r="G176" s="211">
        <v>9479566.7999999989</v>
      </c>
      <c r="H176" s="211">
        <v>9668371</v>
      </c>
      <c r="I176" s="9" t="s">
        <v>386</v>
      </c>
      <c r="J176" s="9" t="s">
        <v>99</v>
      </c>
      <c r="K176" s="9">
        <v>100</v>
      </c>
      <c r="L176" s="9">
        <v>100</v>
      </c>
      <c r="M176" s="9">
        <v>100</v>
      </c>
      <c r="N176" s="1"/>
      <c r="AA176" s="71" t="s">
        <v>40</v>
      </c>
    </row>
    <row r="177" spans="1:28" ht="36" customHeight="1" x14ac:dyDescent="0.2">
      <c r="A177" s="206"/>
      <c r="B177" s="206"/>
      <c r="C177" s="206"/>
      <c r="D177" s="206"/>
      <c r="E177" s="206"/>
      <c r="F177" s="206"/>
      <c r="G177" s="206"/>
      <c r="H177" s="206"/>
      <c r="I177" s="9" t="s">
        <v>387</v>
      </c>
      <c r="J177" s="9" t="s">
        <v>99</v>
      </c>
      <c r="K177" s="9">
        <v>100</v>
      </c>
      <c r="L177" s="9">
        <v>100</v>
      </c>
      <c r="M177" s="9">
        <v>100</v>
      </c>
      <c r="N177" s="1"/>
      <c r="AA177" s="73" t="s">
        <v>37</v>
      </c>
    </row>
    <row r="178" spans="1:28" ht="30" customHeight="1" x14ac:dyDescent="0.2">
      <c r="A178" s="10" t="s">
        <v>100</v>
      </c>
      <c r="B178" s="10" t="s">
        <v>100</v>
      </c>
      <c r="C178" s="3" t="s">
        <v>100</v>
      </c>
      <c r="D178" s="3"/>
      <c r="E178" s="11" t="s">
        <v>388</v>
      </c>
      <c r="F178" s="12">
        <v>1831785.7</v>
      </c>
      <c r="G178" s="12">
        <v>933081.4</v>
      </c>
      <c r="H178" s="12">
        <v>951743</v>
      </c>
      <c r="I178" s="3" t="s">
        <v>389</v>
      </c>
      <c r="J178" s="3" t="s">
        <v>99</v>
      </c>
      <c r="K178" s="3">
        <v>100</v>
      </c>
      <c r="L178" s="3">
        <v>100</v>
      </c>
      <c r="M178" s="3">
        <v>100</v>
      </c>
      <c r="N178" s="1"/>
      <c r="AA178" s="72" t="s">
        <v>34</v>
      </c>
    </row>
    <row r="179" spans="1:28" ht="41.25" customHeight="1" x14ac:dyDescent="0.2">
      <c r="A179" s="10" t="s">
        <v>120</v>
      </c>
      <c r="B179" s="10" t="s">
        <v>120</v>
      </c>
      <c r="C179" s="3" t="s">
        <v>120</v>
      </c>
      <c r="D179" s="3"/>
      <c r="E179" s="11" t="s">
        <v>390</v>
      </c>
      <c r="F179" s="12">
        <v>5113087</v>
      </c>
      <c r="G179" s="12">
        <v>5145840.7</v>
      </c>
      <c r="H179" s="12">
        <v>5248757.5999999996</v>
      </c>
      <c r="I179" s="3" t="s">
        <v>391</v>
      </c>
      <c r="J179" s="3" t="s">
        <v>269</v>
      </c>
      <c r="K179" s="3">
        <v>0.03</v>
      </c>
      <c r="L179" s="3">
        <v>0.03</v>
      </c>
      <c r="M179" s="3">
        <v>0.03</v>
      </c>
      <c r="N179" s="1"/>
      <c r="AA179" s="72" t="s">
        <v>34</v>
      </c>
    </row>
    <row r="180" spans="1:28" ht="39" customHeight="1" x14ac:dyDescent="0.2">
      <c r="A180" s="10" t="s">
        <v>150</v>
      </c>
      <c r="B180" s="10" t="s">
        <v>150</v>
      </c>
      <c r="C180" s="3" t="s">
        <v>150</v>
      </c>
      <c r="D180" s="3"/>
      <c r="E180" s="11" t="s">
        <v>392</v>
      </c>
      <c r="F180" s="12">
        <v>412393.2</v>
      </c>
      <c r="G180" s="12">
        <v>420629.1</v>
      </c>
      <c r="H180" s="12">
        <v>429029.6</v>
      </c>
      <c r="I180" s="3" t="s">
        <v>393</v>
      </c>
      <c r="J180" s="3" t="s">
        <v>99</v>
      </c>
      <c r="K180" s="3">
        <v>100</v>
      </c>
      <c r="L180" s="3">
        <v>100</v>
      </c>
      <c r="M180" s="3">
        <v>100</v>
      </c>
      <c r="N180" s="1"/>
      <c r="AA180" s="72" t="s">
        <v>34</v>
      </c>
    </row>
    <row r="181" spans="1:28" ht="54" customHeight="1" x14ac:dyDescent="0.2">
      <c r="A181" s="10" t="s">
        <v>124</v>
      </c>
      <c r="B181" s="10" t="s">
        <v>124</v>
      </c>
      <c r="C181" s="3" t="s">
        <v>124</v>
      </c>
      <c r="D181" s="3"/>
      <c r="E181" s="11" t="s">
        <v>394</v>
      </c>
      <c r="F181" s="12">
        <v>2559078.2000000002</v>
      </c>
      <c r="G181" s="12">
        <v>2268504.9</v>
      </c>
      <c r="H181" s="12">
        <v>2313819.9</v>
      </c>
      <c r="I181" s="3" t="s">
        <v>395</v>
      </c>
      <c r="J181" s="3" t="s">
        <v>269</v>
      </c>
      <c r="K181" s="3">
        <v>0.02</v>
      </c>
      <c r="L181" s="3">
        <v>0.02</v>
      </c>
      <c r="M181" s="3">
        <v>0.02</v>
      </c>
      <c r="N181" s="1"/>
      <c r="AA181" s="72" t="s">
        <v>34</v>
      </c>
    </row>
    <row r="182" spans="1:28" ht="27" customHeight="1" x14ac:dyDescent="0.2">
      <c r="A182" s="10" t="s">
        <v>156</v>
      </c>
      <c r="B182" s="10" t="s">
        <v>156</v>
      </c>
      <c r="C182" s="3" t="s">
        <v>156</v>
      </c>
      <c r="D182" s="3"/>
      <c r="E182" s="11" t="s">
        <v>396</v>
      </c>
      <c r="F182" s="12">
        <v>698265.4</v>
      </c>
      <c r="G182" s="12">
        <v>711510.7</v>
      </c>
      <c r="H182" s="12">
        <v>725020.9</v>
      </c>
      <c r="I182" s="3" t="s">
        <v>397</v>
      </c>
      <c r="J182" s="3" t="s">
        <v>99</v>
      </c>
      <c r="K182" s="3">
        <v>100</v>
      </c>
      <c r="L182" s="3">
        <v>100</v>
      </c>
      <c r="M182" s="3">
        <v>100</v>
      </c>
      <c r="N182" s="1"/>
      <c r="AA182" s="72" t="s">
        <v>34</v>
      </c>
      <c r="AB182" s="75" t="s">
        <v>123</v>
      </c>
    </row>
    <row r="183" spans="1:28" ht="42" customHeight="1" x14ac:dyDescent="0.2">
      <c r="A183" s="5" t="s">
        <v>360</v>
      </c>
      <c r="B183" s="5" t="s">
        <v>398</v>
      </c>
      <c r="C183" s="6"/>
      <c r="D183" s="6"/>
      <c r="E183" s="7" t="s">
        <v>399</v>
      </c>
      <c r="F183" s="8">
        <v>104267.8</v>
      </c>
      <c r="G183" s="8">
        <v>106329.2</v>
      </c>
      <c r="H183" s="8">
        <v>108427.7</v>
      </c>
      <c r="I183" s="18" t="s">
        <v>400</v>
      </c>
      <c r="J183" s="18" t="s">
        <v>155</v>
      </c>
      <c r="K183" s="18">
        <v>93</v>
      </c>
      <c r="L183" s="18">
        <v>94</v>
      </c>
      <c r="M183" s="18">
        <v>94</v>
      </c>
      <c r="N183" s="1"/>
      <c r="AA183" s="71" t="s">
        <v>40</v>
      </c>
    </row>
    <row r="184" spans="1:28" ht="48.75" customHeight="1" x14ac:dyDescent="0.2">
      <c r="A184" s="10" t="s">
        <v>100</v>
      </c>
      <c r="B184" s="10" t="s">
        <v>100</v>
      </c>
      <c r="C184" s="3" t="s">
        <v>100</v>
      </c>
      <c r="D184" s="3"/>
      <c r="E184" s="11" t="s">
        <v>401</v>
      </c>
      <c r="F184" s="12">
        <v>46594.6</v>
      </c>
      <c r="G184" s="12">
        <v>57165.3</v>
      </c>
      <c r="H184" s="12">
        <v>58477.599999999999</v>
      </c>
      <c r="I184" s="3" t="s">
        <v>400</v>
      </c>
      <c r="J184" s="3" t="s">
        <v>155</v>
      </c>
      <c r="K184" s="3">
        <v>93</v>
      </c>
      <c r="L184" s="3">
        <v>94</v>
      </c>
      <c r="M184" s="3">
        <v>94</v>
      </c>
      <c r="N184" s="1"/>
      <c r="AA184" s="72" t="s">
        <v>34</v>
      </c>
    </row>
    <row r="185" spans="1:28" ht="40.5" customHeight="1" x14ac:dyDescent="0.2">
      <c r="A185" s="209" t="s">
        <v>120</v>
      </c>
      <c r="B185" s="209" t="s">
        <v>120</v>
      </c>
      <c r="C185" s="207" t="s">
        <v>120</v>
      </c>
      <c r="D185" s="207"/>
      <c r="E185" s="208" t="s">
        <v>402</v>
      </c>
      <c r="F185" s="204">
        <v>42937.4</v>
      </c>
      <c r="G185" s="204">
        <v>34157.4</v>
      </c>
      <c r="H185" s="204">
        <v>34671.5</v>
      </c>
      <c r="I185" s="3" t="s">
        <v>403</v>
      </c>
      <c r="J185" s="3" t="s">
        <v>155</v>
      </c>
      <c r="K185" s="3">
        <v>315</v>
      </c>
      <c r="L185" s="3">
        <v>320</v>
      </c>
      <c r="M185" s="3">
        <v>320</v>
      </c>
      <c r="N185" s="1"/>
      <c r="AA185" s="72" t="s">
        <v>34</v>
      </c>
    </row>
    <row r="186" spans="1:28" x14ac:dyDescent="0.2">
      <c r="A186" s="206"/>
      <c r="B186" s="206"/>
      <c r="C186" s="206"/>
      <c r="D186" s="206"/>
      <c r="E186" s="206"/>
      <c r="F186" s="206"/>
      <c r="G186" s="206"/>
      <c r="H186" s="206"/>
      <c r="I186" s="3" t="s">
        <v>404</v>
      </c>
      <c r="J186" s="3" t="s">
        <v>405</v>
      </c>
      <c r="K186" s="3">
        <v>500</v>
      </c>
      <c r="L186" s="3">
        <v>500</v>
      </c>
      <c r="M186" s="3">
        <v>550</v>
      </c>
      <c r="N186" s="1"/>
      <c r="AA186" s="73" t="s">
        <v>37</v>
      </c>
    </row>
    <row r="187" spans="1:28" ht="54.75" customHeight="1" x14ac:dyDescent="0.2">
      <c r="A187" s="23"/>
      <c r="B187" s="23"/>
      <c r="C187" s="24" t="s">
        <v>150</v>
      </c>
      <c r="D187" s="23"/>
      <c r="E187" s="25" t="s">
        <v>406</v>
      </c>
      <c r="F187" s="26">
        <v>14735.8</v>
      </c>
      <c r="G187" s="26">
        <v>15006.5</v>
      </c>
      <c r="H187" s="26">
        <v>15278.6</v>
      </c>
      <c r="I187" s="17" t="s">
        <v>407</v>
      </c>
      <c r="J187" s="17" t="s">
        <v>159</v>
      </c>
      <c r="K187" s="17">
        <v>1300</v>
      </c>
      <c r="L187" s="17">
        <v>1300</v>
      </c>
      <c r="M187" s="17">
        <v>1300</v>
      </c>
      <c r="N187" s="1"/>
      <c r="AA187" s="72" t="s">
        <v>34</v>
      </c>
      <c r="AB187" s="75" t="s">
        <v>149</v>
      </c>
    </row>
    <row r="188" spans="1:28" x14ac:dyDescent="0.2">
      <c r="A188" s="5" t="s">
        <v>360</v>
      </c>
      <c r="B188" s="5" t="s">
        <v>408</v>
      </c>
      <c r="C188" s="5" t="s">
        <v>100</v>
      </c>
      <c r="D188" s="5"/>
      <c r="E188" s="7" t="s">
        <v>409</v>
      </c>
      <c r="F188" s="8">
        <v>2418048.5</v>
      </c>
      <c r="G188" s="8">
        <v>2322126.7999999998</v>
      </c>
      <c r="H188" s="8">
        <v>1249038.7</v>
      </c>
      <c r="I188" s="19" t="s">
        <v>347</v>
      </c>
      <c r="J188" s="19" t="s">
        <v>99</v>
      </c>
      <c r="K188" s="19">
        <v>100</v>
      </c>
      <c r="L188" s="19">
        <v>100</v>
      </c>
      <c r="M188" s="19">
        <v>100</v>
      </c>
      <c r="N188" s="1"/>
      <c r="AA188" s="72" t="s">
        <v>34</v>
      </c>
    </row>
    <row r="189" spans="1:28" x14ac:dyDescent="0.2">
      <c r="A189" s="210" t="s">
        <v>112</v>
      </c>
      <c r="B189" s="202"/>
      <c r="C189" s="202"/>
      <c r="D189" s="202"/>
      <c r="E189" s="203"/>
      <c r="F189" s="13">
        <v>15547163</v>
      </c>
      <c r="G189" s="13">
        <v>14344869.939999999</v>
      </c>
      <c r="H189" s="13">
        <v>13481870.4</v>
      </c>
      <c r="I189" s="201"/>
      <c r="J189" s="202"/>
      <c r="K189" s="202"/>
      <c r="L189" s="202"/>
      <c r="M189" s="203"/>
      <c r="N189" s="1"/>
      <c r="AA189" s="74" t="s">
        <v>46</v>
      </c>
    </row>
    <row r="190" spans="1:28" x14ac:dyDescent="0.2">
      <c r="A190" s="4" t="s">
        <v>410</v>
      </c>
      <c r="B190" s="212" t="s">
        <v>411</v>
      </c>
      <c r="C190" s="202"/>
      <c r="D190" s="202"/>
      <c r="E190" s="202"/>
      <c r="F190" s="202"/>
      <c r="G190" s="202"/>
      <c r="H190" s="202"/>
      <c r="I190" s="202"/>
      <c r="J190" s="202"/>
      <c r="K190" s="202"/>
      <c r="L190" s="202"/>
      <c r="M190" s="203"/>
      <c r="N190" s="1"/>
      <c r="AA190" s="70" t="s">
        <v>43</v>
      </c>
    </row>
    <row r="191" spans="1:28" ht="27.75" customHeight="1" x14ac:dyDescent="0.2">
      <c r="A191" s="5" t="s">
        <v>410</v>
      </c>
      <c r="B191" s="5" t="s">
        <v>412</v>
      </c>
      <c r="C191" s="6"/>
      <c r="D191" s="6"/>
      <c r="E191" s="7" t="s">
        <v>413</v>
      </c>
      <c r="F191" s="8">
        <v>46670347.299999997</v>
      </c>
      <c r="G191" s="8">
        <v>46670347.299999997</v>
      </c>
      <c r="H191" s="8">
        <v>46670347.299999997</v>
      </c>
      <c r="I191" s="50" t="s">
        <v>414</v>
      </c>
      <c r="J191" s="50" t="s">
        <v>155</v>
      </c>
      <c r="K191" s="50">
        <v>0</v>
      </c>
      <c r="L191" s="50">
        <v>0</v>
      </c>
      <c r="M191" s="50">
        <v>0</v>
      </c>
      <c r="N191" s="1"/>
      <c r="AA191" s="71" t="s">
        <v>40</v>
      </c>
    </row>
    <row r="192" spans="1:28" ht="28.5" customHeight="1" x14ac:dyDescent="0.2">
      <c r="A192" s="10" t="s">
        <v>100</v>
      </c>
      <c r="B192" s="10" t="s">
        <v>100</v>
      </c>
      <c r="C192" s="3" t="s">
        <v>100</v>
      </c>
      <c r="D192" s="3"/>
      <c r="E192" s="11" t="s">
        <v>415</v>
      </c>
      <c r="F192" s="12">
        <v>33574380.799999997</v>
      </c>
      <c r="G192" s="12">
        <v>33574380.799999997</v>
      </c>
      <c r="H192" s="12">
        <v>33574380.799999997</v>
      </c>
      <c r="I192" s="17" t="s">
        <v>416</v>
      </c>
      <c r="J192" s="17" t="s">
        <v>155</v>
      </c>
      <c r="K192" s="17">
        <v>0</v>
      </c>
      <c r="L192" s="17">
        <v>0</v>
      </c>
      <c r="M192" s="17">
        <v>0</v>
      </c>
      <c r="N192" s="1"/>
      <c r="AA192" s="72" t="s">
        <v>34</v>
      </c>
    </row>
    <row r="193" spans="1:28" ht="36" customHeight="1" x14ac:dyDescent="0.2">
      <c r="A193" s="10" t="s">
        <v>150</v>
      </c>
      <c r="B193" s="10" t="s">
        <v>150</v>
      </c>
      <c r="C193" s="3" t="s">
        <v>150</v>
      </c>
      <c r="D193" s="3"/>
      <c r="E193" s="11" t="s">
        <v>417</v>
      </c>
      <c r="F193" s="12">
        <v>5862840</v>
      </c>
      <c r="G193" s="12">
        <v>5862840</v>
      </c>
      <c r="H193" s="12">
        <v>5862840</v>
      </c>
      <c r="I193" s="17" t="s">
        <v>416</v>
      </c>
      <c r="J193" s="17" t="s">
        <v>155</v>
      </c>
      <c r="K193" s="17">
        <v>0</v>
      </c>
      <c r="L193" s="17">
        <v>0</v>
      </c>
      <c r="M193" s="17">
        <v>0</v>
      </c>
      <c r="N193" s="1"/>
      <c r="AA193" s="72" t="s">
        <v>34</v>
      </c>
    </row>
    <row r="194" spans="1:28" ht="30.75" customHeight="1" x14ac:dyDescent="0.2">
      <c r="A194" s="10" t="s">
        <v>124</v>
      </c>
      <c r="B194" s="10" t="s">
        <v>124</v>
      </c>
      <c r="C194" s="3" t="s">
        <v>124</v>
      </c>
      <c r="D194" s="3"/>
      <c r="E194" s="11" t="s">
        <v>418</v>
      </c>
      <c r="F194" s="12">
        <v>7233126.5</v>
      </c>
      <c r="G194" s="12">
        <v>7233126.5</v>
      </c>
      <c r="H194" s="12">
        <v>7233126.5</v>
      </c>
      <c r="I194" s="17" t="s">
        <v>414</v>
      </c>
      <c r="J194" s="17" t="s">
        <v>155</v>
      </c>
      <c r="K194" s="17">
        <v>0</v>
      </c>
      <c r="L194" s="17">
        <v>0</v>
      </c>
      <c r="M194" s="17">
        <v>0</v>
      </c>
      <c r="N194" s="1"/>
      <c r="AA194" s="72" t="s">
        <v>34</v>
      </c>
    </row>
    <row r="195" spans="1:28" ht="30.75" customHeight="1" x14ac:dyDescent="0.2">
      <c r="A195" s="5" t="s">
        <v>410</v>
      </c>
      <c r="B195" s="5" t="s">
        <v>419</v>
      </c>
      <c r="C195" s="6"/>
      <c r="D195" s="6"/>
      <c r="E195" s="7" t="s">
        <v>420</v>
      </c>
      <c r="F195" s="8">
        <v>164663857.22</v>
      </c>
      <c r="G195" s="8">
        <v>112194631.15000001</v>
      </c>
      <c r="H195" s="8">
        <v>134586734.03</v>
      </c>
      <c r="I195" s="50" t="s">
        <v>421</v>
      </c>
      <c r="J195" s="50" t="s">
        <v>186</v>
      </c>
      <c r="K195" s="51">
        <v>164663857.22</v>
      </c>
      <c r="L195" s="51">
        <v>112194631.15000001</v>
      </c>
      <c r="M195" s="51">
        <v>134586734.03</v>
      </c>
      <c r="N195" s="1"/>
      <c r="AA195" s="71" t="s">
        <v>40</v>
      </c>
    </row>
    <row r="196" spans="1:28" ht="55.5" customHeight="1" x14ac:dyDescent="0.2">
      <c r="A196" s="10" t="s">
        <v>150</v>
      </c>
      <c r="B196" s="10" t="s">
        <v>150</v>
      </c>
      <c r="C196" s="3" t="s">
        <v>150</v>
      </c>
      <c r="D196" s="3"/>
      <c r="E196" s="28" t="s">
        <v>422</v>
      </c>
      <c r="F196" s="29">
        <v>150000</v>
      </c>
      <c r="G196" s="29">
        <v>150000</v>
      </c>
      <c r="H196" s="29">
        <v>0</v>
      </c>
      <c r="I196" s="56" t="s">
        <v>423</v>
      </c>
      <c r="J196" s="55" t="s">
        <v>186</v>
      </c>
      <c r="K196" s="54">
        <f t="shared" ref="K196:L202" si="0">F196</f>
        <v>150000</v>
      </c>
      <c r="L196" s="54">
        <f t="shared" si="0"/>
        <v>150000</v>
      </c>
      <c r="M196" s="17"/>
      <c r="N196" s="1"/>
      <c r="AA196" s="72" t="s">
        <v>34</v>
      </c>
      <c r="AB196" s="75" t="s">
        <v>149</v>
      </c>
    </row>
    <row r="197" spans="1:28" ht="24" customHeight="1" x14ac:dyDescent="0.2">
      <c r="A197" s="10" t="s">
        <v>124</v>
      </c>
      <c r="B197" s="10" t="s">
        <v>124</v>
      </c>
      <c r="C197" s="3" t="s">
        <v>124</v>
      </c>
      <c r="D197" s="3"/>
      <c r="E197" s="28" t="s">
        <v>424</v>
      </c>
      <c r="F197" s="29">
        <v>800000</v>
      </c>
      <c r="G197" s="29">
        <v>900000</v>
      </c>
      <c r="H197" s="29">
        <v>1000000</v>
      </c>
      <c r="I197" s="56" t="s">
        <v>425</v>
      </c>
      <c r="J197" s="55" t="s">
        <v>186</v>
      </c>
      <c r="K197" s="54">
        <f t="shared" si="0"/>
        <v>800000</v>
      </c>
      <c r="L197" s="54">
        <f t="shared" si="0"/>
        <v>900000</v>
      </c>
      <c r="M197" s="54">
        <f t="shared" ref="M197:M202" si="1">H197</f>
        <v>1000000</v>
      </c>
      <c r="N197" s="1"/>
      <c r="AA197" s="72" t="s">
        <v>34</v>
      </c>
    </row>
    <row r="198" spans="1:28" ht="56.25" customHeight="1" x14ac:dyDescent="0.2">
      <c r="A198" s="10" t="s">
        <v>160</v>
      </c>
      <c r="B198" s="10" t="s">
        <v>160</v>
      </c>
      <c r="C198" s="3" t="s">
        <v>160</v>
      </c>
      <c r="D198" s="3"/>
      <c r="E198" s="28" t="s">
        <v>426</v>
      </c>
      <c r="F198" s="29">
        <v>1000000</v>
      </c>
      <c r="G198" s="29">
        <v>1000000</v>
      </c>
      <c r="H198" s="29">
        <v>1000000</v>
      </c>
      <c r="I198" s="27" t="s">
        <v>427</v>
      </c>
      <c r="J198" s="55" t="s">
        <v>186</v>
      </c>
      <c r="K198" s="54">
        <f t="shared" si="0"/>
        <v>1000000</v>
      </c>
      <c r="L198" s="54">
        <f t="shared" si="0"/>
        <v>1000000</v>
      </c>
      <c r="M198" s="54">
        <f t="shared" si="1"/>
        <v>1000000</v>
      </c>
      <c r="N198" s="1"/>
      <c r="AA198" s="72" t="s">
        <v>34</v>
      </c>
      <c r="AB198" s="75" t="s">
        <v>123</v>
      </c>
    </row>
    <row r="199" spans="1:28" ht="30" customHeight="1" x14ac:dyDescent="0.2">
      <c r="A199" s="10" t="s">
        <v>163</v>
      </c>
      <c r="B199" s="10" t="s">
        <v>163</v>
      </c>
      <c r="C199" s="3" t="s">
        <v>163</v>
      </c>
      <c r="D199" s="3"/>
      <c r="E199" s="28" t="s">
        <v>428</v>
      </c>
      <c r="F199" s="29">
        <v>3107142.63</v>
      </c>
      <c r="G199" s="29">
        <v>3558200</v>
      </c>
      <c r="H199" s="29">
        <v>1350200</v>
      </c>
      <c r="I199" s="27" t="s">
        <v>429</v>
      </c>
      <c r="J199" s="55" t="s">
        <v>186</v>
      </c>
      <c r="K199" s="54">
        <f t="shared" si="0"/>
        <v>3107142.63</v>
      </c>
      <c r="L199" s="54">
        <f t="shared" si="0"/>
        <v>3558200</v>
      </c>
      <c r="M199" s="54">
        <f t="shared" si="1"/>
        <v>1350200</v>
      </c>
      <c r="N199" s="1"/>
      <c r="AA199" s="72" t="s">
        <v>34</v>
      </c>
    </row>
    <row r="200" spans="1:28" ht="30" customHeight="1" x14ac:dyDescent="0.2">
      <c r="A200" s="10" t="s">
        <v>166</v>
      </c>
      <c r="B200" s="10" t="s">
        <v>166</v>
      </c>
      <c r="C200" s="3" t="s">
        <v>166</v>
      </c>
      <c r="D200" s="3"/>
      <c r="E200" s="28" t="s">
        <v>430</v>
      </c>
      <c r="F200" s="30">
        <v>37999512.479999989</v>
      </c>
      <c r="G200" s="29">
        <v>42240122.49000001</v>
      </c>
      <c r="H200" s="29">
        <v>42121779.38000001</v>
      </c>
      <c r="I200" s="27" t="s">
        <v>431</v>
      </c>
      <c r="J200" s="55" t="s">
        <v>186</v>
      </c>
      <c r="K200" s="54">
        <f t="shared" si="0"/>
        <v>37999512.479999989</v>
      </c>
      <c r="L200" s="54">
        <f t="shared" si="0"/>
        <v>42240122.49000001</v>
      </c>
      <c r="M200" s="54">
        <f t="shared" si="1"/>
        <v>42121779.38000001</v>
      </c>
      <c r="N200" s="1"/>
      <c r="AA200" s="72" t="s">
        <v>34</v>
      </c>
    </row>
    <row r="201" spans="1:28" ht="26.25" customHeight="1" x14ac:dyDescent="0.2">
      <c r="A201" s="10" t="s">
        <v>170</v>
      </c>
      <c r="B201" s="10" t="s">
        <v>170</v>
      </c>
      <c r="C201" s="3" t="s">
        <v>170</v>
      </c>
      <c r="D201" s="3"/>
      <c r="E201" s="28" t="s">
        <v>432</v>
      </c>
      <c r="F201" s="29">
        <v>1500000</v>
      </c>
      <c r="G201" s="29">
        <v>1500000</v>
      </c>
      <c r="H201" s="29">
        <v>1500000</v>
      </c>
      <c r="I201" s="27" t="s">
        <v>433</v>
      </c>
      <c r="J201" s="55" t="s">
        <v>186</v>
      </c>
      <c r="K201" s="54">
        <f t="shared" si="0"/>
        <v>1500000</v>
      </c>
      <c r="L201" s="54">
        <f t="shared" si="0"/>
        <v>1500000</v>
      </c>
      <c r="M201" s="54">
        <f t="shared" si="1"/>
        <v>1500000</v>
      </c>
      <c r="N201" s="1"/>
      <c r="AA201" s="72" t="s">
        <v>34</v>
      </c>
    </row>
    <row r="202" spans="1:28" ht="27.75" customHeight="1" x14ac:dyDescent="0.2">
      <c r="A202" s="10" t="s">
        <v>227</v>
      </c>
      <c r="B202" s="10" t="s">
        <v>227</v>
      </c>
      <c r="C202" s="3" t="s">
        <v>227</v>
      </c>
      <c r="D202" s="3"/>
      <c r="E202" s="28" t="s">
        <v>434</v>
      </c>
      <c r="F202" s="29">
        <v>30300</v>
      </c>
      <c r="G202" s="29">
        <v>30300</v>
      </c>
      <c r="H202" s="29">
        <v>30300</v>
      </c>
      <c r="I202" s="27" t="s">
        <v>435</v>
      </c>
      <c r="J202" s="55" t="s">
        <v>186</v>
      </c>
      <c r="K202" s="54">
        <f t="shared" si="0"/>
        <v>30300</v>
      </c>
      <c r="L202" s="54">
        <f t="shared" si="0"/>
        <v>30300</v>
      </c>
      <c r="M202" s="54">
        <f t="shared" si="1"/>
        <v>30300</v>
      </c>
      <c r="N202" s="1"/>
      <c r="AA202" s="72" t="s">
        <v>34</v>
      </c>
    </row>
    <row r="203" spans="1:28" ht="20.25" customHeight="1" x14ac:dyDescent="0.2">
      <c r="A203" s="10" t="s">
        <v>94</v>
      </c>
      <c r="B203" s="10" t="s">
        <v>94</v>
      </c>
      <c r="C203" s="3" t="s">
        <v>94</v>
      </c>
      <c r="D203" s="3"/>
      <c r="E203" s="28" t="s">
        <v>436</v>
      </c>
      <c r="F203" s="29">
        <v>45000</v>
      </c>
      <c r="G203" s="29">
        <v>45000</v>
      </c>
      <c r="H203" s="29">
        <v>45000</v>
      </c>
      <c r="I203" s="17" t="s">
        <v>437</v>
      </c>
      <c r="J203" s="17" t="s">
        <v>99</v>
      </c>
      <c r="K203" s="17">
        <v>100</v>
      </c>
      <c r="L203" s="17">
        <v>100</v>
      </c>
      <c r="M203" s="17">
        <v>100</v>
      </c>
      <c r="N203" s="1"/>
      <c r="AA203" s="72" t="s">
        <v>34</v>
      </c>
    </row>
    <row r="204" spans="1:28" ht="25.5" customHeight="1" x14ac:dyDescent="0.2">
      <c r="A204" s="10" t="s">
        <v>127</v>
      </c>
      <c r="B204" s="10" t="s">
        <v>127</v>
      </c>
      <c r="C204" s="3" t="s">
        <v>127</v>
      </c>
      <c r="D204" s="3"/>
      <c r="E204" s="28" t="s">
        <v>438</v>
      </c>
      <c r="F204" s="29">
        <v>5361.8</v>
      </c>
      <c r="G204" s="29">
        <v>0</v>
      </c>
      <c r="H204" s="29">
        <v>0</v>
      </c>
      <c r="I204" s="27" t="s">
        <v>439</v>
      </c>
      <c r="J204" s="55" t="s">
        <v>186</v>
      </c>
      <c r="K204" s="54">
        <f>F204</f>
        <v>5361.8</v>
      </c>
      <c r="L204" s="54"/>
      <c r="M204" s="54"/>
      <c r="N204" s="1"/>
      <c r="AA204" s="72" t="s">
        <v>34</v>
      </c>
    </row>
    <row r="205" spans="1:28" ht="28.5" customHeight="1" x14ac:dyDescent="0.2">
      <c r="A205" s="10" t="s">
        <v>134</v>
      </c>
      <c r="B205" s="10" t="s">
        <v>134</v>
      </c>
      <c r="C205" s="3" t="s">
        <v>134</v>
      </c>
      <c r="D205" s="3"/>
      <c r="E205" s="28" t="s">
        <v>440</v>
      </c>
      <c r="F205" s="29">
        <v>0</v>
      </c>
      <c r="G205" s="29">
        <v>0</v>
      </c>
      <c r="H205" s="29">
        <v>0</v>
      </c>
      <c r="I205" s="17" t="s">
        <v>441</v>
      </c>
      <c r="J205" s="17" t="s">
        <v>99</v>
      </c>
      <c r="K205" s="17"/>
      <c r="L205" s="17"/>
      <c r="M205" s="17"/>
      <c r="N205" s="1"/>
      <c r="AA205" s="72" t="s">
        <v>34</v>
      </c>
    </row>
    <row r="206" spans="1:28" ht="32.25" customHeight="1" x14ac:dyDescent="0.2">
      <c r="A206" s="10" t="s">
        <v>142</v>
      </c>
      <c r="B206" s="10" t="s">
        <v>142</v>
      </c>
      <c r="C206" s="3" t="s">
        <v>142</v>
      </c>
      <c r="D206" s="3"/>
      <c r="E206" s="28" t="s">
        <v>442</v>
      </c>
      <c r="F206" s="29">
        <v>709432.35</v>
      </c>
      <c r="G206" s="29">
        <v>708717.3</v>
      </c>
      <c r="H206" s="29">
        <v>642966.19999999995</v>
      </c>
      <c r="I206" s="56" t="s">
        <v>443</v>
      </c>
      <c r="J206" s="17" t="s">
        <v>99</v>
      </c>
      <c r="K206" s="17">
        <v>100</v>
      </c>
      <c r="L206" s="17">
        <v>100</v>
      </c>
      <c r="M206" s="17">
        <v>100</v>
      </c>
      <c r="N206" s="1"/>
      <c r="AA206" s="72" t="s">
        <v>34</v>
      </c>
      <c r="AB206" s="75" t="s">
        <v>123</v>
      </c>
    </row>
    <row r="207" spans="1:28" ht="24.75" customHeight="1" x14ac:dyDescent="0.2">
      <c r="A207" s="10" t="s">
        <v>234</v>
      </c>
      <c r="B207" s="10" t="s">
        <v>234</v>
      </c>
      <c r="C207" s="3" t="s">
        <v>234</v>
      </c>
      <c r="D207" s="3"/>
      <c r="E207" s="28" t="s">
        <v>444</v>
      </c>
      <c r="F207" s="29">
        <v>0</v>
      </c>
      <c r="G207" s="29">
        <v>1895399.5</v>
      </c>
      <c r="H207" s="29">
        <v>1933307.5</v>
      </c>
      <c r="I207" s="17" t="s">
        <v>445</v>
      </c>
      <c r="J207" s="17" t="s">
        <v>99</v>
      </c>
      <c r="K207" s="17">
        <v>0</v>
      </c>
      <c r="L207" s="17">
        <v>100</v>
      </c>
      <c r="M207" s="17">
        <v>100</v>
      </c>
      <c r="N207" s="1"/>
      <c r="AA207" s="72" t="s">
        <v>34</v>
      </c>
    </row>
    <row r="208" spans="1:28" ht="44.25" customHeight="1" x14ac:dyDescent="0.2">
      <c r="A208" s="10" t="s">
        <v>261</v>
      </c>
      <c r="B208" s="10" t="s">
        <v>261</v>
      </c>
      <c r="C208" s="3" t="s">
        <v>261</v>
      </c>
      <c r="D208" s="3"/>
      <c r="E208" s="28" t="s">
        <v>446</v>
      </c>
      <c r="F208" s="29">
        <v>24355498</v>
      </c>
      <c r="G208" s="29">
        <v>30932052.5</v>
      </c>
      <c r="H208" s="29">
        <v>67382805.599999994</v>
      </c>
      <c r="I208" s="17" t="s">
        <v>447</v>
      </c>
      <c r="J208" s="55" t="s">
        <v>186</v>
      </c>
      <c r="K208" s="54">
        <f>F208</f>
        <v>24355498</v>
      </c>
      <c r="L208" s="54">
        <f>G208</f>
        <v>30932052.5</v>
      </c>
      <c r="M208" s="54">
        <f>H208</f>
        <v>67382805.599999994</v>
      </c>
      <c r="N208" s="1"/>
      <c r="AA208" s="72" t="s">
        <v>34</v>
      </c>
    </row>
    <row r="209" spans="1:28" ht="21" customHeight="1" x14ac:dyDescent="0.2">
      <c r="A209" s="10" t="s">
        <v>344</v>
      </c>
      <c r="B209" s="10" t="s">
        <v>344</v>
      </c>
      <c r="C209" s="3" t="s">
        <v>344</v>
      </c>
      <c r="D209" s="3"/>
      <c r="E209" s="28" t="s">
        <v>448</v>
      </c>
      <c r="F209" s="29">
        <v>411441</v>
      </c>
      <c r="G209" s="29">
        <v>216031.7</v>
      </c>
      <c r="H209" s="29">
        <v>1380.4</v>
      </c>
      <c r="I209" s="56" t="s">
        <v>449</v>
      </c>
      <c r="J209" s="17" t="s">
        <v>99</v>
      </c>
      <c r="K209" s="17">
        <v>100</v>
      </c>
      <c r="L209" s="17">
        <v>100</v>
      </c>
      <c r="M209" s="17">
        <v>100</v>
      </c>
      <c r="N209" s="1"/>
      <c r="O209" s="31"/>
      <c r="AA209" s="72" t="s">
        <v>34</v>
      </c>
      <c r="AB209" s="75" t="s">
        <v>123</v>
      </c>
    </row>
    <row r="210" spans="1:28" ht="44.25" customHeight="1" x14ac:dyDescent="0.2">
      <c r="A210" s="10" t="s">
        <v>450</v>
      </c>
      <c r="B210" s="10" t="s">
        <v>450</v>
      </c>
      <c r="C210" s="3" t="s">
        <v>450</v>
      </c>
      <c r="D210" s="3"/>
      <c r="E210" s="28" t="s">
        <v>451</v>
      </c>
      <c r="F210" s="29">
        <v>500000</v>
      </c>
      <c r="G210" s="29">
        <v>500000</v>
      </c>
      <c r="H210" s="29">
        <v>500000</v>
      </c>
      <c r="I210" s="56" t="s">
        <v>452</v>
      </c>
      <c r="J210" s="55" t="s">
        <v>186</v>
      </c>
      <c r="K210" s="54">
        <f>F210</f>
        <v>500000</v>
      </c>
      <c r="L210" s="54">
        <f>G210</f>
        <v>500000</v>
      </c>
      <c r="M210" s="54">
        <f>H210</f>
        <v>500000</v>
      </c>
      <c r="N210" s="1"/>
      <c r="O210" s="31"/>
      <c r="P210" s="32"/>
      <c r="AA210" s="72" t="s">
        <v>34</v>
      </c>
    </row>
    <row r="211" spans="1:28" ht="25.5" customHeight="1" x14ac:dyDescent="0.2">
      <c r="A211" s="10" t="s">
        <v>453</v>
      </c>
      <c r="B211" s="10" t="s">
        <v>453</v>
      </c>
      <c r="C211" s="3" t="s">
        <v>453</v>
      </c>
      <c r="D211" s="3"/>
      <c r="E211" s="28" t="s">
        <v>454</v>
      </c>
      <c r="F211" s="29">
        <v>404940</v>
      </c>
      <c r="G211" s="29">
        <v>212100</v>
      </c>
      <c r="H211" s="29">
        <v>0</v>
      </c>
      <c r="I211" s="27" t="s">
        <v>455</v>
      </c>
      <c r="J211" s="17" t="s">
        <v>99</v>
      </c>
      <c r="K211" s="17">
        <v>100</v>
      </c>
      <c r="L211" s="17">
        <v>100</v>
      </c>
      <c r="M211" s="17">
        <v>0</v>
      </c>
      <c r="N211" s="1"/>
      <c r="O211" s="31"/>
      <c r="P211" s="32"/>
      <c r="AA211" s="72" t="s">
        <v>34</v>
      </c>
      <c r="AB211" s="75" t="s">
        <v>123</v>
      </c>
    </row>
    <row r="212" spans="1:28" ht="30" customHeight="1" x14ac:dyDescent="0.2">
      <c r="A212" s="10" t="s">
        <v>456</v>
      </c>
      <c r="B212" s="10" t="s">
        <v>456</v>
      </c>
      <c r="C212" s="3" t="s">
        <v>456</v>
      </c>
      <c r="D212" s="3"/>
      <c r="E212" s="28" t="s">
        <v>457</v>
      </c>
      <c r="F212" s="29">
        <v>20000</v>
      </c>
      <c r="G212" s="29">
        <v>10150</v>
      </c>
      <c r="H212" s="29">
        <v>6150</v>
      </c>
      <c r="I212" s="17" t="s">
        <v>458</v>
      </c>
      <c r="J212" s="17" t="s">
        <v>99</v>
      </c>
      <c r="K212" s="17">
        <v>100</v>
      </c>
      <c r="L212" s="17">
        <v>100</v>
      </c>
      <c r="M212" s="17">
        <v>100</v>
      </c>
      <c r="N212" s="1"/>
      <c r="O212" s="33"/>
      <c r="P212" s="32"/>
      <c r="AA212" s="72" t="s">
        <v>34</v>
      </c>
    </row>
    <row r="213" spans="1:28" ht="24" customHeight="1" x14ac:dyDescent="0.2">
      <c r="A213" s="10" t="s">
        <v>459</v>
      </c>
      <c r="B213" s="10" t="s">
        <v>459</v>
      </c>
      <c r="C213" s="3" t="s">
        <v>459</v>
      </c>
      <c r="D213" s="3"/>
      <c r="E213" s="28" t="s">
        <v>460</v>
      </c>
      <c r="F213" s="29">
        <v>50000000</v>
      </c>
      <c r="G213" s="29">
        <v>10000000</v>
      </c>
      <c r="H213" s="29">
        <v>10000000</v>
      </c>
      <c r="I213" s="17" t="s">
        <v>461</v>
      </c>
      <c r="J213" s="17" t="s">
        <v>99</v>
      </c>
      <c r="K213" s="17">
        <v>100</v>
      </c>
      <c r="L213" s="17">
        <v>100</v>
      </c>
      <c r="M213" s="17">
        <v>100</v>
      </c>
      <c r="N213" s="1"/>
      <c r="AA213" s="72" t="s">
        <v>34</v>
      </c>
      <c r="AB213" s="75" t="s">
        <v>149</v>
      </c>
    </row>
    <row r="214" spans="1:28" ht="28.5" customHeight="1" x14ac:dyDescent="0.2">
      <c r="A214" s="10"/>
      <c r="B214" s="10"/>
      <c r="C214" s="3">
        <v>42</v>
      </c>
      <c r="D214" s="3"/>
      <c r="E214" s="28" t="s">
        <v>462</v>
      </c>
      <c r="F214" s="30">
        <v>12811205</v>
      </c>
      <c r="G214" s="29">
        <v>4000000</v>
      </c>
      <c r="H214" s="29">
        <v>0</v>
      </c>
      <c r="I214" s="17" t="s">
        <v>463</v>
      </c>
      <c r="J214" s="17" t="s">
        <v>99</v>
      </c>
      <c r="K214" s="17">
        <v>100</v>
      </c>
      <c r="L214" s="17">
        <v>100</v>
      </c>
      <c r="M214" s="17">
        <v>0</v>
      </c>
      <c r="N214" s="1"/>
      <c r="AA214" s="72" t="s">
        <v>34</v>
      </c>
      <c r="AB214" s="75" t="s">
        <v>123</v>
      </c>
    </row>
    <row r="215" spans="1:28" ht="25.5" customHeight="1" x14ac:dyDescent="0.2">
      <c r="A215" s="10" t="s">
        <v>464</v>
      </c>
      <c r="B215" s="10" t="s">
        <v>464</v>
      </c>
      <c r="C215" s="3" t="s">
        <v>464</v>
      </c>
      <c r="D215" s="3"/>
      <c r="E215" s="28" t="s">
        <v>465</v>
      </c>
      <c r="F215" s="29">
        <v>76156.5</v>
      </c>
      <c r="G215" s="29">
        <v>0</v>
      </c>
      <c r="H215" s="29">
        <v>0</v>
      </c>
      <c r="I215" s="17" t="s">
        <v>458</v>
      </c>
      <c r="J215" s="17" t="s">
        <v>99</v>
      </c>
      <c r="K215" s="17">
        <v>100</v>
      </c>
      <c r="L215" s="17">
        <v>0</v>
      </c>
      <c r="M215" s="17">
        <v>0</v>
      </c>
      <c r="N215" s="1"/>
      <c r="AA215" s="72" t="s">
        <v>34</v>
      </c>
    </row>
    <row r="216" spans="1:28" ht="30" customHeight="1" x14ac:dyDescent="0.2">
      <c r="A216" s="10" t="s">
        <v>466</v>
      </c>
      <c r="B216" s="10" t="s">
        <v>466</v>
      </c>
      <c r="C216" s="3" t="s">
        <v>466</v>
      </c>
      <c r="D216" s="3"/>
      <c r="E216" s="28" t="s">
        <v>467</v>
      </c>
      <c r="F216" s="29">
        <v>2146396.1</v>
      </c>
      <c r="G216" s="29">
        <v>0</v>
      </c>
      <c r="H216" s="29">
        <v>0</v>
      </c>
      <c r="I216" s="17" t="s">
        <v>468</v>
      </c>
      <c r="J216" s="17" t="s">
        <v>99</v>
      </c>
      <c r="K216" s="17">
        <v>100</v>
      </c>
      <c r="L216" s="17">
        <v>0</v>
      </c>
      <c r="M216" s="17">
        <v>0</v>
      </c>
      <c r="N216" s="1"/>
      <c r="AA216" s="72" t="s">
        <v>34</v>
      </c>
      <c r="AB216" s="75" t="s">
        <v>123</v>
      </c>
    </row>
    <row r="217" spans="1:28" ht="24" customHeight="1" x14ac:dyDescent="0.2">
      <c r="A217" s="10" t="s">
        <v>469</v>
      </c>
      <c r="B217" s="10" t="s">
        <v>469</v>
      </c>
      <c r="C217" s="3" t="s">
        <v>469</v>
      </c>
      <c r="D217" s="3"/>
      <c r="E217" s="28" t="s">
        <v>470</v>
      </c>
      <c r="F217" s="29">
        <v>10200</v>
      </c>
      <c r="G217" s="29">
        <v>0</v>
      </c>
      <c r="H217" s="29">
        <v>0</v>
      </c>
      <c r="I217" s="17" t="s">
        <v>458</v>
      </c>
      <c r="J217" s="17" t="s">
        <v>99</v>
      </c>
      <c r="K217" s="17">
        <v>100</v>
      </c>
      <c r="L217" s="17">
        <v>0</v>
      </c>
      <c r="M217" s="17">
        <v>0</v>
      </c>
      <c r="N217" s="1"/>
      <c r="AA217" s="72" t="s">
        <v>34</v>
      </c>
    </row>
    <row r="218" spans="1:28" ht="31.5" customHeight="1" x14ac:dyDescent="0.2">
      <c r="A218" s="10" t="s">
        <v>471</v>
      </c>
      <c r="B218" s="10" t="s">
        <v>471</v>
      </c>
      <c r="C218" s="3" t="s">
        <v>471</v>
      </c>
      <c r="D218" s="3"/>
      <c r="E218" s="28" t="s">
        <v>472</v>
      </c>
      <c r="F218" s="29">
        <v>12811205</v>
      </c>
      <c r="G218" s="29">
        <v>1000000</v>
      </c>
      <c r="H218" s="29">
        <v>0</v>
      </c>
      <c r="I218" s="27" t="s">
        <v>473</v>
      </c>
      <c r="J218" s="17" t="s">
        <v>99</v>
      </c>
      <c r="K218" s="17">
        <v>100</v>
      </c>
      <c r="L218" s="17">
        <v>100</v>
      </c>
      <c r="M218" s="17">
        <v>0</v>
      </c>
      <c r="N218" s="1"/>
      <c r="AA218" s="72" t="s">
        <v>34</v>
      </c>
      <c r="AB218" s="75" t="s">
        <v>123</v>
      </c>
    </row>
    <row r="219" spans="1:28" ht="27" customHeight="1" x14ac:dyDescent="0.2">
      <c r="A219" s="10" t="s">
        <v>474</v>
      </c>
      <c r="B219" s="10" t="s">
        <v>474</v>
      </c>
      <c r="C219" s="3" t="s">
        <v>474</v>
      </c>
      <c r="D219" s="3"/>
      <c r="E219" s="28" t="s">
        <v>475</v>
      </c>
      <c r="F219" s="29">
        <v>25840</v>
      </c>
      <c r="G219" s="29">
        <v>0</v>
      </c>
      <c r="H219" s="29">
        <v>0</v>
      </c>
      <c r="I219" s="17" t="s">
        <v>458</v>
      </c>
      <c r="J219" s="17" t="s">
        <v>99</v>
      </c>
      <c r="K219" s="17">
        <v>100</v>
      </c>
      <c r="L219" s="17">
        <v>0</v>
      </c>
      <c r="M219" s="17">
        <v>0</v>
      </c>
      <c r="N219" s="1"/>
      <c r="AA219" s="72" t="s">
        <v>34</v>
      </c>
    </row>
    <row r="220" spans="1:28" ht="32.25" customHeight="1" x14ac:dyDescent="0.2">
      <c r="A220" s="10" t="s">
        <v>476</v>
      </c>
      <c r="B220" s="10" t="s">
        <v>476</v>
      </c>
      <c r="C220" s="3" t="s">
        <v>476</v>
      </c>
      <c r="D220" s="3"/>
      <c r="E220" s="28" t="s">
        <v>477</v>
      </c>
      <c r="F220" s="29">
        <v>2500000</v>
      </c>
      <c r="G220" s="29">
        <v>1150000</v>
      </c>
      <c r="H220" s="29">
        <v>0</v>
      </c>
      <c r="I220" s="17" t="s">
        <v>478</v>
      </c>
      <c r="J220" s="17" t="s">
        <v>99</v>
      </c>
      <c r="K220" s="17">
        <v>100</v>
      </c>
      <c r="L220" s="17">
        <v>100</v>
      </c>
      <c r="M220" s="17">
        <v>0</v>
      </c>
      <c r="N220" s="1"/>
      <c r="AA220" s="72" t="s">
        <v>34</v>
      </c>
      <c r="AB220" s="75" t="s">
        <v>123</v>
      </c>
    </row>
    <row r="221" spans="1:28" ht="33.75" customHeight="1" x14ac:dyDescent="0.2">
      <c r="A221" s="10" t="s">
        <v>479</v>
      </c>
      <c r="B221" s="10" t="s">
        <v>479</v>
      </c>
      <c r="C221" s="3" t="s">
        <v>479</v>
      </c>
      <c r="D221" s="3"/>
      <c r="E221" s="28" t="s">
        <v>480</v>
      </c>
      <c r="F221" s="29">
        <v>42833.33</v>
      </c>
      <c r="G221" s="29">
        <v>0</v>
      </c>
      <c r="H221" s="29">
        <v>0</v>
      </c>
      <c r="I221" s="17" t="s">
        <v>481</v>
      </c>
      <c r="J221" s="17" t="s">
        <v>99</v>
      </c>
      <c r="K221" s="17">
        <v>100</v>
      </c>
      <c r="L221" s="17">
        <v>0</v>
      </c>
      <c r="M221" s="17">
        <v>0</v>
      </c>
      <c r="N221" s="1"/>
      <c r="AA221" s="72" t="s">
        <v>34</v>
      </c>
      <c r="AB221" s="75" t="s">
        <v>123</v>
      </c>
    </row>
    <row r="222" spans="1:28" ht="21.75" customHeight="1" x14ac:dyDescent="0.2">
      <c r="A222" s="10" t="s">
        <v>482</v>
      </c>
      <c r="B222" s="10" t="s">
        <v>482</v>
      </c>
      <c r="C222" s="3" t="s">
        <v>482</v>
      </c>
      <c r="D222" s="3"/>
      <c r="E222" s="28" t="s">
        <v>483</v>
      </c>
      <c r="F222" s="29">
        <v>3432282.63</v>
      </c>
      <c r="G222" s="29">
        <v>430979.81</v>
      </c>
      <c r="H222" s="29">
        <v>0</v>
      </c>
      <c r="I222" s="56" t="s">
        <v>484</v>
      </c>
      <c r="J222" s="17" t="s">
        <v>99</v>
      </c>
      <c r="K222" s="17">
        <v>100</v>
      </c>
      <c r="L222" s="17">
        <v>100</v>
      </c>
      <c r="M222" s="17">
        <v>0</v>
      </c>
      <c r="N222" s="1"/>
      <c r="AA222" s="72" t="s">
        <v>34</v>
      </c>
      <c r="AB222" s="75" t="s">
        <v>123</v>
      </c>
    </row>
    <row r="223" spans="1:28" ht="36.75" customHeight="1" x14ac:dyDescent="0.2">
      <c r="A223" s="10" t="s">
        <v>485</v>
      </c>
      <c r="B223" s="10" t="s">
        <v>485</v>
      </c>
      <c r="C223" s="3" t="s">
        <v>485</v>
      </c>
      <c r="D223" s="3"/>
      <c r="E223" s="28" t="s">
        <v>486</v>
      </c>
      <c r="F223" s="29">
        <v>1576370.4</v>
      </c>
      <c r="G223" s="29">
        <v>0</v>
      </c>
      <c r="H223" s="29">
        <v>0</v>
      </c>
      <c r="I223" s="17" t="s">
        <v>487</v>
      </c>
      <c r="J223" s="17" t="s">
        <v>99</v>
      </c>
      <c r="K223" s="17">
        <v>100</v>
      </c>
      <c r="L223" s="17">
        <v>0</v>
      </c>
      <c r="M223" s="17">
        <v>0</v>
      </c>
      <c r="N223" s="1"/>
      <c r="AA223" s="72" t="s">
        <v>34</v>
      </c>
      <c r="AB223" s="75" t="s">
        <v>123</v>
      </c>
    </row>
    <row r="224" spans="1:28" ht="34.5" customHeight="1" x14ac:dyDescent="0.2">
      <c r="A224" s="10" t="s">
        <v>488</v>
      </c>
      <c r="B224" s="10" t="s">
        <v>488</v>
      </c>
      <c r="C224" s="3" t="s">
        <v>488</v>
      </c>
      <c r="D224" s="3"/>
      <c r="E224" s="28" t="s">
        <v>489</v>
      </c>
      <c r="F224" s="29">
        <v>10000</v>
      </c>
      <c r="G224" s="29">
        <v>527.85</v>
      </c>
      <c r="H224" s="29">
        <v>184.95</v>
      </c>
      <c r="I224" s="17" t="s">
        <v>490</v>
      </c>
      <c r="J224" s="17" t="s">
        <v>99</v>
      </c>
      <c r="K224" s="17">
        <v>100</v>
      </c>
      <c r="L224" s="17">
        <v>100</v>
      </c>
      <c r="M224" s="17">
        <v>100</v>
      </c>
      <c r="N224" s="1"/>
      <c r="AA224" s="72" t="s">
        <v>34</v>
      </c>
      <c r="AB224" s="75" t="s">
        <v>123</v>
      </c>
    </row>
    <row r="225" spans="1:28" ht="62.25" customHeight="1" x14ac:dyDescent="0.2">
      <c r="A225" s="10" t="s">
        <v>491</v>
      </c>
      <c r="B225" s="10" t="s">
        <v>491</v>
      </c>
      <c r="C225" s="3" t="s">
        <v>491</v>
      </c>
      <c r="D225" s="3"/>
      <c r="E225" s="28" t="s">
        <v>492</v>
      </c>
      <c r="F225" s="29">
        <v>4420000</v>
      </c>
      <c r="G225" s="29">
        <v>8581730</v>
      </c>
      <c r="H225" s="29">
        <v>3991700</v>
      </c>
      <c r="I225" s="56" t="s">
        <v>493</v>
      </c>
      <c r="J225" s="17" t="s">
        <v>99</v>
      </c>
      <c r="K225" s="17">
        <v>100</v>
      </c>
      <c r="L225" s="17">
        <v>100</v>
      </c>
      <c r="M225" s="17">
        <v>100</v>
      </c>
      <c r="N225" s="1"/>
      <c r="AA225" s="72" t="s">
        <v>34</v>
      </c>
    </row>
    <row r="226" spans="1:28" ht="32.25" customHeight="1" x14ac:dyDescent="0.2">
      <c r="A226" s="10" t="s">
        <v>494</v>
      </c>
      <c r="B226" s="10" t="s">
        <v>494</v>
      </c>
      <c r="C226" s="3" t="s">
        <v>494</v>
      </c>
      <c r="D226" s="3"/>
      <c r="E226" s="28" t="s">
        <v>495</v>
      </c>
      <c r="F226" s="29">
        <v>100000</v>
      </c>
      <c r="G226" s="29">
        <v>0</v>
      </c>
      <c r="H226" s="29">
        <v>0</v>
      </c>
      <c r="I226" s="17" t="s">
        <v>496</v>
      </c>
      <c r="J226" s="17" t="s">
        <v>99</v>
      </c>
      <c r="K226" s="17">
        <v>100</v>
      </c>
      <c r="L226" s="17">
        <v>0</v>
      </c>
      <c r="M226" s="17">
        <v>0</v>
      </c>
      <c r="N226" s="1"/>
      <c r="AA226" s="72" t="s">
        <v>34</v>
      </c>
    </row>
    <row r="227" spans="1:28" ht="33" customHeight="1" x14ac:dyDescent="0.2">
      <c r="A227" s="10" t="s">
        <v>497</v>
      </c>
      <c r="B227" s="10" t="s">
        <v>497</v>
      </c>
      <c r="C227" s="3" t="s">
        <v>497</v>
      </c>
      <c r="D227" s="3"/>
      <c r="E227" s="28" t="s">
        <v>498</v>
      </c>
      <c r="F227" s="29">
        <v>162740</v>
      </c>
      <c r="G227" s="29">
        <v>133320</v>
      </c>
      <c r="H227" s="29">
        <v>80960</v>
      </c>
      <c r="I227" s="17" t="s">
        <v>499</v>
      </c>
      <c r="J227" s="17" t="s">
        <v>99</v>
      </c>
      <c r="K227" s="17">
        <v>100</v>
      </c>
      <c r="L227" s="17">
        <v>100</v>
      </c>
      <c r="M227" s="17">
        <v>100</v>
      </c>
      <c r="N227" s="1"/>
      <c r="AA227" s="72" t="s">
        <v>34</v>
      </c>
      <c r="AB227" s="75" t="s">
        <v>123</v>
      </c>
    </row>
    <row r="228" spans="1:28" ht="36.75" customHeight="1" x14ac:dyDescent="0.2">
      <c r="A228" s="10" t="s">
        <v>500</v>
      </c>
      <c r="B228" s="10" t="s">
        <v>500</v>
      </c>
      <c r="C228" s="3" t="s">
        <v>500</v>
      </c>
      <c r="D228" s="3"/>
      <c r="E228" s="28" t="s">
        <v>501</v>
      </c>
      <c r="F228" s="29">
        <v>3500000</v>
      </c>
      <c r="G228" s="29">
        <v>3000000</v>
      </c>
      <c r="H228" s="29">
        <v>3000000</v>
      </c>
      <c r="I228" s="17" t="s">
        <v>502</v>
      </c>
      <c r="J228" s="17" t="s">
        <v>99</v>
      </c>
      <c r="K228" s="17">
        <v>100</v>
      </c>
      <c r="L228" s="17">
        <v>100</v>
      </c>
      <c r="M228" s="17">
        <v>100</v>
      </c>
      <c r="N228" s="1"/>
      <c r="AA228" s="72" t="s">
        <v>34</v>
      </c>
      <c r="AB228" s="75" t="s">
        <v>123</v>
      </c>
    </row>
    <row r="229" spans="1:28" ht="36" customHeight="1" x14ac:dyDescent="0.2">
      <c r="A229" s="5" t="s">
        <v>410</v>
      </c>
      <c r="B229" s="5" t="s">
        <v>503</v>
      </c>
      <c r="C229" s="6"/>
      <c r="D229" s="6"/>
      <c r="E229" s="7" t="s">
        <v>504</v>
      </c>
      <c r="F229" s="8">
        <v>118757161.33</v>
      </c>
      <c r="G229" s="8">
        <v>131802316.2</v>
      </c>
      <c r="H229" s="8">
        <v>132133762.23</v>
      </c>
      <c r="I229" s="52" t="s">
        <v>505</v>
      </c>
      <c r="J229" s="50" t="s">
        <v>186</v>
      </c>
      <c r="K229" s="53">
        <v>118757161.33</v>
      </c>
      <c r="L229" s="53">
        <v>131802316.2</v>
      </c>
      <c r="M229" s="53">
        <v>132133762.23</v>
      </c>
      <c r="N229" s="1"/>
      <c r="AA229" s="71" t="s">
        <v>40</v>
      </c>
    </row>
    <row r="230" spans="1:28" ht="32.25" customHeight="1" x14ac:dyDescent="0.2">
      <c r="A230" s="10" t="s">
        <v>100</v>
      </c>
      <c r="B230" s="10" t="s">
        <v>100</v>
      </c>
      <c r="C230" s="3" t="s">
        <v>100</v>
      </c>
      <c r="D230" s="3"/>
      <c r="E230" s="28" t="s">
        <v>506</v>
      </c>
      <c r="F230" s="29">
        <v>27680000</v>
      </c>
      <c r="G230" s="29">
        <v>27860000</v>
      </c>
      <c r="H230" s="29">
        <v>27900000</v>
      </c>
      <c r="I230" s="56" t="s">
        <v>507</v>
      </c>
      <c r="J230" s="17" t="s">
        <v>186</v>
      </c>
      <c r="K230" s="54">
        <f>F230</f>
        <v>27680000</v>
      </c>
      <c r="L230" s="54">
        <f>G230</f>
        <v>27860000</v>
      </c>
      <c r="M230" s="54">
        <f>H230</f>
        <v>27900000</v>
      </c>
      <c r="N230" s="1"/>
      <c r="AA230" s="72" t="s">
        <v>34</v>
      </c>
    </row>
    <row r="231" spans="1:28" ht="30" customHeight="1" x14ac:dyDescent="0.2">
      <c r="A231" s="10" t="s">
        <v>150</v>
      </c>
      <c r="B231" s="10" t="s">
        <v>150</v>
      </c>
      <c r="C231" s="3" t="s">
        <v>150</v>
      </c>
      <c r="D231" s="3"/>
      <c r="E231" s="28" t="s">
        <v>508</v>
      </c>
      <c r="F231" s="29">
        <v>76517019.429999992</v>
      </c>
      <c r="G231" s="29">
        <v>88847680.420000002</v>
      </c>
      <c r="H231" s="29">
        <v>87848971.519999996</v>
      </c>
      <c r="I231" s="17" t="s">
        <v>509</v>
      </c>
      <c r="J231" s="17" t="s">
        <v>186</v>
      </c>
      <c r="K231" s="54">
        <v>76517019.429999992</v>
      </c>
      <c r="L231" s="54">
        <v>88847680.420000002</v>
      </c>
      <c r="M231" s="54">
        <v>87848971.519999996</v>
      </c>
      <c r="N231" s="1"/>
      <c r="AA231" s="72" t="s">
        <v>34</v>
      </c>
    </row>
    <row r="232" spans="1:28" ht="27" customHeight="1" x14ac:dyDescent="0.2">
      <c r="A232" s="10" t="s">
        <v>124</v>
      </c>
      <c r="B232" s="10" t="s">
        <v>124</v>
      </c>
      <c r="C232" s="3" t="s">
        <v>124</v>
      </c>
      <c r="D232" s="3"/>
      <c r="E232" s="28" t="s">
        <v>510</v>
      </c>
      <c r="F232" s="29">
        <v>1870838.8</v>
      </c>
      <c r="G232" s="29">
        <v>1870838.8</v>
      </c>
      <c r="H232" s="29">
        <v>1870838.8</v>
      </c>
      <c r="I232" s="17" t="s">
        <v>511</v>
      </c>
      <c r="J232" s="17" t="s">
        <v>99</v>
      </c>
      <c r="K232" s="17">
        <v>100</v>
      </c>
      <c r="L232" s="17">
        <v>100</v>
      </c>
      <c r="M232" s="17">
        <v>100</v>
      </c>
      <c r="N232" s="1"/>
      <c r="AA232" s="72" t="s">
        <v>34</v>
      </c>
    </row>
    <row r="233" spans="1:28" ht="33.75" customHeight="1" x14ac:dyDescent="0.2">
      <c r="A233" s="10" t="s">
        <v>156</v>
      </c>
      <c r="B233" s="10" t="s">
        <v>156</v>
      </c>
      <c r="C233" s="3" t="s">
        <v>156</v>
      </c>
      <c r="D233" s="3"/>
      <c r="E233" s="28" t="s">
        <v>512</v>
      </c>
      <c r="F233" s="29">
        <v>7032817.2999999998</v>
      </c>
      <c r="G233" s="29">
        <v>1130400</v>
      </c>
      <c r="H233" s="29">
        <v>1130400</v>
      </c>
      <c r="I233" s="56" t="s">
        <v>513</v>
      </c>
      <c r="J233" s="17" t="s">
        <v>186</v>
      </c>
      <c r="K233" s="54">
        <f t="shared" ref="K233:M238" si="2">F233</f>
        <v>7032817.2999999998</v>
      </c>
      <c r="L233" s="54">
        <f t="shared" si="2"/>
        <v>1130400</v>
      </c>
      <c r="M233" s="54">
        <f t="shared" si="2"/>
        <v>1130400</v>
      </c>
      <c r="N233" s="1"/>
      <c r="AA233" s="72" t="s">
        <v>34</v>
      </c>
    </row>
    <row r="234" spans="1:28" ht="32.25" customHeight="1" x14ac:dyDescent="0.2">
      <c r="A234" s="10" t="s">
        <v>160</v>
      </c>
      <c r="B234" s="10" t="s">
        <v>160</v>
      </c>
      <c r="C234" s="3" t="s">
        <v>160</v>
      </c>
      <c r="D234" s="3"/>
      <c r="E234" s="28" t="s">
        <v>514</v>
      </c>
      <c r="F234" s="29">
        <v>1500000</v>
      </c>
      <c r="G234" s="29">
        <v>1500000</v>
      </c>
      <c r="H234" s="29">
        <v>1500000</v>
      </c>
      <c r="I234" s="56" t="s">
        <v>515</v>
      </c>
      <c r="J234" s="17" t="s">
        <v>186</v>
      </c>
      <c r="K234" s="54">
        <f t="shared" si="2"/>
        <v>1500000</v>
      </c>
      <c r="L234" s="54">
        <f t="shared" si="2"/>
        <v>1500000</v>
      </c>
      <c r="M234" s="54">
        <f t="shared" si="2"/>
        <v>1500000</v>
      </c>
      <c r="N234" s="1"/>
      <c r="AA234" s="72" t="s">
        <v>34</v>
      </c>
    </row>
    <row r="235" spans="1:28" ht="44.25" customHeight="1" x14ac:dyDescent="0.2">
      <c r="A235" s="10" t="s">
        <v>163</v>
      </c>
      <c r="B235" s="10" t="s">
        <v>163</v>
      </c>
      <c r="C235" s="3" t="s">
        <v>163</v>
      </c>
      <c r="D235" s="3"/>
      <c r="E235" s="28" t="s">
        <v>516</v>
      </c>
      <c r="F235" s="29">
        <v>499414.4</v>
      </c>
      <c r="G235" s="29">
        <v>509335.4</v>
      </c>
      <c r="H235" s="29">
        <v>519397.4</v>
      </c>
      <c r="I235" s="56" t="s">
        <v>517</v>
      </c>
      <c r="J235" s="17" t="s">
        <v>186</v>
      </c>
      <c r="K235" s="54">
        <f t="shared" si="2"/>
        <v>499414.4</v>
      </c>
      <c r="L235" s="54">
        <f t="shared" si="2"/>
        <v>509335.4</v>
      </c>
      <c r="M235" s="54">
        <f t="shared" si="2"/>
        <v>519397.4</v>
      </c>
      <c r="N235" s="1"/>
      <c r="AA235" s="72" t="s">
        <v>34</v>
      </c>
    </row>
    <row r="236" spans="1:28" ht="48" customHeight="1" x14ac:dyDescent="0.2">
      <c r="A236" s="10" t="s">
        <v>166</v>
      </c>
      <c r="B236" s="10" t="s">
        <v>166</v>
      </c>
      <c r="C236" s="3" t="s">
        <v>166</v>
      </c>
      <c r="D236" s="3"/>
      <c r="E236" s="28" t="s">
        <v>518</v>
      </c>
      <c r="F236" s="29">
        <v>2074642.4</v>
      </c>
      <c r="G236" s="29">
        <v>2066877.8</v>
      </c>
      <c r="H236" s="29">
        <v>2085761.5</v>
      </c>
      <c r="I236" s="56" t="s">
        <v>519</v>
      </c>
      <c r="J236" s="17" t="s">
        <v>186</v>
      </c>
      <c r="K236" s="54">
        <f t="shared" si="2"/>
        <v>2074642.4</v>
      </c>
      <c r="L236" s="54">
        <f t="shared" si="2"/>
        <v>2066877.8</v>
      </c>
      <c r="M236" s="54">
        <f t="shared" si="2"/>
        <v>2085761.5</v>
      </c>
      <c r="N236" s="1"/>
      <c r="AA236" s="72" t="s">
        <v>34</v>
      </c>
    </row>
    <row r="237" spans="1:28" ht="34.5" customHeight="1" x14ac:dyDescent="0.2">
      <c r="A237" s="10" t="s">
        <v>170</v>
      </c>
      <c r="B237" s="10" t="s">
        <v>170</v>
      </c>
      <c r="C237" s="3" t="s">
        <v>170</v>
      </c>
      <c r="D237" s="3"/>
      <c r="E237" s="28" t="s">
        <v>520</v>
      </c>
      <c r="F237" s="29">
        <v>1000000</v>
      </c>
      <c r="G237" s="29">
        <v>7441753.2000000002</v>
      </c>
      <c r="H237" s="29">
        <v>8709298</v>
      </c>
      <c r="I237" s="56" t="s">
        <v>521</v>
      </c>
      <c r="J237" s="17" t="s">
        <v>186</v>
      </c>
      <c r="K237" s="54">
        <f t="shared" si="2"/>
        <v>1000000</v>
      </c>
      <c r="L237" s="54">
        <f t="shared" si="2"/>
        <v>7441753.2000000002</v>
      </c>
      <c r="M237" s="54">
        <f t="shared" si="2"/>
        <v>8709298</v>
      </c>
      <c r="N237" s="1"/>
      <c r="AA237" s="72" t="s">
        <v>34</v>
      </c>
    </row>
    <row r="238" spans="1:28" ht="24.75" customHeight="1" x14ac:dyDescent="0.2">
      <c r="A238" s="10" t="s">
        <v>113</v>
      </c>
      <c r="B238" s="10" t="s">
        <v>113</v>
      </c>
      <c r="C238" s="3" t="s">
        <v>113</v>
      </c>
      <c r="D238" s="3"/>
      <c r="E238" s="28" t="s">
        <v>522</v>
      </c>
      <c r="F238" s="29">
        <v>300000</v>
      </c>
      <c r="G238" s="29">
        <v>350000</v>
      </c>
      <c r="H238" s="29">
        <v>400000</v>
      </c>
      <c r="I238" s="56" t="s">
        <v>523</v>
      </c>
      <c r="J238" s="17" t="s">
        <v>186</v>
      </c>
      <c r="K238" s="54">
        <f t="shared" si="2"/>
        <v>300000</v>
      </c>
      <c r="L238" s="54">
        <f t="shared" si="2"/>
        <v>350000</v>
      </c>
      <c r="M238" s="54">
        <f t="shared" si="2"/>
        <v>400000</v>
      </c>
      <c r="N238" s="1"/>
      <c r="AA238" s="72" t="s">
        <v>34</v>
      </c>
      <c r="AB238" s="75" t="s">
        <v>149</v>
      </c>
    </row>
    <row r="239" spans="1:28" ht="39.75" customHeight="1" x14ac:dyDescent="0.2">
      <c r="A239" s="10" t="s">
        <v>142</v>
      </c>
      <c r="B239" s="10" t="s">
        <v>142</v>
      </c>
      <c r="C239" s="3" t="s">
        <v>142</v>
      </c>
      <c r="D239" s="3"/>
      <c r="E239" s="28" t="s">
        <v>524</v>
      </c>
      <c r="F239" s="29">
        <v>8250</v>
      </c>
      <c r="G239" s="29">
        <v>2440</v>
      </c>
      <c r="H239" s="29">
        <v>0</v>
      </c>
      <c r="I239" s="17" t="s">
        <v>525</v>
      </c>
      <c r="J239" s="17" t="s">
        <v>99</v>
      </c>
      <c r="K239" s="17">
        <v>100</v>
      </c>
      <c r="L239" s="17">
        <v>100</v>
      </c>
      <c r="M239" s="17">
        <v>0</v>
      </c>
      <c r="N239" s="1"/>
      <c r="AA239" s="72" t="s">
        <v>34</v>
      </c>
    </row>
    <row r="240" spans="1:28" ht="40.5" customHeight="1" x14ac:dyDescent="0.2">
      <c r="A240" s="10" t="s">
        <v>199</v>
      </c>
      <c r="B240" s="10" t="s">
        <v>199</v>
      </c>
      <c r="C240" s="3" t="s">
        <v>199</v>
      </c>
      <c r="D240" s="3"/>
      <c r="E240" s="28" t="s">
        <v>526</v>
      </c>
      <c r="F240" s="29">
        <v>150000</v>
      </c>
      <c r="G240" s="29">
        <v>93958.080000000002</v>
      </c>
      <c r="H240" s="29">
        <v>56966.71</v>
      </c>
      <c r="I240" s="17" t="s">
        <v>527</v>
      </c>
      <c r="J240" s="17" t="s">
        <v>99</v>
      </c>
      <c r="K240" s="17">
        <v>100</v>
      </c>
      <c r="L240" s="17">
        <v>100</v>
      </c>
      <c r="M240" s="17">
        <v>100</v>
      </c>
      <c r="N240" s="1"/>
      <c r="AA240" s="72" t="s">
        <v>34</v>
      </c>
    </row>
    <row r="241" spans="1:28" ht="40.5" customHeight="1" x14ac:dyDescent="0.2">
      <c r="A241" s="10"/>
      <c r="B241" s="10"/>
      <c r="C241" s="3">
        <v>19</v>
      </c>
      <c r="D241" s="3"/>
      <c r="E241" s="28" t="s">
        <v>528</v>
      </c>
      <c r="F241" s="29">
        <v>124179</v>
      </c>
      <c r="G241" s="29">
        <v>129032.5</v>
      </c>
      <c r="H241" s="29">
        <v>112128.3</v>
      </c>
      <c r="I241" s="17" t="s">
        <v>529</v>
      </c>
      <c r="J241" s="17" t="s">
        <v>99</v>
      </c>
      <c r="K241" s="17">
        <v>100</v>
      </c>
      <c r="L241" s="17">
        <v>100</v>
      </c>
      <c r="M241" s="17">
        <v>100</v>
      </c>
      <c r="N241" s="1"/>
      <c r="AA241" s="72" t="s">
        <v>34</v>
      </c>
    </row>
    <row r="242" spans="1:28" ht="36" customHeight="1" x14ac:dyDescent="0.2">
      <c r="A242" s="217" t="s">
        <v>410</v>
      </c>
      <c r="B242" s="217" t="s">
        <v>530</v>
      </c>
      <c r="C242" s="219"/>
      <c r="D242" s="219"/>
      <c r="E242" s="216" t="s">
        <v>531</v>
      </c>
      <c r="F242" s="211">
        <v>2057870.4</v>
      </c>
      <c r="G242" s="211">
        <v>2057870.4</v>
      </c>
      <c r="H242" s="211">
        <v>2057870.4</v>
      </c>
      <c r="I242" s="19" t="s">
        <v>532</v>
      </c>
      <c r="J242" s="19" t="s">
        <v>99</v>
      </c>
      <c r="K242" s="19">
        <v>42</v>
      </c>
      <c r="L242" s="19">
        <v>43.5</v>
      </c>
      <c r="M242" s="19">
        <v>45</v>
      </c>
      <c r="N242" s="1"/>
      <c r="AA242" s="71" t="s">
        <v>40</v>
      </c>
      <c r="AB242" s="75" t="s">
        <v>149</v>
      </c>
    </row>
    <row r="243" spans="1:28" ht="31.5" customHeight="1" x14ac:dyDescent="0.2">
      <c r="A243" s="205"/>
      <c r="B243" s="205"/>
      <c r="C243" s="205"/>
      <c r="D243" s="205"/>
      <c r="E243" s="205"/>
      <c r="F243" s="205"/>
      <c r="G243" s="205"/>
      <c r="H243" s="205"/>
      <c r="I243" s="19" t="s">
        <v>533</v>
      </c>
      <c r="J243" s="19" t="s">
        <v>105</v>
      </c>
      <c r="K243" s="19">
        <v>2.5</v>
      </c>
      <c r="L243" s="19">
        <v>2.5</v>
      </c>
      <c r="M243" s="19">
        <v>2.5</v>
      </c>
      <c r="N243" s="1"/>
      <c r="AA243" s="73" t="s">
        <v>37</v>
      </c>
    </row>
    <row r="244" spans="1:28" ht="35.25" customHeight="1" x14ac:dyDescent="0.2">
      <c r="A244" s="206"/>
      <c r="B244" s="206"/>
      <c r="C244" s="206"/>
      <c r="D244" s="206"/>
      <c r="E244" s="206"/>
      <c r="F244" s="206"/>
      <c r="G244" s="206"/>
      <c r="H244" s="206"/>
      <c r="I244" s="19" t="s">
        <v>534</v>
      </c>
      <c r="J244" s="19" t="s">
        <v>99</v>
      </c>
      <c r="K244" s="19">
        <v>82</v>
      </c>
      <c r="L244" s="19">
        <v>83</v>
      </c>
      <c r="M244" s="19">
        <v>84</v>
      </c>
      <c r="N244" s="1"/>
      <c r="AA244" s="73" t="s">
        <v>37</v>
      </c>
    </row>
    <row r="245" spans="1:28" ht="48" customHeight="1" x14ac:dyDescent="0.2">
      <c r="A245" s="10" t="s">
        <v>100</v>
      </c>
      <c r="B245" s="10" t="s">
        <v>100</v>
      </c>
      <c r="C245" s="3" t="s">
        <v>100</v>
      </c>
      <c r="D245" s="3"/>
      <c r="E245" s="11" t="s">
        <v>535</v>
      </c>
      <c r="F245" s="12">
        <v>2057870.4</v>
      </c>
      <c r="G245" s="12">
        <v>2057870.4</v>
      </c>
      <c r="H245" s="12">
        <v>2057870.4</v>
      </c>
      <c r="I245" s="17" t="s">
        <v>536</v>
      </c>
      <c r="J245" s="17" t="s">
        <v>99</v>
      </c>
      <c r="K245" s="17">
        <v>100</v>
      </c>
      <c r="L245" s="17">
        <v>100</v>
      </c>
      <c r="M245" s="17">
        <v>100</v>
      </c>
      <c r="N245" s="1"/>
      <c r="AA245" s="72" t="s">
        <v>34</v>
      </c>
    </row>
    <row r="246" spans="1:28" ht="15" customHeight="1" x14ac:dyDescent="0.2">
      <c r="A246" s="210" t="s">
        <v>112</v>
      </c>
      <c r="B246" s="202"/>
      <c r="C246" s="202"/>
      <c r="D246" s="202"/>
      <c r="E246" s="203"/>
      <c r="F246" s="13">
        <v>332149236.14999998</v>
      </c>
      <c r="G246" s="13">
        <v>292725164.94999999</v>
      </c>
      <c r="H246" s="13">
        <v>315448713.95999998</v>
      </c>
      <c r="I246" s="201"/>
      <c r="J246" s="202"/>
      <c r="K246" s="202"/>
      <c r="L246" s="202"/>
      <c r="M246" s="203"/>
      <c r="N246" s="1"/>
      <c r="AA246" s="74" t="s">
        <v>46</v>
      </c>
    </row>
    <row r="247" spans="1:28" ht="20.25" customHeight="1" x14ac:dyDescent="0.2">
      <c r="A247" s="4" t="s">
        <v>450</v>
      </c>
      <c r="B247" s="212" t="s">
        <v>537</v>
      </c>
      <c r="C247" s="202"/>
      <c r="D247" s="202"/>
      <c r="E247" s="202"/>
      <c r="F247" s="202"/>
      <c r="G247" s="202"/>
      <c r="H247" s="202"/>
      <c r="I247" s="202"/>
      <c r="J247" s="202"/>
      <c r="K247" s="202"/>
      <c r="L247" s="202"/>
      <c r="M247" s="203"/>
      <c r="N247" s="1"/>
      <c r="AA247" s="70" t="s">
        <v>43</v>
      </c>
    </row>
    <row r="248" spans="1:28" ht="31.5" customHeight="1" x14ac:dyDescent="0.2">
      <c r="A248" s="5" t="s">
        <v>450</v>
      </c>
      <c r="B248" s="5" t="s">
        <v>538</v>
      </c>
      <c r="C248" s="6"/>
      <c r="D248" s="6"/>
      <c r="E248" s="7" t="s">
        <v>539</v>
      </c>
      <c r="F248" s="8">
        <v>81635.399999999994</v>
      </c>
      <c r="G248" s="8">
        <v>83268.11</v>
      </c>
      <c r="H248" s="8">
        <v>84933.5</v>
      </c>
      <c r="I248" s="18" t="s">
        <v>540</v>
      </c>
      <c r="J248" s="18" t="s">
        <v>155</v>
      </c>
      <c r="K248" s="18">
        <v>85</v>
      </c>
      <c r="L248" s="18">
        <v>85</v>
      </c>
      <c r="M248" s="18">
        <v>85</v>
      </c>
      <c r="N248" s="1"/>
      <c r="AA248" s="71" t="s">
        <v>40</v>
      </c>
    </row>
    <row r="249" spans="1:28" ht="33" customHeight="1" x14ac:dyDescent="0.2">
      <c r="A249" s="10" t="s">
        <v>100</v>
      </c>
      <c r="B249" s="10" t="s">
        <v>100</v>
      </c>
      <c r="C249" s="3" t="s">
        <v>100</v>
      </c>
      <c r="D249" s="3"/>
      <c r="E249" s="11" t="s">
        <v>541</v>
      </c>
      <c r="F249" s="12">
        <v>81635.399999999994</v>
      </c>
      <c r="G249" s="12">
        <v>83268.11</v>
      </c>
      <c r="H249" s="12">
        <v>84933.5</v>
      </c>
      <c r="I249" s="3" t="s">
        <v>540</v>
      </c>
      <c r="J249" s="3" t="s">
        <v>155</v>
      </c>
      <c r="K249" s="3">
        <v>85</v>
      </c>
      <c r="L249" s="3">
        <v>85</v>
      </c>
      <c r="M249" s="3">
        <v>85</v>
      </c>
      <c r="N249" s="1"/>
      <c r="AA249" s="72" t="s">
        <v>34</v>
      </c>
    </row>
    <row r="250" spans="1:28" x14ac:dyDescent="0.2">
      <c r="A250" s="210" t="s">
        <v>112</v>
      </c>
      <c r="B250" s="202"/>
      <c r="C250" s="202"/>
      <c r="D250" s="202"/>
      <c r="E250" s="203"/>
      <c r="F250" s="13">
        <v>81635.399999999994</v>
      </c>
      <c r="G250" s="13">
        <v>83268.11</v>
      </c>
      <c r="H250" s="13">
        <v>84933.5</v>
      </c>
      <c r="I250" s="201"/>
      <c r="J250" s="202"/>
      <c r="K250" s="202"/>
      <c r="L250" s="202"/>
      <c r="M250" s="203"/>
      <c r="N250" s="1"/>
      <c r="AA250" s="74" t="s">
        <v>46</v>
      </c>
    </row>
    <row r="251" spans="1:28" ht="21" customHeight="1" x14ac:dyDescent="0.2">
      <c r="A251" s="4" t="s">
        <v>16</v>
      </c>
      <c r="B251" s="212" t="s">
        <v>542</v>
      </c>
      <c r="C251" s="202"/>
      <c r="D251" s="202"/>
      <c r="E251" s="202"/>
      <c r="F251" s="202"/>
      <c r="G251" s="202"/>
      <c r="H251" s="202"/>
      <c r="I251" s="202"/>
      <c r="J251" s="202"/>
      <c r="K251" s="202"/>
      <c r="L251" s="202"/>
      <c r="M251" s="203"/>
      <c r="N251" s="1"/>
      <c r="AA251" s="70" t="s">
        <v>43</v>
      </c>
    </row>
    <row r="252" spans="1:28" ht="33" customHeight="1" x14ac:dyDescent="0.2">
      <c r="A252" s="5" t="s">
        <v>16</v>
      </c>
      <c r="B252" s="5" t="s">
        <v>96</v>
      </c>
      <c r="C252" s="6"/>
      <c r="D252" s="6"/>
      <c r="E252" s="7" t="s">
        <v>97</v>
      </c>
      <c r="F252" s="8">
        <v>269739.3</v>
      </c>
      <c r="G252" s="8">
        <v>269739.3</v>
      </c>
      <c r="H252" s="8">
        <v>269739.3</v>
      </c>
      <c r="I252" s="5" t="s">
        <v>253</v>
      </c>
      <c r="J252" s="5" t="s">
        <v>99</v>
      </c>
      <c r="K252" s="5">
        <v>100</v>
      </c>
      <c r="L252" s="5">
        <v>100</v>
      </c>
      <c r="M252" s="5">
        <v>100</v>
      </c>
      <c r="N252" s="1"/>
      <c r="AA252" s="71" t="s">
        <v>40</v>
      </c>
    </row>
    <row r="253" spans="1:28" ht="27" customHeight="1" x14ac:dyDescent="0.2">
      <c r="A253" s="218"/>
      <c r="B253" s="218"/>
      <c r="C253" s="207" t="s">
        <v>100</v>
      </c>
      <c r="D253" s="218"/>
      <c r="E253" s="207" t="s">
        <v>101</v>
      </c>
      <c r="F253" s="204">
        <v>269739.3</v>
      </c>
      <c r="G253" s="204">
        <v>269739.3</v>
      </c>
      <c r="H253" s="204">
        <v>269739.3</v>
      </c>
      <c r="I253" s="34" t="s">
        <v>304</v>
      </c>
      <c r="J253" s="34" t="s">
        <v>99</v>
      </c>
      <c r="K253" s="34">
        <v>36</v>
      </c>
      <c r="L253" s="34">
        <v>37</v>
      </c>
      <c r="M253" s="34">
        <v>38</v>
      </c>
      <c r="N253" s="1"/>
      <c r="AA253" s="72" t="s">
        <v>34</v>
      </c>
    </row>
    <row r="254" spans="1:28" ht="37.5" customHeight="1" x14ac:dyDescent="0.2">
      <c r="A254" s="205"/>
      <c r="B254" s="205"/>
      <c r="C254" s="205"/>
      <c r="D254" s="205"/>
      <c r="E254" s="205"/>
      <c r="F254" s="205"/>
      <c r="G254" s="205"/>
      <c r="H254" s="205"/>
      <c r="I254" s="34" t="s">
        <v>543</v>
      </c>
      <c r="J254" s="34" t="s">
        <v>99</v>
      </c>
      <c r="K254" s="34">
        <v>100</v>
      </c>
      <c r="L254" s="34">
        <v>100</v>
      </c>
      <c r="M254" s="34">
        <v>100</v>
      </c>
      <c r="N254" s="1"/>
      <c r="AA254" s="73" t="s">
        <v>37</v>
      </c>
    </row>
    <row r="255" spans="1:28" ht="30.75" customHeight="1" x14ac:dyDescent="0.2">
      <c r="A255" s="205"/>
      <c r="B255" s="205"/>
      <c r="C255" s="205"/>
      <c r="D255" s="205"/>
      <c r="E255" s="205"/>
      <c r="F255" s="205"/>
      <c r="G255" s="205"/>
      <c r="H255" s="205"/>
      <c r="I255" s="34" t="s">
        <v>544</v>
      </c>
      <c r="J255" s="34" t="s">
        <v>99</v>
      </c>
      <c r="K255" s="34">
        <v>100</v>
      </c>
      <c r="L255" s="34">
        <v>100</v>
      </c>
      <c r="M255" s="34">
        <v>100</v>
      </c>
      <c r="N255" s="1"/>
      <c r="AA255" s="73" t="s">
        <v>37</v>
      </c>
    </row>
    <row r="256" spans="1:28" ht="33" customHeight="1" x14ac:dyDescent="0.2">
      <c r="A256" s="205"/>
      <c r="B256" s="205"/>
      <c r="C256" s="205"/>
      <c r="D256" s="205"/>
      <c r="E256" s="205"/>
      <c r="F256" s="205"/>
      <c r="G256" s="205"/>
      <c r="H256" s="205"/>
      <c r="I256" s="34" t="s">
        <v>545</v>
      </c>
      <c r="J256" s="34" t="s">
        <v>99</v>
      </c>
      <c r="K256" s="34">
        <v>40</v>
      </c>
      <c r="L256" s="34">
        <v>40</v>
      </c>
      <c r="M256" s="34">
        <v>40</v>
      </c>
      <c r="N256" s="1"/>
      <c r="AA256" s="73" t="s">
        <v>37</v>
      </c>
    </row>
    <row r="257" spans="1:28" ht="29.25" customHeight="1" x14ac:dyDescent="0.2">
      <c r="A257" s="205"/>
      <c r="B257" s="205"/>
      <c r="C257" s="205"/>
      <c r="D257" s="205"/>
      <c r="E257" s="205"/>
      <c r="F257" s="205"/>
      <c r="G257" s="205"/>
      <c r="H257" s="205"/>
      <c r="I257" s="34" t="s">
        <v>546</v>
      </c>
      <c r="J257" s="34" t="s">
        <v>105</v>
      </c>
      <c r="K257" s="34">
        <v>5</v>
      </c>
      <c r="L257" s="34">
        <v>5</v>
      </c>
      <c r="M257" s="34">
        <v>5</v>
      </c>
      <c r="N257" s="1"/>
      <c r="AA257" s="73" t="s">
        <v>37</v>
      </c>
    </row>
    <row r="258" spans="1:28" ht="36" customHeight="1" x14ac:dyDescent="0.2">
      <c r="A258" s="206"/>
      <c r="B258" s="206"/>
      <c r="C258" s="206"/>
      <c r="D258" s="206"/>
      <c r="E258" s="206"/>
      <c r="F258" s="206"/>
      <c r="G258" s="206"/>
      <c r="H258" s="206"/>
      <c r="I258" s="34" t="s">
        <v>547</v>
      </c>
      <c r="J258" s="34" t="s">
        <v>99</v>
      </c>
      <c r="K258" s="34">
        <v>30</v>
      </c>
      <c r="L258" s="34">
        <v>30</v>
      </c>
      <c r="M258" s="34">
        <v>30</v>
      </c>
      <c r="N258" s="1"/>
      <c r="AA258" s="73" t="s">
        <v>37</v>
      </c>
    </row>
    <row r="259" spans="1:28" ht="43.5" customHeight="1" x14ac:dyDescent="0.2">
      <c r="A259" s="5" t="s">
        <v>16</v>
      </c>
      <c r="B259" s="5" t="s">
        <v>548</v>
      </c>
      <c r="C259" s="6"/>
      <c r="D259" s="6"/>
      <c r="E259" s="7" t="s">
        <v>549</v>
      </c>
      <c r="F259" s="8">
        <v>240842.6</v>
      </c>
      <c r="G259" s="8">
        <v>245180.7</v>
      </c>
      <c r="H259" s="8">
        <v>250588.1</v>
      </c>
      <c r="I259" s="5" t="s">
        <v>253</v>
      </c>
      <c r="J259" s="5" t="s">
        <v>99</v>
      </c>
      <c r="K259" s="5">
        <v>100</v>
      </c>
      <c r="L259" s="5">
        <v>100</v>
      </c>
      <c r="M259" s="5">
        <v>100</v>
      </c>
      <c r="N259" s="1"/>
      <c r="AA259" s="71" t="s">
        <v>40</v>
      </c>
    </row>
    <row r="260" spans="1:28" ht="37.5" customHeight="1" x14ac:dyDescent="0.2">
      <c r="A260" s="10" t="s">
        <v>100</v>
      </c>
      <c r="B260" s="10" t="s">
        <v>100</v>
      </c>
      <c r="C260" s="3" t="s">
        <v>100</v>
      </c>
      <c r="D260" s="3"/>
      <c r="E260" s="11" t="s">
        <v>550</v>
      </c>
      <c r="F260" s="12">
        <v>23936.5</v>
      </c>
      <c r="G260" s="12">
        <v>23936.5</v>
      </c>
      <c r="H260" s="12">
        <v>24919</v>
      </c>
      <c r="I260" s="3" t="s">
        <v>551</v>
      </c>
      <c r="J260" s="3" t="s">
        <v>552</v>
      </c>
      <c r="K260" s="3">
        <v>176</v>
      </c>
      <c r="L260" s="3">
        <v>185</v>
      </c>
      <c r="M260" s="3">
        <v>195</v>
      </c>
      <c r="N260" s="1"/>
      <c r="AA260" s="72" t="s">
        <v>34</v>
      </c>
    </row>
    <row r="261" spans="1:28" ht="39.75" customHeight="1" x14ac:dyDescent="0.2">
      <c r="A261" s="10" t="s">
        <v>120</v>
      </c>
      <c r="B261" s="10" t="s">
        <v>120</v>
      </c>
      <c r="C261" s="3" t="s">
        <v>120</v>
      </c>
      <c r="D261" s="3"/>
      <c r="E261" s="11" t="s">
        <v>553</v>
      </c>
      <c r="F261" s="12">
        <v>38342.5</v>
      </c>
      <c r="G261" s="12">
        <v>39109.4</v>
      </c>
      <c r="H261" s="12">
        <v>39891.5</v>
      </c>
      <c r="I261" s="3" t="s">
        <v>554</v>
      </c>
      <c r="J261" s="3" t="s">
        <v>105</v>
      </c>
      <c r="K261" s="3">
        <v>126048.3</v>
      </c>
      <c r="L261" s="3">
        <v>132351</v>
      </c>
      <c r="M261" s="3">
        <v>138969</v>
      </c>
      <c r="N261" s="1"/>
      <c r="AA261" s="72" t="s">
        <v>34</v>
      </c>
    </row>
    <row r="262" spans="1:28" ht="45.75" customHeight="1" x14ac:dyDescent="0.2">
      <c r="A262" s="10" t="s">
        <v>160</v>
      </c>
      <c r="B262" s="10" t="s">
        <v>160</v>
      </c>
      <c r="C262" s="3" t="s">
        <v>160</v>
      </c>
      <c r="D262" s="3"/>
      <c r="E262" s="11" t="s">
        <v>555</v>
      </c>
      <c r="F262" s="12">
        <v>18089</v>
      </c>
      <c r="G262" s="12">
        <v>18450.8</v>
      </c>
      <c r="H262" s="12">
        <v>18819.8</v>
      </c>
      <c r="I262" s="3" t="s">
        <v>556</v>
      </c>
      <c r="J262" s="3" t="s">
        <v>155</v>
      </c>
      <c r="K262" s="3">
        <v>13</v>
      </c>
      <c r="L262" s="3">
        <v>13</v>
      </c>
      <c r="M262" s="3">
        <v>12</v>
      </c>
      <c r="N262" s="1"/>
      <c r="AA262" s="72" t="s">
        <v>34</v>
      </c>
      <c r="AB262" s="75" t="s">
        <v>169</v>
      </c>
    </row>
    <row r="263" spans="1:28" ht="91.5" customHeight="1" x14ac:dyDescent="0.2">
      <c r="A263" s="10" t="s">
        <v>170</v>
      </c>
      <c r="B263" s="10" t="s">
        <v>170</v>
      </c>
      <c r="C263" s="3" t="s">
        <v>170</v>
      </c>
      <c r="D263" s="3"/>
      <c r="E263" s="11" t="s">
        <v>557</v>
      </c>
      <c r="F263" s="12">
        <v>47895.5</v>
      </c>
      <c r="G263" s="12">
        <v>48853.4</v>
      </c>
      <c r="H263" s="12">
        <v>49830.5</v>
      </c>
      <c r="I263" s="3" t="s">
        <v>558</v>
      </c>
      <c r="J263" s="3" t="s">
        <v>379</v>
      </c>
      <c r="K263" s="3">
        <v>976.3</v>
      </c>
      <c r="L263" s="3">
        <v>1254.0999999999999</v>
      </c>
      <c r="M263" s="3">
        <v>1425.1</v>
      </c>
      <c r="N263" s="1"/>
      <c r="AA263" s="72" t="s">
        <v>34</v>
      </c>
    </row>
    <row r="264" spans="1:28" ht="50.25" customHeight="1" x14ac:dyDescent="0.2">
      <c r="A264" s="209" t="s">
        <v>227</v>
      </c>
      <c r="B264" s="209" t="s">
        <v>227</v>
      </c>
      <c r="C264" s="207" t="s">
        <v>227</v>
      </c>
      <c r="D264" s="207"/>
      <c r="E264" s="208" t="s">
        <v>559</v>
      </c>
      <c r="F264" s="204">
        <v>84302.6</v>
      </c>
      <c r="G264" s="204">
        <v>83262.5</v>
      </c>
      <c r="H264" s="204">
        <v>87708.4</v>
      </c>
      <c r="I264" s="3" t="s">
        <v>560</v>
      </c>
      <c r="J264" s="3" t="s">
        <v>105</v>
      </c>
      <c r="K264" s="3">
        <v>17</v>
      </c>
      <c r="L264" s="3">
        <v>16</v>
      </c>
      <c r="M264" s="3">
        <v>18</v>
      </c>
      <c r="N264" s="1"/>
      <c r="AA264" s="72" t="s">
        <v>34</v>
      </c>
    </row>
    <row r="265" spans="1:28" ht="62.25" customHeight="1" x14ac:dyDescent="0.2">
      <c r="A265" s="205"/>
      <c r="B265" s="205"/>
      <c r="C265" s="205"/>
      <c r="D265" s="205"/>
      <c r="E265" s="205"/>
      <c r="F265" s="205"/>
      <c r="G265" s="205"/>
      <c r="H265" s="205"/>
      <c r="I265" s="3" t="s">
        <v>561</v>
      </c>
      <c r="J265" s="3" t="s">
        <v>105</v>
      </c>
      <c r="K265" s="3">
        <v>5</v>
      </c>
      <c r="L265" s="3">
        <v>4</v>
      </c>
      <c r="M265" s="3">
        <v>4</v>
      </c>
      <c r="N265" s="1"/>
      <c r="AA265" s="73" t="s">
        <v>37</v>
      </c>
    </row>
    <row r="266" spans="1:28" ht="52.5" customHeight="1" x14ac:dyDescent="0.2">
      <c r="A266" s="205"/>
      <c r="B266" s="205"/>
      <c r="C266" s="205"/>
      <c r="D266" s="205"/>
      <c r="E266" s="205"/>
      <c r="F266" s="205"/>
      <c r="G266" s="205"/>
      <c r="H266" s="205"/>
      <c r="I266" s="3" t="s">
        <v>562</v>
      </c>
      <c r="J266" s="3" t="s">
        <v>99</v>
      </c>
      <c r="K266" s="3">
        <v>80</v>
      </c>
      <c r="L266" s="3">
        <v>81</v>
      </c>
      <c r="M266" s="3">
        <v>82</v>
      </c>
      <c r="N266" s="1"/>
      <c r="AA266" s="73" t="s">
        <v>37</v>
      </c>
    </row>
    <row r="267" spans="1:28" ht="49.5" customHeight="1" x14ac:dyDescent="0.2">
      <c r="A267" s="205"/>
      <c r="B267" s="205"/>
      <c r="C267" s="205"/>
      <c r="D267" s="205"/>
      <c r="E267" s="205"/>
      <c r="F267" s="205"/>
      <c r="G267" s="205"/>
      <c r="H267" s="205"/>
      <c r="I267" s="3" t="s">
        <v>563</v>
      </c>
      <c r="J267" s="3" t="s">
        <v>99</v>
      </c>
      <c r="K267" s="3">
        <v>39</v>
      </c>
      <c r="L267" s="3">
        <v>41</v>
      </c>
      <c r="M267" s="3">
        <v>42</v>
      </c>
      <c r="N267" s="1"/>
      <c r="AA267" s="73" t="s">
        <v>37</v>
      </c>
    </row>
    <row r="268" spans="1:28" ht="39.75" customHeight="1" x14ac:dyDescent="0.2">
      <c r="A268" s="206"/>
      <c r="B268" s="206"/>
      <c r="C268" s="206"/>
      <c r="D268" s="206"/>
      <c r="E268" s="206"/>
      <c r="F268" s="206"/>
      <c r="G268" s="206"/>
      <c r="H268" s="206"/>
      <c r="I268" s="3" t="s">
        <v>564</v>
      </c>
      <c r="J268" s="3" t="s">
        <v>105</v>
      </c>
      <c r="K268" s="3">
        <v>24</v>
      </c>
      <c r="L268" s="3">
        <v>21</v>
      </c>
      <c r="M268" s="3">
        <v>17</v>
      </c>
      <c r="N268" s="1"/>
      <c r="AA268" s="73" t="s">
        <v>37</v>
      </c>
    </row>
    <row r="269" spans="1:28" ht="42" customHeight="1" x14ac:dyDescent="0.2">
      <c r="A269" s="209" t="s">
        <v>113</v>
      </c>
      <c r="B269" s="209" t="s">
        <v>113</v>
      </c>
      <c r="C269" s="207" t="s">
        <v>113</v>
      </c>
      <c r="D269" s="207"/>
      <c r="E269" s="208" t="s">
        <v>565</v>
      </c>
      <c r="F269" s="204">
        <v>28276.5</v>
      </c>
      <c r="G269" s="204">
        <v>31568.1</v>
      </c>
      <c r="H269" s="204">
        <v>29418.9</v>
      </c>
      <c r="I269" s="3" t="s">
        <v>566</v>
      </c>
      <c r="J269" s="3" t="s">
        <v>105</v>
      </c>
      <c r="K269" s="3">
        <v>36</v>
      </c>
      <c r="L269" s="3">
        <v>45</v>
      </c>
      <c r="M269" s="3">
        <v>47</v>
      </c>
      <c r="N269" s="1"/>
      <c r="AA269" s="72" t="s">
        <v>34</v>
      </c>
    </row>
    <row r="270" spans="1:28" ht="32.25" customHeight="1" x14ac:dyDescent="0.2">
      <c r="A270" s="206"/>
      <c r="B270" s="206"/>
      <c r="C270" s="206"/>
      <c r="D270" s="206"/>
      <c r="E270" s="206"/>
      <c r="F270" s="206"/>
      <c r="G270" s="206"/>
      <c r="H270" s="206"/>
      <c r="I270" s="3" t="s">
        <v>567</v>
      </c>
      <c r="J270" s="3" t="s">
        <v>105</v>
      </c>
      <c r="K270" s="3">
        <v>814</v>
      </c>
      <c r="L270" s="3">
        <v>1009</v>
      </c>
      <c r="M270" s="3">
        <v>1052</v>
      </c>
      <c r="N270" s="1"/>
      <c r="AA270" s="73" t="s">
        <v>37</v>
      </c>
    </row>
    <row r="271" spans="1:28" ht="44.25" customHeight="1" x14ac:dyDescent="0.2">
      <c r="A271" s="5" t="s">
        <v>16</v>
      </c>
      <c r="B271" s="5" t="s">
        <v>568</v>
      </c>
      <c r="C271" s="6"/>
      <c r="D271" s="6"/>
      <c r="E271" s="7" t="s">
        <v>569</v>
      </c>
      <c r="F271" s="8">
        <v>107895.4</v>
      </c>
      <c r="G271" s="8">
        <v>115448.1</v>
      </c>
      <c r="H271" s="8">
        <v>123151.8</v>
      </c>
      <c r="I271" s="5" t="s">
        <v>253</v>
      </c>
      <c r="J271" s="5" t="s">
        <v>99</v>
      </c>
      <c r="K271" s="5">
        <v>100</v>
      </c>
      <c r="L271" s="5">
        <v>100</v>
      </c>
      <c r="M271" s="5">
        <v>100</v>
      </c>
      <c r="N271" s="1"/>
      <c r="AA271" s="71" t="s">
        <v>40</v>
      </c>
    </row>
    <row r="272" spans="1:28" ht="33" customHeight="1" x14ac:dyDescent="0.2">
      <c r="A272" s="209" t="s">
        <v>156</v>
      </c>
      <c r="B272" s="209" t="s">
        <v>156</v>
      </c>
      <c r="C272" s="207" t="s">
        <v>156</v>
      </c>
      <c r="D272" s="207"/>
      <c r="E272" s="208" t="s">
        <v>570</v>
      </c>
      <c r="F272" s="204">
        <v>107895.4</v>
      </c>
      <c r="G272" s="204">
        <v>115448.1</v>
      </c>
      <c r="H272" s="204">
        <v>123151.8</v>
      </c>
      <c r="I272" s="34" t="s">
        <v>571</v>
      </c>
      <c r="J272" s="3" t="s">
        <v>99</v>
      </c>
      <c r="K272" s="3" t="s">
        <v>572</v>
      </c>
      <c r="L272" s="3" t="s">
        <v>572</v>
      </c>
      <c r="M272" s="3" t="s">
        <v>572</v>
      </c>
      <c r="N272" s="1"/>
      <c r="AA272" s="72" t="s">
        <v>34</v>
      </c>
    </row>
    <row r="273" spans="1:28" ht="32.25" customHeight="1" x14ac:dyDescent="0.2">
      <c r="A273" s="205"/>
      <c r="B273" s="205"/>
      <c r="C273" s="205"/>
      <c r="D273" s="205"/>
      <c r="E273" s="205"/>
      <c r="F273" s="205"/>
      <c r="G273" s="205"/>
      <c r="H273" s="205"/>
      <c r="I273" s="34" t="s">
        <v>573</v>
      </c>
      <c r="J273" s="3" t="s">
        <v>99</v>
      </c>
      <c r="K273" s="3">
        <v>114.5</v>
      </c>
      <c r="L273" s="3">
        <v>107.5</v>
      </c>
      <c r="M273" s="3">
        <v>111.3</v>
      </c>
      <c r="N273" s="1"/>
      <c r="AA273" s="73" t="s">
        <v>37</v>
      </c>
    </row>
    <row r="274" spans="1:28" ht="36" customHeight="1" x14ac:dyDescent="0.2">
      <c r="A274" s="205"/>
      <c r="B274" s="205"/>
      <c r="C274" s="205"/>
      <c r="D274" s="205"/>
      <c r="E274" s="205"/>
      <c r="F274" s="205"/>
      <c r="G274" s="205"/>
      <c r="H274" s="205"/>
      <c r="I274" s="34" t="s">
        <v>574</v>
      </c>
      <c r="J274" s="3" t="s">
        <v>99</v>
      </c>
      <c r="K274" s="3">
        <v>100</v>
      </c>
      <c r="L274" s="3">
        <v>100</v>
      </c>
      <c r="M274" s="3">
        <v>100</v>
      </c>
      <c r="N274" s="1"/>
      <c r="AA274" s="73" t="s">
        <v>37</v>
      </c>
    </row>
    <row r="275" spans="1:28" ht="32.25" customHeight="1" x14ac:dyDescent="0.2">
      <c r="A275" s="205"/>
      <c r="B275" s="205"/>
      <c r="C275" s="205"/>
      <c r="D275" s="205"/>
      <c r="E275" s="205"/>
      <c r="F275" s="205"/>
      <c r="G275" s="205"/>
      <c r="H275" s="205"/>
      <c r="I275" s="34" t="s">
        <v>575</v>
      </c>
      <c r="J275" s="3" t="s">
        <v>99</v>
      </c>
      <c r="K275" s="3">
        <v>103.5</v>
      </c>
      <c r="L275" s="3">
        <v>103.5</v>
      </c>
      <c r="M275" s="3">
        <v>103.5</v>
      </c>
      <c r="N275" s="1"/>
      <c r="AA275" s="73" t="s">
        <v>37</v>
      </c>
    </row>
    <row r="276" spans="1:28" ht="29.25" customHeight="1" x14ac:dyDescent="0.2">
      <c r="A276" s="205"/>
      <c r="B276" s="205"/>
      <c r="C276" s="205"/>
      <c r="D276" s="205"/>
      <c r="E276" s="205"/>
      <c r="F276" s="205"/>
      <c r="G276" s="205"/>
      <c r="H276" s="205"/>
      <c r="I276" s="34" t="s">
        <v>576</v>
      </c>
      <c r="J276" s="3" t="s">
        <v>105</v>
      </c>
      <c r="K276" s="3">
        <v>6</v>
      </c>
      <c r="L276" s="3">
        <v>8</v>
      </c>
      <c r="M276" s="3">
        <v>8</v>
      </c>
      <c r="N276" s="1"/>
      <c r="AA276" s="73" t="s">
        <v>37</v>
      </c>
    </row>
    <row r="277" spans="1:28" ht="33" customHeight="1" x14ac:dyDescent="0.2">
      <c r="A277" s="205"/>
      <c r="B277" s="205"/>
      <c r="C277" s="205"/>
      <c r="D277" s="205"/>
      <c r="E277" s="205"/>
      <c r="F277" s="205"/>
      <c r="G277" s="205"/>
      <c r="H277" s="205"/>
      <c r="I277" s="34" t="s">
        <v>577</v>
      </c>
      <c r="J277" s="3" t="s">
        <v>105</v>
      </c>
      <c r="K277" s="3">
        <v>1</v>
      </c>
      <c r="L277" s="3">
        <v>1</v>
      </c>
      <c r="M277" s="3">
        <v>1</v>
      </c>
      <c r="N277" s="1"/>
      <c r="AA277" s="73" t="s">
        <v>37</v>
      </c>
    </row>
    <row r="278" spans="1:28" ht="45" customHeight="1" x14ac:dyDescent="0.2">
      <c r="A278" s="205"/>
      <c r="B278" s="205"/>
      <c r="C278" s="205"/>
      <c r="D278" s="205"/>
      <c r="E278" s="205"/>
      <c r="F278" s="205"/>
      <c r="G278" s="205"/>
      <c r="H278" s="205"/>
      <c r="I278" s="34" t="s">
        <v>578</v>
      </c>
      <c r="J278" s="3" t="s">
        <v>105</v>
      </c>
      <c r="K278" s="3" t="s">
        <v>579</v>
      </c>
      <c r="L278" s="3" t="s">
        <v>579</v>
      </c>
      <c r="M278" s="3" t="s">
        <v>579</v>
      </c>
      <c r="N278" s="1"/>
      <c r="AA278" s="73" t="s">
        <v>37</v>
      </c>
    </row>
    <row r="279" spans="1:28" ht="29.25" customHeight="1" x14ac:dyDescent="0.2">
      <c r="A279" s="205"/>
      <c r="B279" s="205"/>
      <c r="C279" s="205"/>
      <c r="D279" s="205"/>
      <c r="E279" s="205"/>
      <c r="F279" s="205"/>
      <c r="G279" s="205"/>
      <c r="H279" s="205"/>
      <c r="I279" s="34" t="s">
        <v>580</v>
      </c>
      <c r="J279" s="3" t="s">
        <v>105</v>
      </c>
      <c r="K279" s="3">
        <v>7</v>
      </c>
      <c r="L279" s="3">
        <v>8</v>
      </c>
      <c r="M279" s="3">
        <v>8</v>
      </c>
      <c r="N279" s="1"/>
      <c r="AA279" s="73" t="s">
        <v>37</v>
      </c>
    </row>
    <row r="280" spans="1:28" ht="39.75" customHeight="1" x14ac:dyDescent="0.2">
      <c r="A280" s="205"/>
      <c r="B280" s="205"/>
      <c r="C280" s="205"/>
      <c r="D280" s="205"/>
      <c r="E280" s="205"/>
      <c r="F280" s="205"/>
      <c r="G280" s="205"/>
      <c r="H280" s="205"/>
      <c r="I280" s="34" t="s">
        <v>581</v>
      </c>
      <c r="J280" s="3" t="s">
        <v>105</v>
      </c>
      <c r="K280" s="3">
        <v>4</v>
      </c>
      <c r="L280" s="3">
        <v>4</v>
      </c>
      <c r="M280" s="3">
        <v>4</v>
      </c>
      <c r="N280" s="1"/>
      <c r="AA280" s="73" t="s">
        <v>37</v>
      </c>
    </row>
    <row r="281" spans="1:28" ht="31.5" customHeight="1" x14ac:dyDescent="0.2">
      <c r="A281" s="205"/>
      <c r="B281" s="205"/>
      <c r="C281" s="205"/>
      <c r="D281" s="205"/>
      <c r="E281" s="205"/>
      <c r="F281" s="205"/>
      <c r="G281" s="205"/>
      <c r="H281" s="205"/>
      <c r="I281" s="34" t="s">
        <v>582</v>
      </c>
      <c r="J281" s="3" t="s">
        <v>379</v>
      </c>
      <c r="K281" s="3">
        <v>8000</v>
      </c>
      <c r="L281" s="3">
        <v>8000</v>
      </c>
      <c r="M281" s="3">
        <v>8000</v>
      </c>
      <c r="N281" s="1"/>
      <c r="AA281" s="73" t="s">
        <v>37</v>
      </c>
    </row>
    <row r="282" spans="1:28" ht="39" customHeight="1" x14ac:dyDescent="0.2">
      <c r="A282" s="205"/>
      <c r="B282" s="205"/>
      <c r="C282" s="205"/>
      <c r="D282" s="205"/>
      <c r="E282" s="205"/>
      <c r="F282" s="205"/>
      <c r="G282" s="205"/>
      <c r="H282" s="205"/>
      <c r="I282" s="34" t="s">
        <v>583</v>
      </c>
      <c r="J282" s="3" t="s">
        <v>105</v>
      </c>
      <c r="K282" s="3">
        <v>5</v>
      </c>
      <c r="L282" s="3">
        <v>5</v>
      </c>
      <c r="M282" s="3">
        <v>5</v>
      </c>
      <c r="N282" s="1"/>
      <c r="AA282" s="73" t="s">
        <v>37</v>
      </c>
    </row>
    <row r="283" spans="1:28" ht="30" customHeight="1" x14ac:dyDescent="0.2">
      <c r="A283" s="206"/>
      <c r="B283" s="206"/>
      <c r="C283" s="206"/>
      <c r="D283" s="206"/>
      <c r="E283" s="206"/>
      <c r="F283" s="206"/>
      <c r="G283" s="206"/>
      <c r="H283" s="206"/>
      <c r="I283" s="34" t="s">
        <v>584</v>
      </c>
      <c r="J283" s="3" t="s">
        <v>99</v>
      </c>
      <c r="K283" s="3">
        <v>100</v>
      </c>
      <c r="L283" s="3">
        <v>100</v>
      </c>
      <c r="M283" s="3">
        <v>100</v>
      </c>
      <c r="N283" s="1"/>
      <c r="AA283" s="73" t="s">
        <v>37</v>
      </c>
    </row>
    <row r="284" spans="1:28" ht="40.5" customHeight="1" x14ac:dyDescent="0.2">
      <c r="A284" s="5" t="s">
        <v>16</v>
      </c>
      <c r="B284" s="5" t="s">
        <v>585</v>
      </c>
      <c r="C284" s="6"/>
      <c r="D284" s="6"/>
      <c r="E284" s="7" t="s">
        <v>586</v>
      </c>
      <c r="F284" s="8">
        <v>213365.4</v>
      </c>
      <c r="G284" s="8">
        <v>200269.7</v>
      </c>
      <c r="H284" s="8">
        <v>204037</v>
      </c>
      <c r="I284" s="5" t="s">
        <v>253</v>
      </c>
      <c r="J284" s="5" t="s">
        <v>99</v>
      </c>
      <c r="K284" s="5">
        <v>100</v>
      </c>
      <c r="L284" s="5">
        <v>100</v>
      </c>
      <c r="M284" s="5">
        <v>100</v>
      </c>
      <c r="N284" s="1"/>
      <c r="AA284" s="71" t="s">
        <v>40</v>
      </c>
      <c r="AB284" s="75" t="s">
        <v>169</v>
      </c>
    </row>
    <row r="285" spans="1:28" ht="60" customHeight="1" x14ac:dyDescent="0.2">
      <c r="A285" s="10" t="s">
        <v>150</v>
      </c>
      <c r="B285" s="10" t="s">
        <v>150</v>
      </c>
      <c r="C285" s="3" t="s">
        <v>150</v>
      </c>
      <c r="D285" s="3"/>
      <c r="E285" s="11" t="s">
        <v>587</v>
      </c>
      <c r="F285" s="12">
        <v>12595.4</v>
      </c>
      <c r="G285" s="12">
        <v>12847.3</v>
      </c>
      <c r="H285" s="12">
        <v>13104.3</v>
      </c>
      <c r="I285" s="3" t="s">
        <v>588</v>
      </c>
      <c r="J285" s="3" t="s">
        <v>105</v>
      </c>
      <c r="K285" s="3">
        <v>3</v>
      </c>
      <c r="L285" s="3">
        <v>3</v>
      </c>
      <c r="M285" s="3">
        <v>1</v>
      </c>
      <c r="N285" s="1"/>
      <c r="AA285" s="72" t="s">
        <v>34</v>
      </c>
    </row>
    <row r="286" spans="1:28" ht="39" customHeight="1" x14ac:dyDescent="0.2">
      <c r="A286" s="209" t="s">
        <v>124</v>
      </c>
      <c r="B286" s="209" t="s">
        <v>124</v>
      </c>
      <c r="C286" s="207" t="s">
        <v>124</v>
      </c>
      <c r="D286" s="207"/>
      <c r="E286" s="208" t="s">
        <v>589</v>
      </c>
      <c r="F286" s="204">
        <v>49889.599999999999</v>
      </c>
      <c r="G286" s="204">
        <v>50887.4</v>
      </c>
      <c r="H286" s="204">
        <v>51905.1</v>
      </c>
      <c r="I286" s="3" t="s">
        <v>590</v>
      </c>
      <c r="J286" s="3" t="s">
        <v>105</v>
      </c>
      <c r="K286" s="3">
        <v>200</v>
      </c>
      <c r="L286" s="3">
        <v>200</v>
      </c>
      <c r="M286" s="3">
        <v>200</v>
      </c>
      <c r="N286" s="1"/>
      <c r="AA286" s="72" t="s">
        <v>34</v>
      </c>
      <c r="AB286" s="75" t="s">
        <v>149</v>
      </c>
    </row>
    <row r="287" spans="1:28" ht="54" customHeight="1" x14ac:dyDescent="0.2">
      <c r="A287" s="205"/>
      <c r="B287" s="205"/>
      <c r="C287" s="205"/>
      <c r="D287" s="205"/>
      <c r="E287" s="205"/>
      <c r="F287" s="205"/>
      <c r="G287" s="205"/>
      <c r="H287" s="205"/>
      <c r="I287" s="3" t="s">
        <v>591</v>
      </c>
      <c r="J287" s="3" t="s">
        <v>105</v>
      </c>
      <c r="K287" s="3">
        <v>36</v>
      </c>
      <c r="L287" s="3">
        <v>36</v>
      </c>
      <c r="M287" s="3">
        <v>36</v>
      </c>
      <c r="N287" s="1"/>
      <c r="AA287" s="73" t="s">
        <v>37</v>
      </c>
    </row>
    <row r="288" spans="1:28" ht="42.75" customHeight="1" x14ac:dyDescent="0.2">
      <c r="A288" s="205"/>
      <c r="B288" s="205"/>
      <c r="C288" s="205"/>
      <c r="D288" s="205"/>
      <c r="E288" s="205"/>
      <c r="F288" s="205"/>
      <c r="G288" s="205"/>
      <c r="H288" s="205"/>
      <c r="I288" s="3" t="s">
        <v>592</v>
      </c>
      <c r="J288" s="3" t="s">
        <v>105</v>
      </c>
      <c r="K288" s="3">
        <v>60</v>
      </c>
      <c r="L288" s="3">
        <v>60</v>
      </c>
      <c r="M288" s="3">
        <v>60</v>
      </c>
      <c r="N288" s="1"/>
      <c r="AA288" s="73" t="s">
        <v>37</v>
      </c>
    </row>
    <row r="289" spans="1:28" ht="47.25" customHeight="1" x14ac:dyDescent="0.2">
      <c r="A289" s="205"/>
      <c r="B289" s="205"/>
      <c r="C289" s="205"/>
      <c r="D289" s="205"/>
      <c r="E289" s="205"/>
      <c r="F289" s="205"/>
      <c r="G289" s="205"/>
      <c r="H289" s="205"/>
      <c r="I289" s="3" t="s">
        <v>593</v>
      </c>
      <c r="J289" s="3" t="s">
        <v>105</v>
      </c>
      <c r="K289" s="3">
        <v>6</v>
      </c>
      <c r="L289" s="3">
        <v>6</v>
      </c>
      <c r="M289" s="3">
        <v>6</v>
      </c>
      <c r="N289" s="1"/>
      <c r="AA289" s="73" t="s">
        <v>37</v>
      </c>
    </row>
    <row r="290" spans="1:28" ht="33.75" customHeight="1" x14ac:dyDescent="0.2">
      <c r="A290" s="206"/>
      <c r="B290" s="206"/>
      <c r="C290" s="206"/>
      <c r="D290" s="206"/>
      <c r="E290" s="206"/>
      <c r="F290" s="206"/>
      <c r="G290" s="206"/>
      <c r="H290" s="206"/>
      <c r="I290" s="3" t="s">
        <v>594</v>
      </c>
      <c r="J290" s="3" t="s">
        <v>105</v>
      </c>
      <c r="K290" s="3">
        <v>120</v>
      </c>
      <c r="L290" s="3">
        <v>120</v>
      </c>
      <c r="M290" s="3">
        <v>120</v>
      </c>
      <c r="N290" s="1"/>
      <c r="AA290" s="73" t="s">
        <v>37</v>
      </c>
    </row>
    <row r="291" spans="1:28" ht="36" customHeight="1" x14ac:dyDescent="0.2">
      <c r="A291" s="10" t="s">
        <v>156</v>
      </c>
      <c r="B291" s="10" t="s">
        <v>156</v>
      </c>
      <c r="C291" s="3" t="s">
        <v>156</v>
      </c>
      <c r="D291" s="3"/>
      <c r="E291" s="11" t="s">
        <v>595</v>
      </c>
      <c r="F291" s="12">
        <v>24358</v>
      </c>
      <c r="G291" s="12">
        <v>25261.9</v>
      </c>
      <c r="H291" s="12">
        <v>25391.4</v>
      </c>
      <c r="I291" s="3" t="s">
        <v>596</v>
      </c>
      <c r="J291" s="3" t="s">
        <v>552</v>
      </c>
      <c r="K291" s="3">
        <v>17729</v>
      </c>
      <c r="L291" s="3">
        <v>18840</v>
      </c>
      <c r="M291" s="3">
        <v>19840</v>
      </c>
      <c r="N291" s="1"/>
      <c r="AA291" s="72" t="s">
        <v>34</v>
      </c>
      <c r="AB291" s="75" t="s">
        <v>118</v>
      </c>
    </row>
    <row r="292" spans="1:28" ht="24" customHeight="1" x14ac:dyDescent="0.2">
      <c r="A292" s="10" t="s">
        <v>160</v>
      </c>
      <c r="B292" s="10" t="s">
        <v>160</v>
      </c>
      <c r="C292" s="3" t="s">
        <v>160</v>
      </c>
      <c r="D292" s="3"/>
      <c r="E292" s="11" t="s">
        <v>597</v>
      </c>
      <c r="F292" s="12">
        <v>22534.2</v>
      </c>
      <c r="G292" s="12">
        <v>23438.1</v>
      </c>
      <c r="H292" s="12">
        <v>23416.6</v>
      </c>
      <c r="I292" s="3" t="s">
        <v>598</v>
      </c>
      <c r="J292" s="3" t="s">
        <v>552</v>
      </c>
      <c r="K292" s="3">
        <v>94.5</v>
      </c>
      <c r="L292" s="3">
        <v>100</v>
      </c>
      <c r="M292" s="3">
        <v>105</v>
      </c>
      <c r="N292" s="1"/>
      <c r="AA292" s="72" t="s">
        <v>34</v>
      </c>
    </row>
    <row r="293" spans="1:28" ht="36" customHeight="1" x14ac:dyDescent="0.2">
      <c r="A293" s="209" t="s">
        <v>163</v>
      </c>
      <c r="B293" s="209" t="s">
        <v>163</v>
      </c>
      <c r="C293" s="207" t="s">
        <v>163</v>
      </c>
      <c r="D293" s="207"/>
      <c r="E293" s="208" t="s">
        <v>599</v>
      </c>
      <c r="F293" s="204">
        <v>73548.2</v>
      </c>
      <c r="G293" s="204">
        <v>54451.4</v>
      </c>
      <c r="H293" s="204">
        <v>55724.3</v>
      </c>
      <c r="I293" s="3" t="s">
        <v>600</v>
      </c>
      <c r="J293" s="3" t="s">
        <v>155</v>
      </c>
      <c r="K293" s="3">
        <v>9</v>
      </c>
      <c r="L293" s="3">
        <v>9</v>
      </c>
      <c r="M293" s="3">
        <v>9</v>
      </c>
      <c r="N293" s="1"/>
      <c r="AA293" s="72" t="s">
        <v>34</v>
      </c>
    </row>
    <row r="294" spans="1:28" ht="36" customHeight="1" x14ac:dyDescent="0.2">
      <c r="A294" s="205"/>
      <c r="B294" s="205"/>
      <c r="C294" s="205"/>
      <c r="D294" s="205"/>
      <c r="E294" s="205"/>
      <c r="F294" s="205"/>
      <c r="G294" s="205"/>
      <c r="H294" s="205"/>
      <c r="I294" s="3" t="s">
        <v>601</v>
      </c>
      <c r="J294" s="3" t="s">
        <v>155</v>
      </c>
      <c r="K294" s="3">
        <v>6</v>
      </c>
      <c r="L294" s="3">
        <v>7</v>
      </c>
      <c r="M294" s="3">
        <v>7</v>
      </c>
      <c r="N294" s="1"/>
      <c r="AA294" s="73" t="s">
        <v>37</v>
      </c>
    </row>
    <row r="295" spans="1:28" ht="39.75" customHeight="1" x14ac:dyDescent="0.2">
      <c r="A295" s="205"/>
      <c r="B295" s="205"/>
      <c r="C295" s="205"/>
      <c r="D295" s="205"/>
      <c r="E295" s="205"/>
      <c r="F295" s="205"/>
      <c r="G295" s="205"/>
      <c r="H295" s="205"/>
      <c r="I295" s="3" t="s">
        <v>602</v>
      </c>
      <c r="J295" s="3" t="s">
        <v>155</v>
      </c>
      <c r="K295" s="3">
        <v>15</v>
      </c>
      <c r="L295" s="3">
        <v>15</v>
      </c>
      <c r="M295" s="3">
        <v>15</v>
      </c>
      <c r="N295" s="1"/>
      <c r="AA295" s="73" t="s">
        <v>37</v>
      </c>
    </row>
    <row r="296" spans="1:28" ht="36" customHeight="1" x14ac:dyDescent="0.2">
      <c r="A296" s="206"/>
      <c r="B296" s="206"/>
      <c r="C296" s="206"/>
      <c r="D296" s="206"/>
      <c r="E296" s="206"/>
      <c r="F296" s="206"/>
      <c r="G296" s="206"/>
      <c r="H296" s="206"/>
      <c r="I296" s="3" t="s">
        <v>603</v>
      </c>
      <c r="J296" s="3" t="s">
        <v>155</v>
      </c>
      <c r="K296" s="3">
        <v>15</v>
      </c>
      <c r="L296" s="3">
        <v>21</v>
      </c>
      <c r="M296" s="3">
        <v>21</v>
      </c>
      <c r="N296" s="1"/>
      <c r="AA296" s="73" t="s">
        <v>37</v>
      </c>
    </row>
    <row r="297" spans="1:28" ht="29.25" customHeight="1" x14ac:dyDescent="0.2">
      <c r="A297" s="10" t="s">
        <v>166</v>
      </c>
      <c r="B297" s="10" t="s">
        <v>166</v>
      </c>
      <c r="C297" s="3" t="s">
        <v>166</v>
      </c>
      <c r="D297" s="3"/>
      <c r="E297" s="11" t="s">
        <v>604</v>
      </c>
      <c r="F297" s="12">
        <v>30440</v>
      </c>
      <c r="G297" s="12">
        <v>33383.599999999999</v>
      </c>
      <c r="H297" s="12">
        <v>34495.300000000003</v>
      </c>
      <c r="I297" s="3" t="s">
        <v>605</v>
      </c>
      <c r="J297" s="3" t="s">
        <v>155</v>
      </c>
      <c r="K297" s="3">
        <v>167</v>
      </c>
      <c r="L297" s="3">
        <v>170</v>
      </c>
      <c r="M297" s="3">
        <v>175</v>
      </c>
      <c r="N297" s="1"/>
      <c r="AA297" s="72" t="s">
        <v>34</v>
      </c>
    </row>
    <row r="298" spans="1:28" ht="30.75" customHeight="1" x14ac:dyDescent="0.2">
      <c r="A298" s="5" t="s">
        <v>16</v>
      </c>
      <c r="B298" s="5" t="s">
        <v>606</v>
      </c>
      <c r="C298" s="6"/>
      <c r="D298" s="6"/>
      <c r="E298" s="7" t="s">
        <v>607</v>
      </c>
      <c r="F298" s="8">
        <v>53903</v>
      </c>
      <c r="G298" s="8">
        <v>54981.100000000013</v>
      </c>
      <c r="H298" s="8">
        <v>56080.7</v>
      </c>
      <c r="I298" s="5" t="s">
        <v>253</v>
      </c>
      <c r="J298" s="5" t="s">
        <v>99</v>
      </c>
      <c r="K298" s="5">
        <v>100</v>
      </c>
      <c r="L298" s="5">
        <v>100</v>
      </c>
      <c r="M298" s="5">
        <v>100</v>
      </c>
      <c r="N298" s="1"/>
      <c r="AA298" s="71" t="s">
        <v>40</v>
      </c>
    </row>
    <row r="299" spans="1:28" ht="21.75" customHeight="1" x14ac:dyDescent="0.2">
      <c r="A299" s="209" t="s">
        <v>100</v>
      </c>
      <c r="B299" s="209" t="s">
        <v>100</v>
      </c>
      <c r="C299" s="207" t="s">
        <v>100</v>
      </c>
      <c r="D299" s="207"/>
      <c r="E299" s="208" t="s">
        <v>608</v>
      </c>
      <c r="F299" s="204">
        <v>47272</v>
      </c>
      <c r="G299" s="204">
        <v>43006.400000000001</v>
      </c>
      <c r="H299" s="204">
        <v>43878.3</v>
      </c>
      <c r="I299" s="3" t="s">
        <v>609</v>
      </c>
      <c r="J299" s="3" t="s">
        <v>610</v>
      </c>
      <c r="K299" s="3">
        <v>244</v>
      </c>
      <c r="L299" s="3">
        <v>244.3</v>
      </c>
      <c r="M299" s="3">
        <v>244.6</v>
      </c>
      <c r="N299" s="1"/>
      <c r="AA299" s="72" t="s">
        <v>34</v>
      </c>
    </row>
    <row r="300" spans="1:28" ht="25.5" customHeight="1" x14ac:dyDescent="0.2">
      <c r="A300" s="205"/>
      <c r="B300" s="205"/>
      <c r="C300" s="205"/>
      <c r="D300" s="205"/>
      <c r="E300" s="205"/>
      <c r="F300" s="205"/>
      <c r="G300" s="205"/>
      <c r="H300" s="205"/>
      <c r="I300" s="3" t="s">
        <v>611</v>
      </c>
      <c r="J300" s="3" t="s">
        <v>610</v>
      </c>
      <c r="K300" s="3">
        <v>121.5</v>
      </c>
      <c r="L300" s="3">
        <v>121.6</v>
      </c>
      <c r="M300" s="3">
        <v>121.7</v>
      </c>
      <c r="N300" s="1"/>
      <c r="AA300" s="73" t="s">
        <v>37</v>
      </c>
    </row>
    <row r="301" spans="1:28" ht="27" customHeight="1" x14ac:dyDescent="0.2">
      <c r="A301" s="205"/>
      <c r="B301" s="205"/>
      <c r="C301" s="205"/>
      <c r="D301" s="205"/>
      <c r="E301" s="205"/>
      <c r="F301" s="205"/>
      <c r="G301" s="205"/>
      <c r="H301" s="205"/>
      <c r="I301" s="3" t="s">
        <v>612</v>
      </c>
      <c r="J301" s="3" t="s">
        <v>610</v>
      </c>
      <c r="K301" s="3">
        <v>4.3</v>
      </c>
      <c r="L301" s="3">
        <v>4.7</v>
      </c>
      <c r="M301" s="3">
        <v>4.9000000000000004</v>
      </c>
      <c r="N301" s="1"/>
      <c r="AA301" s="73" t="s">
        <v>37</v>
      </c>
    </row>
    <row r="302" spans="1:28" ht="24" customHeight="1" x14ac:dyDescent="0.2">
      <c r="A302" s="205"/>
      <c r="B302" s="205"/>
      <c r="C302" s="205"/>
      <c r="D302" s="205"/>
      <c r="E302" s="205"/>
      <c r="F302" s="205"/>
      <c r="G302" s="205"/>
      <c r="H302" s="205"/>
      <c r="I302" s="3" t="s">
        <v>613</v>
      </c>
      <c r="J302" s="3" t="s">
        <v>610</v>
      </c>
      <c r="K302" s="3">
        <v>294.39999999999998</v>
      </c>
      <c r="L302" s="3">
        <v>300.3</v>
      </c>
      <c r="M302" s="3">
        <v>306.3</v>
      </c>
      <c r="N302" s="1"/>
      <c r="AA302" s="73" t="s">
        <v>37</v>
      </c>
    </row>
    <row r="303" spans="1:28" ht="24" customHeight="1" x14ac:dyDescent="0.2">
      <c r="A303" s="206"/>
      <c r="B303" s="206"/>
      <c r="C303" s="206"/>
      <c r="D303" s="206"/>
      <c r="E303" s="206"/>
      <c r="F303" s="206"/>
      <c r="G303" s="206"/>
      <c r="H303" s="206"/>
      <c r="I303" s="3" t="s">
        <v>614</v>
      </c>
      <c r="J303" s="3" t="s">
        <v>105</v>
      </c>
      <c r="K303" s="3">
        <v>21</v>
      </c>
      <c r="L303" s="3">
        <v>22</v>
      </c>
      <c r="M303" s="3">
        <v>23</v>
      </c>
      <c r="N303" s="1"/>
      <c r="AA303" s="73" t="s">
        <v>37</v>
      </c>
    </row>
    <row r="304" spans="1:28" x14ac:dyDescent="0.2">
      <c r="A304" s="209" t="s">
        <v>120</v>
      </c>
      <c r="B304" s="209" t="s">
        <v>120</v>
      </c>
      <c r="C304" s="207" t="s">
        <v>120</v>
      </c>
      <c r="D304" s="207"/>
      <c r="E304" s="208" t="s">
        <v>615</v>
      </c>
      <c r="F304" s="204">
        <v>6631</v>
      </c>
      <c r="G304" s="204">
        <v>11974.7</v>
      </c>
      <c r="H304" s="204">
        <v>12202.4</v>
      </c>
      <c r="I304" s="3" t="s">
        <v>616</v>
      </c>
      <c r="J304" s="3" t="s">
        <v>610</v>
      </c>
      <c r="K304" s="3">
        <v>860</v>
      </c>
      <c r="L304" s="3">
        <v>870</v>
      </c>
      <c r="M304" s="3">
        <v>880</v>
      </c>
      <c r="N304" s="1"/>
      <c r="AA304" s="72" t="s">
        <v>34</v>
      </c>
      <c r="AB304" s="75" t="s">
        <v>169</v>
      </c>
    </row>
    <row r="305" spans="1:28" x14ac:dyDescent="0.2">
      <c r="A305" s="206"/>
      <c r="B305" s="206"/>
      <c r="C305" s="206"/>
      <c r="D305" s="206"/>
      <c r="E305" s="206"/>
      <c r="F305" s="206"/>
      <c r="G305" s="206"/>
      <c r="H305" s="206"/>
      <c r="I305" s="3" t="s">
        <v>617</v>
      </c>
      <c r="J305" s="3" t="s">
        <v>105</v>
      </c>
      <c r="K305" s="3">
        <v>452</v>
      </c>
      <c r="L305" s="3">
        <v>455</v>
      </c>
      <c r="M305" s="3">
        <v>457</v>
      </c>
      <c r="N305" s="1"/>
      <c r="AA305" s="73" t="s">
        <v>37</v>
      </c>
    </row>
    <row r="306" spans="1:28" ht="24" customHeight="1" x14ac:dyDescent="0.2">
      <c r="A306" s="5" t="s">
        <v>16</v>
      </c>
      <c r="B306" s="5" t="s">
        <v>618</v>
      </c>
      <c r="C306" s="6"/>
      <c r="D306" s="6"/>
      <c r="E306" s="7" t="s">
        <v>619</v>
      </c>
      <c r="F306" s="8">
        <v>19561.8</v>
      </c>
      <c r="G306" s="8">
        <v>19561.8</v>
      </c>
      <c r="H306" s="8">
        <v>20315.3</v>
      </c>
      <c r="I306" s="5" t="s">
        <v>253</v>
      </c>
      <c r="J306" s="5" t="s">
        <v>99</v>
      </c>
      <c r="K306" s="5">
        <v>100</v>
      </c>
      <c r="L306" s="5">
        <v>100</v>
      </c>
      <c r="M306" s="5">
        <v>100</v>
      </c>
      <c r="N306" s="1"/>
      <c r="AA306" s="71" t="s">
        <v>40</v>
      </c>
    </row>
    <row r="307" spans="1:28" ht="24" customHeight="1" x14ac:dyDescent="0.2">
      <c r="A307" s="10" t="s">
        <v>100</v>
      </c>
      <c r="B307" s="10" t="s">
        <v>100</v>
      </c>
      <c r="C307" s="3" t="s">
        <v>100</v>
      </c>
      <c r="D307" s="3"/>
      <c r="E307" s="11" t="s">
        <v>620</v>
      </c>
      <c r="F307" s="12">
        <v>19561.8</v>
      </c>
      <c r="G307" s="12">
        <v>19561.8</v>
      </c>
      <c r="H307" s="12">
        <v>20315.3</v>
      </c>
      <c r="I307" s="3" t="s">
        <v>621</v>
      </c>
      <c r="J307" s="3" t="s">
        <v>552</v>
      </c>
      <c r="K307" s="3">
        <v>504</v>
      </c>
      <c r="L307" s="3">
        <v>605</v>
      </c>
      <c r="M307" s="3">
        <v>705</v>
      </c>
      <c r="N307" s="1"/>
      <c r="AA307" s="72" t="s">
        <v>34</v>
      </c>
    </row>
    <row r="308" spans="1:28" x14ac:dyDescent="0.2">
      <c r="A308" s="19">
        <v>28</v>
      </c>
      <c r="B308" s="19">
        <v>992</v>
      </c>
      <c r="C308" s="35" t="s">
        <v>100</v>
      </c>
      <c r="D308" s="36"/>
      <c r="E308" s="37" t="s">
        <v>409</v>
      </c>
      <c r="F308" s="38">
        <v>4345551.3</v>
      </c>
      <c r="G308" s="38">
        <v>3799801.6</v>
      </c>
      <c r="H308" s="38">
        <v>7481928.9000000004</v>
      </c>
      <c r="I308" s="39" t="s">
        <v>347</v>
      </c>
      <c r="J308" s="19" t="s">
        <v>99</v>
      </c>
      <c r="K308" s="19">
        <v>100</v>
      </c>
      <c r="L308" s="19">
        <v>100</v>
      </c>
      <c r="M308" s="19">
        <v>100</v>
      </c>
      <c r="N308" s="40"/>
      <c r="O308" s="41"/>
      <c r="P308" s="41"/>
      <c r="Q308" s="41"/>
      <c r="R308" s="41"/>
      <c r="S308" s="41"/>
      <c r="T308" s="41"/>
      <c r="U308" s="41"/>
      <c r="V308" s="41"/>
      <c r="W308" s="41"/>
      <c r="X308" s="41"/>
      <c r="Y308" s="41"/>
      <c r="AA308" s="72" t="s">
        <v>34</v>
      </c>
    </row>
    <row r="309" spans="1:28" x14ac:dyDescent="0.2">
      <c r="A309" s="210" t="s">
        <v>112</v>
      </c>
      <c r="B309" s="202"/>
      <c r="C309" s="202"/>
      <c r="D309" s="202"/>
      <c r="E309" s="203"/>
      <c r="F309" s="42">
        <v>5250858.8</v>
      </c>
      <c r="G309" s="42">
        <v>4704982.3</v>
      </c>
      <c r="H309" s="42">
        <v>8405841.0999999996</v>
      </c>
      <c r="I309" s="201"/>
      <c r="J309" s="202"/>
      <c r="K309" s="202"/>
      <c r="L309" s="202"/>
      <c r="M309" s="203"/>
      <c r="N309" s="1"/>
      <c r="AA309" s="74" t="s">
        <v>46</v>
      </c>
    </row>
    <row r="310" spans="1:28" ht="15" customHeight="1" x14ac:dyDescent="0.2">
      <c r="A310" s="4" t="s">
        <v>622</v>
      </c>
      <c r="B310" s="212" t="s">
        <v>623</v>
      </c>
      <c r="C310" s="202"/>
      <c r="D310" s="202"/>
      <c r="E310" s="202"/>
      <c r="F310" s="202"/>
      <c r="G310" s="202"/>
      <c r="H310" s="202"/>
      <c r="I310" s="202"/>
      <c r="J310" s="202"/>
      <c r="K310" s="202"/>
      <c r="L310" s="202"/>
      <c r="M310" s="203"/>
      <c r="N310" s="1"/>
      <c r="AA310" s="70" t="s">
        <v>43</v>
      </c>
    </row>
    <row r="311" spans="1:28" ht="24" customHeight="1" x14ac:dyDescent="0.2">
      <c r="A311" s="5" t="s">
        <v>622</v>
      </c>
      <c r="B311" s="5" t="s">
        <v>96</v>
      </c>
      <c r="C311" s="6"/>
      <c r="D311" s="6"/>
      <c r="E311" s="7" t="s">
        <v>97</v>
      </c>
      <c r="F311" s="8">
        <v>737759.3</v>
      </c>
      <c r="G311" s="8">
        <v>769728.88</v>
      </c>
      <c r="H311" s="8">
        <v>809344.9</v>
      </c>
      <c r="I311" s="5" t="s">
        <v>253</v>
      </c>
      <c r="J311" s="5" t="s">
        <v>99</v>
      </c>
      <c r="K311" s="5">
        <v>100</v>
      </c>
      <c r="L311" s="5">
        <v>100</v>
      </c>
      <c r="M311" s="5">
        <v>100</v>
      </c>
      <c r="N311" s="1"/>
      <c r="AA311" s="71" t="s">
        <v>40</v>
      </c>
    </row>
    <row r="312" spans="1:28" ht="24" customHeight="1" x14ac:dyDescent="0.2">
      <c r="A312" s="10" t="s">
        <v>100</v>
      </c>
      <c r="B312" s="10" t="s">
        <v>100</v>
      </c>
      <c r="C312" s="3" t="s">
        <v>100</v>
      </c>
      <c r="D312" s="3"/>
      <c r="E312" s="11" t="s">
        <v>101</v>
      </c>
      <c r="F312" s="12">
        <v>737759.3</v>
      </c>
      <c r="G312" s="12">
        <v>769728.88</v>
      </c>
      <c r="H312" s="12">
        <v>809344.9</v>
      </c>
      <c r="I312" s="3" t="s">
        <v>624</v>
      </c>
      <c r="J312" s="3" t="s">
        <v>99</v>
      </c>
      <c r="K312" s="3">
        <v>95.5</v>
      </c>
      <c r="L312" s="3">
        <v>96</v>
      </c>
      <c r="M312" s="3">
        <v>96.5</v>
      </c>
      <c r="N312" s="1"/>
      <c r="AA312" s="72" t="s">
        <v>34</v>
      </c>
    </row>
    <row r="313" spans="1:28" ht="24" customHeight="1" x14ac:dyDescent="0.2">
      <c r="A313" s="5" t="s">
        <v>622</v>
      </c>
      <c r="B313" s="5" t="s">
        <v>625</v>
      </c>
      <c r="C313" s="6"/>
      <c r="D313" s="6"/>
      <c r="E313" s="7" t="s">
        <v>626</v>
      </c>
      <c r="F313" s="8">
        <v>132692</v>
      </c>
      <c r="G313" s="8">
        <v>136834.62</v>
      </c>
      <c r="H313" s="8">
        <v>120394.5</v>
      </c>
      <c r="I313" s="5" t="s">
        <v>253</v>
      </c>
      <c r="J313" s="5" t="s">
        <v>99</v>
      </c>
      <c r="K313" s="5">
        <v>100</v>
      </c>
      <c r="L313" s="5">
        <v>100</v>
      </c>
      <c r="M313" s="5">
        <v>100</v>
      </c>
      <c r="N313" s="1"/>
      <c r="AA313" s="71" t="s">
        <v>40</v>
      </c>
    </row>
    <row r="314" spans="1:28" ht="42.75" customHeight="1" x14ac:dyDescent="0.2">
      <c r="A314" s="10" t="s">
        <v>100</v>
      </c>
      <c r="B314" s="10" t="s">
        <v>100</v>
      </c>
      <c r="C314" s="3" t="s">
        <v>100</v>
      </c>
      <c r="D314" s="3"/>
      <c r="E314" s="11" t="s">
        <v>627</v>
      </c>
      <c r="F314" s="12">
        <v>74111.399999999994</v>
      </c>
      <c r="G314" s="12">
        <v>78254.02</v>
      </c>
      <c r="H314" s="12">
        <v>79372.399999999994</v>
      </c>
      <c r="I314" s="3" t="s">
        <v>628</v>
      </c>
      <c r="J314" s="3" t="s">
        <v>105</v>
      </c>
      <c r="K314" s="3">
        <v>86842</v>
      </c>
      <c r="L314" s="3">
        <v>88741</v>
      </c>
      <c r="M314" s="3">
        <v>90621</v>
      </c>
      <c r="N314" s="1"/>
      <c r="AA314" s="72" t="s">
        <v>34</v>
      </c>
    </row>
    <row r="315" spans="1:28" ht="44.25" customHeight="1" x14ac:dyDescent="0.2">
      <c r="A315" s="10" t="s">
        <v>120</v>
      </c>
      <c r="B315" s="10" t="s">
        <v>120</v>
      </c>
      <c r="C315" s="3" t="s">
        <v>120</v>
      </c>
      <c r="D315" s="3"/>
      <c r="E315" s="11" t="s">
        <v>629</v>
      </c>
      <c r="F315" s="12">
        <v>58580.6</v>
      </c>
      <c r="G315" s="12">
        <v>58580.6</v>
      </c>
      <c r="H315" s="12">
        <v>41022.1</v>
      </c>
      <c r="I315" s="3" t="s">
        <v>630</v>
      </c>
      <c r="J315" s="3" t="s">
        <v>105</v>
      </c>
      <c r="K315" s="3">
        <v>20</v>
      </c>
      <c r="L315" s="3">
        <v>20</v>
      </c>
      <c r="M315" s="3">
        <v>20</v>
      </c>
      <c r="N315" s="1"/>
      <c r="AA315" s="72" t="s">
        <v>34</v>
      </c>
      <c r="AB315" s="75" t="s">
        <v>169</v>
      </c>
    </row>
    <row r="316" spans="1:28" ht="42.75" customHeight="1" x14ac:dyDescent="0.2">
      <c r="A316" s="5" t="s">
        <v>622</v>
      </c>
      <c r="B316" s="5" t="s">
        <v>631</v>
      </c>
      <c r="C316" s="6"/>
      <c r="D316" s="6"/>
      <c r="E316" s="7" t="s">
        <v>632</v>
      </c>
      <c r="F316" s="8">
        <v>19428.599999999999</v>
      </c>
      <c r="G316" s="8">
        <v>19428.599999999999</v>
      </c>
      <c r="H316" s="8">
        <v>19428.599999999999</v>
      </c>
      <c r="I316" s="5" t="s">
        <v>253</v>
      </c>
      <c r="J316" s="5" t="s">
        <v>99</v>
      </c>
      <c r="K316" s="5">
        <v>100</v>
      </c>
      <c r="L316" s="5">
        <v>100</v>
      </c>
      <c r="M316" s="5">
        <v>100</v>
      </c>
      <c r="N316" s="1"/>
      <c r="AA316" s="71" t="s">
        <v>40</v>
      </c>
      <c r="AB316" s="75" t="s">
        <v>169</v>
      </c>
    </row>
    <row r="317" spans="1:28" ht="44.25" customHeight="1" x14ac:dyDescent="0.2">
      <c r="A317" s="10" t="s">
        <v>100</v>
      </c>
      <c r="B317" s="10" t="s">
        <v>100</v>
      </c>
      <c r="C317" s="3" t="s">
        <v>100</v>
      </c>
      <c r="D317" s="3"/>
      <c r="E317" s="11" t="s">
        <v>633</v>
      </c>
      <c r="F317" s="12">
        <v>19428.599999999999</v>
      </c>
      <c r="G317" s="12">
        <v>19428.599999999999</v>
      </c>
      <c r="H317" s="12">
        <v>19428.599999999999</v>
      </c>
      <c r="I317" s="3" t="s">
        <v>634</v>
      </c>
      <c r="J317" s="3" t="s">
        <v>99</v>
      </c>
      <c r="K317" s="3">
        <v>100</v>
      </c>
      <c r="L317" s="3">
        <v>100</v>
      </c>
      <c r="M317" s="3">
        <v>100</v>
      </c>
      <c r="N317" s="1"/>
      <c r="AA317" s="72" t="s">
        <v>34</v>
      </c>
      <c r="AB317" s="75" t="s">
        <v>169</v>
      </c>
    </row>
    <row r="318" spans="1:28" ht="33" customHeight="1" x14ac:dyDescent="0.2">
      <c r="A318" s="5" t="s">
        <v>622</v>
      </c>
      <c r="B318" s="5" t="s">
        <v>635</v>
      </c>
      <c r="C318" s="6"/>
      <c r="D318" s="6"/>
      <c r="E318" s="7" t="s">
        <v>636</v>
      </c>
      <c r="F318" s="8">
        <v>3669147.5</v>
      </c>
      <c r="G318" s="8">
        <v>3674725</v>
      </c>
      <c r="H318" s="8">
        <v>3699086.2</v>
      </c>
      <c r="I318" s="5" t="s">
        <v>253</v>
      </c>
      <c r="J318" s="5" t="s">
        <v>99</v>
      </c>
      <c r="K318" s="5">
        <v>100</v>
      </c>
      <c r="L318" s="5">
        <v>100</v>
      </c>
      <c r="M318" s="5">
        <v>100</v>
      </c>
      <c r="N318" s="1"/>
      <c r="AA318" s="71" t="s">
        <v>40</v>
      </c>
      <c r="AB318" s="75" t="s">
        <v>169</v>
      </c>
    </row>
    <row r="319" spans="1:28" ht="42.75" customHeight="1" x14ac:dyDescent="0.2">
      <c r="A319" s="10" t="s">
        <v>100</v>
      </c>
      <c r="B319" s="10" t="s">
        <v>100</v>
      </c>
      <c r="C319" s="3" t="s">
        <v>100</v>
      </c>
      <c r="D319" s="3"/>
      <c r="E319" s="11" t="s">
        <v>637</v>
      </c>
      <c r="F319" s="12">
        <v>899410.2</v>
      </c>
      <c r="G319" s="12">
        <v>902009.8</v>
      </c>
      <c r="H319" s="12">
        <v>890072</v>
      </c>
      <c r="I319" s="3" t="s">
        <v>638</v>
      </c>
      <c r="J319" s="3" t="s">
        <v>99</v>
      </c>
      <c r="K319" s="3">
        <v>22.8</v>
      </c>
      <c r="L319" s="3">
        <v>22.8</v>
      </c>
      <c r="M319" s="3">
        <v>22.8</v>
      </c>
      <c r="N319" s="1"/>
      <c r="AA319" s="72" t="s">
        <v>34</v>
      </c>
    </row>
    <row r="320" spans="1:28" ht="30" customHeight="1" x14ac:dyDescent="0.2">
      <c r="A320" s="209" t="s">
        <v>120</v>
      </c>
      <c r="B320" s="209" t="s">
        <v>120</v>
      </c>
      <c r="C320" s="207" t="s">
        <v>120</v>
      </c>
      <c r="D320" s="207"/>
      <c r="E320" s="208" t="s">
        <v>639</v>
      </c>
      <c r="F320" s="204">
        <v>2769737.3</v>
      </c>
      <c r="G320" s="204">
        <v>2772715.2</v>
      </c>
      <c r="H320" s="204">
        <v>2809014.2</v>
      </c>
      <c r="I320" s="3" t="s">
        <v>640</v>
      </c>
      <c r="J320" s="3" t="s">
        <v>99</v>
      </c>
      <c r="K320" s="3">
        <v>11</v>
      </c>
      <c r="L320" s="3">
        <v>11</v>
      </c>
      <c r="M320" s="3">
        <v>11</v>
      </c>
      <c r="N320" s="1"/>
      <c r="AA320" s="72" t="s">
        <v>34</v>
      </c>
    </row>
    <row r="321" spans="1:28" ht="19.5" customHeight="1" x14ac:dyDescent="0.2">
      <c r="A321" s="206"/>
      <c r="B321" s="206"/>
      <c r="C321" s="206"/>
      <c r="D321" s="206"/>
      <c r="E321" s="206"/>
      <c r="F321" s="206"/>
      <c r="G321" s="206"/>
      <c r="H321" s="206"/>
      <c r="I321" s="3" t="s">
        <v>641</v>
      </c>
      <c r="J321" s="3" t="s">
        <v>99</v>
      </c>
      <c r="K321" s="3">
        <v>89</v>
      </c>
      <c r="L321" s="3">
        <v>89</v>
      </c>
      <c r="M321" s="3">
        <v>89</v>
      </c>
      <c r="N321" s="1"/>
      <c r="AA321" s="73" t="s">
        <v>37</v>
      </c>
    </row>
    <row r="322" spans="1:28" ht="34.5" customHeight="1" x14ac:dyDescent="0.2">
      <c r="A322" s="5" t="s">
        <v>622</v>
      </c>
      <c r="B322" s="5" t="s">
        <v>642</v>
      </c>
      <c r="C322" s="6"/>
      <c r="D322" s="6"/>
      <c r="E322" s="7" t="s">
        <v>643</v>
      </c>
      <c r="F322" s="8">
        <v>244173</v>
      </c>
      <c r="G322" s="8">
        <v>244196.9</v>
      </c>
      <c r="H322" s="8">
        <v>244221.09</v>
      </c>
      <c r="I322" s="5" t="s">
        <v>253</v>
      </c>
      <c r="J322" s="5" t="s">
        <v>99</v>
      </c>
      <c r="K322" s="5">
        <v>100</v>
      </c>
      <c r="L322" s="5">
        <v>100</v>
      </c>
      <c r="M322" s="5">
        <v>100</v>
      </c>
      <c r="N322" s="1"/>
      <c r="AA322" s="71" t="s">
        <v>40</v>
      </c>
      <c r="AB322" s="75" t="s">
        <v>169</v>
      </c>
    </row>
    <row r="323" spans="1:28" ht="56.25" customHeight="1" x14ac:dyDescent="0.2">
      <c r="A323" s="10" t="s">
        <v>100</v>
      </c>
      <c r="B323" s="10" t="s">
        <v>100</v>
      </c>
      <c r="C323" s="3" t="s">
        <v>100</v>
      </c>
      <c r="D323" s="3"/>
      <c r="E323" s="11" t="s">
        <v>644</v>
      </c>
      <c r="F323" s="12">
        <v>241776</v>
      </c>
      <c r="G323" s="12">
        <v>241776</v>
      </c>
      <c r="H323" s="12">
        <v>242422.89</v>
      </c>
      <c r="I323" s="3" t="s">
        <v>645</v>
      </c>
      <c r="J323" s="3" t="s">
        <v>105</v>
      </c>
      <c r="K323" s="3">
        <v>25</v>
      </c>
      <c r="L323" s="3">
        <v>25</v>
      </c>
      <c r="M323" s="3">
        <v>25</v>
      </c>
      <c r="N323" s="1"/>
      <c r="AA323" s="72" t="s">
        <v>34</v>
      </c>
    </row>
    <row r="324" spans="1:28" ht="44.25" customHeight="1" x14ac:dyDescent="0.2">
      <c r="A324" s="10" t="s">
        <v>120</v>
      </c>
      <c r="B324" s="10" t="s">
        <v>120</v>
      </c>
      <c r="C324" s="3" t="s">
        <v>120</v>
      </c>
      <c r="D324" s="3"/>
      <c r="E324" s="11" t="s">
        <v>646</v>
      </c>
      <c r="F324" s="12">
        <v>2397</v>
      </c>
      <c r="G324" s="12">
        <v>2420.9</v>
      </c>
      <c r="H324" s="12">
        <v>1798.2</v>
      </c>
      <c r="I324" s="3" t="s">
        <v>647</v>
      </c>
      <c r="J324" s="3" t="s">
        <v>105</v>
      </c>
      <c r="K324" s="3">
        <v>25</v>
      </c>
      <c r="L324" s="3">
        <v>25</v>
      </c>
      <c r="M324" s="3">
        <v>25</v>
      </c>
      <c r="N324" s="1"/>
      <c r="AA324" s="72" t="s">
        <v>34</v>
      </c>
      <c r="AB324" s="75" t="s">
        <v>169</v>
      </c>
    </row>
    <row r="325" spans="1:28" x14ac:dyDescent="0.2">
      <c r="A325" s="210" t="s">
        <v>112</v>
      </c>
      <c r="B325" s="202"/>
      <c r="C325" s="202"/>
      <c r="D325" s="202"/>
      <c r="E325" s="203"/>
      <c r="F325" s="13">
        <v>4803200.4000000004</v>
      </c>
      <c r="G325" s="13">
        <v>4844914</v>
      </c>
      <c r="H325" s="13">
        <v>4892475.29</v>
      </c>
      <c r="I325" s="201"/>
      <c r="J325" s="202"/>
      <c r="K325" s="202"/>
      <c r="L325" s="202"/>
      <c r="M325" s="203"/>
      <c r="N325" s="1"/>
      <c r="AA325" s="74" t="s">
        <v>46</v>
      </c>
    </row>
    <row r="326" spans="1:28" ht="15" customHeight="1" x14ac:dyDescent="0.2">
      <c r="A326" s="4" t="s">
        <v>453</v>
      </c>
      <c r="B326" s="212" t="s">
        <v>648</v>
      </c>
      <c r="C326" s="202"/>
      <c r="D326" s="202"/>
      <c r="E326" s="202"/>
      <c r="F326" s="202"/>
      <c r="G326" s="202"/>
      <c r="H326" s="202"/>
      <c r="I326" s="202"/>
      <c r="J326" s="202"/>
      <c r="K326" s="202"/>
      <c r="L326" s="202"/>
      <c r="M326" s="203"/>
      <c r="N326" s="1"/>
      <c r="AA326" s="70" t="s">
        <v>43</v>
      </c>
    </row>
    <row r="327" spans="1:28" ht="24" customHeight="1" x14ac:dyDescent="0.2">
      <c r="A327" s="5" t="s">
        <v>453</v>
      </c>
      <c r="B327" s="5" t="s">
        <v>96</v>
      </c>
      <c r="C327" s="6"/>
      <c r="D327" s="6"/>
      <c r="E327" s="7" t="s">
        <v>97</v>
      </c>
      <c r="F327" s="8">
        <v>1962869.4</v>
      </c>
      <c r="G327" s="8">
        <v>1967522</v>
      </c>
      <c r="H327" s="8">
        <v>1967839.3</v>
      </c>
      <c r="I327" s="18" t="s">
        <v>304</v>
      </c>
      <c r="J327" s="18" t="s">
        <v>103</v>
      </c>
      <c r="K327" s="18">
        <v>42</v>
      </c>
      <c r="L327" s="18">
        <v>44</v>
      </c>
      <c r="M327" s="18">
        <v>43</v>
      </c>
      <c r="N327" s="1"/>
      <c r="AA327" s="71" t="s">
        <v>40</v>
      </c>
    </row>
    <row r="328" spans="1:28" ht="24" customHeight="1" x14ac:dyDescent="0.2">
      <c r="A328" s="10" t="s">
        <v>100</v>
      </c>
      <c r="B328" s="10" t="s">
        <v>100</v>
      </c>
      <c r="C328" s="3" t="s">
        <v>100</v>
      </c>
      <c r="D328" s="3"/>
      <c r="E328" s="11" t="s">
        <v>101</v>
      </c>
      <c r="F328" s="12">
        <v>1308711</v>
      </c>
      <c r="G328" s="12">
        <v>1313057.6000000001</v>
      </c>
      <c r="H328" s="12">
        <v>1313065.8</v>
      </c>
      <c r="I328" s="207" t="s">
        <v>304</v>
      </c>
      <c r="J328" s="207" t="s">
        <v>103</v>
      </c>
      <c r="K328" s="207">
        <v>42</v>
      </c>
      <c r="L328" s="207">
        <v>44</v>
      </c>
      <c r="M328" s="207">
        <v>43</v>
      </c>
      <c r="N328" s="1"/>
      <c r="AA328" s="72" t="s">
        <v>34</v>
      </c>
    </row>
    <row r="329" spans="1:28" ht="32.25" customHeight="1" x14ac:dyDescent="0.2">
      <c r="A329" s="10"/>
      <c r="B329" s="10"/>
      <c r="C329" s="3" t="s">
        <v>120</v>
      </c>
      <c r="D329" s="3"/>
      <c r="E329" s="11" t="s">
        <v>203</v>
      </c>
      <c r="F329" s="12">
        <v>654158.4</v>
      </c>
      <c r="G329" s="12">
        <v>654464.4</v>
      </c>
      <c r="H329" s="12">
        <v>654773.5</v>
      </c>
      <c r="I329" s="206"/>
      <c r="J329" s="206"/>
      <c r="K329" s="206"/>
      <c r="L329" s="206"/>
      <c r="M329" s="206"/>
      <c r="N329" s="1"/>
      <c r="AA329" s="72" t="s">
        <v>34</v>
      </c>
    </row>
    <row r="330" spans="1:28" ht="33" customHeight="1" x14ac:dyDescent="0.2">
      <c r="A330" s="5" t="s">
        <v>453</v>
      </c>
      <c r="B330" s="5" t="s">
        <v>649</v>
      </c>
      <c r="C330" s="6"/>
      <c r="D330" s="6"/>
      <c r="E330" s="7" t="s">
        <v>650</v>
      </c>
      <c r="F330" s="8">
        <v>8891657.4700000007</v>
      </c>
      <c r="G330" s="8">
        <v>8892351.4700000007</v>
      </c>
      <c r="H330" s="8">
        <v>8892351.4700000007</v>
      </c>
      <c r="I330" s="5" t="s">
        <v>651</v>
      </c>
      <c r="J330" s="5" t="s">
        <v>99</v>
      </c>
      <c r="K330" s="5">
        <v>28</v>
      </c>
      <c r="L330" s="5">
        <v>33</v>
      </c>
      <c r="M330" s="5">
        <v>35</v>
      </c>
      <c r="N330" s="1"/>
      <c r="AA330" s="71" t="s">
        <v>40</v>
      </c>
    </row>
    <row r="331" spans="1:28" ht="33.75" customHeight="1" x14ac:dyDescent="0.2">
      <c r="A331" s="209" t="s">
        <v>100</v>
      </c>
      <c r="B331" s="209" t="s">
        <v>100</v>
      </c>
      <c r="C331" s="207" t="s">
        <v>100</v>
      </c>
      <c r="D331" s="207"/>
      <c r="E331" s="208" t="s">
        <v>652</v>
      </c>
      <c r="F331" s="204">
        <v>8891657.4700000007</v>
      </c>
      <c r="G331" s="204">
        <v>8892351.4700000007</v>
      </c>
      <c r="H331" s="204">
        <v>8892351.4700000007</v>
      </c>
      <c r="I331" s="3" t="s">
        <v>653</v>
      </c>
      <c r="J331" s="3" t="s">
        <v>99</v>
      </c>
      <c r="K331" s="3">
        <v>8</v>
      </c>
      <c r="L331" s="3">
        <v>10</v>
      </c>
      <c r="M331" s="3">
        <v>11</v>
      </c>
      <c r="N331" s="1"/>
      <c r="AA331" s="72" t="s">
        <v>34</v>
      </c>
    </row>
    <row r="332" spans="1:28" ht="31.5" customHeight="1" x14ac:dyDescent="0.2">
      <c r="A332" s="206"/>
      <c r="B332" s="206"/>
      <c r="C332" s="206"/>
      <c r="D332" s="206"/>
      <c r="E332" s="206"/>
      <c r="F332" s="206"/>
      <c r="G332" s="206"/>
      <c r="H332" s="206"/>
      <c r="I332" s="3" t="s">
        <v>654</v>
      </c>
      <c r="J332" s="3" t="s">
        <v>99</v>
      </c>
      <c r="K332" s="3">
        <v>57</v>
      </c>
      <c r="L332" s="3">
        <v>60</v>
      </c>
      <c r="M332" s="3">
        <v>61</v>
      </c>
      <c r="N332" s="1"/>
      <c r="AA332" s="73" t="s">
        <v>37</v>
      </c>
    </row>
    <row r="333" spans="1:28" ht="36.75" customHeight="1" x14ac:dyDescent="0.2">
      <c r="A333" s="5" t="s">
        <v>453</v>
      </c>
      <c r="B333" s="5" t="s">
        <v>655</v>
      </c>
      <c r="C333" s="6"/>
      <c r="D333" s="6"/>
      <c r="E333" s="7" t="s">
        <v>656</v>
      </c>
      <c r="F333" s="8">
        <v>42380106.439999998</v>
      </c>
      <c r="G333" s="8">
        <v>43462341.140000001</v>
      </c>
      <c r="H333" s="8">
        <v>44571271.969999999</v>
      </c>
      <c r="I333" s="5" t="s">
        <v>657</v>
      </c>
      <c r="J333" s="5" t="s">
        <v>99</v>
      </c>
      <c r="K333" s="5">
        <v>98</v>
      </c>
      <c r="L333" s="5">
        <v>98</v>
      </c>
      <c r="M333" s="5">
        <v>98</v>
      </c>
      <c r="N333" s="1"/>
      <c r="AA333" s="71" t="s">
        <v>40</v>
      </c>
    </row>
    <row r="334" spans="1:28" ht="32.25" customHeight="1" x14ac:dyDescent="0.2">
      <c r="A334" s="213" t="s">
        <v>100</v>
      </c>
      <c r="B334" s="213" t="s">
        <v>100</v>
      </c>
      <c r="C334" s="207" t="s">
        <v>100</v>
      </c>
      <c r="D334" s="207"/>
      <c r="E334" s="208" t="s">
        <v>658</v>
      </c>
      <c r="F334" s="204">
        <v>42158805.539999999</v>
      </c>
      <c r="G334" s="204">
        <v>43241040.240000002</v>
      </c>
      <c r="H334" s="204">
        <v>44349971.07</v>
      </c>
      <c r="I334" s="3" t="s">
        <v>659</v>
      </c>
      <c r="J334" s="3" t="s">
        <v>99</v>
      </c>
      <c r="K334" s="3">
        <v>0.4</v>
      </c>
      <c r="L334" s="3">
        <v>0.4</v>
      </c>
      <c r="M334" s="3">
        <v>0.4</v>
      </c>
      <c r="N334" s="1"/>
      <c r="AA334" s="72" t="s">
        <v>34</v>
      </c>
      <c r="AB334" s="75" t="s">
        <v>118</v>
      </c>
    </row>
    <row r="335" spans="1:28" ht="30.75" customHeight="1" x14ac:dyDescent="0.2">
      <c r="A335" s="214"/>
      <c r="B335" s="214"/>
      <c r="C335" s="205"/>
      <c r="D335" s="205"/>
      <c r="E335" s="205"/>
      <c r="F335" s="205"/>
      <c r="G335" s="205"/>
      <c r="H335" s="205"/>
      <c r="I335" s="3" t="s">
        <v>660</v>
      </c>
      <c r="J335" s="3" t="s">
        <v>99</v>
      </c>
      <c r="K335" s="3">
        <v>9</v>
      </c>
      <c r="L335" s="3">
        <v>9</v>
      </c>
      <c r="M335" s="3">
        <v>9</v>
      </c>
      <c r="N335" s="1"/>
      <c r="AA335" s="73" t="s">
        <v>37</v>
      </c>
    </row>
    <row r="336" spans="1:28" ht="21.75" customHeight="1" x14ac:dyDescent="0.2">
      <c r="A336" s="215"/>
      <c r="B336" s="215"/>
      <c r="C336" s="206"/>
      <c r="D336" s="206"/>
      <c r="E336" s="206"/>
      <c r="F336" s="206"/>
      <c r="G336" s="206"/>
      <c r="H336" s="206"/>
      <c r="I336" s="3" t="s">
        <v>661</v>
      </c>
      <c r="J336" s="3" t="s">
        <v>662</v>
      </c>
      <c r="K336" s="3">
        <v>127</v>
      </c>
      <c r="L336" s="3">
        <v>128</v>
      </c>
      <c r="M336" s="3">
        <v>129</v>
      </c>
      <c r="N336" s="1"/>
      <c r="AA336" s="73" t="s">
        <v>37</v>
      </c>
    </row>
    <row r="337" spans="1:28" ht="28.5" customHeight="1" x14ac:dyDescent="0.2">
      <c r="A337" s="10" t="s">
        <v>120</v>
      </c>
      <c r="B337" s="10" t="s">
        <v>120</v>
      </c>
      <c r="C337" s="3" t="s">
        <v>120</v>
      </c>
      <c r="D337" s="3"/>
      <c r="E337" s="11" t="s">
        <v>663</v>
      </c>
      <c r="F337" s="12">
        <v>221300.9</v>
      </c>
      <c r="G337" s="12">
        <v>221300.9</v>
      </c>
      <c r="H337" s="12">
        <v>221300.9</v>
      </c>
      <c r="I337" s="3" t="s">
        <v>664</v>
      </c>
      <c r="J337" s="3" t="s">
        <v>99</v>
      </c>
      <c r="K337" s="3">
        <v>41</v>
      </c>
      <c r="L337" s="3">
        <v>30</v>
      </c>
      <c r="M337" s="3">
        <v>30</v>
      </c>
      <c r="N337" s="1"/>
      <c r="AA337" s="72" t="s">
        <v>34</v>
      </c>
    </row>
    <row r="338" spans="1:28" ht="57" customHeight="1" x14ac:dyDescent="0.2">
      <c r="A338" s="5" t="s">
        <v>453</v>
      </c>
      <c r="B338" s="5" t="s">
        <v>665</v>
      </c>
      <c r="C338" s="6"/>
      <c r="D338" s="6"/>
      <c r="E338" s="7" t="s">
        <v>666</v>
      </c>
      <c r="F338" s="8">
        <v>2178080.7999999998</v>
      </c>
      <c r="G338" s="8">
        <v>2178083.4</v>
      </c>
      <c r="H338" s="8">
        <v>2178086</v>
      </c>
      <c r="I338" s="18" t="s">
        <v>667</v>
      </c>
      <c r="J338" s="18" t="s">
        <v>99</v>
      </c>
      <c r="K338" s="18">
        <v>78</v>
      </c>
      <c r="L338" s="18">
        <v>78</v>
      </c>
      <c r="M338" s="18">
        <v>78</v>
      </c>
      <c r="N338" s="1"/>
      <c r="AA338" s="71" t="s">
        <v>40</v>
      </c>
    </row>
    <row r="339" spans="1:28" ht="42" customHeight="1" x14ac:dyDescent="0.2">
      <c r="A339" s="209" t="s">
        <v>100</v>
      </c>
      <c r="B339" s="209" t="s">
        <v>100</v>
      </c>
      <c r="C339" s="207" t="s">
        <v>100</v>
      </c>
      <c r="D339" s="207"/>
      <c r="E339" s="208" t="s">
        <v>668</v>
      </c>
      <c r="F339" s="204">
        <v>2178080.7999999998</v>
      </c>
      <c r="G339" s="204">
        <v>2178083.4</v>
      </c>
      <c r="H339" s="204">
        <v>2178086</v>
      </c>
      <c r="I339" s="3" t="s">
        <v>669</v>
      </c>
      <c r="J339" s="3" t="s">
        <v>99</v>
      </c>
      <c r="K339" s="3">
        <v>5.25</v>
      </c>
      <c r="L339" s="3">
        <v>5.3</v>
      </c>
      <c r="M339" s="3">
        <v>5.35</v>
      </c>
      <c r="N339" s="1"/>
      <c r="AA339" s="72" t="s">
        <v>34</v>
      </c>
      <c r="AB339" s="75" t="s">
        <v>169</v>
      </c>
    </row>
    <row r="340" spans="1:28" ht="52.5" customHeight="1" x14ac:dyDescent="0.2">
      <c r="A340" s="205"/>
      <c r="B340" s="205"/>
      <c r="C340" s="205"/>
      <c r="D340" s="205"/>
      <c r="E340" s="205"/>
      <c r="F340" s="205"/>
      <c r="G340" s="205"/>
      <c r="H340" s="205"/>
      <c r="I340" s="3" t="s">
        <v>670</v>
      </c>
      <c r="J340" s="3" t="s">
        <v>99</v>
      </c>
      <c r="K340" s="3">
        <v>16</v>
      </c>
      <c r="L340" s="3">
        <v>16</v>
      </c>
      <c r="M340" s="3">
        <v>16</v>
      </c>
      <c r="N340" s="1"/>
      <c r="AA340" s="73" t="s">
        <v>37</v>
      </c>
    </row>
    <row r="341" spans="1:28" ht="45.75" customHeight="1" x14ac:dyDescent="0.2">
      <c r="A341" s="206"/>
      <c r="B341" s="206"/>
      <c r="C341" s="206"/>
      <c r="D341" s="206"/>
      <c r="E341" s="206"/>
      <c r="F341" s="206"/>
      <c r="G341" s="206"/>
      <c r="H341" s="206"/>
      <c r="I341" s="3" t="s">
        <v>671</v>
      </c>
      <c r="J341" s="3" t="s">
        <v>99</v>
      </c>
      <c r="K341" s="3">
        <v>36.799999999999997</v>
      </c>
      <c r="L341" s="3">
        <v>36.799999999999997</v>
      </c>
      <c r="M341" s="3">
        <v>36.799999999999997</v>
      </c>
      <c r="N341" s="1"/>
      <c r="AA341" s="73" t="s">
        <v>37</v>
      </c>
    </row>
    <row r="342" spans="1:28" ht="27.75" customHeight="1" x14ac:dyDescent="0.2">
      <c r="A342" s="5" t="s">
        <v>453</v>
      </c>
      <c r="B342" s="5" t="s">
        <v>408</v>
      </c>
      <c r="C342" s="18" t="s">
        <v>100</v>
      </c>
      <c r="D342" s="18"/>
      <c r="E342" s="43" t="s">
        <v>409</v>
      </c>
      <c r="F342" s="44">
        <v>1012180</v>
      </c>
      <c r="G342" s="44">
        <v>1169830</v>
      </c>
      <c r="H342" s="44">
        <v>1615475</v>
      </c>
      <c r="I342" s="19" t="s">
        <v>347</v>
      </c>
      <c r="J342" s="19" t="s">
        <v>99</v>
      </c>
      <c r="K342" s="19">
        <v>100</v>
      </c>
      <c r="L342" s="19">
        <v>100</v>
      </c>
      <c r="M342" s="19">
        <v>100</v>
      </c>
      <c r="N342" s="1"/>
      <c r="AA342" s="72" t="s">
        <v>34</v>
      </c>
    </row>
    <row r="343" spans="1:28" x14ac:dyDescent="0.2">
      <c r="A343" s="210" t="s">
        <v>112</v>
      </c>
      <c r="B343" s="202"/>
      <c r="C343" s="202"/>
      <c r="D343" s="202"/>
      <c r="E343" s="203"/>
      <c r="F343" s="13">
        <v>56424894.109999999</v>
      </c>
      <c r="G343" s="13">
        <v>57670128.009999998</v>
      </c>
      <c r="H343" s="13">
        <v>59225023.739999987</v>
      </c>
      <c r="I343" s="201"/>
      <c r="J343" s="202"/>
      <c r="K343" s="202"/>
      <c r="L343" s="202"/>
      <c r="M343" s="203"/>
      <c r="N343" s="1"/>
      <c r="AA343" s="74" t="s">
        <v>46</v>
      </c>
    </row>
    <row r="344" spans="1:28" ht="18" customHeight="1" x14ac:dyDescent="0.2">
      <c r="A344" s="4" t="s">
        <v>456</v>
      </c>
      <c r="B344" s="212" t="s">
        <v>672</v>
      </c>
      <c r="C344" s="202"/>
      <c r="D344" s="202"/>
      <c r="E344" s="202"/>
      <c r="F344" s="202"/>
      <c r="G344" s="202"/>
      <c r="H344" s="202"/>
      <c r="I344" s="202"/>
      <c r="J344" s="202"/>
      <c r="K344" s="202"/>
      <c r="L344" s="202"/>
      <c r="M344" s="203"/>
      <c r="N344" s="1"/>
      <c r="AA344" s="70" t="s">
        <v>43</v>
      </c>
    </row>
    <row r="345" spans="1:28" ht="31.5" customHeight="1" x14ac:dyDescent="0.2">
      <c r="A345" s="5" t="s">
        <v>456</v>
      </c>
      <c r="B345" s="5" t="s">
        <v>96</v>
      </c>
      <c r="C345" s="6"/>
      <c r="D345" s="6"/>
      <c r="E345" s="7" t="s">
        <v>97</v>
      </c>
      <c r="F345" s="8">
        <v>321933.8</v>
      </c>
      <c r="G345" s="8">
        <v>326433.8</v>
      </c>
      <c r="H345" s="8">
        <v>326433.8</v>
      </c>
      <c r="I345" s="18" t="s">
        <v>673</v>
      </c>
      <c r="J345" s="18" t="s">
        <v>219</v>
      </c>
      <c r="K345" s="18">
        <v>28</v>
      </c>
      <c r="L345" s="18">
        <v>28</v>
      </c>
      <c r="M345" s="18">
        <v>28</v>
      </c>
      <c r="N345" s="1"/>
      <c r="AA345" s="71" t="s">
        <v>40</v>
      </c>
    </row>
    <row r="346" spans="1:28" ht="48" customHeight="1" x14ac:dyDescent="0.2">
      <c r="A346" s="209" t="s">
        <v>100</v>
      </c>
      <c r="B346" s="209" t="s">
        <v>100</v>
      </c>
      <c r="C346" s="207" t="s">
        <v>100</v>
      </c>
      <c r="D346" s="207"/>
      <c r="E346" s="208" t="s">
        <v>101</v>
      </c>
      <c r="F346" s="204">
        <v>124299.9</v>
      </c>
      <c r="G346" s="204">
        <v>124299.9</v>
      </c>
      <c r="H346" s="204">
        <v>124299.9</v>
      </c>
      <c r="I346" s="3" t="s">
        <v>674</v>
      </c>
      <c r="J346" s="3" t="s">
        <v>675</v>
      </c>
      <c r="K346" s="3">
        <v>14</v>
      </c>
      <c r="L346" s="3">
        <v>14</v>
      </c>
      <c r="M346" s="3">
        <v>14</v>
      </c>
      <c r="N346" s="1"/>
      <c r="AA346" s="72" t="s">
        <v>34</v>
      </c>
    </row>
    <row r="347" spans="1:28" ht="54" customHeight="1" x14ac:dyDescent="0.2">
      <c r="A347" s="205"/>
      <c r="B347" s="205"/>
      <c r="C347" s="205"/>
      <c r="D347" s="205"/>
      <c r="E347" s="205"/>
      <c r="F347" s="205"/>
      <c r="G347" s="205"/>
      <c r="H347" s="205"/>
      <c r="I347" s="3" t="s">
        <v>676</v>
      </c>
      <c r="J347" s="3" t="s">
        <v>675</v>
      </c>
      <c r="K347" s="3">
        <v>16.600000000000001</v>
      </c>
      <c r="L347" s="3">
        <v>16.5</v>
      </c>
      <c r="M347" s="3">
        <v>16.5</v>
      </c>
      <c r="N347" s="1"/>
      <c r="AA347" s="73" t="s">
        <v>37</v>
      </c>
    </row>
    <row r="348" spans="1:28" ht="52.5" customHeight="1" x14ac:dyDescent="0.2">
      <c r="A348" s="205"/>
      <c r="B348" s="205"/>
      <c r="C348" s="205"/>
      <c r="D348" s="205"/>
      <c r="E348" s="205"/>
      <c r="F348" s="205"/>
      <c r="G348" s="205"/>
      <c r="H348" s="205"/>
      <c r="I348" s="3" t="s">
        <v>677</v>
      </c>
      <c r="J348" s="3" t="s">
        <v>675</v>
      </c>
      <c r="K348" s="3">
        <v>14</v>
      </c>
      <c r="L348" s="3">
        <v>14</v>
      </c>
      <c r="M348" s="3">
        <v>14</v>
      </c>
      <c r="N348" s="1"/>
      <c r="AA348" s="73" t="s">
        <v>37</v>
      </c>
    </row>
    <row r="349" spans="1:28" ht="30.75" customHeight="1" x14ac:dyDescent="0.2">
      <c r="A349" s="206"/>
      <c r="B349" s="206"/>
      <c r="C349" s="206"/>
      <c r="D349" s="206"/>
      <c r="E349" s="206"/>
      <c r="F349" s="206"/>
      <c r="G349" s="206"/>
      <c r="H349" s="206"/>
      <c r="I349" s="3" t="s">
        <v>678</v>
      </c>
      <c r="J349" s="3" t="s">
        <v>679</v>
      </c>
      <c r="K349" s="3">
        <v>317.8</v>
      </c>
      <c r="L349" s="3">
        <v>317.8</v>
      </c>
      <c r="M349" s="3">
        <v>317.8</v>
      </c>
      <c r="N349" s="1"/>
      <c r="AA349" s="73" t="s">
        <v>37</v>
      </c>
    </row>
    <row r="350" spans="1:28" ht="41.25" customHeight="1" x14ac:dyDescent="0.2">
      <c r="A350" s="209" t="s">
        <v>120</v>
      </c>
      <c r="B350" s="209" t="s">
        <v>120</v>
      </c>
      <c r="C350" s="207" t="s">
        <v>120</v>
      </c>
      <c r="D350" s="207"/>
      <c r="E350" s="208" t="s">
        <v>203</v>
      </c>
      <c r="F350" s="204">
        <v>197633.9</v>
      </c>
      <c r="G350" s="204">
        <v>202133.9</v>
      </c>
      <c r="H350" s="204">
        <v>202133.9</v>
      </c>
      <c r="I350" s="3" t="s">
        <v>680</v>
      </c>
      <c r="J350" s="3" t="s">
        <v>99</v>
      </c>
      <c r="K350" s="3">
        <v>100</v>
      </c>
      <c r="L350" s="3">
        <v>100</v>
      </c>
      <c r="M350" s="3">
        <v>100</v>
      </c>
      <c r="N350" s="1"/>
      <c r="AA350" s="72" t="s">
        <v>34</v>
      </c>
    </row>
    <row r="351" spans="1:28" ht="42" customHeight="1" x14ac:dyDescent="0.2">
      <c r="A351" s="206"/>
      <c r="B351" s="206"/>
      <c r="C351" s="206"/>
      <c r="D351" s="206"/>
      <c r="E351" s="206"/>
      <c r="F351" s="206"/>
      <c r="G351" s="206"/>
      <c r="H351" s="206"/>
      <c r="I351" s="3" t="s">
        <v>681</v>
      </c>
      <c r="J351" s="3" t="s">
        <v>99</v>
      </c>
      <c r="K351" s="3">
        <v>95</v>
      </c>
      <c r="L351" s="3">
        <v>95</v>
      </c>
      <c r="M351" s="3">
        <v>95</v>
      </c>
      <c r="N351" s="1"/>
      <c r="AA351" s="73" t="s">
        <v>37</v>
      </c>
    </row>
    <row r="352" spans="1:28" ht="33.75" customHeight="1" x14ac:dyDescent="0.2">
      <c r="A352" s="5" t="s">
        <v>456</v>
      </c>
      <c r="B352" s="5" t="s">
        <v>682</v>
      </c>
      <c r="C352" s="6"/>
      <c r="D352" s="6"/>
      <c r="E352" s="7" t="s">
        <v>683</v>
      </c>
      <c r="F352" s="8">
        <v>2170534.1</v>
      </c>
      <c r="G352" s="8">
        <v>2120832</v>
      </c>
      <c r="H352" s="8">
        <v>2151858.4</v>
      </c>
      <c r="I352" s="18" t="s">
        <v>684</v>
      </c>
      <c r="J352" s="18" t="s">
        <v>223</v>
      </c>
      <c r="K352" s="18">
        <v>21</v>
      </c>
      <c r="L352" s="18">
        <v>22</v>
      </c>
      <c r="M352" s="18">
        <v>23</v>
      </c>
      <c r="N352" s="1"/>
      <c r="AA352" s="71" t="s">
        <v>40</v>
      </c>
      <c r="AB352" s="75" t="s">
        <v>123</v>
      </c>
    </row>
    <row r="353" spans="1:28" ht="61.5" customHeight="1" x14ac:dyDescent="0.2">
      <c r="A353" s="209" t="s">
        <v>100</v>
      </c>
      <c r="B353" s="209" t="s">
        <v>100</v>
      </c>
      <c r="C353" s="207" t="s">
        <v>100</v>
      </c>
      <c r="D353" s="207"/>
      <c r="E353" s="208" t="s">
        <v>685</v>
      </c>
      <c r="F353" s="204">
        <v>1311682.2</v>
      </c>
      <c r="G353" s="204">
        <v>1261530.3999999999</v>
      </c>
      <c r="H353" s="204">
        <v>1430160.2</v>
      </c>
      <c r="I353" s="3" t="s">
        <v>686</v>
      </c>
      <c r="J353" s="3" t="s">
        <v>99</v>
      </c>
      <c r="K353" s="3">
        <v>60</v>
      </c>
      <c r="L353" s="3">
        <v>80</v>
      </c>
      <c r="M353" s="3">
        <v>90</v>
      </c>
      <c r="N353" s="1"/>
      <c r="AA353" s="72" t="s">
        <v>34</v>
      </c>
      <c r="AB353" s="75" t="s">
        <v>169</v>
      </c>
    </row>
    <row r="354" spans="1:28" ht="61.5" customHeight="1" x14ac:dyDescent="0.2">
      <c r="A354" s="205"/>
      <c r="B354" s="205"/>
      <c r="C354" s="205"/>
      <c r="D354" s="205"/>
      <c r="E354" s="205"/>
      <c r="F354" s="205"/>
      <c r="G354" s="205"/>
      <c r="H354" s="205"/>
      <c r="I354" s="3" t="s">
        <v>687</v>
      </c>
      <c r="J354" s="3" t="s">
        <v>99</v>
      </c>
      <c r="K354" s="3">
        <v>20</v>
      </c>
      <c r="L354" s="3">
        <v>22</v>
      </c>
      <c r="M354" s="3">
        <v>25</v>
      </c>
      <c r="N354" s="1"/>
      <c r="AA354" s="73" t="s">
        <v>37</v>
      </c>
    </row>
    <row r="355" spans="1:28" ht="30" customHeight="1" x14ac:dyDescent="0.2">
      <c r="A355" s="205"/>
      <c r="B355" s="205"/>
      <c r="C355" s="205"/>
      <c r="D355" s="205"/>
      <c r="E355" s="205"/>
      <c r="F355" s="205"/>
      <c r="G355" s="205"/>
      <c r="H355" s="205"/>
      <c r="I355" s="3" t="s">
        <v>688</v>
      </c>
      <c r="J355" s="3" t="s">
        <v>223</v>
      </c>
      <c r="K355" s="3">
        <v>100000</v>
      </c>
      <c r="L355" s="3">
        <v>120000</v>
      </c>
      <c r="M355" s="3">
        <v>150000</v>
      </c>
      <c r="N355" s="1"/>
      <c r="AA355" s="73" t="s">
        <v>37</v>
      </c>
    </row>
    <row r="356" spans="1:28" ht="41.25" customHeight="1" x14ac:dyDescent="0.2">
      <c r="A356" s="206"/>
      <c r="B356" s="206"/>
      <c r="C356" s="206"/>
      <c r="D356" s="206"/>
      <c r="E356" s="206"/>
      <c r="F356" s="206"/>
      <c r="G356" s="206"/>
      <c r="H356" s="206"/>
      <c r="I356" s="3" t="s">
        <v>689</v>
      </c>
      <c r="J356" s="3" t="s">
        <v>99</v>
      </c>
      <c r="K356" s="3">
        <v>35</v>
      </c>
      <c r="L356" s="3">
        <v>38</v>
      </c>
      <c r="M356" s="3">
        <v>40</v>
      </c>
      <c r="N356" s="1"/>
      <c r="AA356" s="73" t="s">
        <v>37</v>
      </c>
    </row>
    <row r="357" spans="1:28" ht="27" customHeight="1" x14ac:dyDescent="0.2">
      <c r="A357" s="209" t="s">
        <v>120</v>
      </c>
      <c r="B357" s="209" t="s">
        <v>120</v>
      </c>
      <c r="C357" s="207" t="s">
        <v>120</v>
      </c>
      <c r="D357" s="207"/>
      <c r="E357" s="208" t="s">
        <v>690</v>
      </c>
      <c r="F357" s="204">
        <v>185035.7</v>
      </c>
      <c r="G357" s="204">
        <v>199300.4</v>
      </c>
      <c r="H357" s="204">
        <v>185035.7</v>
      </c>
      <c r="I357" s="3" t="s">
        <v>691</v>
      </c>
      <c r="J357" s="3" t="s">
        <v>99</v>
      </c>
      <c r="K357" s="3">
        <v>95</v>
      </c>
      <c r="L357" s="3">
        <v>95</v>
      </c>
      <c r="M357" s="3">
        <v>95</v>
      </c>
      <c r="N357" s="1"/>
      <c r="AA357" s="72" t="s">
        <v>34</v>
      </c>
      <c r="AB357" s="75" t="s">
        <v>169</v>
      </c>
    </row>
    <row r="358" spans="1:28" ht="60" customHeight="1" x14ac:dyDescent="0.2">
      <c r="A358" s="206"/>
      <c r="B358" s="206"/>
      <c r="C358" s="206"/>
      <c r="D358" s="206"/>
      <c r="E358" s="206"/>
      <c r="F358" s="206"/>
      <c r="G358" s="206"/>
      <c r="H358" s="206"/>
      <c r="I358" s="3" t="s">
        <v>692</v>
      </c>
      <c r="J358" s="3" t="s">
        <v>693</v>
      </c>
      <c r="K358" s="3">
        <v>90</v>
      </c>
      <c r="L358" s="3">
        <v>95</v>
      </c>
      <c r="M358" s="3">
        <v>95</v>
      </c>
      <c r="N358" s="1"/>
      <c r="AA358" s="73" t="s">
        <v>37</v>
      </c>
    </row>
    <row r="359" spans="1:28" ht="24" customHeight="1" x14ac:dyDescent="0.2">
      <c r="A359" s="209" t="s">
        <v>150</v>
      </c>
      <c r="B359" s="209" t="s">
        <v>150</v>
      </c>
      <c r="C359" s="207" t="s">
        <v>150</v>
      </c>
      <c r="D359" s="207"/>
      <c r="E359" s="208" t="s">
        <v>694</v>
      </c>
      <c r="F359" s="204">
        <v>87313.2</v>
      </c>
      <c r="G359" s="204">
        <v>86113.2</v>
      </c>
      <c r="H359" s="204">
        <v>87031.8</v>
      </c>
      <c r="I359" s="3" t="s">
        <v>695</v>
      </c>
      <c r="J359" s="3" t="s">
        <v>223</v>
      </c>
      <c r="K359" s="3">
        <v>8</v>
      </c>
      <c r="L359" s="3">
        <v>10</v>
      </c>
      <c r="M359" s="3">
        <v>11</v>
      </c>
      <c r="N359" s="1"/>
      <c r="AA359" s="72" t="s">
        <v>34</v>
      </c>
    </row>
    <row r="360" spans="1:28" ht="24" customHeight="1" x14ac:dyDescent="0.2">
      <c r="A360" s="206"/>
      <c r="B360" s="206"/>
      <c r="C360" s="206"/>
      <c r="D360" s="206"/>
      <c r="E360" s="206"/>
      <c r="F360" s="206"/>
      <c r="G360" s="206"/>
      <c r="H360" s="206"/>
      <c r="I360" s="3" t="s">
        <v>696</v>
      </c>
      <c r="J360" s="3" t="s">
        <v>223</v>
      </c>
      <c r="K360" s="3">
        <v>8</v>
      </c>
      <c r="L360" s="3">
        <v>8</v>
      </c>
      <c r="M360" s="3">
        <v>8</v>
      </c>
      <c r="N360" s="1"/>
      <c r="AA360" s="73" t="s">
        <v>37</v>
      </c>
    </row>
    <row r="361" spans="1:28" ht="34.5" customHeight="1" x14ac:dyDescent="0.2">
      <c r="A361" s="209" t="s">
        <v>124</v>
      </c>
      <c r="B361" s="209" t="s">
        <v>124</v>
      </c>
      <c r="C361" s="207" t="s">
        <v>124</v>
      </c>
      <c r="D361" s="207"/>
      <c r="E361" s="208" t="s">
        <v>697</v>
      </c>
      <c r="F361" s="204">
        <v>358227.7</v>
      </c>
      <c r="G361" s="204">
        <v>358227.7</v>
      </c>
      <c r="H361" s="204">
        <v>355219.7</v>
      </c>
      <c r="I361" s="3" t="s">
        <v>698</v>
      </c>
      <c r="J361" s="3" t="s">
        <v>99</v>
      </c>
      <c r="K361" s="3">
        <v>90</v>
      </c>
      <c r="L361" s="3">
        <v>92</v>
      </c>
      <c r="M361" s="3">
        <v>94</v>
      </c>
      <c r="N361" s="1"/>
      <c r="AA361" s="72" t="s">
        <v>34</v>
      </c>
    </row>
    <row r="362" spans="1:28" ht="33.75" customHeight="1" x14ac:dyDescent="0.2">
      <c r="A362" s="205"/>
      <c r="B362" s="205"/>
      <c r="C362" s="205"/>
      <c r="D362" s="205"/>
      <c r="E362" s="205"/>
      <c r="F362" s="205"/>
      <c r="G362" s="205"/>
      <c r="H362" s="205"/>
      <c r="I362" s="3" t="s">
        <v>699</v>
      </c>
      <c r="J362" s="3" t="s">
        <v>99</v>
      </c>
      <c r="K362" s="3">
        <v>79</v>
      </c>
      <c r="L362" s="3">
        <v>84</v>
      </c>
      <c r="M362" s="3">
        <v>86</v>
      </c>
      <c r="N362" s="1"/>
      <c r="AA362" s="73" t="s">
        <v>37</v>
      </c>
    </row>
    <row r="363" spans="1:28" ht="45" customHeight="1" x14ac:dyDescent="0.2">
      <c r="A363" s="206"/>
      <c r="B363" s="206"/>
      <c r="C363" s="206"/>
      <c r="D363" s="206"/>
      <c r="E363" s="206"/>
      <c r="F363" s="206"/>
      <c r="G363" s="206"/>
      <c r="H363" s="206"/>
      <c r="I363" s="3" t="s">
        <v>700</v>
      </c>
      <c r="J363" s="3" t="s">
        <v>99</v>
      </c>
      <c r="K363" s="3">
        <v>95</v>
      </c>
      <c r="L363" s="3">
        <v>95</v>
      </c>
      <c r="M363" s="3">
        <v>95</v>
      </c>
      <c r="N363" s="1"/>
      <c r="AA363" s="73" t="s">
        <v>37</v>
      </c>
    </row>
    <row r="364" spans="1:28" ht="28.5" customHeight="1" x14ac:dyDescent="0.2">
      <c r="A364" s="209" t="s">
        <v>160</v>
      </c>
      <c r="B364" s="209" t="s">
        <v>160</v>
      </c>
      <c r="C364" s="207" t="s">
        <v>160</v>
      </c>
      <c r="D364" s="207"/>
      <c r="E364" s="208" t="s">
        <v>701</v>
      </c>
      <c r="F364" s="204">
        <v>189268.2</v>
      </c>
      <c r="G364" s="204">
        <v>189268.2</v>
      </c>
      <c r="H364" s="204">
        <v>68018.899999999994</v>
      </c>
      <c r="I364" s="3" t="s">
        <v>702</v>
      </c>
      <c r="J364" s="3" t="s">
        <v>703</v>
      </c>
      <c r="K364" s="3">
        <v>450</v>
      </c>
      <c r="L364" s="3">
        <v>450</v>
      </c>
      <c r="M364" s="3">
        <v>450</v>
      </c>
      <c r="N364" s="1"/>
      <c r="AA364" s="72" t="s">
        <v>34</v>
      </c>
      <c r="AB364" s="75" t="s">
        <v>169</v>
      </c>
    </row>
    <row r="365" spans="1:28" ht="30" customHeight="1" x14ac:dyDescent="0.2">
      <c r="A365" s="206"/>
      <c r="B365" s="206"/>
      <c r="C365" s="206"/>
      <c r="D365" s="206"/>
      <c r="E365" s="206"/>
      <c r="F365" s="206"/>
      <c r="G365" s="206"/>
      <c r="H365" s="206"/>
      <c r="I365" s="3" t="s">
        <v>704</v>
      </c>
      <c r="J365" s="3" t="s">
        <v>703</v>
      </c>
      <c r="K365" s="3">
        <v>120</v>
      </c>
      <c r="L365" s="3">
        <v>120</v>
      </c>
      <c r="M365" s="3">
        <v>120</v>
      </c>
      <c r="N365" s="1"/>
      <c r="AA365" s="73" t="s">
        <v>37</v>
      </c>
    </row>
    <row r="366" spans="1:28" ht="42.75" customHeight="1" x14ac:dyDescent="0.2">
      <c r="A366" s="209" t="s">
        <v>163</v>
      </c>
      <c r="B366" s="209" t="s">
        <v>163</v>
      </c>
      <c r="C366" s="207" t="s">
        <v>163</v>
      </c>
      <c r="D366" s="207"/>
      <c r="E366" s="208" t="s">
        <v>705</v>
      </c>
      <c r="F366" s="204">
        <v>39007.1</v>
      </c>
      <c r="G366" s="204">
        <v>26392.1</v>
      </c>
      <c r="H366" s="204">
        <v>26392.1</v>
      </c>
      <c r="I366" s="3" t="s">
        <v>706</v>
      </c>
      <c r="J366" s="3" t="s">
        <v>707</v>
      </c>
      <c r="K366" s="3" t="s">
        <v>708</v>
      </c>
      <c r="L366" s="3" t="s">
        <v>708</v>
      </c>
      <c r="M366" s="3" t="s">
        <v>708</v>
      </c>
      <c r="N366" s="1"/>
      <c r="AA366" s="72" t="s">
        <v>34</v>
      </c>
      <c r="AB366" s="75" t="s">
        <v>169</v>
      </c>
    </row>
    <row r="367" spans="1:28" ht="42.75" customHeight="1" x14ac:dyDescent="0.2">
      <c r="A367" s="206"/>
      <c r="B367" s="206"/>
      <c r="C367" s="206"/>
      <c r="D367" s="206"/>
      <c r="E367" s="206"/>
      <c r="F367" s="206"/>
      <c r="G367" s="206"/>
      <c r="H367" s="206"/>
      <c r="I367" s="3" t="s">
        <v>709</v>
      </c>
      <c r="J367" s="3" t="s">
        <v>707</v>
      </c>
      <c r="K367" s="3" t="s">
        <v>708</v>
      </c>
      <c r="L367" s="3" t="s">
        <v>708</v>
      </c>
      <c r="M367" s="3" t="s">
        <v>708</v>
      </c>
      <c r="N367" s="1"/>
      <c r="AA367" s="73" t="s">
        <v>37</v>
      </c>
    </row>
    <row r="368" spans="1:28" ht="42.75" customHeight="1" x14ac:dyDescent="0.2">
      <c r="A368" s="5" t="s">
        <v>456</v>
      </c>
      <c r="B368" s="5" t="s">
        <v>710</v>
      </c>
      <c r="C368" s="6"/>
      <c r="D368" s="6"/>
      <c r="E368" s="7" t="s">
        <v>711</v>
      </c>
      <c r="F368" s="8">
        <v>6305318.7999999989</v>
      </c>
      <c r="G368" s="8">
        <v>7072644.6900000004</v>
      </c>
      <c r="H368" s="8">
        <v>7913424.419999999</v>
      </c>
      <c r="I368" s="18" t="s">
        <v>712</v>
      </c>
      <c r="J368" s="18" t="s">
        <v>99</v>
      </c>
      <c r="K368" s="18">
        <v>80</v>
      </c>
      <c r="L368" s="18">
        <v>90</v>
      </c>
      <c r="M368" s="18">
        <v>90</v>
      </c>
      <c r="N368" s="1"/>
      <c r="AA368" s="71" t="s">
        <v>40</v>
      </c>
      <c r="AB368" s="75" t="s">
        <v>123</v>
      </c>
    </row>
    <row r="369" spans="1:28" ht="66" customHeight="1" x14ac:dyDescent="0.2">
      <c r="A369" s="209" t="s">
        <v>100</v>
      </c>
      <c r="B369" s="209" t="s">
        <v>100</v>
      </c>
      <c r="C369" s="207" t="s">
        <v>100</v>
      </c>
      <c r="D369" s="207"/>
      <c r="E369" s="208" t="s">
        <v>713</v>
      </c>
      <c r="F369" s="204">
        <v>287214.40000000002</v>
      </c>
      <c r="G369" s="204">
        <v>287214.40000000002</v>
      </c>
      <c r="H369" s="204">
        <v>283710.8</v>
      </c>
      <c r="I369" s="3" t="s">
        <v>714</v>
      </c>
      <c r="J369" s="3" t="s">
        <v>99</v>
      </c>
      <c r="K369" s="3">
        <v>80</v>
      </c>
      <c r="L369" s="3">
        <v>90</v>
      </c>
      <c r="M369" s="3">
        <v>100</v>
      </c>
      <c r="N369" s="1"/>
      <c r="AA369" s="72" t="s">
        <v>34</v>
      </c>
      <c r="AB369" s="75" t="s">
        <v>169</v>
      </c>
    </row>
    <row r="370" spans="1:28" ht="27.75" customHeight="1" x14ac:dyDescent="0.2">
      <c r="A370" s="206"/>
      <c r="B370" s="206"/>
      <c r="C370" s="206"/>
      <c r="D370" s="206"/>
      <c r="E370" s="206"/>
      <c r="F370" s="206"/>
      <c r="G370" s="206"/>
      <c r="H370" s="206"/>
      <c r="I370" s="3" t="s">
        <v>715</v>
      </c>
      <c r="J370" s="3" t="s">
        <v>99</v>
      </c>
      <c r="K370" s="3">
        <v>80</v>
      </c>
      <c r="L370" s="3">
        <v>80</v>
      </c>
      <c r="M370" s="3">
        <v>80</v>
      </c>
      <c r="N370" s="1"/>
      <c r="AA370" s="73" t="s">
        <v>37</v>
      </c>
    </row>
    <row r="371" spans="1:28" x14ac:dyDescent="0.2">
      <c r="A371" s="209" t="s">
        <v>120</v>
      </c>
      <c r="B371" s="209" t="s">
        <v>120</v>
      </c>
      <c r="C371" s="207" t="s">
        <v>120</v>
      </c>
      <c r="D371" s="207"/>
      <c r="E371" s="208" t="s">
        <v>716</v>
      </c>
      <c r="F371" s="204">
        <v>37088.5</v>
      </c>
      <c r="G371" s="204">
        <v>37088.5</v>
      </c>
      <c r="H371" s="204">
        <v>37088.5</v>
      </c>
      <c r="I371" s="3" t="s">
        <v>717</v>
      </c>
      <c r="J371" s="3" t="s">
        <v>159</v>
      </c>
      <c r="K371" s="3"/>
      <c r="L371" s="3"/>
      <c r="M371" s="3"/>
      <c r="N371" s="1"/>
      <c r="AA371" s="72" t="s">
        <v>34</v>
      </c>
    </row>
    <row r="372" spans="1:28" x14ac:dyDescent="0.2">
      <c r="A372" s="206"/>
      <c r="B372" s="206"/>
      <c r="C372" s="206"/>
      <c r="D372" s="206"/>
      <c r="E372" s="206"/>
      <c r="F372" s="206"/>
      <c r="G372" s="206"/>
      <c r="H372" s="206"/>
      <c r="I372" s="3" t="s">
        <v>718</v>
      </c>
      <c r="J372" s="3" t="s">
        <v>159</v>
      </c>
      <c r="K372" s="3">
        <v>30000</v>
      </c>
      <c r="L372" s="3">
        <v>30000</v>
      </c>
      <c r="M372" s="3">
        <v>30000</v>
      </c>
      <c r="N372" s="1"/>
      <c r="AA372" s="73" t="s">
        <v>37</v>
      </c>
    </row>
    <row r="373" spans="1:28" ht="39.75" customHeight="1" x14ac:dyDescent="0.2">
      <c r="A373" s="10" t="s">
        <v>150</v>
      </c>
      <c r="B373" s="10" t="s">
        <v>150</v>
      </c>
      <c r="C373" s="3" t="s">
        <v>150</v>
      </c>
      <c r="D373" s="3"/>
      <c r="E373" s="11" t="s">
        <v>719</v>
      </c>
      <c r="F373" s="12">
        <v>254978.1</v>
      </c>
      <c r="G373" s="12">
        <v>254978.1</v>
      </c>
      <c r="H373" s="12">
        <v>284556.40000000002</v>
      </c>
      <c r="I373" s="20" t="s">
        <v>720</v>
      </c>
      <c r="J373" s="20" t="s">
        <v>99</v>
      </c>
      <c r="K373" s="20">
        <v>50</v>
      </c>
      <c r="L373" s="20">
        <v>70</v>
      </c>
      <c r="M373" s="20">
        <v>90</v>
      </c>
      <c r="N373" s="1"/>
      <c r="AA373" s="72" t="s">
        <v>34</v>
      </c>
    </row>
    <row r="374" spans="1:28" ht="27" customHeight="1" x14ac:dyDescent="0.2">
      <c r="A374" s="10" t="s">
        <v>124</v>
      </c>
      <c r="B374" s="10" t="s">
        <v>124</v>
      </c>
      <c r="C374" s="3" t="s">
        <v>124</v>
      </c>
      <c r="D374" s="3"/>
      <c r="E374" s="11" t="s">
        <v>721</v>
      </c>
      <c r="F374" s="12">
        <v>395471.6</v>
      </c>
      <c r="G374" s="12">
        <v>437623.4</v>
      </c>
      <c r="H374" s="12">
        <v>395471.6</v>
      </c>
      <c r="I374" s="3" t="s">
        <v>722</v>
      </c>
      <c r="J374" s="3" t="s">
        <v>723</v>
      </c>
      <c r="K374" s="3">
        <v>26000</v>
      </c>
      <c r="L374" s="3">
        <v>27000</v>
      </c>
      <c r="M374" s="3">
        <v>28000</v>
      </c>
      <c r="N374" s="1"/>
      <c r="AA374" s="72" t="s">
        <v>34</v>
      </c>
    </row>
    <row r="375" spans="1:28" ht="30" customHeight="1" x14ac:dyDescent="0.2">
      <c r="A375" s="209" t="s">
        <v>160</v>
      </c>
      <c r="B375" s="209" t="s">
        <v>160</v>
      </c>
      <c r="C375" s="207" t="s">
        <v>160</v>
      </c>
      <c r="D375" s="207"/>
      <c r="E375" s="208" t="s">
        <v>724</v>
      </c>
      <c r="F375" s="204">
        <v>53219.7</v>
      </c>
      <c r="G375" s="204">
        <v>52969.7</v>
      </c>
      <c r="H375" s="204">
        <v>67733.8</v>
      </c>
      <c r="I375" s="3" t="s">
        <v>725</v>
      </c>
      <c r="J375" s="3" t="s">
        <v>99</v>
      </c>
      <c r="K375" s="3">
        <v>47</v>
      </c>
      <c r="L375" s="3">
        <v>47</v>
      </c>
      <c r="M375" s="3">
        <v>47</v>
      </c>
      <c r="N375" s="1"/>
      <c r="AA375" s="72" t="s">
        <v>34</v>
      </c>
    </row>
    <row r="376" spans="1:28" ht="27.75" customHeight="1" x14ac:dyDescent="0.2">
      <c r="A376" s="205"/>
      <c r="B376" s="205"/>
      <c r="C376" s="205"/>
      <c r="D376" s="205"/>
      <c r="E376" s="205"/>
      <c r="F376" s="205"/>
      <c r="G376" s="205"/>
      <c r="H376" s="205"/>
      <c r="I376" s="3" t="s">
        <v>726</v>
      </c>
      <c r="J376" s="3" t="s">
        <v>99</v>
      </c>
      <c r="K376" s="3">
        <v>11</v>
      </c>
      <c r="L376" s="3">
        <v>11</v>
      </c>
      <c r="M376" s="3">
        <v>11</v>
      </c>
      <c r="N376" s="1"/>
      <c r="AA376" s="73" t="s">
        <v>37</v>
      </c>
    </row>
    <row r="377" spans="1:28" ht="32.25" customHeight="1" x14ac:dyDescent="0.2">
      <c r="A377" s="205"/>
      <c r="B377" s="205"/>
      <c r="C377" s="205"/>
      <c r="D377" s="205"/>
      <c r="E377" s="205"/>
      <c r="F377" s="205"/>
      <c r="G377" s="205"/>
      <c r="H377" s="205"/>
      <c r="I377" s="3" t="s">
        <v>727</v>
      </c>
      <c r="J377" s="3" t="s">
        <v>159</v>
      </c>
      <c r="K377" s="3">
        <v>12.1</v>
      </c>
      <c r="L377" s="3">
        <v>12.1</v>
      </c>
      <c r="M377" s="3">
        <v>12.1</v>
      </c>
      <c r="N377" s="1"/>
      <c r="AA377" s="73" t="s">
        <v>37</v>
      </c>
    </row>
    <row r="378" spans="1:28" ht="32.25" customHeight="1" x14ac:dyDescent="0.2">
      <c r="A378" s="205"/>
      <c r="B378" s="205"/>
      <c r="C378" s="205"/>
      <c r="D378" s="205"/>
      <c r="E378" s="205"/>
      <c r="F378" s="205"/>
      <c r="G378" s="205"/>
      <c r="H378" s="205"/>
      <c r="I378" s="3" t="s">
        <v>728</v>
      </c>
      <c r="J378" s="3" t="s">
        <v>99</v>
      </c>
      <c r="K378" s="3">
        <v>90</v>
      </c>
      <c r="L378" s="3">
        <v>90</v>
      </c>
      <c r="M378" s="3">
        <v>90</v>
      </c>
      <c r="N378" s="1"/>
      <c r="AA378" s="73" t="s">
        <v>37</v>
      </c>
    </row>
    <row r="379" spans="1:28" ht="39.75" customHeight="1" x14ac:dyDescent="0.2">
      <c r="A379" s="206"/>
      <c r="B379" s="206"/>
      <c r="C379" s="206"/>
      <c r="D379" s="206"/>
      <c r="E379" s="206"/>
      <c r="F379" s="206"/>
      <c r="G379" s="206"/>
      <c r="H379" s="206"/>
      <c r="I379" s="3" t="s">
        <v>729</v>
      </c>
      <c r="J379" s="3" t="s">
        <v>679</v>
      </c>
      <c r="K379" s="3">
        <v>837.8</v>
      </c>
      <c r="L379" s="3">
        <v>837.8</v>
      </c>
      <c r="M379" s="3">
        <v>837.8</v>
      </c>
      <c r="N379" s="1"/>
      <c r="AA379" s="73" t="s">
        <v>37</v>
      </c>
    </row>
    <row r="380" spans="1:28" ht="30" customHeight="1" x14ac:dyDescent="0.2">
      <c r="A380" s="10" t="s">
        <v>163</v>
      </c>
      <c r="B380" s="10" t="s">
        <v>163</v>
      </c>
      <c r="C380" s="3" t="s">
        <v>163</v>
      </c>
      <c r="D380" s="3"/>
      <c r="E380" s="11" t="s">
        <v>730</v>
      </c>
      <c r="F380" s="12">
        <v>711079.8</v>
      </c>
      <c r="G380" s="12">
        <v>711129.8</v>
      </c>
      <c r="H380" s="12">
        <v>712123.5</v>
      </c>
      <c r="I380" s="3" t="s">
        <v>731</v>
      </c>
      <c r="J380" s="3" t="s">
        <v>159</v>
      </c>
      <c r="K380" s="3">
        <v>17900</v>
      </c>
      <c r="L380" s="3">
        <v>17900</v>
      </c>
      <c r="M380" s="3">
        <v>17900</v>
      </c>
      <c r="N380" s="1"/>
      <c r="AA380" s="72" t="s">
        <v>34</v>
      </c>
    </row>
    <row r="381" spans="1:28" ht="60" customHeight="1" x14ac:dyDescent="0.2">
      <c r="A381" s="10" t="s">
        <v>166</v>
      </c>
      <c r="B381" s="10" t="s">
        <v>166</v>
      </c>
      <c r="C381" s="3" t="s">
        <v>166</v>
      </c>
      <c r="D381" s="3"/>
      <c r="E381" s="11" t="s">
        <v>732</v>
      </c>
      <c r="F381" s="12">
        <v>4287450.5999999996</v>
      </c>
      <c r="G381" s="12">
        <v>5012824.6900000004</v>
      </c>
      <c r="H381" s="12">
        <v>5853923.7199999997</v>
      </c>
      <c r="I381" s="3" t="s">
        <v>733</v>
      </c>
      <c r="J381" s="3" t="s">
        <v>159</v>
      </c>
      <c r="K381" s="3">
        <v>1500</v>
      </c>
      <c r="L381" s="3">
        <v>1500</v>
      </c>
      <c r="M381" s="3">
        <v>1500</v>
      </c>
      <c r="N381" s="1"/>
      <c r="AA381" s="72" t="s">
        <v>34</v>
      </c>
    </row>
    <row r="382" spans="1:28" ht="61.5" customHeight="1" x14ac:dyDescent="0.2">
      <c r="A382" s="209" t="s">
        <v>170</v>
      </c>
      <c r="B382" s="209" t="s">
        <v>170</v>
      </c>
      <c r="C382" s="207" t="s">
        <v>170</v>
      </c>
      <c r="D382" s="207"/>
      <c r="E382" s="208" t="s">
        <v>734</v>
      </c>
      <c r="F382" s="204">
        <v>278816.09999999998</v>
      </c>
      <c r="G382" s="204">
        <v>278816.09999999998</v>
      </c>
      <c r="H382" s="204">
        <v>278816.09999999998</v>
      </c>
      <c r="I382" s="3" t="s">
        <v>735</v>
      </c>
      <c r="J382" s="3" t="s">
        <v>99</v>
      </c>
      <c r="K382" s="3">
        <v>100</v>
      </c>
      <c r="L382" s="3">
        <v>100</v>
      </c>
      <c r="M382" s="3">
        <v>100</v>
      </c>
      <c r="N382" s="1"/>
      <c r="AA382" s="72" t="s">
        <v>34</v>
      </c>
    </row>
    <row r="383" spans="1:28" ht="45" customHeight="1" x14ac:dyDescent="0.2">
      <c r="A383" s="206"/>
      <c r="B383" s="206"/>
      <c r="C383" s="206"/>
      <c r="D383" s="206"/>
      <c r="E383" s="206"/>
      <c r="F383" s="206"/>
      <c r="G383" s="206"/>
      <c r="H383" s="206"/>
      <c r="I383" s="3" t="s">
        <v>736</v>
      </c>
      <c r="J383" s="3" t="s">
        <v>223</v>
      </c>
      <c r="K383" s="3">
        <v>18200</v>
      </c>
      <c r="L383" s="3">
        <v>18200</v>
      </c>
      <c r="M383" s="3">
        <v>18200</v>
      </c>
      <c r="N383" s="1"/>
      <c r="AA383" s="73" t="s">
        <v>37</v>
      </c>
    </row>
    <row r="384" spans="1:28" ht="45.75" customHeight="1" x14ac:dyDescent="0.2">
      <c r="A384" s="5" t="s">
        <v>456</v>
      </c>
      <c r="B384" s="5" t="s">
        <v>737</v>
      </c>
      <c r="C384" s="6"/>
      <c r="D384" s="6"/>
      <c r="E384" s="7" t="s">
        <v>738</v>
      </c>
      <c r="F384" s="8">
        <v>962011.60000000009</v>
      </c>
      <c r="G384" s="8">
        <v>976420.60000000009</v>
      </c>
      <c r="H384" s="8">
        <v>996275.19999999995</v>
      </c>
      <c r="I384" s="18" t="s">
        <v>739</v>
      </c>
      <c r="J384" s="18" t="s">
        <v>99</v>
      </c>
      <c r="K384" s="18">
        <v>80</v>
      </c>
      <c r="L384" s="18">
        <v>80</v>
      </c>
      <c r="M384" s="18">
        <v>80</v>
      </c>
      <c r="N384" s="1"/>
      <c r="AA384" s="71" t="s">
        <v>40</v>
      </c>
      <c r="AB384" s="75" t="s">
        <v>123</v>
      </c>
    </row>
    <row r="385" spans="1:27" ht="43.5" customHeight="1" x14ac:dyDescent="0.2">
      <c r="A385" s="209" t="s">
        <v>120</v>
      </c>
      <c r="B385" s="209" t="s">
        <v>120</v>
      </c>
      <c r="C385" s="207" t="s">
        <v>120</v>
      </c>
      <c r="D385" s="207"/>
      <c r="E385" s="208" t="s">
        <v>740</v>
      </c>
      <c r="F385" s="204">
        <v>156528.70000000001</v>
      </c>
      <c r="G385" s="204">
        <v>156528.70000000001</v>
      </c>
      <c r="H385" s="204">
        <v>156528.70000000001</v>
      </c>
      <c r="I385" s="3" t="s">
        <v>741</v>
      </c>
      <c r="J385" s="3" t="s">
        <v>159</v>
      </c>
      <c r="K385" s="3">
        <v>380</v>
      </c>
      <c r="L385" s="3">
        <v>380</v>
      </c>
      <c r="M385" s="3">
        <v>380</v>
      </c>
      <c r="N385" s="1"/>
      <c r="AA385" s="72" t="s">
        <v>34</v>
      </c>
    </row>
    <row r="386" spans="1:27" ht="40.5" customHeight="1" x14ac:dyDescent="0.2">
      <c r="A386" s="206"/>
      <c r="B386" s="206"/>
      <c r="C386" s="206"/>
      <c r="D386" s="206"/>
      <c r="E386" s="206"/>
      <c r="F386" s="206"/>
      <c r="G386" s="206"/>
      <c r="H386" s="206"/>
      <c r="I386" s="3" t="s">
        <v>742</v>
      </c>
      <c r="J386" s="3" t="s">
        <v>159</v>
      </c>
      <c r="K386" s="3">
        <v>345</v>
      </c>
      <c r="L386" s="3">
        <v>345</v>
      </c>
      <c r="M386" s="3">
        <v>345</v>
      </c>
      <c r="N386" s="1"/>
      <c r="AA386" s="73" t="s">
        <v>37</v>
      </c>
    </row>
    <row r="387" spans="1:27" ht="45.75" customHeight="1" x14ac:dyDescent="0.2">
      <c r="A387" s="209" t="s">
        <v>150</v>
      </c>
      <c r="B387" s="209" t="s">
        <v>150</v>
      </c>
      <c r="C387" s="207" t="s">
        <v>150</v>
      </c>
      <c r="D387" s="207"/>
      <c r="E387" s="208" t="s">
        <v>743</v>
      </c>
      <c r="F387" s="204">
        <v>376100.4</v>
      </c>
      <c r="G387" s="204">
        <v>400009.4</v>
      </c>
      <c r="H387" s="204">
        <v>419964</v>
      </c>
      <c r="I387" s="3" t="s">
        <v>744</v>
      </c>
      <c r="J387" s="3" t="s">
        <v>159</v>
      </c>
      <c r="K387" s="3">
        <v>16250</v>
      </c>
      <c r="L387" s="3">
        <v>16250</v>
      </c>
      <c r="M387" s="3">
        <v>16250</v>
      </c>
      <c r="N387" s="1"/>
      <c r="AA387" s="72" t="s">
        <v>34</v>
      </c>
    </row>
    <row r="388" spans="1:27" ht="40.5" customHeight="1" x14ac:dyDescent="0.2">
      <c r="A388" s="206"/>
      <c r="B388" s="206"/>
      <c r="C388" s="206"/>
      <c r="D388" s="206"/>
      <c r="E388" s="206"/>
      <c r="F388" s="206"/>
      <c r="G388" s="206"/>
      <c r="H388" s="206"/>
      <c r="I388" s="3" t="s">
        <v>745</v>
      </c>
      <c r="J388" s="3" t="s">
        <v>159</v>
      </c>
      <c r="K388" s="3">
        <v>100</v>
      </c>
      <c r="L388" s="3">
        <v>120</v>
      </c>
      <c r="M388" s="3">
        <v>120</v>
      </c>
      <c r="N388" s="1"/>
      <c r="AA388" s="73" t="s">
        <v>37</v>
      </c>
    </row>
    <row r="389" spans="1:27" ht="38.25" customHeight="1" x14ac:dyDescent="0.2">
      <c r="A389" s="10" t="s">
        <v>124</v>
      </c>
      <c r="B389" s="10" t="s">
        <v>124</v>
      </c>
      <c r="C389" s="3" t="s">
        <v>124</v>
      </c>
      <c r="D389" s="3"/>
      <c r="E389" s="11" t="s">
        <v>746</v>
      </c>
      <c r="F389" s="12">
        <v>429382.5</v>
      </c>
      <c r="G389" s="12">
        <v>419882.5</v>
      </c>
      <c r="H389" s="12">
        <v>419782.5</v>
      </c>
      <c r="I389" s="3" t="s">
        <v>747</v>
      </c>
      <c r="J389" s="3" t="s">
        <v>159</v>
      </c>
      <c r="K389" s="3">
        <v>1180</v>
      </c>
      <c r="L389" s="3">
        <v>1180</v>
      </c>
      <c r="M389" s="3">
        <v>1180</v>
      </c>
      <c r="N389" s="1"/>
      <c r="AA389" s="72" t="s">
        <v>34</v>
      </c>
    </row>
    <row r="390" spans="1:27" ht="39.75" customHeight="1" x14ac:dyDescent="0.2">
      <c r="A390" s="5" t="s">
        <v>456</v>
      </c>
      <c r="B390" s="5" t="s">
        <v>748</v>
      </c>
      <c r="C390" s="6"/>
      <c r="D390" s="6"/>
      <c r="E390" s="7" t="s">
        <v>749</v>
      </c>
      <c r="F390" s="8">
        <v>11104430.57</v>
      </c>
      <c r="G390" s="8">
        <v>10923007.970000001</v>
      </c>
      <c r="H390" s="8">
        <v>10975263.77</v>
      </c>
      <c r="I390" s="18" t="s">
        <v>534</v>
      </c>
      <c r="J390" s="18" t="s">
        <v>99</v>
      </c>
      <c r="K390" s="18">
        <v>85</v>
      </c>
      <c r="L390" s="18">
        <v>86</v>
      </c>
      <c r="M390" s="18">
        <v>87</v>
      </c>
      <c r="N390" s="1"/>
      <c r="AA390" s="71" t="s">
        <v>40</v>
      </c>
    </row>
    <row r="391" spans="1:27" ht="45" customHeight="1" x14ac:dyDescent="0.2">
      <c r="A391" s="10" t="s">
        <v>100</v>
      </c>
      <c r="B391" s="10" t="s">
        <v>100</v>
      </c>
      <c r="C391" s="3" t="s">
        <v>100</v>
      </c>
      <c r="D391" s="3"/>
      <c r="E391" s="11" t="s">
        <v>750</v>
      </c>
      <c r="F391" s="12">
        <v>1030897</v>
      </c>
      <c r="G391" s="12">
        <v>1015986.7</v>
      </c>
      <c r="H391" s="12">
        <v>1006777.2</v>
      </c>
      <c r="I391" s="3" t="s">
        <v>751</v>
      </c>
      <c r="J391" s="3" t="s">
        <v>99</v>
      </c>
      <c r="K391" s="3">
        <v>100</v>
      </c>
      <c r="L391" s="3">
        <v>100</v>
      </c>
      <c r="M391" s="3">
        <v>100</v>
      </c>
      <c r="N391" s="1"/>
      <c r="AA391" s="72" t="s">
        <v>34</v>
      </c>
    </row>
    <row r="392" spans="1:27" ht="38.25" customHeight="1" x14ac:dyDescent="0.2">
      <c r="A392" s="209" t="s">
        <v>120</v>
      </c>
      <c r="B392" s="209" t="s">
        <v>120</v>
      </c>
      <c r="C392" s="207" t="s">
        <v>120</v>
      </c>
      <c r="D392" s="207"/>
      <c r="E392" s="208" t="s">
        <v>752</v>
      </c>
      <c r="F392" s="204">
        <v>9303291.3699999992</v>
      </c>
      <c r="G392" s="204">
        <v>9143739.6699999999</v>
      </c>
      <c r="H392" s="204">
        <v>9198244.3699999992</v>
      </c>
      <c r="I392" s="3" t="s">
        <v>753</v>
      </c>
      <c r="J392" s="3" t="s">
        <v>99</v>
      </c>
      <c r="K392" s="3">
        <v>65</v>
      </c>
      <c r="L392" s="3">
        <v>65</v>
      </c>
      <c r="M392" s="3">
        <v>65</v>
      </c>
      <c r="N392" s="1"/>
      <c r="AA392" s="72" t="s">
        <v>34</v>
      </c>
    </row>
    <row r="393" spans="1:27" ht="76.5" customHeight="1" x14ac:dyDescent="0.2">
      <c r="A393" s="205"/>
      <c r="B393" s="205"/>
      <c r="C393" s="205"/>
      <c r="D393" s="205"/>
      <c r="E393" s="205"/>
      <c r="F393" s="205"/>
      <c r="G393" s="205"/>
      <c r="H393" s="205"/>
      <c r="I393" s="3" t="s">
        <v>754</v>
      </c>
      <c r="J393" s="3" t="s">
        <v>99</v>
      </c>
      <c r="K393" s="3">
        <v>70</v>
      </c>
      <c r="L393" s="3">
        <v>70</v>
      </c>
      <c r="M393" s="3">
        <v>70</v>
      </c>
      <c r="N393" s="1"/>
      <c r="AA393" s="73" t="s">
        <v>37</v>
      </c>
    </row>
    <row r="394" spans="1:27" ht="49.5" customHeight="1" x14ac:dyDescent="0.2">
      <c r="A394" s="206"/>
      <c r="B394" s="206"/>
      <c r="C394" s="206"/>
      <c r="D394" s="206"/>
      <c r="E394" s="206"/>
      <c r="F394" s="206"/>
      <c r="G394" s="206"/>
      <c r="H394" s="206"/>
      <c r="I394" s="3" t="s">
        <v>755</v>
      </c>
      <c r="J394" s="3" t="s">
        <v>99</v>
      </c>
      <c r="K394" s="3">
        <v>55</v>
      </c>
      <c r="L394" s="3">
        <v>55</v>
      </c>
      <c r="M394" s="3">
        <v>55</v>
      </c>
      <c r="N394" s="1"/>
      <c r="AA394" s="73" t="s">
        <v>37</v>
      </c>
    </row>
    <row r="395" spans="1:27" ht="36" customHeight="1" x14ac:dyDescent="0.2">
      <c r="A395" s="209" t="s">
        <v>150</v>
      </c>
      <c r="B395" s="209" t="s">
        <v>150</v>
      </c>
      <c r="C395" s="207" t="s">
        <v>150</v>
      </c>
      <c r="D395" s="207"/>
      <c r="E395" s="208" t="s">
        <v>756</v>
      </c>
      <c r="F395" s="204">
        <v>770242.2</v>
      </c>
      <c r="G395" s="204">
        <v>763281.6</v>
      </c>
      <c r="H395" s="204">
        <v>770242.2</v>
      </c>
      <c r="I395" s="3" t="s">
        <v>757</v>
      </c>
      <c r="J395" s="3" t="s">
        <v>159</v>
      </c>
      <c r="K395" s="3">
        <v>72500</v>
      </c>
      <c r="L395" s="3">
        <v>72500</v>
      </c>
      <c r="M395" s="3">
        <v>72500</v>
      </c>
      <c r="N395" s="1"/>
      <c r="AA395" s="72" t="s">
        <v>34</v>
      </c>
    </row>
    <row r="396" spans="1:27" ht="36" customHeight="1" x14ac:dyDescent="0.2">
      <c r="A396" s="205"/>
      <c r="B396" s="205"/>
      <c r="C396" s="205"/>
      <c r="D396" s="205"/>
      <c r="E396" s="205"/>
      <c r="F396" s="205"/>
      <c r="G396" s="205"/>
      <c r="H396" s="205"/>
      <c r="I396" s="3" t="s">
        <v>758</v>
      </c>
      <c r="J396" s="3" t="s">
        <v>99</v>
      </c>
      <c r="K396" s="3">
        <v>100</v>
      </c>
      <c r="L396" s="3">
        <v>100</v>
      </c>
      <c r="M396" s="3">
        <v>100</v>
      </c>
      <c r="N396" s="1"/>
      <c r="AA396" s="73" t="s">
        <v>37</v>
      </c>
    </row>
    <row r="397" spans="1:27" ht="36" customHeight="1" x14ac:dyDescent="0.2">
      <c r="A397" s="205"/>
      <c r="B397" s="205"/>
      <c r="C397" s="205"/>
      <c r="D397" s="205"/>
      <c r="E397" s="205"/>
      <c r="F397" s="205"/>
      <c r="G397" s="205"/>
      <c r="H397" s="205"/>
      <c r="I397" s="3" t="s">
        <v>759</v>
      </c>
      <c r="J397" s="3" t="s">
        <v>99</v>
      </c>
      <c r="K397" s="3">
        <v>80</v>
      </c>
      <c r="L397" s="3">
        <v>80</v>
      </c>
      <c r="M397" s="3">
        <v>80</v>
      </c>
      <c r="N397" s="1"/>
      <c r="AA397" s="73" t="s">
        <v>37</v>
      </c>
    </row>
    <row r="398" spans="1:27" ht="29.25" customHeight="1" x14ac:dyDescent="0.2">
      <c r="A398" s="206"/>
      <c r="B398" s="206"/>
      <c r="C398" s="206"/>
      <c r="D398" s="206"/>
      <c r="E398" s="206"/>
      <c r="F398" s="206"/>
      <c r="G398" s="206"/>
      <c r="H398" s="206"/>
      <c r="I398" s="3" t="s">
        <v>760</v>
      </c>
      <c r="J398" s="3" t="s">
        <v>99</v>
      </c>
      <c r="K398" s="3">
        <v>60</v>
      </c>
      <c r="L398" s="3">
        <v>60</v>
      </c>
      <c r="M398" s="3">
        <v>60</v>
      </c>
      <c r="N398" s="1"/>
      <c r="AA398" s="73" t="s">
        <v>37</v>
      </c>
    </row>
    <row r="399" spans="1:27" ht="24" customHeight="1" x14ac:dyDescent="0.2">
      <c r="A399" s="5" t="s">
        <v>456</v>
      </c>
      <c r="B399" s="5" t="s">
        <v>761</v>
      </c>
      <c r="C399" s="6"/>
      <c r="D399" s="6"/>
      <c r="E399" s="7" t="s">
        <v>762</v>
      </c>
      <c r="F399" s="8">
        <v>15638295.23</v>
      </c>
      <c r="G399" s="8">
        <v>15671462.300000001</v>
      </c>
      <c r="H399" s="8">
        <v>15600318.699999999</v>
      </c>
      <c r="I399" s="18" t="s">
        <v>534</v>
      </c>
      <c r="J399" s="18" t="s">
        <v>99</v>
      </c>
      <c r="K399" s="18">
        <v>85</v>
      </c>
      <c r="L399" s="18">
        <v>86</v>
      </c>
      <c r="M399" s="18">
        <v>87</v>
      </c>
      <c r="N399" s="1"/>
      <c r="AA399" s="71" t="s">
        <v>40</v>
      </c>
    </row>
    <row r="400" spans="1:27" ht="24" customHeight="1" x14ac:dyDescent="0.2">
      <c r="A400" s="209" t="s">
        <v>100</v>
      </c>
      <c r="B400" s="209" t="s">
        <v>100</v>
      </c>
      <c r="C400" s="207" t="s">
        <v>100</v>
      </c>
      <c r="D400" s="207"/>
      <c r="E400" s="208" t="s">
        <v>763</v>
      </c>
      <c r="F400" s="204">
        <v>12986410.83</v>
      </c>
      <c r="G400" s="204">
        <v>13379577.9</v>
      </c>
      <c r="H400" s="204">
        <v>13308434.300000001</v>
      </c>
      <c r="I400" s="3" t="s">
        <v>764</v>
      </c>
      <c r="J400" s="3" t="s">
        <v>99</v>
      </c>
      <c r="K400" s="3">
        <v>45</v>
      </c>
      <c r="L400" s="3">
        <v>45</v>
      </c>
      <c r="M400" s="3">
        <v>45</v>
      </c>
      <c r="N400" s="1"/>
      <c r="AA400" s="72" t="s">
        <v>34</v>
      </c>
    </row>
    <row r="401" spans="1:28" ht="45.75" customHeight="1" x14ac:dyDescent="0.2">
      <c r="A401" s="205"/>
      <c r="B401" s="205"/>
      <c r="C401" s="205"/>
      <c r="D401" s="205"/>
      <c r="E401" s="205"/>
      <c r="F401" s="205"/>
      <c r="G401" s="205"/>
      <c r="H401" s="205"/>
      <c r="I401" s="3" t="s">
        <v>765</v>
      </c>
      <c r="J401" s="3" t="s">
        <v>99</v>
      </c>
      <c r="K401" s="3">
        <v>10</v>
      </c>
      <c r="L401" s="3">
        <v>10</v>
      </c>
      <c r="M401" s="3">
        <v>10</v>
      </c>
      <c r="N401" s="1"/>
      <c r="AA401" s="73" t="s">
        <v>37</v>
      </c>
    </row>
    <row r="402" spans="1:28" ht="26.25" customHeight="1" x14ac:dyDescent="0.2">
      <c r="A402" s="205"/>
      <c r="B402" s="205"/>
      <c r="C402" s="205"/>
      <c r="D402" s="205"/>
      <c r="E402" s="205"/>
      <c r="F402" s="205"/>
      <c r="G402" s="205"/>
      <c r="H402" s="205"/>
      <c r="I402" s="3" t="s">
        <v>766</v>
      </c>
      <c r="J402" s="3" t="s">
        <v>99</v>
      </c>
      <c r="K402" s="3">
        <v>100</v>
      </c>
      <c r="L402" s="3">
        <v>100</v>
      </c>
      <c r="M402" s="3">
        <v>100</v>
      </c>
      <c r="N402" s="1"/>
      <c r="AA402" s="73" t="s">
        <v>37</v>
      </c>
    </row>
    <row r="403" spans="1:28" ht="30.75" customHeight="1" x14ac:dyDescent="0.2">
      <c r="A403" s="206"/>
      <c r="B403" s="206"/>
      <c r="C403" s="206"/>
      <c r="D403" s="206"/>
      <c r="E403" s="206"/>
      <c r="F403" s="206"/>
      <c r="G403" s="206"/>
      <c r="H403" s="206"/>
      <c r="I403" s="3" t="s">
        <v>767</v>
      </c>
      <c r="J403" s="3" t="s">
        <v>99</v>
      </c>
      <c r="K403" s="3">
        <v>29</v>
      </c>
      <c r="L403" s="3">
        <v>29</v>
      </c>
      <c r="M403" s="3">
        <v>29</v>
      </c>
      <c r="N403" s="1"/>
      <c r="AA403" s="73" t="s">
        <v>37</v>
      </c>
    </row>
    <row r="404" spans="1:28" ht="36" customHeight="1" x14ac:dyDescent="0.2">
      <c r="A404" s="10" t="s">
        <v>120</v>
      </c>
      <c r="B404" s="10" t="s">
        <v>120</v>
      </c>
      <c r="C404" s="3" t="s">
        <v>120</v>
      </c>
      <c r="D404" s="3"/>
      <c r="E404" s="11" t="s">
        <v>768</v>
      </c>
      <c r="F404" s="12">
        <v>1063198</v>
      </c>
      <c r="G404" s="12">
        <v>1063198</v>
      </c>
      <c r="H404" s="12">
        <v>1063198</v>
      </c>
      <c r="I404" s="3" t="s">
        <v>766</v>
      </c>
      <c r="J404" s="3" t="s">
        <v>99</v>
      </c>
      <c r="K404" s="3">
        <v>100</v>
      </c>
      <c r="L404" s="3">
        <v>100</v>
      </c>
      <c r="M404" s="3">
        <v>100</v>
      </c>
      <c r="N404" s="1"/>
      <c r="AA404" s="72" t="s">
        <v>34</v>
      </c>
    </row>
    <row r="405" spans="1:28" ht="36" customHeight="1" x14ac:dyDescent="0.2">
      <c r="A405" s="10" t="s">
        <v>150</v>
      </c>
      <c r="B405" s="10" t="s">
        <v>150</v>
      </c>
      <c r="C405" s="3" t="s">
        <v>150</v>
      </c>
      <c r="D405" s="3"/>
      <c r="E405" s="11" t="s">
        <v>769</v>
      </c>
      <c r="F405" s="12">
        <v>630920.9</v>
      </c>
      <c r="G405" s="12">
        <v>570920.9</v>
      </c>
      <c r="H405" s="12">
        <v>570920.9</v>
      </c>
      <c r="I405" s="3" t="s">
        <v>766</v>
      </c>
      <c r="J405" s="3" t="s">
        <v>99</v>
      </c>
      <c r="K405" s="3">
        <v>100</v>
      </c>
      <c r="L405" s="3">
        <v>100</v>
      </c>
      <c r="M405" s="3">
        <v>100</v>
      </c>
      <c r="N405" s="1"/>
      <c r="AA405" s="72" t="s">
        <v>34</v>
      </c>
    </row>
    <row r="406" spans="1:28" ht="30.75" customHeight="1" x14ac:dyDescent="0.2">
      <c r="A406" s="10" t="s">
        <v>124</v>
      </c>
      <c r="B406" s="10" t="s">
        <v>124</v>
      </c>
      <c r="C406" s="3" t="s">
        <v>124</v>
      </c>
      <c r="D406" s="3"/>
      <c r="E406" s="11" t="s">
        <v>770</v>
      </c>
      <c r="F406" s="12">
        <v>388000</v>
      </c>
      <c r="G406" s="12">
        <v>88000</v>
      </c>
      <c r="H406" s="12">
        <v>88000</v>
      </c>
      <c r="I406" s="3" t="s">
        <v>766</v>
      </c>
      <c r="J406" s="3" t="s">
        <v>99</v>
      </c>
      <c r="K406" s="3">
        <v>100</v>
      </c>
      <c r="L406" s="3">
        <v>100</v>
      </c>
      <c r="M406" s="3">
        <v>100</v>
      </c>
      <c r="N406" s="1"/>
      <c r="AA406" s="72" t="s">
        <v>34</v>
      </c>
      <c r="AB406" s="75" t="s">
        <v>169</v>
      </c>
    </row>
    <row r="407" spans="1:28" ht="30.75" customHeight="1" x14ac:dyDescent="0.2">
      <c r="A407" s="10" t="s">
        <v>156</v>
      </c>
      <c r="B407" s="10" t="s">
        <v>156</v>
      </c>
      <c r="C407" s="3" t="s">
        <v>156</v>
      </c>
      <c r="D407" s="3"/>
      <c r="E407" s="11" t="s">
        <v>771</v>
      </c>
      <c r="F407" s="12">
        <v>569765.5</v>
      </c>
      <c r="G407" s="12">
        <v>569765.5</v>
      </c>
      <c r="H407" s="12">
        <v>569765.5</v>
      </c>
      <c r="I407" s="3" t="s">
        <v>766</v>
      </c>
      <c r="J407" s="3" t="s">
        <v>99</v>
      </c>
      <c r="K407" s="3">
        <v>100</v>
      </c>
      <c r="L407" s="3">
        <v>100</v>
      </c>
      <c r="M407" s="3">
        <v>100</v>
      </c>
      <c r="N407" s="1"/>
      <c r="AA407" s="72" t="s">
        <v>34</v>
      </c>
    </row>
    <row r="408" spans="1:28" ht="33" customHeight="1" x14ac:dyDescent="0.2">
      <c r="A408" s="5" t="s">
        <v>456</v>
      </c>
      <c r="B408" s="5" t="s">
        <v>772</v>
      </c>
      <c r="C408" s="6"/>
      <c r="D408" s="6"/>
      <c r="E408" s="7" t="s">
        <v>773</v>
      </c>
      <c r="F408" s="8">
        <v>2530800</v>
      </c>
      <c r="G408" s="8">
        <v>2530800</v>
      </c>
      <c r="H408" s="8">
        <v>2530800</v>
      </c>
      <c r="I408" s="5" t="s">
        <v>774</v>
      </c>
      <c r="J408" s="5" t="s">
        <v>159</v>
      </c>
      <c r="K408" s="5">
        <v>2624</v>
      </c>
      <c r="L408" s="5">
        <v>2824</v>
      </c>
      <c r="M408" s="5">
        <v>3024</v>
      </c>
      <c r="N408" s="1"/>
      <c r="AA408" s="71" t="s">
        <v>40</v>
      </c>
    </row>
    <row r="409" spans="1:28" ht="48" customHeight="1" x14ac:dyDescent="0.2">
      <c r="A409" s="10" t="s">
        <v>100</v>
      </c>
      <c r="B409" s="10" t="s">
        <v>100</v>
      </c>
      <c r="C409" s="3" t="s">
        <v>100</v>
      </c>
      <c r="D409" s="3"/>
      <c r="E409" s="11" t="s">
        <v>775</v>
      </c>
      <c r="F409" s="12">
        <v>2530800</v>
      </c>
      <c r="G409" s="12">
        <v>2530800</v>
      </c>
      <c r="H409" s="12">
        <v>2530800</v>
      </c>
      <c r="I409" s="3" t="s">
        <v>776</v>
      </c>
      <c r="J409" s="3" t="s">
        <v>159</v>
      </c>
      <c r="K409" s="3">
        <v>3417</v>
      </c>
      <c r="L409" s="3">
        <v>3717</v>
      </c>
      <c r="M409" s="3">
        <v>4017</v>
      </c>
      <c r="N409" s="1"/>
      <c r="AA409" s="72" t="s">
        <v>34</v>
      </c>
    </row>
    <row r="410" spans="1:28" ht="26.25" customHeight="1" x14ac:dyDescent="0.2">
      <c r="A410" s="18" t="s">
        <v>456</v>
      </c>
      <c r="B410" s="18" t="s">
        <v>408</v>
      </c>
      <c r="C410" s="45" t="s">
        <v>100</v>
      </c>
      <c r="D410" s="18"/>
      <c r="E410" s="43" t="s">
        <v>409</v>
      </c>
      <c r="F410" s="44">
        <v>2588023.2000000002</v>
      </c>
      <c r="G410" s="44">
        <v>2298385.6</v>
      </c>
      <c r="H410" s="44">
        <v>919647.5</v>
      </c>
      <c r="I410" s="19" t="s">
        <v>347</v>
      </c>
      <c r="J410" s="19" t="s">
        <v>99</v>
      </c>
      <c r="K410" s="19">
        <v>100</v>
      </c>
      <c r="L410" s="19">
        <v>100</v>
      </c>
      <c r="M410" s="19">
        <v>100</v>
      </c>
      <c r="N410" s="1"/>
      <c r="AA410" s="72" t="s">
        <v>34</v>
      </c>
    </row>
    <row r="411" spans="1:28" x14ac:dyDescent="0.2">
      <c r="A411" s="210" t="s">
        <v>112</v>
      </c>
      <c r="B411" s="202"/>
      <c r="C411" s="202"/>
      <c r="D411" s="202"/>
      <c r="E411" s="203"/>
      <c r="F411" s="13">
        <v>41621347.299999997</v>
      </c>
      <c r="G411" s="13">
        <v>41919986.959999993</v>
      </c>
      <c r="H411" s="13">
        <v>41414021.789999992</v>
      </c>
      <c r="I411" s="201"/>
      <c r="J411" s="202"/>
      <c r="K411" s="202"/>
      <c r="L411" s="202"/>
      <c r="M411" s="203"/>
      <c r="N411" s="1"/>
      <c r="AA411" s="74" t="s">
        <v>46</v>
      </c>
    </row>
    <row r="412" spans="1:28" ht="15" customHeight="1" x14ac:dyDescent="0.2">
      <c r="A412" s="4" t="s">
        <v>777</v>
      </c>
      <c r="B412" s="212" t="s">
        <v>778</v>
      </c>
      <c r="C412" s="202"/>
      <c r="D412" s="202"/>
      <c r="E412" s="202"/>
      <c r="F412" s="202"/>
      <c r="G412" s="202"/>
      <c r="H412" s="202"/>
      <c r="I412" s="202"/>
      <c r="J412" s="202"/>
      <c r="K412" s="202"/>
      <c r="L412" s="202"/>
      <c r="M412" s="203"/>
      <c r="N412" s="1"/>
      <c r="AA412" s="70" t="s">
        <v>43</v>
      </c>
    </row>
    <row r="413" spans="1:28" x14ac:dyDescent="0.2">
      <c r="A413" s="5" t="s">
        <v>777</v>
      </c>
      <c r="B413" s="5" t="s">
        <v>96</v>
      </c>
      <c r="C413" s="6"/>
      <c r="D413" s="6"/>
      <c r="E413" s="7" t="s">
        <v>97</v>
      </c>
      <c r="F413" s="8">
        <v>1567378.5</v>
      </c>
      <c r="G413" s="8">
        <v>1567378.5</v>
      </c>
      <c r="H413" s="8">
        <v>1567378.5</v>
      </c>
      <c r="I413" s="18" t="s">
        <v>304</v>
      </c>
      <c r="J413" s="18" t="s">
        <v>99</v>
      </c>
      <c r="K413" s="18">
        <v>30</v>
      </c>
      <c r="L413" s="18">
        <v>30</v>
      </c>
      <c r="M413" s="18">
        <v>30</v>
      </c>
      <c r="N413" s="1"/>
      <c r="AA413" s="71" t="s">
        <v>40</v>
      </c>
    </row>
    <row r="414" spans="1:28" ht="24" customHeight="1" x14ac:dyDescent="0.2">
      <c r="A414" s="10" t="s">
        <v>100</v>
      </c>
      <c r="B414" s="10" t="s">
        <v>100</v>
      </c>
      <c r="C414" s="3" t="s">
        <v>100</v>
      </c>
      <c r="D414" s="3"/>
      <c r="E414" s="11" t="s">
        <v>101</v>
      </c>
      <c r="F414" s="12">
        <v>152097.1</v>
      </c>
      <c r="G414" s="12">
        <v>152097.1</v>
      </c>
      <c r="H414" s="12">
        <v>152097.1</v>
      </c>
      <c r="I414" s="3" t="s">
        <v>304</v>
      </c>
      <c r="J414" s="3" t="s">
        <v>99</v>
      </c>
      <c r="K414" s="3">
        <v>30</v>
      </c>
      <c r="L414" s="3">
        <v>30</v>
      </c>
      <c r="M414" s="3">
        <v>30</v>
      </c>
      <c r="N414" s="1"/>
      <c r="AA414" s="72" t="s">
        <v>34</v>
      </c>
    </row>
    <row r="415" spans="1:28" ht="27" customHeight="1" x14ac:dyDescent="0.2">
      <c r="A415" s="10" t="s">
        <v>120</v>
      </c>
      <c r="B415" s="10" t="s">
        <v>120</v>
      </c>
      <c r="C415" s="3" t="s">
        <v>120</v>
      </c>
      <c r="D415" s="3"/>
      <c r="E415" s="11" t="s">
        <v>203</v>
      </c>
      <c r="F415" s="12">
        <v>1415281.4</v>
      </c>
      <c r="G415" s="12">
        <v>1415281.4</v>
      </c>
      <c r="H415" s="12">
        <v>1415281.4</v>
      </c>
      <c r="I415" s="3" t="s">
        <v>304</v>
      </c>
      <c r="J415" s="3" t="s">
        <v>99</v>
      </c>
      <c r="K415" s="3">
        <v>30</v>
      </c>
      <c r="L415" s="3">
        <v>30</v>
      </c>
      <c r="M415" s="3">
        <v>30</v>
      </c>
      <c r="N415" s="1"/>
      <c r="AA415" s="72" t="s">
        <v>34</v>
      </c>
    </row>
    <row r="416" spans="1:28" ht="33" customHeight="1" x14ac:dyDescent="0.2">
      <c r="A416" s="5" t="s">
        <v>777</v>
      </c>
      <c r="B416" s="5" t="s">
        <v>779</v>
      </c>
      <c r="C416" s="6"/>
      <c r="D416" s="6"/>
      <c r="E416" s="7" t="s">
        <v>780</v>
      </c>
      <c r="F416" s="8">
        <v>15529568</v>
      </c>
      <c r="G416" s="8">
        <v>15990640.699999999</v>
      </c>
      <c r="H416" s="8">
        <v>16466129.6</v>
      </c>
      <c r="I416" s="5" t="s">
        <v>253</v>
      </c>
      <c r="J416" s="5" t="s">
        <v>99</v>
      </c>
      <c r="K416" s="5">
        <v>100</v>
      </c>
      <c r="L416" s="5">
        <v>100</v>
      </c>
      <c r="M416" s="5">
        <v>100</v>
      </c>
      <c r="N416" s="1"/>
      <c r="AA416" s="71" t="s">
        <v>40</v>
      </c>
      <c r="AB416" s="75" t="s">
        <v>169</v>
      </c>
    </row>
    <row r="417" spans="1:28" ht="28.5" customHeight="1" x14ac:dyDescent="0.2">
      <c r="A417" s="209" t="s">
        <v>100</v>
      </c>
      <c r="B417" s="209" t="s">
        <v>100</v>
      </c>
      <c r="C417" s="207" t="s">
        <v>100</v>
      </c>
      <c r="D417" s="207"/>
      <c r="E417" s="208" t="s">
        <v>781</v>
      </c>
      <c r="F417" s="204">
        <v>4894246.5</v>
      </c>
      <c r="G417" s="204">
        <v>4895490.5999999996</v>
      </c>
      <c r="H417" s="204">
        <v>4896339.5</v>
      </c>
      <c r="I417" s="3" t="s">
        <v>782</v>
      </c>
      <c r="J417" s="3" t="s">
        <v>99</v>
      </c>
      <c r="K417" s="3">
        <v>90</v>
      </c>
      <c r="L417" s="3">
        <v>90</v>
      </c>
      <c r="M417" s="3">
        <v>90</v>
      </c>
      <c r="N417" s="1"/>
      <c r="AA417" s="72" t="s">
        <v>34</v>
      </c>
    </row>
    <row r="418" spans="1:28" ht="52.5" customHeight="1" x14ac:dyDescent="0.2">
      <c r="A418" s="205"/>
      <c r="B418" s="205"/>
      <c r="C418" s="205"/>
      <c r="D418" s="205"/>
      <c r="E418" s="205"/>
      <c r="F418" s="205"/>
      <c r="G418" s="205"/>
      <c r="H418" s="205"/>
      <c r="I418" s="3" t="s">
        <v>783</v>
      </c>
      <c r="J418" s="3" t="s">
        <v>99</v>
      </c>
      <c r="K418" s="3">
        <v>100</v>
      </c>
      <c r="L418" s="3">
        <v>100</v>
      </c>
      <c r="M418" s="3">
        <v>100</v>
      </c>
      <c r="N418" s="1"/>
      <c r="AA418" s="73" t="s">
        <v>37</v>
      </c>
    </row>
    <row r="419" spans="1:28" ht="39.75" customHeight="1" x14ac:dyDescent="0.2">
      <c r="A419" s="206"/>
      <c r="B419" s="206"/>
      <c r="C419" s="206"/>
      <c r="D419" s="206"/>
      <c r="E419" s="206"/>
      <c r="F419" s="206"/>
      <c r="G419" s="206"/>
      <c r="H419" s="206"/>
      <c r="I419" s="3" t="s">
        <v>784</v>
      </c>
      <c r="J419" s="3" t="s">
        <v>99</v>
      </c>
      <c r="K419" s="3">
        <v>100</v>
      </c>
      <c r="L419" s="3">
        <v>100</v>
      </c>
      <c r="M419" s="3">
        <v>100</v>
      </c>
      <c r="N419" s="1"/>
      <c r="AA419" s="73" t="s">
        <v>37</v>
      </c>
    </row>
    <row r="420" spans="1:28" ht="29.25" customHeight="1" x14ac:dyDescent="0.2">
      <c r="A420" s="209" t="s">
        <v>120</v>
      </c>
      <c r="B420" s="209" t="s">
        <v>120</v>
      </c>
      <c r="C420" s="207" t="s">
        <v>120</v>
      </c>
      <c r="D420" s="207"/>
      <c r="E420" s="208" t="s">
        <v>785</v>
      </c>
      <c r="F420" s="204">
        <v>9046932.6999999993</v>
      </c>
      <c r="G420" s="204">
        <v>9046932.6999999993</v>
      </c>
      <c r="H420" s="204">
        <v>9046932.6999999993</v>
      </c>
      <c r="I420" s="3" t="s">
        <v>786</v>
      </c>
      <c r="J420" s="3" t="s">
        <v>99</v>
      </c>
      <c r="K420" s="3">
        <v>252.4</v>
      </c>
      <c r="L420" s="3">
        <v>252.4</v>
      </c>
      <c r="M420" s="3">
        <v>252.4</v>
      </c>
      <c r="N420" s="1"/>
      <c r="AA420" s="72" t="s">
        <v>34</v>
      </c>
    </row>
    <row r="421" spans="1:28" ht="30.75" customHeight="1" x14ac:dyDescent="0.2">
      <c r="A421" s="205"/>
      <c r="B421" s="205"/>
      <c r="C421" s="205"/>
      <c r="D421" s="205"/>
      <c r="E421" s="205"/>
      <c r="F421" s="205"/>
      <c r="G421" s="205"/>
      <c r="H421" s="205"/>
      <c r="I421" s="3" t="s">
        <v>787</v>
      </c>
      <c r="J421" s="3" t="s">
        <v>99</v>
      </c>
      <c r="K421" s="3">
        <v>170.3</v>
      </c>
      <c r="L421" s="3">
        <v>170.3</v>
      </c>
      <c r="M421" s="3">
        <v>170.3</v>
      </c>
      <c r="N421" s="1"/>
      <c r="AA421" s="73" t="s">
        <v>37</v>
      </c>
    </row>
    <row r="422" spans="1:28" ht="29.25" customHeight="1" x14ac:dyDescent="0.2">
      <c r="A422" s="205"/>
      <c r="B422" s="205"/>
      <c r="C422" s="205"/>
      <c r="D422" s="205"/>
      <c r="E422" s="205"/>
      <c r="F422" s="205"/>
      <c r="G422" s="205"/>
      <c r="H422" s="205"/>
      <c r="I422" s="3" t="s">
        <v>788</v>
      </c>
      <c r="J422" s="3" t="s">
        <v>99</v>
      </c>
      <c r="K422" s="3">
        <v>63.1</v>
      </c>
      <c r="L422" s="3">
        <v>63.1</v>
      </c>
      <c r="M422" s="3">
        <v>63.1</v>
      </c>
      <c r="N422" s="1"/>
      <c r="AA422" s="73" t="s">
        <v>37</v>
      </c>
    </row>
    <row r="423" spans="1:28" ht="29.25" customHeight="1" x14ac:dyDescent="0.2">
      <c r="A423" s="206"/>
      <c r="B423" s="206"/>
      <c r="C423" s="206"/>
      <c r="D423" s="206"/>
      <c r="E423" s="206"/>
      <c r="F423" s="206"/>
      <c r="G423" s="206"/>
      <c r="H423" s="206"/>
      <c r="I423" s="3" t="s">
        <v>789</v>
      </c>
      <c r="J423" s="3" t="s">
        <v>105</v>
      </c>
      <c r="K423" s="3">
        <v>45</v>
      </c>
      <c r="L423" s="3">
        <v>45</v>
      </c>
      <c r="M423" s="3">
        <v>45</v>
      </c>
      <c r="N423" s="1"/>
      <c r="AA423" s="73" t="s">
        <v>37</v>
      </c>
    </row>
    <row r="424" spans="1:28" x14ac:dyDescent="0.2">
      <c r="A424" s="209" t="s">
        <v>150</v>
      </c>
      <c r="B424" s="209" t="s">
        <v>150</v>
      </c>
      <c r="C424" s="207" t="s">
        <v>150</v>
      </c>
      <c r="D424" s="207"/>
      <c r="E424" s="208" t="s">
        <v>790</v>
      </c>
      <c r="F424" s="204">
        <v>36000</v>
      </c>
      <c r="G424" s="204">
        <v>36000</v>
      </c>
      <c r="H424" s="204">
        <v>36000</v>
      </c>
      <c r="I424" s="3" t="s">
        <v>791</v>
      </c>
      <c r="J424" s="3" t="s">
        <v>223</v>
      </c>
      <c r="K424" s="3">
        <v>7</v>
      </c>
      <c r="L424" s="3">
        <v>7</v>
      </c>
      <c r="M424" s="3">
        <v>7</v>
      </c>
      <c r="N424" s="1"/>
      <c r="AA424" s="72" t="s">
        <v>34</v>
      </c>
    </row>
    <row r="425" spans="1:28" ht="25.5" customHeight="1" x14ac:dyDescent="0.2">
      <c r="A425" s="206"/>
      <c r="B425" s="206"/>
      <c r="C425" s="206"/>
      <c r="D425" s="206"/>
      <c r="E425" s="206"/>
      <c r="F425" s="206"/>
      <c r="G425" s="206"/>
      <c r="H425" s="206"/>
      <c r="I425" s="3" t="s">
        <v>792</v>
      </c>
      <c r="J425" s="3" t="s">
        <v>223</v>
      </c>
      <c r="K425" s="3">
        <v>12</v>
      </c>
      <c r="L425" s="3">
        <v>12</v>
      </c>
      <c r="M425" s="3">
        <v>12</v>
      </c>
      <c r="N425" s="1"/>
      <c r="AA425" s="73" t="s">
        <v>37</v>
      </c>
    </row>
    <row r="426" spans="1:28" ht="27.75" customHeight="1" x14ac:dyDescent="0.2">
      <c r="A426" s="10" t="s">
        <v>124</v>
      </c>
      <c r="B426" s="10" t="s">
        <v>124</v>
      </c>
      <c r="C426" s="3" t="s">
        <v>124</v>
      </c>
      <c r="D426" s="3"/>
      <c r="E426" s="11" t="s">
        <v>793</v>
      </c>
      <c r="F426" s="12">
        <v>2500</v>
      </c>
      <c r="G426" s="12">
        <v>2500</v>
      </c>
      <c r="H426" s="12">
        <v>2500</v>
      </c>
      <c r="I426" s="3" t="s">
        <v>794</v>
      </c>
      <c r="J426" s="3" t="s">
        <v>159</v>
      </c>
      <c r="K426" s="3">
        <v>100</v>
      </c>
      <c r="L426" s="3">
        <v>100</v>
      </c>
      <c r="M426" s="3">
        <v>100</v>
      </c>
      <c r="N426" s="1"/>
      <c r="AA426" s="72" t="s">
        <v>34</v>
      </c>
    </row>
    <row r="427" spans="1:28" x14ac:dyDescent="0.2">
      <c r="A427" s="209" t="s">
        <v>156</v>
      </c>
      <c r="B427" s="209" t="s">
        <v>156</v>
      </c>
      <c r="C427" s="207" t="s">
        <v>156</v>
      </c>
      <c r="D427" s="207"/>
      <c r="E427" s="208" t="s">
        <v>795</v>
      </c>
      <c r="F427" s="204">
        <v>60000</v>
      </c>
      <c r="G427" s="204">
        <v>60000</v>
      </c>
      <c r="H427" s="204">
        <v>60000</v>
      </c>
      <c r="I427" s="34" t="s">
        <v>796</v>
      </c>
      <c r="J427" s="3" t="s">
        <v>159</v>
      </c>
      <c r="K427" s="3">
        <v>50</v>
      </c>
      <c r="L427" s="3">
        <v>50</v>
      </c>
      <c r="M427" s="3">
        <v>50</v>
      </c>
      <c r="N427" s="1"/>
      <c r="AA427" s="72" t="s">
        <v>34</v>
      </c>
      <c r="AB427" s="75" t="s">
        <v>169</v>
      </c>
    </row>
    <row r="428" spans="1:28" x14ac:dyDescent="0.2">
      <c r="A428" s="206"/>
      <c r="B428" s="206"/>
      <c r="C428" s="206"/>
      <c r="D428" s="206"/>
      <c r="E428" s="206"/>
      <c r="F428" s="206"/>
      <c r="G428" s="206"/>
      <c r="H428" s="206"/>
      <c r="I428" s="3" t="s">
        <v>797</v>
      </c>
      <c r="J428" s="3" t="s">
        <v>159</v>
      </c>
      <c r="K428" s="3">
        <v>270</v>
      </c>
      <c r="L428" s="3">
        <v>270</v>
      </c>
      <c r="M428" s="3">
        <v>270</v>
      </c>
      <c r="N428" s="1"/>
      <c r="AA428" s="73" t="s">
        <v>37</v>
      </c>
    </row>
    <row r="429" spans="1:28" x14ac:dyDescent="0.2">
      <c r="A429" s="209" t="s">
        <v>160</v>
      </c>
      <c r="B429" s="209" t="s">
        <v>160</v>
      </c>
      <c r="C429" s="207" t="s">
        <v>160</v>
      </c>
      <c r="D429" s="207"/>
      <c r="E429" s="208" t="s">
        <v>798</v>
      </c>
      <c r="F429" s="204">
        <v>9283.5</v>
      </c>
      <c r="G429" s="204">
        <v>9283.5</v>
      </c>
      <c r="H429" s="204">
        <v>9283.5</v>
      </c>
      <c r="I429" s="3" t="s">
        <v>799</v>
      </c>
      <c r="J429" s="3" t="s">
        <v>159</v>
      </c>
      <c r="K429" s="3">
        <v>18</v>
      </c>
      <c r="L429" s="3">
        <v>18</v>
      </c>
      <c r="M429" s="3">
        <v>18</v>
      </c>
      <c r="N429" s="1"/>
      <c r="AA429" s="72" t="s">
        <v>34</v>
      </c>
      <c r="AB429" s="75" t="s">
        <v>149</v>
      </c>
    </row>
    <row r="430" spans="1:28" ht="36" customHeight="1" x14ac:dyDescent="0.2">
      <c r="A430" s="205"/>
      <c r="B430" s="205"/>
      <c r="C430" s="205"/>
      <c r="D430" s="205"/>
      <c r="E430" s="205"/>
      <c r="F430" s="205"/>
      <c r="G430" s="205"/>
      <c r="H430" s="205"/>
      <c r="I430" s="3" t="s">
        <v>800</v>
      </c>
      <c r="J430" s="3" t="s">
        <v>159</v>
      </c>
      <c r="K430" s="3">
        <v>12</v>
      </c>
      <c r="L430" s="3">
        <v>12</v>
      </c>
      <c r="M430" s="3">
        <v>12</v>
      </c>
      <c r="N430" s="1"/>
      <c r="AA430" s="73" t="s">
        <v>37</v>
      </c>
    </row>
    <row r="431" spans="1:28" ht="36" customHeight="1" x14ac:dyDescent="0.2">
      <c r="A431" s="205"/>
      <c r="B431" s="205"/>
      <c r="C431" s="205"/>
      <c r="D431" s="205"/>
      <c r="E431" s="205"/>
      <c r="F431" s="205"/>
      <c r="G431" s="205"/>
      <c r="H431" s="205"/>
      <c r="I431" s="3" t="s">
        <v>801</v>
      </c>
      <c r="J431" s="3" t="s">
        <v>223</v>
      </c>
      <c r="K431" s="3">
        <v>20</v>
      </c>
      <c r="L431" s="3">
        <v>20</v>
      </c>
      <c r="M431" s="3">
        <v>20</v>
      </c>
      <c r="N431" s="1"/>
      <c r="AA431" s="73" t="s">
        <v>37</v>
      </c>
    </row>
    <row r="432" spans="1:28" ht="36" customHeight="1" x14ac:dyDescent="0.2">
      <c r="A432" s="206"/>
      <c r="B432" s="206"/>
      <c r="C432" s="206"/>
      <c r="D432" s="206"/>
      <c r="E432" s="206"/>
      <c r="F432" s="206"/>
      <c r="G432" s="206"/>
      <c r="H432" s="206"/>
      <c r="I432" s="3" t="s">
        <v>802</v>
      </c>
      <c r="J432" s="3" t="s">
        <v>159</v>
      </c>
      <c r="K432" s="3">
        <v>60</v>
      </c>
      <c r="L432" s="3">
        <v>60</v>
      </c>
      <c r="M432" s="3">
        <v>60</v>
      </c>
      <c r="N432" s="1"/>
      <c r="AA432" s="73" t="s">
        <v>37</v>
      </c>
    </row>
    <row r="433" spans="1:28" ht="28.5" customHeight="1" x14ac:dyDescent="0.2">
      <c r="A433" s="10" t="s">
        <v>163</v>
      </c>
      <c r="B433" s="10" t="s">
        <v>163</v>
      </c>
      <c r="C433" s="3" t="s">
        <v>163</v>
      </c>
      <c r="D433" s="3"/>
      <c r="E433" s="11" t="s">
        <v>803</v>
      </c>
      <c r="F433" s="12">
        <v>6086.7</v>
      </c>
      <c r="G433" s="12">
        <v>6086.7</v>
      </c>
      <c r="H433" s="12">
        <v>6086.7</v>
      </c>
      <c r="I433" s="3" t="s">
        <v>804</v>
      </c>
      <c r="J433" s="3" t="s">
        <v>805</v>
      </c>
      <c r="K433" s="3">
        <v>2050</v>
      </c>
      <c r="L433" s="3">
        <v>2110</v>
      </c>
      <c r="M433" s="3">
        <v>2170</v>
      </c>
      <c r="N433" s="1"/>
      <c r="AA433" s="72" t="s">
        <v>34</v>
      </c>
    </row>
    <row r="434" spans="1:28" ht="29.25" customHeight="1" x14ac:dyDescent="0.2">
      <c r="A434" s="10" t="s">
        <v>166</v>
      </c>
      <c r="B434" s="10" t="s">
        <v>166</v>
      </c>
      <c r="C434" s="3" t="s">
        <v>166</v>
      </c>
      <c r="D434" s="3"/>
      <c r="E434" s="11" t="s">
        <v>806</v>
      </c>
      <c r="F434" s="12">
        <v>558172</v>
      </c>
      <c r="G434" s="12">
        <v>558172</v>
      </c>
      <c r="H434" s="12">
        <v>558172</v>
      </c>
      <c r="I434" s="3" t="s">
        <v>807</v>
      </c>
      <c r="J434" s="3" t="s">
        <v>223</v>
      </c>
      <c r="K434" s="3">
        <v>3122</v>
      </c>
      <c r="L434" s="3">
        <v>3122</v>
      </c>
      <c r="M434" s="3">
        <v>3122</v>
      </c>
      <c r="N434" s="1"/>
      <c r="AA434" s="72" t="s">
        <v>34</v>
      </c>
      <c r="AB434" s="75" t="s">
        <v>123</v>
      </c>
    </row>
    <row r="435" spans="1:28" ht="78" customHeight="1" x14ac:dyDescent="0.2">
      <c r="A435" s="10" t="s">
        <v>170</v>
      </c>
      <c r="B435" s="10" t="s">
        <v>170</v>
      </c>
      <c r="C435" s="3" t="s">
        <v>170</v>
      </c>
      <c r="D435" s="3"/>
      <c r="E435" s="11" t="s">
        <v>808</v>
      </c>
      <c r="F435" s="12">
        <v>915147.2</v>
      </c>
      <c r="G435" s="12">
        <v>1374975.8</v>
      </c>
      <c r="H435" s="12">
        <v>1849615.8</v>
      </c>
      <c r="I435" s="34" t="s">
        <v>809</v>
      </c>
      <c r="J435" s="3" t="s">
        <v>99</v>
      </c>
      <c r="K435" s="3">
        <v>100</v>
      </c>
      <c r="L435" s="3">
        <v>100</v>
      </c>
      <c r="M435" s="3">
        <v>100</v>
      </c>
      <c r="N435" s="1"/>
      <c r="AA435" s="72" t="s">
        <v>34</v>
      </c>
    </row>
    <row r="436" spans="1:28" ht="72" customHeight="1" x14ac:dyDescent="0.2">
      <c r="A436" s="10" t="s">
        <v>94</v>
      </c>
      <c r="B436" s="10" t="s">
        <v>94</v>
      </c>
      <c r="C436" s="3" t="s">
        <v>94</v>
      </c>
      <c r="D436" s="3"/>
      <c r="E436" s="11" t="s">
        <v>810</v>
      </c>
      <c r="F436" s="12">
        <v>1199.4000000000001</v>
      </c>
      <c r="G436" s="12">
        <v>1199.4000000000001</v>
      </c>
      <c r="H436" s="12">
        <v>1199.4000000000001</v>
      </c>
      <c r="I436" s="3" t="s">
        <v>811</v>
      </c>
      <c r="J436" s="3" t="s">
        <v>99</v>
      </c>
      <c r="K436" s="3">
        <v>80</v>
      </c>
      <c r="L436" s="3">
        <v>80</v>
      </c>
      <c r="M436" s="3">
        <v>80</v>
      </c>
      <c r="N436" s="1"/>
      <c r="AA436" s="72" t="s">
        <v>34</v>
      </c>
    </row>
    <row r="437" spans="1:28" ht="33" customHeight="1" x14ac:dyDescent="0.2">
      <c r="A437" s="5" t="s">
        <v>777</v>
      </c>
      <c r="B437" s="5" t="s">
        <v>812</v>
      </c>
      <c r="C437" s="6"/>
      <c r="D437" s="6"/>
      <c r="E437" s="7" t="s">
        <v>813</v>
      </c>
      <c r="F437" s="8">
        <v>3099750.3999999999</v>
      </c>
      <c r="G437" s="8">
        <v>3106928.9</v>
      </c>
      <c r="H437" s="8">
        <v>3106799.2</v>
      </c>
      <c r="I437" s="5" t="s">
        <v>253</v>
      </c>
      <c r="J437" s="5" t="s">
        <v>99</v>
      </c>
      <c r="K437" s="5">
        <v>100</v>
      </c>
      <c r="L437" s="5">
        <v>100</v>
      </c>
      <c r="M437" s="5">
        <v>100</v>
      </c>
      <c r="N437" s="1"/>
      <c r="AA437" s="71" t="s">
        <v>40</v>
      </c>
    </row>
    <row r="438" spans="1:28" ht="36" customHeight="1" x14ac:dyDescent="0.2">
      <c r="A438" s="10" t="s">
        <v>100</v>
      </c>
      <c r="B438" s="10" t="s">
        <v>100</v>
      </c>
      <c r="C438" s="3" t="s">
        <v>100</v>
      </c>
      <c r="D438" s="3"/>
      <c r="E438" s="11" t="s">
        <v>814</v>
      </c>
      <c r="F438" s="12">
        <v>90553.7</v>
      </c>
      <c r="G438" s="12">
        <v>90553.7</v>
      </c>
      <c r="H438" s="12">
        <v>89729.7</v>
      </c>
      <c r="I438" s="3" t="s">
        <v>815</v>
      </c>
      <c r="J438" s="3" t="s">
        <v>159</v>
      </c>
      <c r="K438" s="3">
        <v>10</v>
      </c>
      <c r="L438" s="3">
        <v>10</v>
      </c>
      <c r="M438" s="3">
        <v>10</v>
      </c>
      <c r="N438" s="1"/>
      <c r="AA438" s="72" t="s">
        <v>34</v>
      </c>
    </row>
    <row r="439" spans="1:28" ht="20.25" customHeight="1" x14ac:dyDescent="0.2">
      <c r="A439" s="209" t="s">
        <v>120</v>
      </c>
      <c r="B439" s="209" t="s">
        <v>120</v>
      </c>
      <c r="C439" s="207" t="s">
        <v>120</v>
      </c>
      <c r="D439" s="207"/>
      <c r="E439" s="208" t="s">
        <v>816</v>
      </c>
      <c r="F439" s="204">
        <v>27244.1</v>
      </c>
      <c r="G439" s="204">
        <v>27244.1</v>
      </c>
      <c r="H439" s="204">
        <v>27244.1</v>
      </c>
      <c r="I439" s="3" t="s">
        <v>817</v>
      </c>
      <c r="J439" s="3" t="s">
        <v>159</v>
      </c>
      <c r="K439" s="3">
        <v>600</v>
      </c>
      <c r="L439" s="3">
        <v>600</v>
      </c>
      <c r="M439" s="3">
        <v>600</v>
      </c>
      <c r="N439" s="1"/>
      <c r="AA439" s="72" t="s">
        <v>34</v>
      </c>
    </row>
    <row r="440" spans="1:28" ht="18.75" customHeight="1" x14ac:dyDescent="0.2">
      <c r="A440" s="206"/>
      <c r="B440" s="206"/>
      <c r="C440" s="206"/>
      <c r="D440" s="206"/>
      <c r="E440" s="206"/>
      <c r="F440" s="206"/>
      <c r="G440" s="206"/>
      <c r="H440" s="206"/>
      <c r="I440" s="3" t="s">
        <v>818</v>
      </c>
      <c r="J440" s="3" t="s">
        <v>159</v>
      </c>
      <c r="K440" s="3">
        <v>2</v>
      </c>
      <c r="L440" s="3">
        <v>2</v>
      </c>
      <c r="M440" s="3">
        <v>2</v>
      </c>
      <c r="N440" s="1"/>
      <c r="AA440" s="73" t="s">
        <v>37</v>
      </c>
    </row>
    <row r="441" spans="1:28" ht="19.5" customHeight="1" x14ac:dyDescent="0.2">
      <c r="A441" s="209" t="s">
        <v>150</v>
      </c>
      <c r="B441" s="209" t="s">
        <v>150</v>
      </c>
      <c r="C441" s="207" t="s">
        <v>150</v>
      </c>
      <c r="D441" s="207"/>
      <c r="E441" s="208" t="s">
        <v>819</v>
      </c>
      <c r="F441" s="204">
        <v>905794</v>
      </c>
      <c r="G441" s="204">
        <v>912972.5</v>
      </c>
      <c r="H441" s="204">
        <v>913666.8</v>
      </c>
      <c r="I441" s="3" t="s">
        <v>820</v>
      </c>
      <c r="J441" s="3" t="s">
        <v>159</v>
      </c>
      <c r="K441" s="3">
        <v>2831</v>
      </c>
      <c r="L441" s="3">
        <v>2831</v>
      </c>
      <c r="M441" s="3">
        <v>2831</v>
      </c>
      <c r="N441" s="1"/>
      <c r="AA441" s="72" t="s">
        <v>34</v>
      </c>
    </row>
    <row r="442" spans="1:28" ht="21" customHeight="1" x14ac:dyDescent="0.2">
      <c r="A442" s="205"/>
      <c r="B442" s="205"/>
      <c r="C442" s="205"/>
      <c r="D442" s="205"/>
      <c r="E442" s="205"/>
      <c r="F442" s="205"/>
      <c r="G442" s="205"/>
      <c r="H442" s="205"/>
      <c r="I442" s="3" t="s">
        <v>821</v>
      </c>
      <c r="J442" s="3" t="s">
        <v>186</v>
      </c>
      <c r="K442" s="3">
        <v>907490.1</v>
      </c>
      <c r="L442" s="3">
        <v>907490.1</v>
      </c>
      <c r="M442" s="3">
        <v>907490.1</v>
      </c>
      <c r="N442" s="1"/>
      <c r="AA442" s="73" t="s">
        <v>37</v>
      </c>
    </row>
    <row r="443" spans="1:28" ht="24" customHeight="1" x14ac:dyDescent="0.2">
      <c r="A443" s="206"/>
      <c r="B443" s="206"/>
      <c r="C443" s="206"/>
      <c r="D443" s="206"/>
      <c r="E443" s="206"/>
      <c r="F443" s="206"/>
      <c r="G443" s="206"/>
      <c r="H443" s="206"/>
      <c r="I443" s="3" t="s">
        <v>822</v>
      </c>
      <c r="J443" s="3" t="s">
        <v>186</v>
      </c>
      <c r="K443" s="3">
        <v>26.7</v>
      </c>
      <c r="L443" s="3">
        <v>26.7</v>
      </c>
      <c r="M443" s="3">
        <v>26.7</v>
      </c>
      <c r="N443" s="1"/>
      <c r="AA443" s="73" t="s">
        <v>37</v>
      </c>
    </row>
    <row r="444" spans="1:28" ht="30" customHeight="1" x14ac:dyDescent="0.2">
      <c r="A444" s="209" t="s">
        <v>124</v>
      </c>
      <c r="B444" s="209" t="s">
        <v>124</v>
      </c>
      <c r="C444" s="207" t="s">
        <v>124</v>
      </c>
      <c r="D444" s="207"/>
      <c r="E444" s="208" t="s">
        <v>823</v>
      </c>
      <c r="F444" s="204">
        <v>51000</v>
      </c>
      <c r="G444" s="204">
        <v>51000</v>
      </c>
      <c r="H444" s="204">
        <v>51000</v>
      </c>
      <c r="I444" s="3" t="s">
        <v>824</v>
      </c>
      <c r="J444" s="3" t="s">
        <v>159</v>
      </c>
      <c r="K444" s="3">
        <v>1000</v>
      </c>
      <c r="L444" s="3">
        <v>1000</v>
      </c>
      <c r="M444" s="3">
        <v>1200</v>
      </c>
      <c r="N444" s="1"/>
      <c r="AA444" s="72" t="s">
        <v>34</v>
      </c>
    </row>
    <row r="445" spans="1:28" ht="29.25" customHeight="1" x14ac:dyDescent="0.2">
      <c r="A445" s="206"/>
      <c r="B445" s="206"/>
      <c r="C445" s="206"/>
      <c r="D445" s="206"/>
      <c r="E445" s="206"/>
      <c r="F445" s="206"/>
      <c r="G445" s="206"/>
      <c r="H445" s="206"/>
      <c r="I445" s="3" t="s">
        <v>825</v>
      </c>
      <c r="J445" s="3" t="s">
        <v>159</v>
      </c>
      <c r="K445" s="3">
        <v>800</v>
      </c>
      <c r="L445" s="3">
        <v>900</v>
      </c>
      <c r="M445" s="3">
        <v>900</v>
      </c>
      <c r="N445" s="1"/>
      <c r="AA445" s="73" t="s">
        <v>37</v>
      </c>
    </row>
    <row r="446" spans="1:28" ht="30" customHeight="1" x14ac:dyDescent="0.2">
      <c r="A446" s="209" t="s">
        <v>156</v>
      </c>
      <c r="B446" s="209" t="s">
        <v>156</v>
      </c>
      <c r="C446" s="207" t="s">
        <v>156</v>
      </c>
      <c r="D446" s="207"/>
      <c r="E446" s="208" t="s">
        <v>826</v>
      </c>
      <c r="F446" s="204">
        <v>195358.6</v>
      </c>
      <c r="G446" s="204">
        <v>195358.6</v>
      </c>
      <c r="H446" s="204">
        <v>195358.6</v>
      </c>
      <c r="I446" s="3" t="s">
        <v>827</v>
      </c>
      <c r="J446" s="3" t="s">
        <v>99</v>
      </c>
      <c r="K446" s="3">
        <v>80</v>
      </c>
      <c r="L446" s="3">
        <v>80</v>
      </c>
      <c r="M446" s="3">
        <v>80</v>
      </c>
      <c r="N446" s="1"/>
      <c r="AA446" s="72" t="s">
        <v>34</v>
      </c>
    </row>
    <row r="447" spans="1:28" ht="20.25" customHeight="1" x14ac:dyDescent="0.2">
      <c r="A447" s="205"/>
      <c r="B447" s="205"/>
      <c r="C447" s="205"/>
      <c r="D447" s="205"/>
      <c r="E447" s="205"/>
      <c r="F447" s="205"/>
      <c r="G447" s="205"/>
      <c r="H447" s="205"/>
      <c r="I447" s="3" t="s">
        <v>828</v>
      </c>
      <c r="J447" s="3" t="s">
        <v>159</v>
      </c>
      <c r="K447" s="3">
        <v>4</v>
      </c>
      <c r="L447" s="3">
        <v>4</v>
      </c>
      <c r="M447" s="3">
        <v>4</v>
      </c>
      <c r="N447" s="1"/>
      <c r="AA447" s="73" t="s">
        <v>37</v>
      </c>
    </row>
    <row r="448" spans="1:28" ht="30" customHeight="1" x14ac:dyDescent="0.2">
      <c r="A448" s="206"/>
      <c r="B448" s="206"/>
      <c r="C448" s="206"/>
      <c r="D448" s="206"/>
      <c r="E448" s="206"/>
      <c r="F448" s="206"/>
      <c r="G448" s="206"/>
      <c r="H448" s="206"/>
      <c r="I448" s="3" t="s">
        <v>829</v>
      </c>
      <c r="J448" s="3" t="s">
        <v>155</v>
      </c>
      <c r="K448" s="3">
        <v>3850</v>
      </c>
      <c r="L448" s="3">
        <v>3860</v>
      </c>
      <c r="M448" s="3">
        <v>3870</v>
      </c>
      <c r="N448" s="1"/>
      <c r="AA448" s="73" t="s">
        <v>37</v>
      </c>
    </row>
    <row r="449" spans="1:28" ht="39" customHeight="1" x14ac:dyDescent="0.2">
      <c r="A449" s="209" t="s">
        <v>160</v>
      </c>
      <c r="B449" s="209" t="s">
        <v>160</v>
      </c>
      <c r="C449" s="207" t="s">
        <v>160</v>
      </c>
      <c r="D449" s="207"/>
      <c r="E449" s="208" t="s">
        <v>830</v>
      </c>
      <c r="F449" s="204">
        <v>225000</v>
      </c>
      <c r="G449" s="204">
        <v>225000</v>
      </c>
      <c r="H449" s="204">
        <v>225000</v>
      </c>
      <c r="I449" s="34" t="s">
        <v>831</v>
      </c>
      <c r="J449" s="3" t="s">
        <v>99</v>
      </c>
      <c r="K449" s="3">
        <v>48</v>
      </c>
      <c r="L449" s="3">
        <v>50</v>
      </c>
      <c r="M449" s="3">
        <v>50</v>
      </c>
      <c r="N449" s="1"/>
      <c r="AA449" s="72" t="s">
        <v>34</v>
      </c>
    </row>
    <row r="450" spans="1:28" ht="30.75" customHeight="1" x14ac:dyDescent="0.2">
      <c r="A450" s="206"/>
      <c r="B450" s="206"/>
      <c r="C450" s="206"/>
      <c r="D450" s="206"/>
      <c r="E450" s="206"/>
      <c r="F450" s="206"/>
      <c r="G450" s="206"/>
      <c r="H450" s="206"/>
      <c r="I450" s="3" t="s">
        <v>832</v>
      </c>
      <c r="J450" s="3" t="s">
        <v>99</v>
      </c>
      <c r="K450" s="3">
        <v>5</v>
      </c>
      <c r="L450" s="3">
        <v>10</v>
      </c>
      <c r="M450" s="3">
        <v>15</v>
      </c>
      <c r="N450" s="1"/>
      <c r="AA450" s="73" t="s">
        <v>37</v>
      </c>
    </row>
    <row r="451" spans="1:28" ht="36.75" customHeight="1" x14ac:dyDescent="0.2">
      <c r="A451" s="209" t="s">
        <v>163</v>
      </c>
      <c r="B451" s="209" t="s">
        <v>163</v>
      </c>
      <c r="C451" s="207" t="s">
        <v>163</v>
      </c>
      <c r="D451" s="207"/>
      <c r="E451" s="208" t="s">
        <v>833</v>
      </c>
      <c r="F451" s="204">
        <v>1604800</v>
      </c>
      <c r="G451" s="204">
        <v>1604800</v>
      </c>
      <c r="H451" s="204">
        <v>1604800</v>
      </c>
      <c r="I451" s="3" t="s">
        <v>834</v>
      </c>
      <c r="J451" s="3" t="s">
        <v>159</v>
      </c>
      <c r="K451" s="3">
        <v>6115</v>
      </c>
      <c r="L451" s="3">
        <v>6332</v>
      </c>
      <c r="M451" s="3">
        <v>6500</v>
      </c>
      <c r="N451" s="1"/>
      <c r="AA451" s="72" t="s">
        <v>34</v>
      </c>
    </row>
    <row r="452" spans="1:28" ht="34.5" customHeight="1" x14ac:dyDescent="0.2">
      <c r="A452" s="206"/>
      <c r="B452" s="206"/>
      <c r="C452" s="206"/>
      <c r="D452" s="206"/>
      <c r="E452" s="206"/>
      <c r="F452" s="206"/>
      <c r="G452" s="206"/>
      <c r="H452" s="206"/>
      <c r="I452" s="3" t="s">
        <v>835</v>
      </c>
      <c r="J452" s="3" t="s">
        <v>223</v>
      </c>
      <c r="K452" s="3">
        <v>10215</v>
      </c>
      <c r="L452" s="3">
        <v>11123</v>
      </c>
      <c r="M452" s="3">
        <v>11200</v>
      </c>
      <c r="N452" s="1"/>
      <c r="AA452" s="73" t="s">
        <v>37</v>
      </c>
    </row>
    <row r="453" spans="1:28" ht="41.25" customHeight="1" x14ac:dyDescent="0.2">
      <c r="A453" s="5" t="s">
        <v>777</v>
      </c>
      <c r="B453" s="5" t="s">
        <v>836</v>
      </c>
      <c r="C453" s="6"/>
      <c r="D453" s="6"/>
      <c r="E453" s="7" t="s">
        <v>837</v>
      </c>
      <c r="F453" s="8">
        <v>1061098.3999999999</v>
      </c>
      <c r="G453" s="8">
        <v>1061098.3999999999</v>
      </c>
      <c r="H453" s="8">
        <v>1061098.3999999999</v>
      </c>
      <c r="I453" s="5" t="s">
        <v>253</v>
      </c>
      <c r="J453" s="5" t="s">
        <v>99</v>
      </c>
      <c r="K453" s="5">
        <v>100</v>
      </c>
      <c r="L453" s="5">
        <v>100</v>
      </c>
      <c r="M453" s="5">
        <v>100</v>
      </c>
      <c r="N453" s="1"/>
      <c r="AA453" s="71" t="s">
        <v>40</v>
      </c>
    </row>
    <row r="454" spans="1:28" ht="42.75" customHeight="1" x14ac:dyDescent="0.2">
      <c r="A454" s="209" t="s">
        <v>100</v>
      </c>
      <c r="B454" s="209" t="s">
        <v>100</v>
      </c>
      <c r="C454" s="207" t="s">
        <v>100</v>
      </c>
      <c r="D454" s="207"/>
      <c r="E454" s="208" t="s">
        <v>838</v>
      </c>
      <c r="F454" s="204">
        <v>1042206.2</v>
      </c>
      <c r="G454" s="204">
        <v>1042206.2</v>
      </c>
      <c r="H454" s="204">
        <v>1042206.2</v>
      </c>
      <c r="I454" s="3" t="s">
        <v>839</v>
      </c>
      <c r="J454" s="3" t="s">
        <v>159</v>
      </c>
      <c r="K454" s="3">
        <v>36381</v>
      </c>
      <c r="L454" s="3">
        <v>36152</v>
      </c>
      <c r="M454" s="3">
        <v>36085</v>
      </c>
      <c r="N454" s="1"/>
      <c r="AA454" s="72" t="s">
        <v>34</v>
      </c>
    </row>
    <row r="455" spans="1:28" ht="42.75" customHeight="1" x14ac:dyDescent="0.2">
      <c r="A455" s="206"/>
      <c r="B455" s="206"/>
      <c r="C455" s="206"/>
      <c r="D455" s="206"/>
      <c r="E455" s="206"/>
      <c r="F455" s="206"/>
      <c r="G455" s="206"/>
      <c r="H455" s="206"/>
      <c r="I455" s="3" t="s">
        <v>840</v>
      </c>
      <c r="J455" s="3" t="s">
        <v>159</v>
      </c>
      <c r="K455" s="3">
        <v>28</v>
      </c>
      <c r="L455" s="3">
        <v>22</v>
      </c>
      <c r="M455" s="3">
        <v>16</v>
      </c>
      <c r="N455" s="1"/>
      <c r="AA455" s="73" t="s">
        <v>37</v>
      </c>
    </row>
    <row r="456" spans="1:28" ht="42.75" customHeight="1" x14ac:dyDescent="0.2">
      <c r="A456" s="209" t="s">
        <v>120</v>
      </c>
      <c r="B456" s="209" t="s">
        <v>120</v>
      </c>
      <c r="C456" s="207" t="s">
        <v>120</v>
      </c>
      <c r="D456" s="207"/>
      <c r="E456" s="208" t="s">
        <v>841</v>
      </c>
      <c r="F456" s="204">
        <v>6016.7</v>
      </c>
      <c r="G456" s="204">
        <v>6016.7</v>
      </c>
      <c r="H456" s="204">
        <v>6016.7</v>
      </c>
      <c r="I456" s="3" t="s">
        <v>842</v>
      </c>
      <c r="J456" s="3" t="s">
        <v>159</v>
      </c>
      <c r="K456" s="3">
        <v>387</v>
      </c>
      <c r="L456" s="3">
        <v>374</v>
      </c>
      <c r="M456" s="3">
        <v>358</v>
      </c>
      <c r="N456" s="1"/>
      <c r="AA456" s="72" t="s">
        <v>34</v>
      </c>
    </row>
    <row r="457" spans="1:28" ht="42.75" customHeight="1" x14ac:dyDescent="0.2">
      <c r="A457" s="206"/>
      <c r="B457" s="206"/>
      <c r="C457" s="206"/>
      <c r="D457" s="206"/>
      <c r="E457" s="206"/>
      <c r="F457" s="206"/>
      <c r="G457" s="206"/>
      <c r="H457" s="206"/>
      <c r="I457" s="3" t="s">
        <v>843</v>
      </c>
      <c r="J457" s="3" t="s">
        <v>159</v>
      </c>
      <c r="K457" s="3">
        <v>387</v>
      </c>
      <c r="L457" s="3">
        <v>374</v>
      </c>
      <c r="M457" s="3">
        <v>358</v>
      </c>
      <c r="N457" s="1"/>
      <c r="AA457" s="73" t="s">
        <v>37</v>
      </c>
    </row>
    <row r="458" spans="1:28" ht="42.75" customHeight="1" x14ac:dyDescent="0.2">
      <c r="A458" s="10" t="s">
        <v>150</v>
      </c>
      <c r="B458" s="10" t="s">
        <v>150</v>
      </c>
      <c r="C458" s="3" t="s">
        <v>150</v>
      </c>
      <c r="D458" s="3"/>
      <c r="E458" s="11" t="s">
        <v>844</v>
      </c>
      <c r="F458" s="12">
        <v>11875.5</v>
      </c>
      <c r="G458" s="12">
        <v>11875.5</v>
      </c>
      <c r="H458" s="12">
        <v>11875.5</v>
      </c>
      <c r="I458" s="3" t="s">
        <v>845</v>
      </c>
      <c r="J458" s="3" t="s">
        <v>269</v>
      </c>
      <c r="K458" s="3">
        <v>1438</v>
      </c>
      <c r="L458" s="3">
        <v>1438</v>
      </c>
      <c r="M458" s="3">
        <v>1438</v>
      </c>
      <c r="N458" s="1"/>
      <c r="AA458" s="72" t="s">
        <v>34</v>
      </c>
      <c r="AB458" s="75" t="s">
        <v>169</v>
      </c>
    </row>
    <row r="459" spans="1:28" ht="57" customHeight="1" x14ac:dyDescent="0.2">
      <c r="A459" s="10" t="s">
        <v>124</v>
      </c>
      <c r="B459" s="10" t="s">
        <v>124</v>
      </c>
      <c r="C459" s="3" t="s">
        <v>124</v>
      </c>
      <c r="D459" s="3"/>
      <c r="E459" s="11" t="s">
        <v>846</v>
      </c>
      <c r="F459" s="12">
        <v>1000</v>
      </c>
      <c r="G459" s="12">
        <v>1000</v>
      </c>
      <c r="H459" s="12">
        <v>1000</v>
      </c>
      <c r="I459" s="3" t="s">
        <v>847</v>
      </c>
      <c r="J459" s="3" t="s">
        <v>159</v>
      </c>
      <c r="K459" s="3">
        <v>10</v>
      </c>
      <c r="L459" s="3">
        <v>10</v>
      </c>
      <c r="M459" s="3">
        <v>10</v>
      </c>
      <c r="N459" s="1"/>
      <c r="AA459" s="72" t="s">
        <v>34</v>
      </c>
      <c r="AB459" s="75" t="s">
        <v>169</v>
      </c>
    </row>
    <row r="460" spans="1:28" ht="46.5" customHeight="1" x14ac:dyDescent="0.2">
      <c r="A460" s="5" t="s">
        <v>777</v>
      </c>
      <c r="B460" s="5" t="s">
        <v>848</v>
      </c>
      <c r="C460" s="6"/>
      <c r="D460" s="6"/>
      <c r="E460" s="7" t="s">
        <v>849</v>
      </c>
      <c r="F460" s="8">
        <v>2013985.2</v>
      </c>
      <c r="G460" s="8">
        <v>2010984.9</v>
      </c>
      <c r="H460" s="8">
        <v>2010984.9</v>
      </c>
      <c r="I460" s="5" t="s">
        <v>253</v>
      </c>
      <c r="J460" s="5" t="s">
        <v>99</v>
      </c>
      <c r="K460" s="5">
        <v>100</v>
      </c>
      <c r="L460" s="5">
        <v>100</v>
      </c>
      <c r="M460" s="5">
        <v>100</v>
      </c>
      <c r="N460" s="1"/>
      <c r="AA460" s="71" t="s">
        <v>40</v>
      </c>
      <c r="AB460" s="75" t="s">
        <v>169</v>
      </c>
    </row>
    <row r="461" spans="1:28" ht="21.75" customHeight="1" x14ac:dyDescent="0.2">
      <c r="A461" s="209" t="s">
        <v>100</v>
      </c>
      <c r="B461" s="209" t="s">
        <v>100</v>
      </c>
      <c r="C461" s="207" t="s">
        <v>100</v>
      </c>
      <c r="D461" s="207"/>
      <c r="E461" s="208" t="s">
        <v>850</v>
      </c>
      <c r="F461" s="204">
        <v>1206773.2</v>
      </c>
      <c r="G461" s="204">
        <v>1203772.8999999999</v>
      </c>
      <c r="H461" s="204">
        <v>1203772.8999999999</v>
      </c>
      <c r="I461" s="3" t="s">
        <v>851</v>
      </c>
      <c r="J461" s="3" t="s">
        <v>159</v>
      </c>
      <c r="K461" s="3">
        <v>872</v>
      </c>
      <c r="L461" s="3">
        <v>872</v>
      </c>
      <c r="M461" s="3">
        <v>872</v>
      </c>
      <c r="N461" s="1"/>
      <c r="AA461" s="72" t="s">
        <v>34</v>
      </c>
      <c r="AB461" s="75" t="s">
        <v>169</v>
      </c>
    </row>
    <row r="462" spans="1:28" ht="38.25" customHeight="1" x14ac:dyDescent="0.2">
      <c r="A462" s="205"/>
      <c r="B462" s="205"/>
      <c r="C462" s="205"/>
      <c r="D462" s="205"/>
      <c r="E462" s="205"/>
      <c r="F462" s="205"/>
      <c r="G462" s="205"/>
      <c r="H462" s="205"/>
      <c r="I462" s="3" t="s">
        <v>852</v>
      </c>
      <c r="J462" s="3" t="s">
        <v>99</v>
      </c>
      <c r="K462" s="3">
        <v>60</v>
      </c>
      <c r="L462" s="3">
        <v>60</v>
      </c>
      <c r="M462" s="3">
        <v>60</v>
      </c>
      <c r="N462" s="1"/>
      <c r="AA462" s="73" t="s">
        <v>37</v>
      </c>
    </row>
    <row r="463" spans="1:28" ht="27" customHeight="1" x14ac:dyDescent="0.2">
      <c r="A463" s="205"/>
      <c r="B463" s="205"/>
      <c r="C463" s="205"/>
      <c r="D463" s="205"/>
      <c r="E463" s="205"/>
      <c r="F463" s="205"/>
      <c r="G463" s="205"/>
      <c r="H463" s="205"/>
      <c r="I463" s="3" t="s">
        <v>853</v>
      </c>
      <c r="J463" s="3" t="s">
        <v>854</v>
      </c>
      <c r="K463" s="3">
        <v>16</v>
      </c>
      <c r="L463" s="3">
        <v>16</v>
      </c>
      <c r="M463" s="3">
        <v>16</v>
      </c>
      <c r="N463" s="1"/>
      <c r="AA463" s="73" t="s">
        <v>37</v>
      </c>
    </row>
    <row r="464" spans="1:28" ht="30.75" customHeight="1" x14ac:dyDescent="0.2">
      <c r="A464" s="205"/>
      <c r="B464" s="205"/>
      <c r="C464" s="205"/>
      <c r="D464" s="205"/>
      <c r="E464" s="205"/>
      <c r="F464" s="205"/>
      <c r="G464" s="205"/>
      <c r="H464" s="205"/>
      <c r="I464" s="3" t="s">
        <v>855</v>
      </c>
      <c r="J464" s="3" t="s">
        <v>854</v>
      </c>
      <c r="K464" s="3">
        <v>41</v>
      </c>
      <c r="L464" s="3">
        <v>41</v>
      </c>
      <c r="M464" s="3">
        <v>41</v>
      </c>
      <c r="N464" s="1"/>
      <c r="AA464" s="73" t="s">
        <v>37</v>
      </c>
    </row>
    <row r="465" spans="1:27" ht="29.25" customHeight="1" x14ac:dyDescent="0.2">
      <c r="A465" s="206"/>
      <c r="B465" s="206"/>
      <c r="C465" s="206"/>
      <c r="D465" s="206"/>
      <c r="E465" s="206"/>
      <c r="F465" s="206"/>
      <c r="G465" s="206"/>
      <c r="H465" s="206"/>
      <c r="I465" s="3" t="s">
        <v>856</v>
      </c>
      <c r="J465" s="3" t="s">
        <v>854</v>
      </c>
      <c r="K465" s="3">
        <v>13.3</v>
      </c>
      <c r="L465" s="3">
        <v>13.3</v>
      </c>
      <c r="M465" s="3">
        <v>13.3</v>
      </c>
      <c r="N465" s="1"/>
      <c r="AA465" s="73" t="s">
        <v>37</v>
      </c>
    </row>
    <row r="466" spans="1:27" ht="28.5" customHeight="1" x14ac:dyDescent="0.2">
      <c r="A466" s="209" t="s">
        <v>120</v>
      </c>
      <c r="B466" s="209" t="s">
        <v>120</v>
      </c>
      <c r="C466" s="207" t="s">
        <v>120</v>
      </c>
      <c r="D466" s="207"/>
      <c r="E466" s="208" t="s">
        <v>857</v>
      </c>
      <c r="F466" s="204">
        <v>148213.9</v>
      </c>
      <c r="G466" s="204">
        <v>148213.9</v>
      </c>
      <c r="H466" s="204">
        <v>148213.9</v>
      </c>
      <c r="I466" s="3" t="s">
        <v>858</v>
      </c>
      <c r="J466" s="3" t="s">
        <v>159</v>
      </c>
      <c r="K466" s="3">
        <v>1200</v>
      </c>
      <c r="L466" s="3">
        <v>1200</v>
      </c>
      <c r="M466" s="3">
        <v>1200</v>
      </c>
      <c r="N466" s="1"/>
      <c r="AA466" s="72" t="s">
        <v>34</v>
      </c>
    </row>
    <row r="467" spans="1:27" ht="28.5" customHeight="1" x14ac:dyDescent="0.2">
      <c r="A467" s="206"/>
      <c r="B467" s="206"/>
      <c r="C467" s="206"/>
      <c r="D467" s="206"/>
      <c r="E467" s="206"/>
      <c r="F467" s="206"/>
      <c r="G467" s="206"/>
      <c r="H467" s="206"/>
      <c r="I467" s="3" t="s">
        <v>859</v>
      </c>
      <c r="J467" s="3" t="s">
        <v>854</v>
      </c>
      <c r="K467" s="3">
        <v>17.899999999999999</v>
      </c>
      <c r="L467" s="3">
        <v>17.899999999999999</v>
      </c>
      <c r="M467" s="3">
        <v>17.899999999999999</v>
      </c>
      <c r="N467" s="1"/>
      <c r="AA467" s="73" t="s">
        <v>37</v>
      </c>
    </row>
    <row r="468" spans="1:27" ht="45" customHeight="1" x14ac:dyDescent="0.2">
      <c r="A468" s="209" t="s">
        <v>150</v>
      </c>
      <c r="B468" s="209" t="s">
        <v>150</v>
      </c>
      <c r="C468" s="207" t="s">
        <v>150</v>
      </c>
      <c r="D468" s="207"/>
      <c r="E468" s="208" t="s">
        <v>860</v>
      </c>
      <c r="F468" s="204">
        <v>658998.1</v>
      </c>
      <c r="G468" s="204">
        <v>658998.1</v>
      </c>
      <c r="H468" s="204">
        <v>658998.1</v>
      </c>
      <c r="I468" s="3" t="s">
        <v>861</v>
      </c>
      <c r="J468" s="3" t="s">
        <v>99</v>
      </c>
      <c r="K468" s="3">
        <v>99.8</v>
      </c>
      <c r="L468" s="3">
        <v>99.9</v>
      </c>
      <c r="M468" s="3">
        <v>100</v>
      </c>
      <c r="N468" s="1"/>
      <c r="AA468" s="72" t="s">
        <v>34</v>
      </c>
    </row>
    <row r="469" spans="1:27" ht="36" customHeight="1" x14ac:dyDescent="0.2">
      <c r="A469" s="206"/>
      <c r="B469" s="206"/>
      <c r="C469" s="206"/>
      <c r="D469" s="206"/>
      <c r="E469" s="206"/>
      <c r="F469" s="206"/>
      <c r="G469" s="206"/>
      <c r="H469" s="206"/>
      <c r="I469" s="3" t="s">
        <v>862</v>
      </c>
      <c r="J469" s="3" t="s">
        <v>99</v>
      </c>
      <c r="K469" s="3">
        <v>48.5</v>
      </c>
      <c r="L469" s="3">
        <v>46.9</v>
      </c>
      <c r="M469" s="3">
        <v>46.2</v>
      </c>
      <c r="N469" s="1"/>
      <c r="AA469" s="73" t="s">
        <v>37</v>
      </c>
    </row>
    <row r="470" spans="1:27" ht="30.75" customHeight="1" x14ac:dyDescent="0.2">
      <c r="A470" s="5" t="s">
        <v>777</v>
      </c>
      <c r="B470" s="5" t="s">
        <v>863</v>
      </c>
      <c r="C470" s="6"/>
      <c r="D470" s="6"/>
      <c r="E470" s="7" t="s">
        <v>864</v>
      </c>
      <c r="F470" s="8">
        <v>28651.200000000001</v>
      </c>
      <c r="G470" s="8">
        <v>28651.200000000001</v>
      </c>
      <c r="H470" s="8">
        <v>28651.200000000001</v>
      </c>
      <c r="I470" s="5" t="s">
        <v>253</v>
      </c>
      <c r="J470" s="5" t="s">
        <v>99</v>
      </c>
      <c r="K470" s="5">
        <v>100</v>
      </c>
      <c r="L470" s="5">
        <v>100</v>
      </c>
      <c r="M470" s="5">
        <v>100</v>
      </c>
      <c r="N470" s="1"/>
      <c r="AA470" s="71" t="s">
        <v>40</v>
      </c>
    </row>
    <row r="471" spans="1:27" ht="54" customHeight="1" x14ac:dyDescent="0.2">
      <c r="A471" s="10" t="s">
        <v>100</v>
      </c>
      <c r="B471" s="10" t="s">
        <v>100</v>
      </c>
      <c r="C471" s="3" t="s">
        <v>100</v>
      </c>
      <c r="D471" s="3"/>
      <c r="E471" s="11" t="s">
        <v>865</v>
      </c>
      <c r="F471" s="12">
        <v>28651.200000000001</v>
      </c>
      <c r="G471" s="12">
        <v>28651.200000000001</v>
      </c>
      <c r="H471" s="12">
        <v>28651.200000000001</v>
      </c>
      <c r="I471" s="3" t="s">
        <v>866</v>
      </c>
      <c r="J471" s="3" t="s">
        <v>159</v>
      </c>
      <c r="K471" s="3">
        <v>1092</v>
      </c>
      <c r="L471" s="3">
        <v>1100</v>
      </c>
      <c r="M471" s="3">
        <v>1100</v>
      </c>
      <c r="N471" s="1"/>
      <c r="AA471" s="72" t="s">
        <v>34</v>
      </c>
    </row>
    <row r="472" spans="1:27" ht="21" customHeight="1" x14ac:dyDescent="0.2">
      <c r="A472" s="18">
        <v>38</v>
      </c>
      <c r="B472" s="18" t="s">
        <v>408</v>
      </c>
      <c r="C472" s="45" t="s">
        <v>100</v>
      </c>
      <c r="D472" s="18"/>
      <c r="E472" s="43" t="s">
        <v>409</v>
      </c>
      <c r="F472" s="44">
        <v>521560</v>
      </c>
      <c r="G472" s="44">
        <v>267900</v>
      </c>
      <c r="H472" s="44">
        <v>0</v>
      </c>
      <c r="I472" s="19" t="s">
        <v>347</v>
      </c>
      <c r="J472" s="19" t="s">
        <v>99</v>
      </c>
      <c r="K472" s="19">
        <v>100</v>
      </c>
      <c r="L472" s="19">
        <v>100</v>
      </c>
      <c r="M472" s="19">
        <v>0</v>
      </c>
      <c r="N472" s="1"/>
      <c r="AA472" s="72" t="s">
        <v>34</v>
      </c>
    </row>
    <row r="473" spans="1:27" x14ac:dyDescent="0.2">
      <c r="A473" s="210" t="s">
        <v>112</v>
      </c>
      <c r="B473" s="202"/>
      <c r="C473" s="202"/>
      <c r="D473" s="202"/>
      <c r="E473" s="203"/>
      <c r="F473" s="13">
        <v>23821991.699999999</v>
      </c>
      <c r="G473" s="13">
        <v>24033582.600000001</v>
      </c>
      <c r="H473" s="13">
        <v>24241041.800000001</v>
      </c>
      <c r="I473" s="201"/>
      <c r="J473" s="202"/>
      <c r="K473" s="202"/>
      <c r="L473" s="202"/>
      <c r="M473" s="203"/>
      <c r="N473" s="1"/>
      <c r="AA473" s="74" t="s">
        <v>46</v>
      </c>
    </row>
    <row r="474" spans="1:27" ht="15" customHeight="1" x14ac:dyDescent="0.2">
      <c r="A474" s="4" t="s">
        <v>459</v>
      </c>
      <c r="B474" s="212" t="s">
        <v>867</v>
      </c>
      <c r="C474" s="202"/>
      <c r="D474" s="202"/>
      <c r="E474" s="202"/>
      <c r="F474" s="202"/>
      <c r="G474" s="202"/>
      <c r="H474" s="202"/>
      <c r="I474" s="202"/>
      <c r="J474" s="202"/>
      <c r="K474" s="202"/>
      <c r="L474" s="202"/>
      <c r="M474" s="203"/>
      <c r="N474" s="1"/>
      <c r="AA474" s="70" t="s">
        <v>43</v>
      </c>
    </row>
    <row r="475" spans="1:27" ht="45" customHeight="1" x14ac:dyDescent="0.2">
      <c r="A475" s="5" t="s">
        <v>459</v>
      </c>
      <c r="B475" s="5" t="s">
        <v>96</v>
      </c>
      <c r="C475" s="6"/>
      <c r="D475" s="6"/>
      <c r="E475" s="7" t="s">
        <v>97</v>
      </c>
      <c r="F475" s="8">
        <v>35953.599999999999</v>
      </c>
      <c r="G475" s="8">
        <v>34962</v>
      </c>
      <c r="H475" s="8">
        <v>34962</v>
      </c>
      <c r="I475" s="18" t="s">
        <v>249</v>
      </c>
      <c r="J475" s="18" t="s">
        <v>99</v>
      </c>
      <c r="K475" s="18">
        <v>55</v>
      </c>
      <c r="L475" s="18">
        <v>55</v>
      </c>
      <c r="M475" s="18">
        <v>55</v>
      </c>
      <c r="N475" s="1"/>
      <c r="AA475" s="71" t="s">
        <v>40</v>
      </c>
    </row>
    <row r="476" spans="1:27" ht="42" customHeight="1" x14ac:dyDescent="0.2">
      <c r="A476" s="10" t="s">
        <v>100</v>
      </c>
      <c r="B476" s="10" t="s">
        <v>100</v>
      </c>
      <c r="C476" s="3" t="s">
        <v>100</v>
      </c>
      <c r="D476" s="3"/>
      <c r="E476" s="11" t="s">
        <v>101</v>
      </c>
      <c r="F476" s="12">
        <v>35953.599999999999</v>
      </c>
      <c r="G476" s="12">
        <v>34962</v>
      </c>
      <c r="H476" s="12">
        <v>34962</v>
      </c>
      <c r="I476" s="3" t="s">
        <v>249</v>
      </c>
      <c r="J476" s="3" t="s">
        <v>99</v>
      </c>
      <c r="K476" s="3">
        <v>55</v>
      </c>
      <c r="L476" s="3">
        <v>55</v>
      </c>
      <c r="M476" s="3">
        <v>55</v>
      </c>
      <c r="N476" s="1"/>
      <c r="AA476" s="72" t="s">
        <v>34</v>
      </c>
    </row>
    <row r="477" spans="1:27" ht="36" customHeight="1" x14ac:dyDescent="0.2">
      <c r="A477" s="5" t="s">
        <v>459</v>
      </c>
      <c r="B477" s="5" t="s">
        <v>868</v>
      </c>
      <c r="C477" s="6"/>
      <c r="D477" s="6"/>
      <c r="E477" s="7" t="s">
        <v>869</v>
      </c>
      <c r="F477" s="8">
        <v>36155.1</v>
      </c>
      <c r="G477" s="8">
        <v>36155.1</v>
      </c>
      <c r="H477" s="8">
        <v>36155.1</v>
      </c>
      <c r="I477" s="5" t="s">
        <v>253</v>
      </c>
      <c r="J477" s="5" t="s">
        <v>99</v>
      </c>
      <c r="K477" s="5">
        <v>100</v>
      </c>
      <c r="L477" s="5">
        <v>100</v>
      </c>
      <c r="M477" s="5">
        <v>100</v>
      </c>
      <c r="N477" s="1"/>
      <c r="AA477" s="71" t="s">
        <v>40</v>
      </c>
    </row>
    <row r="478" spans="1:27" x14ac:dyDescent="0.2">
      <c r="A478" s="10" t="s">
        <v>100</v>
      </c>
      <c r="B478" s="10" t="s">
        <v>100</v>
      </c>
      <c r="C478" s="3" t="s">
        <v>100</v>
      </c>
      <c r="D478" s="3"/>
      <c r="E478" s="11" t="s">
        <v>870</v>
      </c>
      <c r="F478" s="12">
        <v>9830.6</v>
      </c>
      <c r="G478" s="12">
        <v>9830.6</v>
      </c>
      <c r="H478" s="12">
        <v>9830.6</v>
      </c>
      <c r="I478" s="3" t="s">
        <v>871</v>
      </c>
      <c r="J478" s="3" t="s">
        <v>159</v>
      </c>
      <c r="K478" s="3">
        <v>1136</v>
      </c>
      <c r="L478" s="3">
        <v>1136</v>
      </c>
      <c r="M478" s="3">
        <v>1136</v>
      </c>
      <c r="N478" s="1"/>
      <c r="AA478" s="72" t="s">
        <v>34</v>
      </c>
    </row>
    <row r="479" spans="1:27" ht="40.5" customHeight="1" x14ac:dyDescent="0.2">
      <c r="A479" s="10" t="s">
        <v>120</v>
      </c>
      <c r="B479" s="10" t="s">
        <v>120</v>
      </c>
      <c r="C479" s="3" t="s">
        <v>120</v>
      </c>
      <c r="D479" s="3"/>
      <c r="E479" s="11" t="s">
        <v>872</v>
      </c>
      <c r="F479" s="12">
        <v>26324.5</v>
      </c>
      <c r="G479" s="12">
        <v>26324.5</v>
      </c>
      <c r="H479" s="12">
        <v>26324.5</v>
      </c>
      <c r="I479" s="3" t="s">
        <v>873</v>
      </c>
      <c r="J479" s="3" t="s">
        <v>99</v>
      </c>
      <c r="K479" s="3">
        <v>1</v>
      </c>
      <c r="L479" s="3">
        <v>1</v>
      </c>
      <c r="M479" s="3">
        <v>1</v>
      </c>
      <c r="N479" s="1"/>
      <c r="AA479" s="72" t="s">
        <v>34</v>
      </c>
    </row>
    <row r="480" spans="1:27" ht="32.25" customHeight="1" x14ac:dyDescent="0.2">
      <c r="A480" s="5" t="s">
        <v>459</v>
      </c>
      <c r="B480" s="5" t="s">
        <v>874</v>
      </c>
      <c r="C480" s="6"/>
      <c r="D480" s="6"/>
      <c r="E480" s="7" t="s">
        <v>875</v>
      </c>
      <c r="F480" s="8">
        <v>48781.2</v>
      </c>
      <c r="G480" s="8">
        <v>48527.7</v>
      </c>
      <c r="H480" s="8">
        <v>49126.7</v>
      </c>
      <c r="I480" s="5" t="s">
        <v>253</v>
      </c>
      <c r="J480" s="5" t="s">
        <v>99</v>
      </c>
      <c r="K480" s="5">
        <v>100</v>
      </c>
      <c r="L480" s="5">
        <v>100</v>
      </c>
      <c r="M480" s="5">
        <v>100</v>
      </c>
      <c r="N480" s="1"/>
      <c r="AA480" s="71" t="s">
        <v>40</v>
      </c>
    </row>
    <row r="481" spans="1:27" ht="30" customHeight="1" x14ac:dyDescent="0.2">
      <c r="A481" s="10" t="s">
        <v>100</v>
      </c>
      <c r="B481" s="10" t="s">
        <v>100</v>
      </c>
      <c r="C481" s="3" t="s">
        <v>100</v>
      </c>
      <c r="D481" s="3"/>
      <c r="E481" s="11" t="s">
        <v>876</v>
      </c>
      <c r="F481" s="12">
        <v>48781.2</v>
      </c>
      <c r="G481" s="12">
        <v>48527.7</v>
      </c>
      <c r="H481" s="12">
        <v>49126.7</v>
      </c>
      <c r="I481" s="3" t="s">
        <v>877</v>
      </c>
      <c r="J481" s="3" t="s">
        <v>159</v>
      </c>
      <c r="K481" s="3">
        <v>5500</v>
      </c>
      <c r="L481" s="3">
        <v>5500</v>
      </c>
      <c r="M481" s="3">
        <v>5500</v>
      </c>
      <c r="N481" s="1"/>
      <c r="AA481" s="72" t="s">
        <v>34</v>
      </c>
    </row>
    <row r="482" spans="1:27" x14ac:dyDescent="0.2">
      <c r="A482" s="210" t="s">
        <v>112</v>
      </c>
      <c r="B482" s="202"/>
      <c r="C482" s="202"/>
      <c r="D482" s="202"/>
      <c r="E482" s="203"/>
      <c r="F482" s="13">
        <v>120889.9</v>
      </c>
      <c r="G482" s="13">
        <v>119644.8</v>
      </c>
      <c r="H482" s="13">
        <v>120243.8</v>
      </c>
      <c r="I482" s="201"/>
      <c r="J482" s="202"/>
      <c r="K482" s="202"/>
      <c r="L482" s="202"/>
      <c r="M482" s="203"/>
      <c r="N482" s="1"/>
      <c r="AA482" s="74" t="s">
        <v>46</v>
      </c>
    </row>
    <row r="483" spans="1:27" ht="15" customHeight="1" x14ac:dyDescent="0.2">
      <c r="A483" s="4" t="s">
        <v>878</v>
      </c>
      <c r="B483" s="212" t="s">
        <v>879</v>
      </c>
      <c r="C483" s="202"/>
      <c r="D483" s="202"/>
      <c r="E483" s="202"/>
      <c r="F483" s="202"/>
      <c r="G483" s="202"/>
      <c r="H483" s="202"/>
      <c r="I483" s="202"/>
      <c r="J483" s="202"/>
      <c r="K483" s="202"/>
      <c r="L483" s="202"/>
      <c r="M483" s="203"/>
      <c r="N483" s="1"/>
      <c r="AA483" s="70" t="s">
        <v>43</v>
      </c>
    </row>
    <row r="484" spans="1:27" ht="30" customHeight="1" x14ac:dyDescent="0.2">
      <c r="A484" s="5" t="s">
        <v>878</v>
      </c>
      <c r="B484" s="5" t="s">
        <v>880</v>
      </c>
      <c r="C484" s="6"/>
      <c r="D484" s="6"/>
      <c r="E484" s="7" t="s">
        <v>881</v>
      </c>
      <c r="F484" s="8">
        <v>739.4</v>
      </c>
      <c r="G484" s="8">
        <v>739.4</v>
      </c>
      <c r="H484" s="8">
        <v>739.4</v>
      </c>
      <c r="I484" s="18" t="s">
        <v>882</v>
      </c>
      <c r="J484" s="18" t="s">
        <v>99</v>
      </c>
      <c r="K484" s="18">
        <v>100</v>
      </c>
      <c r="L484" s="18">
        <v>100</v>
      </c>
      <c r="M484" s="18">
        <v>100</v>
      </c>
      <c r="N484" s="1"/>
      <c r="AA484" s="71" t="s">
        <v>40</v>
      </c>
    </row>
    <row r="485" spans="1:27" ht="48" customHeight="1" x14ac:dyDescent="0.2">
      <c r="A485" s="10" t="s">
        <v>100</v>
      </c>
      <c r="B485" s="10" t="s">
        <v>100</v>
      </c>
      <c r="C485" s="3" t="s">
        <v>100</v>
      </c>
      <c r="D485" s="3"/>
      <c r="E485" s="11" t="s">
        <v>883</v>
      </c>
      <c r="F485" s="12">
        <v>739.4</v>
      </c>
      <c r="G485" s="12">
        <v>739.4</v>
      </c>
      <c r="H485" s="12">
        <v>739.4</v>
      </c>
      <c r="I485" s="3" t="s">
        <v>882</v>
      </c>
      <c r="J485" s="3" t="s">
        <v>99</v>
      </c>
      <c r="K485" s="3">
        <v>100</v>
      </c>
      <c r="L485" s="3">
        <v>100</v>
      </c>
      <c r="M485" s="3">
        <v>100</v>
      </c>
      <c r="N485" s="1"/>
      <c r="AA485" s="72" t="s">
        <v>34</v>
      </c>
    </row>
    <row r="486" spans="1:27" x14ac:dyDescent="0.2">
      <c r="A486" s="210" t="s">
        <v>112</v>
      </c>
      <c r="B486" s="202"/>
      <c r="C486" s="202"/>
      <c r="D486" s="202"/>
      <c r="E486" s="203"/>
      <c r="F486" s="13">
        <v>739.4</v>
      </c>
      <c r="G486" s="13">
        <v>739.4</v>
      </c>
      <c r="H486" s="13">
        <v>739.4</v>
      </c>
      <c r="I486" s="201"/>
      <c r="J486" s="202"/>
      <c r="K486" s="202"/>
      <c r="L486" s="202"/>
      <c r="M486" s="203"/>
      <c r="N486" s="1"/>
      <c r="AA486" s="74" t="s">
        <v>46</v>
      </c>
    </row>
    <row r="487" spans="1:27" ht="15" customHeight="1" x14ac:dyDescent="0.2">
      <c r="A487" s="4" t="s">
        <v>884</v>
      </c>
      <c r="B487" s="212" t="s">
        <v>885</v>
      </c>
      <c r="C487" s="202"/>
      <c r="D487" s="202"/>
      <c r="E487" s="202"/>
      <c r="F487" s="202"/>
      <c r="G487" s="202"/>
      <c r="H487" s="202"/>
      <c r="I487" s="202"/>
      <c r="J487" s="202"/>
      <c r="K487" s="202"/>
      <c r="L487" s="202"/>
      <c r="M487" s="203"/>
      <c r="N487" s="1"/>
      <c r="AA487" s="70" t="s">
        <v>43</v>
      </c>
    </row>
    <row r="488" spans="1:27" ht="29.25" customHeight="1" x14ac:dyDescent="0.2">
      <c r="A488" s="5" t="s">
        <v>884</v>
      </c>
      <c r="B488" s="5" t="s">
        <v>96</v>
      </c>
      <c r="C488" s="6"/>
      <c r="D488" s="6"/>
      <c r="E488" s="7" t="s">
        <v>97</v>
      </c>
      <c r="F488" s="8">
        <v>425993.25</v>
      </c>
      <c r="G488" s="8">
        <v>435960.8</v>
      </c>
      <c r="H488" s="8">
        <v>435960.8</v>
      </c>
      <c r="I488" s="18" t="s">
        <v>886</v>
      </c>
      <c r="J488" s="18" t="s">
        <v>99</v>
      </c>
      <c r="K488" s="18">
        <v>70</v>
      </c>
      <c r="L488" s="18">
        <v>80</v>
      </c>
      <c r="M488" s="18">
        <v>90</v>
      </c>
      <c r="N488" s="1"/>
      <c r="AA488" s="71" t="s">
        <v>40</v>
      </c>
    </row>
    <row r="489" spans="1:27" ht="33" customHeight="1" x14ac:dyDescent="0.2">
      <c r="A489" s="10" t="s">
        <v>100</v>
      </c>
      <c r="B489" s="10" t="s">
        <v>100</v>
      </c>
      <c r="C489" s="3" t="s">
        <v>100</v>
      </c>
      <c r="D489" s="3"/>
      <c r="E489" s="11" t="s">
        <v>101</v>
      </c>
      <c r="F489" s="12">
        <v>188021.3</v>
      </c>
      <c r="G489" s="12">
        <v>183988.8</v>
      </c>
      <c r="H489" s="12">
        <v>183988.8</v>
      </c>
      <c r="I489" s="3" t="s">
        <v>886</v>
      </c>
      <c r="J489" s="3" t="s">
        <v>99</v>
      </c>
      <c r="K489" s="3">
        <v>70</v>
      </c>
      <c r="L489" s="3">
        <v>80</v>
      </c>
      <c r="M489" s="3">
        <v>90</v>
      </c>
      <c r="N489" s="1"/>
      <c r="AA489" s="72" t="s">
        <v>34</v>
      </c>
    </row>
    <row r="490" spans="1:27" ht="30.75" customHeight="1" x14ac:dyDescent="0.2">
      <c r="A490" s="10" t="s">
        <v>120</v>
      </c>
      <c r="B490" s="10" t="s">
        <v>120</v>
      </c>
      <c r="C490" s="3" t="s">
        <v>120</v>
      </c>
      <c r="D490" s="3"/>
      <c r="E490" s="11" t="s">
        <v>203</v>
      </c>
      <c r="F490" s="12">
        <v>237971.95</v>
      </c>
      <c r="G490" s="12">
        <v>251972</v>
      </c>
      <c r="H490" s="12">
        <v>251972</v>
      </c>
      <c r="I490" s="3" t="s">
        <v>887</v>
      </c>
      <c r="J490" s="3" t="s">
        <v>99</v>
      </c>
      <c r="K490" s="3">
        <v>70</v>
      </c>
      <c r="L490" s="3">
        <v>80</v>
      </c>
      <c r="M490" s="3">
        <v>90</v>
      </c>
      <c r="N490" s="1"/>
      <c r="AA490" s="72" t="s">
        <v>34</v>
      </c>
    </row>
    <row r="491" spans="1:27" ht="37.5" customHeight="1" x14ac:dyDescent="0.2">
      <c r="A491" s="5" t="s">
        <v>884</v>
      </c>
      <c r="B491" s="5" t="s">
        <v>888</v>
      </c>
      <c r="C491" s="6"/>
      <c r="D491" s="6"/>
      <c r="E491" s="7" t="s">
        <v>889</v>
      </c>
      <c r="F491" s="8">
        <v>1294075.7</v>
      </c>
      <c r="G491" s="8">
        <v>1312981.8999999999</v>
      </c>
      <c r="H491" s="8">
        <v>1313981.8999999999</v>
      </c>
      <c r="I491" s="5" t="s">
        <v>253</v>
      </c>
      <c r="J491" s="5" t="s">
        <v>99</v>
      </c>
      <c r="K491" s="5">
        <v>100</v>
      </c>
      <c r="L491" s="5">
        <v>100</v>
      </c>
      <c r="M491" s="5">
        <v>100</v>
      </c>
      <c r="N491" s="1"/>
      <c r="AA491" s="71" t="s">
        <v>40</v>
      </c>
    </row>
    <row r="492" spans="1:27" ht="39.75" customHeight="1" x14ac:dyDescent="0.2">
      <c r="A492" s="10" t="s">
        <v>120</v>
      </c>
      <c r="B492" s="10" t="s">
        <v>120</v>
      </c>
      <c r="C492" s="3" t="s">
        <v>120</v>
      </c>
      <c r="D492" s="3"/>
      <c r="E492" s="11" t="s">
        <v>890</v>
      </c>
      <c r="F492" s="12">
        <v>9111.5</v>
      </c>
      <c r="G492" s="12">
        <v>16626.3</v>
      </c>
      <c r="H492" s="12">
        <v>16626.3</v>
      </c>
      <c r="I492" s="3" t="s">
        <v>891</v>
      </c>
      <c r="J492" s="3" t="s">
        <v>223</v>
      </c>
      <c r="K492" s="3">
        <v>20</v>
      </c>
      <c r="L492" s="3">
        <v>20</v>
      </c>
      <c r="M492" s="3">
        <v>20</v>
      </c>
      <c r="N492" s="1"/>
      <c r="AA492" s="72" t="s">
        <v>34</v>
      </c>
    </row>
    <row r="493" spans="1:27" ht="33" customHeight="1" x14ac:dyDescent="0.2">
      <c r="A493" s="209" t="s">
        <v>150</v>
      </c>
      <c r="B493" s="209" t="s">
        <v>150</v>
      </c>
      <c r="C493" s="207" t="s">
        <v>150</v>
      </c>
      <c r="D493" s="207"/>
      <c r="E493" s="208" t="s">
        <v>892</v>
      </c>
      <c r="F493" s="204">
        <v>29692.1</v>
      </c>
      <c r="G493" s="204">
        <v>31252.1</v>
      </c>
      <c r="H493" s="204">
        <v>32252.1</v>
      </c>
      <c r="I493" s="3" t="s">
        <v>893</v>
      </c>
      <c r="J493" s="3" t="s">
        <v>894</v>
      </c>
      <c r="K493" s="3">
        <v>25000</v>
      </c>
      <c r="L493" s="3">
        <v>30000</v>
      </c>
      <c r="M493" s="3">
        <v>35000</v>
      </c>
      <c r="N493" s="1"/>
      <c r="AA493" s="72" t="s">
        <v>34</v>
      </c>
    </row>
    <row r="494" spans="1:27" ht="41.25" customHeight="1" x14ac:dyDescent="0.2">
      <c r="A494" s="206"/>
      <c r="B494" s="206"/>
      <c r="C494" s="206"/>
      <c r="D494" s="206"/>
      <c r="E494" s="206"/>
      <c r="F494" s="206"/>
      <c r="G494" s="206"/>
      <c r="H494" s="206"/>
      <c r="I494" s="3" t="s">
        <v>895</v>
      </c>
      <c r="J494" s="3" t="s">
        <v>405</v>
      </c>
      <c r="K494" s="3">
        <v>32000</v>
      </c>
      <c r="L494" s="3">
        <v>40000</v>
      </c>
      <c r="M494" s="3">
        <v>45000</v>
      </c>
      <c r="N494" s="1"/>
      <c r="AA494" s="73" t="s">
        <v>37</v>
      </c>
    </row>
    <row r="495" spans="1:27" ht="46.5" customHeight="1" x14ac:dyDescent="0.2">
      <c r="A495" s="209" t="s">
        <v>124</v>
      </c>
      <c r="B495" s="209" t="s">
        <v>124</v>
      </c>
      <c r="C495" s="207" t="s">
        <v>124</v>
      </c>
      <c r="D495" s="207"/>
      <c r="E495" s="208" t="s">
        <v>896</v>
      </c>
      <c r="F495" s="204">
        <v>25190.799999999999</v>
      </c>
      <c r="G495" s="204">
        <v>25190.799999999999</v>
      </c>
      <c r="H495" s="204">
        <v>25190.799999999999</v>
      </c>
      <c r="I495" s="3" t="s">
        <v>897</v>
      </c>
      <c r="J495" s="3" t="s">
        <v>223</v>
      </c>
      <c r="K495" s="3">
        <v>95</v>
      </c>
      <c r="L495" s="3">
        <v>95</v>
      </c>
      <c r="M495" s="3">
        <v>95</v>
      </c>
      <c r="N495" s="1"/>
      <c r="AA495" s="72" t="s">
        <v>34</v>
      </c>
    </row>
    <row r="496" spans="1:27" ht="42.75" customHeight="1" x14ac:dyDescent="0.2">
      <c r="A496" s="206"/>
      <c r="B496" s="206"/>
      <c r="C496" s="206"/>
      <c r="D496" s="206"/>
      <c r="E496" s="206"/>
      <c r="F496" s="206"/>
      <c r="G496" s="206"/>
      <c r="H496" s="206"/>
      <c r="I496" s="3" t="s">
        <v>898</v>
      </c>
      <c r="J496" s="3" t="s">
        <v>223</v>
      </c>
      <c r="K496" s="3">
        <v>120</v>
      </c>
      <c r="L496" s="3">
        <v>130</v>
      </c>
      <c r="M496" s="3">
        <v>130</v>
      </c>
      <c r="N496" s="1"/>
      <c r="AA496" s="73" t="s">
        <v>37</v>
      </c>
    </row>
    <row r="497" spans="1:28" ht="30" customHeight="1" x14ac:dyDescent="0.2">
      <c r="A497" s="10" t="s">
        <v>156</v>
      </c>
      <c r="B497" s="10" t="s">
        <v>156</v>
      </c>
      <c r="C497" s="3" t="s">
        <v>156</v>
      </c>
      <c r="D497" s="3"/>
      <c r="E497" s="11" t="s">
        <v>899</v>
      </c>
      <c r="F497" s="12">
        <v>765297.2</v>
      </c>
      <c r="G497" s="12">
        <v>775128.6</v>
      </c>
      <c r="H497" s="12">
        <v>774601.3</v>
      </c>
      <c r="I497" s="3" t="s">
        <v>900</v>
      </c>
      <c r="J497" s="3" t="s">
        <v>223</v>
      </c>
      <c r="K497" s="3">
        <v>2700</v>
      </c>
      <c r="L497" s="3">
        <v>2800</v>
      </c>
      <c r="M497" s="3">
        <v>2900</v>
      </c>
      <c r="N497" s="1"/>
      <c r="AA497" s="72" t="s">
        <v>34</v>
      </c>
    </row>
    <row r="498" spans="1:28" ht="36.75" customHeight="1" x14ac:dyDescent="0.2">
      <c r="A498" s="209" t="s">
        <v>160</v>
      </c>
      <c r="B498" s="209" t="s">
        <v>160</v>
      </c>
      <c r="C498" s="207" t="s">
        <v>160</v>
      </c>
      <c r="D498" s="207"/>
      <c r="E498" s="208" t="s">
        <v>901</v>
      </c>
      <c r="F498" s="204">
        <v>434784.1</v>
      </c>
      <c r="G498" s="204">
        <v>434784.1</v>
      </c>
      <c r="H498" s="204">
        <v>435311.4</v>
      </c>
      <c r="I498" s="3" t="s">
        <v>902</v>
      </c>
      <c r="J498" s="3" t="s">
        <v>223</v>
      </c>
      <c r="K498" s="3">
        <v>60</v>
      </c>
      <c r="L498" s="3">
        <v>60</v>
      </c>
      <c r="M498" s="3">
        <v>55</v>
      </c>
      <c r="N498" s="1"/>
      <c r="AA498" s="72" t="s">
        <v>34</v>
      </c>
    </row>
    <row r="499" spans="1:28" ht="29.25" customHeight="1" x14ac:dyDescent="0.2">
      <c r="A499" s="205"/>
      <c r="B499" s="205"/>
      <c r="C499" s="205"/>
      <c r="D499" s="205"/>
      <c r="E499" s="205"/>
      <c r="F499" s="205"/>
      <c r="G499" s="205"/>
      <c r="H499" s="205"/>
      <c r="I499" s="3" t="s">
        <v>903</v>
      </c>
      <c r="J499" s="3" t="s">
        <v>904</v>
      </c>
      <c r="K499" s="3">
        <v>23500</v>
      </c>
      <c r="L499" s="3">
        <v>23500</v>
      </c>
      <c r="M499" s="3">
        <v>24000</v>
      </c>
      <c r="N499" s="1"/>
      <c r="AA499" s="73" t="s">
        <v>37</v>
      </c>
    </row>
    <row r="500" spans="1:28" ht="42" customHeight="1" x14ac:dyDescent="0.2">
      <c r="A500" s="206"/>
      <c r="B500" s="206"/>
      <c r="C500" s="206"/>
      <c r="D500" s="206"/>
      <c r="E500" s="206"/>
      <c r="F500" s="206"/>
      <c r="G500" s="206"/>
      <c r="H500" s="206"/>
      <c r="I500" s="3" t="s">
        <v>905</v>
      </c>
      <c r="J500" s="3" t="s">
        <v>904</v>
      </c>
      <c r="K500" s="3">
        <v>17700000</v>
      </c>
      <c r="L500" s="3">
        <v>1800000</v>
      </c>
      <c r="M500" s="3">
        <v>1900000</v>
      </c>
      <c r="N500" s="1"/>
      <c r="AA500" s="73" t="s">
        <v>37</v>
      </c>
    </row>
    <row r="501" spans="1:28" ht="35.25" customHeight="1" x14ac:dyDescent="0.2">
      <c r="A501" s="10" t="s">
        <v>163</v>
      </c>
      <c r="B501" s="10" t="s">
        <v>163</v>
      </c>
      <c r="C501" s="3" t="s">
        <v>163</v>
      </c>
      <c r="D501" s="3"/>
      <c r="E501" s="11" t="s">
        <v>906</v>
      </c>
      <c r="F501" s="12">
        <v>30000</v>
      </c>
      <c r="G501" s="12">
        <v>30000</v>
      </c>
      <c r="H501" s="12">
        <v>30000</v>
      </c>
      <c r="I501" s="3" t="s">
        <v>907</v>
      </c>
      <c r="J501" s="3" t="s">
        <v>904</v>
      </c>
      <c r="K501" s="3">
        <v>700000</v>
      </c>
      <c r="L501" s="3">
        <v>720000</v>
      </c>
      <c r="M501" s="3">
        <v>720000</v>
      </c>
      <c r="N501" s="1"/>
      <c r="AA501" s="72" t="s">
        <v>34</v>
      </c>
    </row>
    <row r="502" spans="1:28" ht="38.25" customHeight="1" x14ac:dyDescent="0.2">
      <c r="A502" s="5" t="s">
        <v>884</v>
      </c>
      <c r="B502" s="5" t="s">
        <v>908</v>
      </c>
      <c r="C502" s="6"/>
      <c r="D502" s="6"/>
      <c r="E502" s="7" t="s">
        <v>909</v>
      </c>
      <c r="F502" s="8">
        <v>479788</v>
      </c>
      <c r="G502" s="8">
        <v>643477.47</v>
      </c>
      <c r="H502" s="8">
        <v>650128.46</v>
      </c>
      <c r="I502" s="5" t="s">
        <v>253</v>
      </c>
      <c r="J502" s="5" t="s">
        <v>99</v>
      </c>
      <c r="K502" s="5">
        <v>100</v>
      </c>
      <c r="L502" s="5">
        <v>100</v>
      </c>
      <c r="M502" s="5">
        <v>100</v>
      </c>
      <c r="N502" s="1"/>
      <c r="AA502" s="71" t="s">
        <v>40</v>
      </c>
      <c r="AB502" s="75" t="s">
        <v>169</v>
      </c>
    </row>
    <row r="503" spans="1:28" ht="43.5" customHeight="1" x14ac:dyDescent="0.2">
      <c r="A503" s="209" t="s">
        <v>100</v>
      </c>
      <c r="B503" s="209" t="s">
        <v>100</v>
      </c>
      <c r="C503" s="207" t="s">
        <v>100</v>
      </c>
      <c r="D503" s="207"/>
      <c r="E503" s="208" t="s">
        <v>910</v>
      </c>
      <c r="F503" s="204">
        <v>266420.59999999998</v>
      </c>
      <c r="G503" s="204">
        <v>268420.59999999998</v>
      </c>
      <c r="H503" s="204">
        <v>268420.59999999998</v>
      </c>
      <c r="I503" s="3" t="s">
        <v>911</v>
      </c>
      <c r="J503" s="3" t="s">
        <v>703</v>
      </c>
      <c r="K503" s="3">
        <v>70.7</v>
      </c>
      <c r="L503" s="3">
        <v>70.7</v>
      </c>
      <c r="M503" s="3">
        <v>70.7</v>
      </c>
      <c r="N503" s="1"/>
      <c r="AA503" s="72" t="s">
        <v>34</v>
      </c>
      <c r="AB503" s="75" t="s">
        <v>169</v>
      </c>
    </row>
    <row r="504" spans="1:28" ht="47.25" customHeight="1" x14ac:dyDescent="0.2">
      <c r="A504" s="205"/>
      <c r="B504" s="205"/>
      <c r="C504" s="205"/>
      <c r="D504" s="205"/>
      <c r="E504" s="205"/>
      <c r="F504" s="205"/>
      <c r="G504" s="205"/>
      <c r="H504" s="205"/>
      <c r="I504" s="3" t="s">
        <v>912</v>
      </c>
      <c r="J504" s="3" t="s">
        <v>703</v>
      </c>
      <c r="K504" s="3">
        <v>0.04</v>
      </c>
      <c r="L504" s="3">
        <v>0.04</v>
      </c>
      <c r="M504" s="3">
        <v>0.04</v>
      </c>
      <c r="N504" s="1"/>
      <c r="AA504" s="73" t="s">
        <v>37</v>
      </c>
    </row>
    <row r="505" spans="1:28" ht="33.75" customHeight="1" x14ac:dyDescent="0.2">
      <c r="A505" s="205"/>
      <c r="B505" s="205"/>
      <c r="C505" s="205"/>
      <c r="D505" s="205"/>
      <c r="E505" s="205"/>
      <c r="F505" s="205"/>
      <c r="G505" s="205"/>
      <c r="H505" s="205"/>
      <c r="I505" s="3" t="s">
        <v>913</v>
      </c>
      <c r="J505" s="3" t="s">
        <v>99</v>
      </c>
      <c r="K505" s="3">
        <v>100</v>
      </c>
      <c r="L505" s="3">
        <v>100</v>
      </c>
      <c r="M505" s="3">
        <v>100</v>
      </c>
      <c r="N505" s="1"/>
      <c r="AA505" s="73" t="s">
        <v>37</v>
      </c>
    </row>
    <row r="506" spans="1:28" ht="35.25" customHeight="1" x14ac:dyDescent="0.2">
      <c r="A506" s="206"/>
      <c r="B506" s="206"/>
      <c r="C506" s="206"/>
      <c r="D506" s="206"/>
      <c r="E506" s="206"/>
      <c r="F506" s="206"/>
      <c r="G506" s="206"/>
      <c r="H506" s="206"/>
      <c r="I506" s="3" t="s">
        <v>914</v>
      </c>
      <c r="J506" s="3" t="s">
        <v>223</v>
      </c>
      <c r="K506" s="3">
        <v>95000</v>
      </c>
      <c r="L506" s="3">
        <v>95000</v>
      </c>
      <c r="M506" s="3">
        <v>95000</v>
      </c>
      <c r="N506" s="1"/>
      <c r="AA506" s="73" t="s">
        <v>37</v>
      </c>
    </row>
    <row r="507" spans="1:28" ht="46.5" customHeight="1" x14ac:dyDescent="0.2">
      <c r="A507" s="10" t="s">
        <v>120</v>
      </c>
      <c r="B507" s="10" t="s">
        <v>120</v>
      </c>
      <c r="C507" s="3" t="s">
        <v>120</v>
      </c>
      <c r="D507" s="3"/>
      <c r="E507" s="11" t="s">
        <v>915</v>
      </c>
      <c r="F507" s="12">
        <v>43284.1</v>
      </c>
      <c r="G507" s="12">
        <v>44284.1</v>
      </c>
      <c r="H507" s="12">
        <v>44284.1</v>
      </c>
      <c r="I507" s="3" t="s">
        <v>916</v>
      </c>
      <c r="J507" s="3" t="s">
        <v>703</v>
      </c>
      <c r="K507" s="3">
        <v>62000</v>
      </c>
      <c r="L507" s="3">
        <v>63500</v>
      </c>
      <c r="M507" s="3">
        <v>63500</v>
      </c>
      <c r="N507" s="1"/>
      <c r="AA507" s="72" t="s">
        <v>34</v>
      </c>
    </row>
    <row r="508" spans="1:28" ht="47.25" customHeight="1" x14ac:dyDescent="0.2">
      <c r="A508" s="209" t="s">
        <v>150</v>
      </c>
      <c r="B508" s="209" t="s">
        <v>150</v>
      </c>
      <c r="C508" s="207" t="s">
        <v>150</v>
      </c>
      <c r="D508" s="207"/>
      <c r="E508" s="208" t="s">
        <v>917</v>
      </c>
      <c r="F508" s="204">
        <v>121326.9</v>
      </c>
      <c r="G508" s="204">
        <v>121826.9</v>
      </c>
      <c r="H508" s="204">
        <v>121826.9</v>
      </c>
      <c r="I508" s="3" t="s">
        <v>918</v>
      </c>
      <c r="J508" s="3" t="s">
        <v>703</v>
      </c>
      <c r="K508" s="3">
        <v>9.8000000000000007</v>
      </c>
      <c r="L508" s="3">
        <v>9.9</v>
      </c>
      <c r="M508" s="3">
        <v>10</v>
      </c>
      <c r="N508" s="1"/>
      <c r="AA508" s="72" t="s">
        <v>34</v>
      </c>
      <c r="AB508" s="75" t="s">
        <v>169</v>
      </c>
    </row>
    <row r="509" spans="1:28" ht="36" customHeight="1" x14ac:dyDescent="0.2">
      <c r="A509" s="205"/>
      <c r="B509" s="205"/>
      <c r="C509" s="205"/>
      <c r="D509" s="205"/>
      <c r="E509" s="205"/>
      <c r="F509" s="205"/>
      <c r="G509" s="205"/>
      <c r="H509" s="205"/>
      <c r="I509" s="3" t="s">
        <v>919</v>
      </c>
      <c r="J509" s="3" t="s">
        <v>99</v>
      </c>
      <c r="K509" s="3">
        <v>26.5</v>
      </c>
      <c r="L509" s="3">
        <v>30</v>
      </c>
      <c r="M509" s="3">
        <v>30.1</v>
      </c>
      <c r="N509" s="1"/>
      <c r="AA509" s="73" t="s">
        <v>37</v>
      </c>
    </row>
    <row r="510" spans="1:28" ht="36" customHeight="1" x14ac:dyDescent="0.2">
      <c r="A510" s="205"/>
      <c r="B510" s="205"/>
      <c r="C510" s="205"/>
      <c r="D510" s="205"/>
      <c r="E510" s="205"/>
      <c r="F510" s="205"/>
      <c r="G510" s="205"/>
      <c r="H510" s="205"/>
      <c r="I510" s="3" t="s">
        <v>920</v>
      </c>
      <c r="J510" s="3" t="s">
        <v>223</v>
      </c>
      <c r="K510" s="3">
        <v>1000</v>
      </c>
      <c r="L510" s="3">
        <v>1000</v>
      </c>
      <c r="M510" s="3">
        <v>1000</v>
      </c>
      <c r="N510" s="1"/>
      <c r="AA510" s="73" t="s">
        <v>37</v>
      </c>
    </row>
    <row r="511" spans="1:28" ht="55.5" customHeight="1" x14ac:dyDescent="0.2">
      <c r="A511" s="206"/>
      <c r="B511" s="206"/>
      <c r="C511" s="206"/>
      <c r="D511" s="206"/>
      <c r="E511" s="206"/>
      <c r="F511" s="206"/>
      <c r="G511" s="206"/>
      <c r="H511" s="206"/>
      <c r="I511" s="3" t="s">
        <v>921</v>
      </c>
      <c r="J511" s="3" t="s">
        <v>894</v>
      </c>
      <c r="K511" s="3">
        <v>430</v>
      </c>
      <c r="L511" s="3">
        <v>440</v>
      </c>
      <c r="M511" s="3">
        <v>450</v>
      </c>
      <c r="N511" s="1"/>
      <c r="AA511" s="73" t="s">
        <v>37</v>
      </c>
    </row>
    <row r="512" spans="1:28" ht="38.25" customHeight="1" x14ac:dyDescent="0.2">
      <c r="A512" s="10" t="s">
        <v>124</v>
      </c>
      <c r="B512" s="10" t="s">
        <v>124</v>
      </c>
      <c r="C512" s="3" t="s">
        <v>124</v>
      </c>
      <c r="D512" s="3"/>
      <c r="E512" s="11" t="s">
        <v>922</v>
      </c>
      <c r="F512" s="12">
        <v>6677.7</v>
      </c>
      <c r="G512" s="12">
        <v>11998.3</v>
      </c>
      <c r="H512" s="12">
        <v>11998.3</v>
      </c>
      <c r="I512" s="3" t="s">
        <v>923</v>
      </c>
      <c r="J512" s="3" t="s">
        <v>223</v>
      </c>
      <c r="K512" s="3">
        <v>10</v>
      </c>
      <c r="L512" s="3">
        <v>12</v>
      </c>
      <c r="M512" s="3">
        <v>13</v>
      </c>
      <c r="N512" s="1"/>
      <c r="AA512" s="72" t="s">
        <v>34</v>
      </c>
      <c r="AB512" s="75" t="s">
        <v>169</v>
      </c>
    </row>
    <row r="513" spans="1:28" ht="31.5" customHeight="1" x14ac:dyDescent="0.2">
      <c r="A513" s="209" t="s">
        <v>156</v>
      </c>
      <c r="B513" s="209" t="s">
        <v>156</v>
      </c>
      <c r="C513" s="207" t="s">
        <v>156</v>
      </c>
      <c r="D513" s="207"/>
      <c r="E513" s="208" t="s">
        <v>924</v>
      </c>
      <c r="F513" s="204">
        <v>24398.7</v>
      </c>
      <c r="G513" s="204">
        <v>24598.57</v>
      </c>
      <c r="H513" s="204">
        <v>24598.560000000001</v>
      </c>
      <c r="I513" s="3" t="s">
        <v>925</v>
      </c>
      <c r="J513" s="3" t="s">
        <v>223</v>
      </c>
      <c r="K513" s="3">
        <v>1250</v>
      </c>
      <c r="L513" s="3">
        <v>1300</v>
      </c>
      <c r="M513" s="3">
        <v>1350</v>
      </c>
      <c r="N513" s="1"/>
      <c r="AA513" s="72" t="s">
        <v>34</v>
      </c>
    </row>
    <row r="514" spans="1:28" ht="31.5" customHeight="1" x14ac:dyDescent="0.2">
      <c r="A514" s="206"/>
      <c r="B514" s="206"/>
      <c r="C514" s="206"/>
      <c r="D514" s="206"/>
      <c r="E514" s="206"/>
      <c r="F514" s="206"/>
      <c r="G514" s="206"/>
      <c r="H514" s="206"/>
      <c r="I514" s="3" t="s">
        <v>926</v>
      </c>
      <c r="J514" s="3" t="s">
        <v>223</v>
      </c>
      <c r="K514" s="3">
        <v>18</v>
      </c>
      <c r="L514" s="3">
        <v>20</v>
      </c>
      <c r="M514" s="3">
        <v>25</v>
      </c>
      <c r="N514" s="1"/>
      <c r="AA514" s="73" t="s">
        <v>37</v>
      </c>
    </row>
    <row r="515" spans="1:28" ht="31.5" customHeight="1" x14ac:dyDescent="0.2">
      <c r="A515" s="209" t="s">
        <v>163</v>
      </c>
      <c r="B515" s="209" t="s">
        <v>163</v>
      </c>
      <c r="C515" s="207" t="s">
        <v>163</v>
      </c>
      <c r="D515" s="207"/>
      <c r="E515" s="208" t="s">
        <v>927</v>
      </c>
      <c r="F515" s="204">
        <v>17680</v>
      </c>
      <c r="G515" s="204">
        <v>172349</v>
      </c>
      <c r="H515" s="204">
        <v>179000</v>
      </c>
      <c r="I515" s="3" t="s">
        <v>928</v>
      </c>
      <c r="J515" s="3" t="s">
        <v>159</v>
      </c>
      <c r="K515" s="3">
        <v>1200</v>
      </c>
      <c r="L515" s="3">
        <v>1400</v>
      </c>
      <c r="M515" s="3">
        <v>1500</v>
      </c>
      <c r="N515" s="1"/>
      <c r="AA515" s="72" t="s">
        <v>34</v>
      </c>
    </row>
    <row r="516" spans="1:28" ht="31.5" customHeight="1" x14ac:dyDescent="0.2">
      <c r="A516" s="206"/>
      <c r="B516" s="206"/>
      <c r="C516" s="206"/>
      <c r="D516" s="206"/>
      <c r="E516" s="206"/>
      <c r="F516" s="206"/>
      <c r="G516" s="206"/>
      <c r="H516" s="206"/>
      <c r="I516" s="3" t="s">
        <v>929</v>
      </c>
      <c r="J516" s="3" t="s">
        <v>99</v>
      </c>
      <c r="K516" s="3">
        <v>1</v>
      </c>
      <c r="L516" s="3">
        <v>2</v>
      </c>
      <c r="M516" s="3">
        <v>3</v>
      </c>
      <c r="N516" s="1"/>
      <c r="AA516" s="73" t="s">
        <v>37</v>
      </c>
    </row>
    <row r="517" spans="1:28" ht="36" customHeight="1" x14ac:dyDescent="0.2">
      <c r="A517" s="5" t="s">
        <v>884</v>
      </c>
      <c r="B517" s="5" t="s">
        <v>930</v>
      </c>
      <c r="C517" s="6"/>
      <c r="D517" s="6"/>
      <c r="E517" s="7" t="s">
        <v>931</v>
      </c>
      <c r="F517" s="8">
        <v>5039751.8999999994</v>
      </c>
      <c r="G517" s="8">
        <v>3774682.8</v>
      </c>
      <c r="H517" s="8">
        <v>3873601</v>
      </c>
      <c r="I517" s="5" t="s">
        <v>253</v>
      </c>
      <c r="J517" s="5" t="s">
        <v>99</v>
      </c>
      <c r="K517" s="5">
        <v>100</v>
      </c>
      <c r="L517" s="5">
        <v>100</v>
      </c>
      <c r="M517" s="5">
        <v>100</v>
      </c>
      <c r="N517" s="1"/>
      <c r="AA517" s="71" t="s">
        <v>40</v>
      </c>
    </row>
    <row r="518" spans="1:28" ht="32.25" customHeight="1" x14ac:dyDescent="0.2">
      <c r="A518" s="10" t="s">
        <v>100</v>
      </c>
      <c r="B518" s="10" t="s">
        <v>100</v>
      </c>
      <c r="C518" s="3" t="s">
        <v>100</v>
      </c>
      <c r="D518" s="3"/>
      <c r="E518" s="11" t="s">
        <v>932</v>
      </c>
      <c r="F518" s="12">
        <v>46579.3</v>
      </c>
      <c r="G518" s="12">
        <v>46579.3</v>
      </c>
      <c r="H518" s="12">
        <v>46579.3</v>
      </c>
      <c r="I518" s="3" t="s">
        <v>933</v>
      </c>
      <c r="J518" s="3" t="s">
        <v>703</v>
      </c>
      <c r="K518" s="3">
        <v>4120</v>
      </c>
      <c r="L518" s="3">
        <v>4270</v>
      </c>
      <c r="M518" s="3">
        <v>4400</v>
      </c>
      <c r="N518" s="1"/>
      <c r="AA518" s="72" t="s">
        <v>34</v>
      </c>
    </row>
    <row r="519" spans="1:28" ht="23.25" customHeight="1" x14ac:dyDescent="0.2">
      <c r="A519" s="209" t="s">
        <v>120</v>
      </c>
      <c r="B519" s="209" t="s">
        <v>120</v>
      </c>
      <c r="C519" s="207" t="s">
        <v>120</v>
      </c>
      <c r="D519" s="207"/>
      <c r="E519" s="208" t="s">
        <v>934</v>
      </c>
      <c r="F519" s="204">
        <v>4890969.0999999996</v>
      </c>
      <c r="G519" s="204">
        <v>3346113.5</v>
      </c>
      <c r="H519" s="204">
        <v>3477888.7</v>
      </c>
      <c r="I519" s="3" t="s">
        <v>935</v>
      </c>
      <c r="J519" s="3" t="s">
        <v>936</v>
      </c>
      <c r="K519" s="3">
        <v>540</v>
      </c>
      <c r="L519" s="3">
        <v>565</v>
      </c>
      <c r="M519" s="3">
        <v>583</v>
      </c>
      <c r="N519" s="1"/>
      <c r="AA519" s="72" t="s">
        <v>34</v>
      </c>
    </row>
    <row r="520" spans="1:28" ht="33" customHeight="1" x14ac:dyDescent="0.2">
      <c r="A520" s="205"/>
      <c r="B520" s="205"/>
      <c r="C520" s="205"/>
      <c r="D520" s="205"/>
      <c r="E520" s="205"/>
      <c r="F520" s="205"/>
      <c r="G520" s="205"/>
      <c r="H520" s="205"/>
      <c r="I520" s="3" t="s">
        <v>937</v>
      </c>
      <c r="J520" s="3" t="s">
        <v>155</v>
      </c>
      <c r="K520" s="3">
        <v>762</v>
      </c>
      <c r="L520" s="3">
        <v>768</v>
      </c>
      <c r="M520" s="3">
        <v>774</v>
      </c>
      <c r="N520" s="1"/>
      <c r="AA520" s="73" t="s">
        <v>37</v>
      </c>
    </row>
    <row r="521" spans="1:28" ht="35.25" customHeight="1" x14ac:dyDescent="0.2">
      <c r="A521" s="205"/>
      <c r="B521" s="205"/>
      <c r="C521" s="205"/>
      <c r="D521" s="205"/>
      <c r="E521" s="205"/>
      <c r="F521" s="205"/>
      <c r="G521" s="205"/>
      <c r="H521" s="205"/>
      <c r="I521" s="3" t="s">
        <v>938</v>
      </c>
      <c r="J521" s="3" t="s">
        <v>155</v>
      </c>
      <c r="K521" s="3">
        <v>180</v>
      </c>
      <c r="L521" s="3">
        <v>196</v>
      </c>
      <c r="M521" s="3">
        <v>202</v>
      </c>
      <c r="N521" s="1"/>
      <c r="AA521" s="73" t="s">
        <v>37</v>
      </c>
    </row>
    <row r="522" spans="1:28" ht="25.5" customHeight="1" x14ac:dyDescent="0.2">
      <c r="A522" s="206"/>
      <c r="B522" s="206"/>
      <c r="C522" s="206"/>
      <c r="D522" s="206"/>
      <c r="E522" s="206"/>
      <c r="F522" s="206"/>
      <c r="G522" s="206"/>
      <c r="H522" s="206"/>
      <c r="I522" s="3" t="s">
        <v>939</v>
      </c>
      <c r="J522" s="3" t="s">
        <v>940</v>
      </c>
      <c r="K522" s="3">
        <v>6400</v>
      </c>
      <c r="L522" s="3">
        <v>6600</v>
      </c>
      <c r="M522" s="3">
        <v>7000</v>
      </c>
      <c r="N522" s="1"/>
      <c r="AA522" s="73" t="s">
        <v>37</v>
      </c>
    </row>
    <row r="523" spans="1:28" ht="29.25" customHeight="1" x14ac:dyDescent="0.2">
      <c r="A523" s="209" t="s">
        <v>150</v>
      </c>
      <c r="B523" s="209" t="s">
        <v>150</v>
      </c>
      <c r="C523" s="207" t="s">
        <v>150</v>
      </c>
      <c r="D523" s="207"/>
      <c r="E523" s="208" t="s">
        <v>941</v>
      </c>
      <c r="F523" s="204">
        <v>74412.7</v>
      </c>
      <c r="G523" s="204">
        <v>74412.7</v>
      </c>
      <c r="H523" s="204">
        <v>74412.7</v>
      </c>
      <c r="I523" s="3" t="s">
        <v>942</v>
      </c>
      <c r="J523" s="3" t="s">
        <v>99</v>
      </c>
      <c r="K523" s="3">
        <v>6.5</v>
      </c>
      <c r="L523" s="3">
        <v>7.7</v>
      </c>
      <c r="M523" s="3">
        <v>8.9</v>
      </c>
      <c r="N523" s="1"/>
      <c r="AA523" s="72" t="s">
        <v>34</v>
      </c>
      <c r="AB523" s="75" t="s">
        <v>169</v>
      </c>
    </row>
    <row r="524" spans="1:28" ht="32.25" customHeight="1" x14ac:dyDescent="0.2">
      <c r="A524" s="206"/>
      <c r="B524" s="206"/>
      <c r="C524" s="206"/>
      <c r="D524" s="206"/>
      <c r="E524" s="206"/>
      <c r="F524" s="206"/>
      <c r="G524" s="206"/>
      <c r="H524" s="206"/>
      <c r="I524" s="3" t="s">
        <v>943</v>
      </c>
      <c r="J524" s="3" t="s">
        <v>703</v>
      </c>
      <c r="K524" s="3">
        <v>60</v>
      </c>
      <c r="L524" s="3">
        <v>65</v>
      </c>
      <c r="M524" s="3">
        <v>70</v>
      </c>
      <c r="N524" s="1"/>
      <c r="AA524" s="73" t="s">
        <v>37</v>
      </c>
    </row>
    <row r="525" spans="1:28" ht="32.25" customHeight="1" x14ac:dyDescent="0.2">
      <c r="A525" s="10" t="s">
        <v>124</v>
      </c>
      <c r="B525" s="10" t="s">
        <v>124</v>
      </c>
      <c r="C525" s="3" t="s">
        <v>124</v>
      </c>
      <c r="D525" s="3"/>
      <c r="E525" s="11" t="s">
        <v>944</v>
      </c>
      <c r="F525" s="12">
        <v>27790.799999999999</v>
      </c>
      <c r="G525" s="12">
        <v>28147.8</v>
      </c>
      <c r="H525" s="12">
        <v>28147.8</v>
      </c>
      <c r="I525" s="3" t="s">
        <v>945</v>
      </c>
      <c r="J525" s="3" t="s">
        <v>99</v>
      </c>
      <c r="K525" s="3">
        <v>55</v>
      </c>
      <c r="L525" s="3">
        <v>60</v>
      </c>
      <c r="M525" s="3">
        <v>65</v>
      </c>
      <c r="N525" s="1"/>
      <c r="AA525" s="72" t="s">
        <v>34</v>
      </c>
    </row>
    <row r="526" spans="1:28" ht="29.25" customHeight="1" x14ac:dyDescent="0.2">
      <c r="A526" s="10" t="s">
        <v>94</v>
      </c>
      <c r="B526" s="10" t="s">
        <v>94</v>
      </c>
      <c r="C526" s="3" t="s">
        <v>94</v>
      </c>
      <c r="D526" s="3"/>
      <c r="E526" s="11" t="s">
        <v>946</v>
      </c>
      <c r="F526" s="12">
        <v>0</v>
      </c>
      <c r="G526" s="12">
        <v>15994.5</v>
      </c>
      <c r="H526" s="12">
        <v>0</v>
      </c>
      <c r="I526" s="3" t="s">
        <v>947</v>
      </c>
      <c r="J526" s="3" t="s">
        <v>99</v>
      </c>
      <c r="K526" s="3">
        <v>0</v>
      </c>
      <c r="L526" s="3">
        <v>80</v>
      </c>
      <c r="M526" s="3">
        <v>0</v>
      </c>
      <c r="N526" s="1"/>
      <c r="AA526" s="72" t="s">
        <v>34</v>
      </c>
    </row>
    <row r="527" spans="1:28" ht="48" customHeight="1" x14ac:dyDescent="0.2">
      <c r="A527" s="10" t="s">
        <v>247</v>
      </c>
      <c r="B527" s="10" t="s">
        <v>247</v>
      </c>
      <c r="C527" s="3" t="s">
        <v>247</v>
      </c>
      <c r="D527" s="3"/>
      <c r="E527" s="11" t="s">
        <v>948</v>
      </c>
      <c r="F527" s="12">
        <v>0</v>
      </c>
      <c r="G527" s="12">
        <v>263435</v>
      </c>
      <c r="H527" s="12">
        <v>246572.5</v>
      </c>
      <c r="I527" s="3" t="s">
        <v>949</v>
      </c>
      <c r="J527" s="3" t="s">
        <v>99</v>
      </c>
      <c r="K527" s="3">
        <v>0</v>
      </c>
      <c r="L527" s="3">
        <v>0</v>
      </c>
      <c r="M527" s="3">
        <v>0</v>
      </c>
      <c r="N527" s="1"/>
      <c r="AA527" s="72" t="s">
        <v>34</v>
      </c>
    </row>
    <row r="528" spans="1:28" ht="21.75" customHeight="1" x14ac:dyDescent="0.2">
      <c r="A528" s="5" t="s">
        <v>884</v>
      </c>
      <c r="B528" s="5" t="s">
        <v>950</v>
      </c>
      <c r="C528" s="6"/>
      <c r="D528" s="6"/>
      <c r="E528" s="7" t="s">
        <v>951</v>
      </c>
      <c r="F528" s="8">
        <v>579867.75</v>
      </c>
      <c r="G528" s="8">
        <v>85800.299999999988</v>
      </c>
      <c r="H528" s="8">
        <v>39077.599999999999</v>
      </c>
      <c r="I528" s="18" t="s">
        <v>952</v>
      </c>
      <c r="J528" s="18" t="s">
        <v>99</v>
      </c>
      <c r="K528" s="18">
        <v>15</v>
      </c>
      <c r="L528" s="18">
        <v>20</v>
      </c>
      <c r="M528" s="18">
        <v>25</v>
      </c>
      <c r="N528" s="1"/>
      <c r="AA528" s="71" t="s">
        <v>40</v>
      </c>
    </row>
    <row r="529" spans="1:28" ht="33.75" customHeight="1" x14ac:dyDescent="0.2">
      <c r="A529" s="10" t="s">
        <v>100</v>
      </c>
      <c r="B529" s="10" t="s">
        <v>100</v>
      </c>
      <c r="C529" s="3" t="s">
        <v>100</v>
      </c>
      <c r="D529" s="3"/>
      <c r="E529" s="11" t="s">
        <v>953</v>
      </c>
      <c r="F529" s="12">
        <v>35027.599999999999</v>
      </c>
      <c r="G529" s="12">
        <v>39077.599999999999</v>
      </c>
      <c r="H529" s="12">
        <v>39077.599999999999</v>
      </c>
      <c r="I529" s="3" t="s">
        <v>952</v>
      </c>
      <c r="J529" s="3" t="s">
        <v>99</v>
      </c>
      <c r="K529" s="3">
        <v>15</v>
      </c>
      <c r="L529" s="3">
        <v>20</v>
      </c>
      <c r="M529" s="3">
        <v>25</v>
      </c>
      <c r="N529" s="1"/>
      <c r="AA529" s="72" t="s">
        <v>34</v>
      </c>
    </row>
    <row r="530" spans="1:28" ht="42.75" customHeight="1" x14ac:dyDescent="0.2">
      <c r="A530" s="10" t="s">
        <v>163</v>
      </c>
      <c r="B530" s="10" t="s">
        <v>163</v>
      </c>
      <c r="C530" s="3" t="s">
        <v>163</v>
      </c>
      <c r="D530" s="3"/>
      <c r="E530" s="11" t="s">
        <v>954</v>
      </c>
      <c r="F530" s="12">
        <v>9723.9500000000007</v>
      </c>
      <c r="G530" s="12">
        <v>0</v>
      </c>
      <c r="H530" s="12">
        <v>0</v>
      </c>
      <c r="I530" s="3" t="s">
        <v>955</v>
      </c>
      <c r="J530" s="3" t="s">
        <v>99</v>
      </c>
      <c r="K530" s="3">
        <v>100</v>
      </c>
      <c r="L530" s="3">
        <v>0</v>
      </c>
      <c r="M530" s="3">
        <v>0</v>
      </c>
      <c r="N530" s="1"/>
      <c r="AA530" s="72" t="s">
        <v>34</v>
      </c>
      <c r="AB530" s="75" t="s">
        <v>123</v>
      </c>
    </row>
    <row r="531" spans="1:28" ht="48" customHeight="1" x14ac:dyDescent="0.2">
      <c r="A531" s="10" t="s">
        <v>166</v>
      </c>
      <c r="B531" s="10" t="s">
        <v>166</v>
      </c>
      <c r="C531" s="3" t="s">
        <v>166</v>
      </c>
      <c r="D531" s="3"/>
      <c r="E531" s="11" t="s">
        <v>956</v>
      </c>
      <c r="F531" s="12">
        <v>60112</v>
      </c>
      <c r="G531" s="12">
        <v>0</v>
      </c>
      <c r="H531" s="12">
        <v>0</v>
      </c>
      <c r="I531" s="3" t="s">
        <v>957</v>
      </c>
      <c r="J531" s="3" t="s">
        <v>99</v>
      </c>
      <c r="K531" s="3">
        <v>100</v>
      </c>
      <c r="L531" s="3">
        <v>0</v>
      </c>
      <c r="M531" s="3">
        <v>0</v>
      </c>
      <c r="N531" s="1"/>
      <c r="AA531" s="72" t="s">
        <v>34</v>
      </c>
      <c r="AB531" s="75" t="s">
        <v>123</v>
      </c>
    </row>
    <row r="532" spans="1:28" ht="58.5" customHeight="1" x14ac:dyDescent="0.2">
      <c r="A532" s="10" t="s">
        <v>113</v>
      </c>
      <c r="B532" s="10" t="s">
        <v>113</v>
      </c>
      <c r="C532" s="3" t="s">
        <v>113</v>
      </c>
      <c r="D532" s="3"/>
      <c r="E532" s="11" t="s">
        <v>958</v>
      </c>
      <c r="F532" s="12">
        <v>88400</v>
      </c>
      <c r="G532" s="12">
        <v>0</v>
      </c>
      <c r="H532" s="12">
        <v>0</v>
      </c>
      <c r="I532" s="3" t="s">
        <v>959</v>
      </c>
      <c r="J532" s="3" t="s">
        <v>99</v>
      </c>
      <c r="K532" s="3">
        <v>100</v>
      </c>
      <c r="L532" s="3">
        <v>0</v>
      </c>
      <c r="M532" s="3">
        <v>0</v>
      </c>
      <c r="N532" s="1"/>
      <c r="AA532" s="72" t="s">
        <v>34</v>
      </c>
      <c r="AB532" s="75" t="s">
        <v>960</v>
      </c>
    </row>
    <row r="533" spans="1:28" ht="48" customHeight="1" x14ac:dyDescent="0.2">
      <c r="A533" s="10" t="s">
        <v>127</v>
      </c>
      <c r="B533" s="10" t="s">
        <v>127</v>
      </c>
      <c r="C533" s="3" t="s">
        <v>127</v>
      </c>
      <c r="D533" s="3"/>
      <c r="E533" s="11" t="s">
        <v>961</v>
      </c>
      <c r="F533" s="12">
        <v>197503.3</v>
      </c>
      <c r="G533" s="12">
        <v>46722.7</v>
      </c>
      <c r="H533" s="12">
        <v>0</v>
      </c>
      <c r="I533" s="3" t="s">
        <v>949</v>
      </c>
      <c r="J533" s="3" t="s">
        <v>99</v>
      </c>
      <c r="K533" s="3">
        <v>100</v>
      </c>
      <c r="L533" s="3">
        <v>100</v>
      </c>
      <c r="M533" s="3">
        <v>0</v>
      </c>
      <c r="N533" s="1"/>
      <c r="AA533" s="72" t="s">
        <v>34</v>
      </c>
      <c r="AB533" s="75" t="s">
        <v>123</v>
      </c>
    </row>
    <row r="534" spans="1:28" ht="29.25" customHeight="1" x14ac:dyDescent="0.2">
      <c r="A534" s="10" t="s">
        <v>134</v>
      </c>
      <c r="B534" s="10" t="s">
        <v>134</v>
      </c>
      <c r="C534" s="3" t="s">
        <v>134</v>
      </c>
      <c r="D534" s="3"/>
      <c r="E534" s="11" t="s">
        <v>962</v>
      </c>
      <c r="F534" s="12">
        <v>4420</v>
      </c>
      <c r="G534" s="12">
        <v>0</v>
      </c>
      <c r="H534" s="12">
        <v>0</v>
      </c>
      <c r="I534" s="3" t="s">
        <v>963</v>
      </c>
      <c r="J534" s="3" t="s">
        <v>99</v>
      </c>
      <c r="K534" s="3">
        <v>100</v>
      </c>
      <c r="L534" s="3">
        <v>0</v>
      </c>
      <c r="M534" s="3">
        <v>0</v>
      </c>
      <c r="N534" s="1"/>
      <c r="AA534" s="72" t="s">
        <v>34</v>
      </c>
      <c r="AB534" s="75" t="s">
        <v>123</v>
      </c>
    </row>
    <row r="535" spans="1:28" ht="30" customHeight="1" x14ac:dyDescent="0.2">
      <c r="A535" s="10" t="s">
        <v>142</v>
      </c>
      <c r="B535" s="10" t="s">
        <v>142</v>
      </c>
      <c r="C535" s="3" t="s">
        <v>142</v>
      </c>
      <c r="D535" s="3"/>
      <c r="E535" s="11" t="s">
        <v>964</v>
      </c>
      <c r="F535" s="12">
        <v>182382.5</v>
      </c>
      <c r="G535" s="12">
        <v>0</v>
      </c>
      <c r="H535" s="12">
        <v>0</v>
      </c>
      <c r="I535" s="3" t="s">
        <v>965</v>
      </c>
      <c r="J535" s="3" t="s">
        <v>99</v>
      </c>
      <c r="K535" s="3">
        <v>100</v>
      </c>
      <c r="L535" s="3">
        <v>0</v>
      </c>
      <c r="M535" s="3">
        <v>0</v>
      </c>
      <c r="N535" s="1"/>
      <c r="AA535" s="72" t="s">
        <v>34</v>
      </c>
      <c r="AB535" s="75" t="s">
        <v>123</v>
      </c>
    </row>
    <row r="536" spans="1:28" ht="36" customHeight="1" x14ac:dyDescent="0.2">
      <c r="A536" s="10" t="s">
        <v>199</v>
      </c>
      <c r="B536" s="10" t="s">
        <v>199</v>
      </c>
      <c r="C536" s="3" t="s">
        <v>199</v>
      </c>
      <c r="D536" s="3"/>
      <c r="E536" s="11" t="s">
        <v>966</v>
      </c>
      <c r="F536" s="12">
        <v>2298.4</v>
      </c>
      <c r="G536" s="12">
        <v>0</v>
      </c>
      <c r="H536" s="12">
        <v>0</v>
      </c>
      <c r="I536" s="3" t="s">
        <v>965</v>
      </c>
      <c r="J536" s="3" t="s">
        <v>99</v>
      </c>
      <c r="K536" s="3">
        <v>100</v>
      </c>
      <c r="L536" s="3">
        <v>0</v>
      </c>
      <c r="M536" s="3">
        <v>0</v>
      </c>
      <c r="N536" s="1"/>
      <c r="AA536" s="72" t="s">
        <v>34</v>
      </c>
      <c r="AB536" s="75" t="s">
        <v>960</v>
      </c>
    </row>
    <row r="537" spans="1:28" ht="25.5" customHeight="1" x14ac:dyDescent="0.2">
      <c r="A537" s="18">
        <v>41</v>
      </c>
      <c r="B537" s="18" t="s">
        <v>408</v>
      </c>
      <c r="C537" s="45" t="s">
        <v>100</v>
      </c>
      <c r="D537" s="18"/>
      <c r="E537" s="43" t="s">
        <v>409</v>
      </c>
      <c r="F537" s="44">
        <v>10395765.5</v>
      </c>
      <c r="G537" s="44">
        <v>7466341.2000000002</v>
      </c>
      <c r="H537" s="44">
        <v>10459384</v>
      </c>
      <c r="I537" s="46" t="s">
        <v>347</v>
      </c>
      <c r="J537" s="46" t="s">
        <v>99</v>
      </c>
      <c r="K537" s="46">
        <v>100</v>
      </c>
      <c r="L537" s="46">
        <v>100</v>
      </c>
      <c r="M537" s="46">
        <v>100</v>
      </c>
      <c r="N537" s="1"/>
      <c r="AA537" s="72" t="s">
        <v>34</v>
      </c>
    </row>
    <row r="538" spans="1:28" x14ac:dyDescent="0.2">
      <c r="A538" s="210" t="s">
        <v>112</v>
      </c>
      <c r="B538" s="202"/>
      <c r="C538" s="202"/>
      <c r="D538" s="202"/>
      <c r="E538" s="203"/>
      <c r="F538" s="13">
        <v>18215242.100000001</v>
      </c>
      <c r="G538" s="13">
        <v>13719244.470000001</v>
      </c>
      <c r="H538" s="13">
        <v>16772133.76</v>
      </c>
      <c r="I538" s="201"/>
      <c r="J538" s="202"/>
      <c r="K538" s="202"/>
      <c r="L538" s="202"/>
      <c r="M538" s="203"/>
      <c r="N538" s="1"/>
      <c r="AA538" s="74" t="s">
        <v>46</v>
      </c>
    </row>
    <row r="539" spans="1:28" ht="15" customHeight="1" x14ac:dyDescent="0.2">
      <c r="A539" s="4" t="s">
        <v>967</v>
      </c>
      <c r="B539" s="212" t="s">
        <v>968</v>
      </c>
      <c r="C539" s="202"/>
      <c r="D539" s="202"/>
      <c r="E539" s="202"/>
      <c r="F539" s="202"/>
      <c r="G539" s="202"/>
      <c r="H539" s="202"/>
      <c r="I539" s="202"/>
      <c r="J539" s="202"/>
      <c r="K539" s="202"/>
      <c r="L539" s="202"/>
      <c r="M539" s="203"/>
      <c r="N539" s="1"/>
      <c r="AA539" s="70" t="s">
        <v>43</v>
      </c>
    </row>
    <row r="540" spans="1:28" ht="45" customHeight="1" x14ac:dyDescent="0.2">
      <c r="A540" s="5" t="s">
        <v>967</v>
      </c>
      <c r="B540" s="5" t="s">
        <v>96</v>
      </c>
      <c r="C540" s="6"/>
      <c r="D540" s="6"/>
      <c r="E540" s="7" t="s">
        <v>97</v>
      </c>
      <c r="F540" s="8">
        <v>99554.4</v>
      </c>
      <c r="G540" s="8">
        <v>101545.56</v>
      </c>
      <c r="H540" s="8">
        <v>103325.77</v>
      </c>
      <c r="I540" s="18" t="s">
        <v>969</v>
      </c>
      <c r="J540" s="18" t="s">
        <v>854</v>
      </c>
      <c r="K540" s="18">
        <v>962.8</v>
      </c>
      <c r="L540" s="18">
        <v>1010.9</v>
      </c>
      <c r="M540" s="18">
        <v>1061.4000000000001</v>
      </c>
      <c r="N540" s="1"/>
      <c r="AA540" s="71" t="s">
        <v>40</v>
      </c>
    </row>
    <row r="541" spans="1:28" ht="33.75" customHeight="1" x14ac:dyDescent="0.2">
      <c r="A541" s="209" t="s">
        <v>100</v>
      </c>
      <c r="B541" s="209" t="s">
        <v>100</v>
      </c>
      <c r="C541" s="207" t="s">
        <v>100</v>
      </c>
      <c r="D541" s="207"/>
      <c r="E541" s="208" t="s">
        <v>101</v>
      </c>
      <c r="F541" s="204">
        <v>99554.4</v>
      </c>
      <c r="G541" s="204">
        <v>101545.56</v>
      </c>
      <c r="H541" s="204">
        <v>103325.77</v>
      </c>
      <c r="I541" s="3" t="s">
        <v>970</v>
      </c>
      <c r="J541" s="3" t="s">
        <v>894</v>
      </c>
      <c r="K541" s="3">
        <v>220.4</v>
      </c>
      <c r="L541" s="3">
        <v>231.4</v>
      </c>
      <c r="M541" s="3">
        <v>243</v>
      </c>
      <c r="N541" s="1"/>
      <c r="AA541" s="72" t="s">
        <v>34</v>
      </c>
    </row>
    <row r="542" spans="1:28" ht="48.75" customHeight="1" x14ac:dyDescent="0.2">
      <c r="A542" s="206"/>
      <c r="B542" s="206"/>
      <c r="C542" s="206"/>
      <c r="D542" s="206"/>
      <c r="E542" s="206"/>
      <c r="F542" s="206"/>
      <c r="G542" s="206"/>
      <c r="H542" s="206"/>
      <c r="I542" s="3" t="s">
        <v>971</v>
      </c>
      <c r="J542" s="3" t="s">
        <v>854</v>
      </c>
      <c r="K542" s="3">
        <v>793</v>
      </c>
      <c r="L542" s="3">
        <v>832.6</v>
      </c>
      <c r="M542" s="3">
        <v>874.2</v>
      </c>
      <c r="N542" s="1"/>
      <c r="AA542" s="73" t="s">
        <v>37</v>
      </c>
    </row>
    <row r="543" spans="1:28" ht="30.75" customHeight="1" x14ac:dyDescent="0.2">
      <c r="A543" s="5" t="s">
        <v>967</v>
      </c>
      <c r="B543" s="5" t="s">
        <v>972</v>
      </c>
      <c r="C543" s="6"/>
      <c r="D543" s="6"/>
      <c r="E543" s="7" t="s">
        <v>973</v>
      </c>
      <c r="F543" s="8">
        <v>24578.1</v>
      </c>
      <c r="G543" s="8">
        <v>25069.7</v>
      </c>
      <c r="H543" s="8">
        <v>25571.1</v>
      </c>
      <c r="I543" s="5" t="s">
        <v>253</v>
      </c>
      <c r="J543" s="5" t="s">
        <v>99</v>
      </c>
      <c r="K543" s="5">
        <v>100</v>
      </c>
      <c r="L543" s="5">
        <v>100</v>
      </c>
      <c r="M543" s="5">
        <v>100</v>
      </c>
      <c r="N543" s="1"/>
      <c r="AA543" s="71" t="s">
        <v>40</v>
      </c>
      <c r="AB543" s="75" t="s">
        <v>169</v>
      </c>
    </row>
    <row r="544" spans="1:28" ht="48" customHeight="1" x14ac:dyDescent="0.2">
      <c r="A544" s="10" t="s">
        <v>100</v>
      </c>
      <c r="B544" s="10" t="s">
        <v>100</v>
      </c>
      <c r="C544" s="3" t="s">
        <v>100</v>
      </c>
      <c r="D544" s="3"/>
      <c r="E544" s="11" t="s">
        <v>974</v>
      </c>
      <c r="F544" s="12">
        <v>24578.1</v>
      </c>
      <c r="G544" s="12">
        <v>25069.7</v>
      </c>
      <c r="H544" s="12">
        <v>25571.1</v>
      </c>
      <c r="I544" s="3" t="s">
        <v>975</v>
      </c>
      <c r="J544" s="3" t="s">
        <v>159</v>
      </c>
      <c r="K544" s="3">
        <v>50</v>
      </c>
      <c r="L544" s="3">
        <v>54</v>
      </c>
      <c r="M544" s="3">
        <v>60</v>
      </c>
      <c r="N544" s="1"/>
      <c r="AA544" s="72" t="s">
        <v>34</v>
      </c>
    </row>
    <row r="545" spans="1:27" x14ac:dyDescent="0.2">
      <c r="A545" s="210" t="s">
        <v>112</v>
      </c>
      <c r="B545" s="202"/>
      <c r="C545" s="202"/>
      <c r="D545" s="202"/>
      <c r="E545" s="203"/>
      <c r="F545" s="13">
        <v>124132.5</v>
      </c>
      <c r="G545" s="13">
        <v>126615.26</v>
      </c>
      <c r="H545" s="13">
        <v>128896.87</v>
      </c>
      <c r="I545" s="201"/>
      <c r="J545" s="202"/>
      <c r="K545" s="202"/>
      <c r="L545" s="202"/>
      <c r="M545" s="203"/>
      <c r="N545" s="1"/>
      <c r="AA545" s="74" t="s">
        <v>46</v>
      </c>
    </row>
    <row r="546" spans="1:27" ht="15" customHeight="1" x14ac:dyDescent="0.2">
      <c r="A546" s="4" t="s">
        <v>976</v>
      </c>
      <c r="B546" s="212" t="s">
        <v>977</v>
      </c>
      <c r="C546" s="202"/>
      <c r="D546" s="202"/>
      <c r="E546" s="202"/>
      <c r="F546" s="202"/>
      <c r="G546" s="202"/>
      <c r="H546" s="202"/>
      <c r="I546" s="202"/>
      <c r="J546" s="202"/>
      <c r="K546" s="202"/>
      <c r="L546" s="202"/>
      <c r="M546" s="203"/>
      <c r="N546" s="1"/>
      <c r="AA546" s="70" t="s">
        <v>43</v>
      </c>
    </row>
    <row r="547" spans="1:27" ht="21.75" customHeight="1" x14ac:dyDescent="0.2">
      <c r="A547" s="5" t="s">
        <v>976</v>
      </c>
      <c r="B547" s="5" t="s">
        <v>96</v>
      </c>
      <c r="C547" s="6"/>
      <c r="D547" s="6"/>
      <c r="E547" s="7" t="s">
        <v>97</v>
      </c>
      <c r="F547" s="8">
        <v>119287.5</v>
      </c>
      <c r="G547" s="8">
        <v>149718.29999999999</v>
      </c>
      <c r="H547" s="8">
        <v>151925.4</v>
      </c>
      <c r="I547" s="18" t="s">
        <v>304</v>
      </c>
      <c r="J547" s="18" t="s">
        <v>103</v>
      </c>
      <c r="K547" s="18">
        <v>0.65</v>
      </c>
      <c r="L547" s="18">
        <v>0.66</v>
      </c>
      <c r="M547" s="18">
        <v>0.66</v>
      </c>
      <c r="N547" s="1"/>
      <c r="AA547" s="71" t="s">
        <v>40</v>
      </c>
    </row>
    <row r="548" spans="1:27" ht="33" customHeight="1" x14ac:dyDescent="0.2">
      <c r="A548" s="10" t="s">
        <v>100</v>
      </c>
      <c r="B548" s="10" t="s">
        <v>100</v>
      </c>
      <c r="C548" s="3" t="s">
        <v>100</v>
      </c>
      <c r="D548" s="3"/>
      <c r="E548" s="11" t="s">
        <v>101</v>
      </c>
      <c r="F548" s="12">
        <v>119287.5</v>
      </c>
      <c r="G548" s="12">
        <v>149718.29999999999</v>
      </c>
      <c r="H548" s="12">
        <v>151925.4</v>
      </c>
      <c r="I548" s="3" t="s">
        <v>304</v>
      </c>
      <c r="J548" s="3" t="s">
        <v>103</v>
      </c>
      <c r="K548" s="3">
        <v>0.65</v>
      </c>
      <c r="L548" s="3">
        <v>0.66</v>
      </c>
      <c r="M548" s="3">
        <v>0.66</v>
      </c>
      <c r="N548" s="1"/>
      <c r="AA548" s="72" t="s">
        <v>34</v>
      </c>
    </row>
    <row r="549" spans="1:27" ht="32.25" customHeight="1" x14ac:dyDescent="0.2">
      <c r="A549" s="5" t="s">
        <v>976</v>
      </c>
      <c r="B549" s="5" t="s">
        <v>978</v>
      </c>
      <c r="C549" s="6"/>
      <c r="D549" s="6"/>
      <c r="E549" s="7" t="s">
        <v>979</v>
      </c>
      <c r="F549" s="8">
        <v>8025670.7000000002</v>
      </c>
      <c r="G549" s="8">
        <v>8614356.5</v>
      </c>
      <c r="H549" s="8">
        <v>8793684.1000000015</v>
      </c>
      <c r="I549" s="5" t="s">
        <v>980</v>
      </c>
      <c r="J549" s="5" t="s">
        <v>99</v>
      </c>
      <c r="K549" s="5">
        <v>100</v>
      </c>
      <c r="L549" s="5">
        <v>100</v>
      </c>
      <c r="M549" s="5">
        <v>100</v>
      </c>
      <c r="N549" s="1"/>
      <c r="AA549" s="71" t="s">
        <v>40</v>
      </c>
    </row>
    <row r="550" spans="1:27" ht="37.5" customHeight="1" x14ac:dyDescent="0.2">
      <c r="A550" s="10" t="s">
        <v>100</v>
      </c>
      <c r="B550" s="10" t="s">
        <v>100</v>
      </c>
      <c r="C550" s="3" t="s">
        <v>100</v>
      </c>
      <c r="D550" s="3"/>
      <c r="E550" s="11" t="s">
        <v>981</v>
      </c>
      <c r="F550" s="12">
        <v>120100</v>
      </c>
      <c r="G550" s="12">
        <v>142500</v>
      </c>
      <c r="H550" s="12">
        <v>150000</v>
      </c>
      <c r="I550" s="3" t="s">
        <v>982</v>
      </c>
      <c r="J550" s="3" t="s">
        <v>155</v>
      </c>
      <c r="K550" s="3">
        <v>210</v>
      </c>
      <c r="L550" s="3">
        <v>195</v>
      </c>
      <c r="M550" s="3">
        <v>198</v>
      </c>
      <c r="N550" s="1"/>
      <c r="AA550" s="72" t="s">
        <v>34</v>
      </c>
    </row>
    <row r="551" spans="1:27" ht="48.75" customHeight="1" x14ac:dyDescent="0.2">
      <c r="A551" s="10" t="s">
        <v>120</v>
      </c>
      <c r="B551" s="10" t="s">
        <v>120</v>
      </c>
      <c r="C551" s="3" t="s">
        <v>120</v>
      </c>
      <c r="D551" s="3"/>
      <c r="E551" s="11" t="s">
        <v>983</v>
      </c>
      <c r="F551" s="12">
        <v>4000000</v>
      </c>
      <c r="G551" s="12">
        <v>4000000</v>
      </c>
      <c r="H551" s="12">
        <v>4500000</v>
      </c>
      <c r="I551" s="3" t="s">
        <v>984</v>
      </c>
      <c r="J551" s="3" t="s">
        <v>936</v>
      </c>
      <c r="K551" s="3">
        <v>510</v>
      </c>
      <c r="L551" s="3">
        <v>510</v>
      </c>
      <c r="M551" s="3">
        <v>580</v>
      </c>
      <c r="N551" s="1"/>
      <c r="AA551" s="72" t="s">
        <v>34</v>
      </c>
    </row>
    <row r="552" spans="1:27" ht="36.75" customHeight="1" x14ac:dyDescent="0.2">
      <c r="A552" s="10" t="s">
        <v>150</v>
      </c>
      <c r="B552" s="10" t="s">
        <v>150</v>
      </c>
      <c r="C552" s="3" t="s">
        <v>150</v>
      </c>
      <c r="D552" s="3"/>
      <c r="E552" s="11" t="s">
        <v>985</v>
      </c>
      <c r="F552" s="12">
        <v>2097500.7000000002</v>
      </c>
      <c r="G552" s="12">
        <v>2518831.2000000002</v>
      </c>
      <c r="H552" s="12">
        <v>2533468.7999999998</v>
      </c>
      <c r="I552" s="3" t="s">
        <v>986</v>
      </c>
      <c r="J552" s="3" t="s">
        <v>987</v>
      </c>
      <c r="K552" s="3">
        <v>150</v>
      </c>
      <c r="L552" s="3">
        <v>155</v>
      </c>
      <c r="M552" s="3">
        <v>160</v>
      </c>
      <c r="N552" s="1"/>
      <c r="AA552" s="72" t="s">
        <v>34</v>
      </c>
    </row>
    <row r="553" spans="1:27" ht="44.25" customHeight="1" x14ac:dyDescent="0.2">
      <c r="A553" s="10" t="s">
        <v>124</v>
      </c>
      <c r="B553" s="10" t="s">
        <v>124</v>
      </c>
      <c r="C553" s="3" t="s">
        <v>124</v>
      </c>
      <c r="D553" s="3"/>
      <c r="E553" s="11" t="s">
        <v>988</v>
      </c>
      <c r="F553" s="12">
        <v>1000000</v>
      </c>
      <c r="G553" s="12">
        <v>1400000</v>
      </c>
      <c r="H553" s="12">
        <v>1500000</v>
      </c>
      <c r="I553" s="3" t="s">
        <v>989</v>
      </c>
      <c r="J553" s="3" t="s">
        <v>99</v>
      </c>
      <c r="K553" s="3">
        <v>65</v>
      </c>
      <c r="L553" s="3">
        <v>70</v>
      </c>
      <c r="M553" s="3">
        <v>75</v>
      </c>
      <c r="N553" s="1"/>
      <c r="AA553" s="72" t="s">
        <v>34</v>
      </c>
    </row>
    <row r="554" spans="1:27" ht="46.5" customHeight="1" x14ac:dyDescent="0.2">
      <c r="A554" s="10" t="s">
        <v>156</v>
      </c>
      <c r="B554" s="10" t="s">
        <v>156</v>
      </c>
      <c r="C554" s="3" t="s">
        <v>156</v>
      </c>
      <c r="D554" s="3"/>
      <c r="E554" s="11" t="s">
        <v>990</v>
      </c>
      <c r="F554" s="12">
        <v>102170</v>
      </c>
      <c r="G554" s="12">
        <v>109525.3</v>
      </c>
      <c r="H554" s="12">
        <v>110215.3</v>
      </c>
      <c r="I554" s="3" t="s">
        <v>991</v>
      </c>
      <c r="J554" s="3" t="s">
        <v>99</v>
      </c>
      <c r="K554" s="3">
        <v>100</v>
      </c>
      <c r="L554" s="3">
        <v>100</v>
      </c>
      <c r="M554" s="3">
        <v>100</v>
      </c>
      <c r="N554" s="1"/>
      <c r="AA554" s="72" t="s">
        <v>34</v>
      </c>
    </row>
    <row r="555" spans="1:27" ht="32.25" customHeight="1" x14ac:dyDescent="0.2">
      <c r="A555" s="10" t="s">
        <v>160</v>
      </c>
      <c r="B555" s="10" t="s">
        <v>160</v>
      </c>
      <c r="C555" s="3" t="s">
        <v>160</v>
      </c>
      <c r="D555" s="3"/>
      <c r="E555" s="11" t="s">
        <v>992</v>
      </c>
      <c r="F555" s="12">
        <v>705900</v>
      </c>
      <c r="G555" s="12">
        <v>443500</v>
      </c>
      <c r="H555" s="12">
        <v>0</v>
      </c>
      <c r="I555" s="3" t="s">
        <v>993</v>
      </c>
      <c r="J555" s="3" t="s">
        <v>99</v>
      </c>
      <c r="K555" s="3">
        <v>15</v>
      </c>
      <c r="L555" s="3">
        <v>15</v>
      </c>
      <c r="M555" s="3">
        <v>0</v>
      </c>
      <c r="N555" s="1"/>
      <c r="AA555" s="72" t="s">
        <v>34</v>
      </c>
    </row>
    <row r="556" spans="1:27" ht="33" customHeight="1" x14ac:dyDescent="0.2">
      <c r="A556" s="5" t="s">
        <v>976</v>
      </c>
      <c r="B556" s="5" t="s">
        <v>994</v>
      </c>
      <c r="C556" s="6"/>
      <c r="D556" s="6"/>
      <c r="E556" s="7" t="s">
        <v>995</v>
      </c>
      <c r="F556" s="8">
        <v>1410765.1</v>
      </c>
      <c r="G556" s="8">
        <v>1957135.5</v>
      </c>
      <c r="H556" s="8">
        <v>2131389.7999999998</v>
      </c>
      <c r="I556" s="5" t="s">
        <v>253</v>
      </c>
      <c r="J556" s="5" t="s">
        <v>99</v>
      </c>
      <c r="K556" s="5">
        <v>100</v>
      </c>
      <c r="L556" s="5">
        <v>100</v>
      </c>
      <c r="M556" s="5">
        <v>100</v>
      </c>
      <c r="N556" s="1"/>
      <c r="AA556" s="71" t="s">
        <v>40</v>
      </c>
    </row>
    <row r="557" spans="1:27" ht="34.5" customHeight="1" x14ac:dyDescent="0.2">
      <c r="A557" s="209" t="s">
        <v>120</v>
      </c>
      <c r="B557" s="209" t="s">
        <v>120</v>
      </c>
      <c r="C557" s="207" t="s">
        <v>120</v>
      </c>
      <c r="D557" s="207"/>
      <c r="E557" s="208" t="s">
        <v>996</v>
      </c>
      <c r="F557" s="204">
        <v>6188</v>
      </c>
      <c r="G557" s="204">
        <v>0</v>
      </c>
      <c r="H557" s="204">
        <v>0</v>
      </c>
      <c r="I557" s="3" t="s">
        <v>997</v>
      </c>
      <c r="J557" s="3" t="s">
        <v>936</v>
      </c>
      <c r="K557" s="3">
        <v>395</v>
      </c>
      <c r="L557" s="3">
        <v>0</v>
      </c>
      <c r="M557" s="3">
        <v>0</v>
      </c>
      <c r="N557" s="1"/>
      <c r="AA557" s="72" t="s">
        <v>34</v>
      </c>
    </row>
    <row r="558" spans="1:27" ht="30" customHeight="1" x14ac:dyDescent="0.2">
      <c r="A558" s="205"/>
      <c r="B558" s="205"/>
      <c r="C558" s="205"/>
      <c r="D558" s="205"/>
      <c r="E558" s="205"/>
      <c r="F558" s="205"/>
      <c r="G558" s="205"/>
      <c r="H558" s="205"/>
      <c r="I558" s="3" t="s">
        <v>998</v>
      </c>
      <c r="J558" s="3" t="s">
        <v>936</v>
      </c>
      <c r="K558" s="3">
        <v>0</v>
      </c>
      <c r="L558" s="3">
        <v>0</v>
      </c>
      <c r="M558" s="3">
        <v>0</v>
      </c>
      <c r="N558" s="1"/>
      <c r="AA558" s="73" t="s">
        <v>37</v>
      </c>
    </row>
    <row r="559" spans="1:27" ht="43.5" customHeight="1" x14ac:dyDescent="0.2">
      <c r="A559" s="206"/>
      <c r="B559" s="206"/>
      <c r="C559" s="206"/>
      <c r="D559" s="206"/>
      <c r="E559" s="206"/>
      <c r="F559" s="206"/>
      <c r="G559" s="206"/>
      <c r="H559" s="206"/>
      <c r="I559" s="3" t="s">
        <v>999</v>
      </c>
      <c r="J559" s="3" t="s">
        <v>99</v>
      </c>
      <c r="K559" s="3">
        <v>0</v>
      </c>
      <c r="L559" s="3">
        <v>0</v>
      </c>
      <c r="M559" s="3">
        <v>0</v>
      </c>
      <c r="N559" s="1"/>
      <c r="AA559" s="73" t="s">
        <v>37</v>
      </c>
    </row>
    <row r="560" spans="1:27" ht="33" customHeight="1" x14ac:dyDescent="0.2">
      <c r="A560" s="209" t="s">
        <v>156</v>
      </c>
      <c r="B560" s="209" t="s">
        <v>156</v>
      </c>
      <c r="C560" s="207" t="s">
        <v>156</v>
      </c>
      <c r="D560" s="207"/>
      <c r="E560" s="208" t="s">
        <v>1000</v>
      </c>
      <c r="F560" s="204">
        <v>185038.9</v>
      </c>
      <c r="G560" s="204">
        <v>291922.59999999998</v>
      </c>
      <c r="H560" s="204">
        <v>131798.6</v>
      </c>
      <c r="I560" s="3" t="s">
        <v>997</v>
      </c>
      <c r="J560" s="3" t="s">
        <v>936</v>
      </c>
      <c r="K560" s="3">
        <v>199</v>
      </c>
      <c r="L560" s="3">
        <v>199</v>
      </c>
      <c r="M560" s="3">
        <v>199</v>
      </c>
      <c r="N560" s="1"/>
      <c r="AA560" s="72" t="s">
        <v>34</v>
      </c>
    </row>
    <row r="561" spans="1:28" ht="37.5" customHeight="1" x14ac:dyDescent="0.2">
      <c r="A561" s="205"/>
      <c r="B561" s="205"/>
      <c r="C561" s="205"/>
      <c r="D561" s="205"/>
      <c r="E561" s="205"/>
      <c r="F561" s="205"/>
      <c r="G561" s="205"/>
      <c r="H561" s="205"/>
      <c r="I561" s="3" t="s">
        <v>1001</v>
      </c>
      <c r="J561" s="3" t="s">
        <v>936</v>
      </c>
      <c r="K561" s="3">
        <v>0</v>
      </c>
      <c r="L561" s="3">
        <v>20</v>
      </c>
      <c r="M561" s="3">
        <v>65</v>
      </c>
      <c r="N561" s="1"/>
      <c r="AA561" s="73" t="s">
        <v>37</v>
      </c>
    </row>
    <row r="562" spans="1:28" ht="56.25" customHeight="1" x14ac:dyDescent="0.2">
      <c r="A562" s="205"/>
      <c r="B562" s="205"/>
      <c r="C562" s="205"/>
      <c r="D562" s="205"/>
      <c r="E562" s="205"/>
      <c r="F562" s="205"/>
      <c r="G562" s="205"/>
      <c r="H562" s="205"/>
      <c r="I562" s="3" t="s">
        <v>1002</v>
      </c>
      <c r="J562" s="3" t="s">
        <v>99</v>
      </c>
      <c r="K562" s="3">
        <v>0</v>
      </c>
      <c r="L562" s="3">
        <v>10.1</v>
      </c>
      <c r="M562" s="3">
        <v>32.700000000000003</v>
      </c>
      <c r="N562" s="1"/>
      <c r="AA562" s="73" t="s">
        <v>37</v>
      </c>
    </row>
    <row r="563" spans="1:28" ht="30" customHeight="1" x14ac:dyDescent="0.2">
      <c r="A563" s="205"/>
      <c r="B563" s="205"/>
      <c r="C563" s="205"/>
      <c r="D563" s="205"/>
      <c r="E563" s="205"/>
      <c r="F563" s="205"/>
      <c r="G563" s="205"/>
      <c r="H563" s="205"/>
      <c r="I563" s="3" t="s">
        <v>1003</v>
      </c>
      <c r="J563" s="3" t="s">
        <v>99</v>
      </c>
      <c r="K563" s="3">
        <v>0</v>
      </c>
      <c r="L563" s="3">
        <v>0</v>
      </c>
      <c r="M563" s="3">
        <v>0</v>
      </c>
      <c r="N563" s="1"/>
      <c r="AA563" s="73" t="s">
        <v>37</v>
      </c>
    </row>
    <row r="564" spans="1:28" ht="32.25" customHeight="1" x14ac:dyDescent="0.2">
      <c r="A564" s="206"/>
      <c r="B564" s="206"/>
      <c r="C564" s="206"/>
      <c r="D564" s="206"/>
      <c r="E564" s="206"/>
      <c r="F564" s="206"/>
      <c r="G564" s="206"/>
      <c r="H564" s="206"/>
      <c r="I564" s="3" t="s">
        <v>1004</v>
      </c>
      <c r="J564" s="3" t="s">
        <v>99</v>
      </c>
      <c r="K564" s="3">
        <v>0</v>
      </c>
      <c r="L564" s="3">
        <v>0</v>
      </c>
      <c r="M564" s="3">
        <v>0</v>
      </c>
      <c r="N564" s="1"/>
      <c r="AA564" s="73" t="s">
        <v>37</v>
      </c>
    </row>
    <row r="565" spans="1:28" ht="38.25" customHeight="1" x14ac:dyDescent="0.2">
      <c r="A565" s="209" t="s">
        <v>160</v>
      </c>
      <c r="B565" s="209" t="s">
        <v>160</v>
      </c>
      <c r="C565" s="207" t="s">
        <v>160</v>
      </c>
      <c r="D565" s="207"/>
      <c r="E565" s="208" t="s">
        <v>1005</v>
      </c>
      <c r="F565" s="204">
        <v>719785.6</v>
      </c>
      <c r="G565" s="204">
        <v>1665212.9</v>
      </c>
      <c r="H565" s="204">
        <v>1999591.2</v>
      </c>
      <c r="I565" s="3" t="s">
        <v>1006</v>
      </c>
      <c r="J565" s="3" t="s">
        <v>936</v>
      </c>
      <c r="K565" s="3">
        <v>442</v>
      </c>
      <c r="L565" s="3">
        <v>442</v>
      </c>
      <c r="M565" s="3">
        <v>442</v>
      </c>
      <c r="N565" s="1"/>
      <c r="AA565" s="72" t="s">
        <v>34</v>
      </c>
    </row>
    <row r="566" spans="1:28" ht="36" customHeight="1" x14ac:dyDescent="0.2">
      <c r="A566" s="205"/>
      <c r="B566" s="205"/>
      <c r="C566" s="205"/>
      <c r="D566" s="205"/>
      <c r="E566" s="205"/>
      <c r="F566" s="205"/>
      <c r="G566" s="205"/>
      <c r="H566" s="205"/>
      <c r="I566" s="3" t="s">
        <v>998</v>
      </c>
      <c r="J566" s="3" t="s">
        <v>936</v>
      </c>
      <c r="K566" s="3">
        <v>50</v>
      </c>
      <c r="L566" s="3">
        <v>43.3</v>
      </c>
      <c r="M566" s="3">
        <v>62</v>
      </c>
      <c r="N566" s="1"/>
      <c r="AA566" s="73" t="s">
        <v>37</v>
      </c>
    </row>
    <row r="567" spans="1:28" ht="45" customHeight="1" x14ac:dyDescent="0.2">
      <c r="A567" s="205"/>
      <c r="B567" s="205"/>
      <c r="C567" s="205"/>
      <c r="D567" s="205"/>
      <c r="E567" s="205"/>
      <c r="F567" s="205"/>
      <c r="G567" s="205"/>
      <c r="H567" s="205"/>
      <c r="I567" s="3" t="s">
        <v>1007</v>
      </c>
      <c r="J567" s="3" t="s">
        <v>99</v>
      </c>
      <c r="K567" s="3">
        <v>11.3</v>
      </c>
      <c r="L567" s="3">
        <v>9.8000000000000007</v>
      </c>
      <c r="M567" s="3">
        <v>14</v>
      </c>
      <c r="N567" s="1"/>
      <c r="AA567" s="73" t="s">
        <v>37</v>
      </c>
    </row>
    <row r="568" spans="1:28" ht="32.25" customHeight="1" x14ac:dyDescent="0.2">
      <c r="A568" s="205"/>
      <c r="B568" s="205"/>
      <c r="C568" s="205"/>
      <c r="D568" s="205"/>
      <c r="E568" s="205"/>
      <c r="F568" s="205"/>
      <c r="G568" s="205"/>
      <c r="H568" s="205"/>
      <c r="I568" s="3" t="s">
        <v>1008</v>
      </c>
      <c r="J568" s="3" t="s">
        <v>936</v>
      </c>
      <c r="K568" s="3">
        <v>76</v>
      </c>
      <c r="L568" s="3">
        <v>76</v>
      </c>
      <c r="M568" s="3">
        <v>76</v>
      </c>
      <c r="N568" s="1"/>
      <c r="AA568" s="73" t="s">
        <v>37</v>
      </c>
    </row>
    <row r="569" spans="1:28" ht="24" customHeight="1" x14ac:dyDescent="0.2">
      <c r="A569" s="205"/>
      <c r="B569" s="205"/>
      <c r="C569" s="205"/>
      <c r="D569" s="205"/>
      <c r="E569" s="205"/>
      <c r="F569" s="205"/>
      <c r="G569" s="205"/>
      <c r="H569" s="205"/>
      <c r="I569" s="3" t="s">
        <v>1009</v>
      </c>
      <c r="J569" s="3" t="s">
        <v>936</v>
      </c>
      <c r="K569" s="3">
        <v>9</v>
      </c>
      <c r="L569" s="3">
        <v>0</v>
      </c>
      <c r="M569" s="3">
        <v>0</v>
      </c>
      <c r="N569" s="1"/>
      <c r="AA569" s="73" t="s">
        <v>37</v>
      </c>
    </row>
    <row r="570" spans="1:28" ht="42" customHeight="1" x14ac:dyDescent="0.2">
      <c r="A570" s="206"/>
      <c r="B570" s="206"/>
      <c r="C570" s="206"/>
      <c r="D570" s="206"/>
      <c r="E570" s="206"/>
      <c r="F570" s="206"/>
      <c r="G570" s="206"/>
      <c r="H570" s="206"/>
      <c r="I570" s="3" t="s">
        <v>1010</v>
      </c>
      <c r="J570" s="3" t="s">
        <v>99</v>
      </c>
      <c r="K570" s="3">
        <v>11.8</v>
      </c>
      <c r="L570" s="3">
        <v>0</v>
      </c>
      <c r="M570" s="3">
        <v>0</v>
      </c>
      <c r="N570" s="1"/>
      <c r="AA570" s="73" t="s">
        <v>37</v>
      </c>
    </row>
    <row r="571" spans="1:28" ht="30.75" customHeight="1" x14ac:dyDescent="0.2">
      <c r="A571" s="10" t="s">
        <v>166</v>
      </c>
      <c r="B571" s="10" t="s">
        <v>166</v>
      </c>
      <c r="C571" s="3" t="s">
        <v>166</v>
      </c>
      <c r="D571" s="3"/>
      <c r="E571" s="11" t="s">
        <v>1011</v>
      </c>
      <c r="F571" s="12">
        <v>499752.6</v>
      </c>
      <c r="G571" s="12">
        <v>0</v>
      </c>
      <c r="H571" s="12">
        <v>0</v>
      </c>
      <c r="I571" s="47" t="s">
        <v>347</v>
      </c>
      <c r="J571" s="47" t="s">
        <v>99</v>
      </c>
      <c r="K571" s="47">
        <v>100</v>
      </c>
      <c r="L571" s="47">
        <v>0</v>
      </c>
      <c r="M571" s="47">
        <v>0</v>
      </c>
      <c r="N571" s="1"/>
      <c r="AA571" s="72" t="s">
        <v>34</v>
      </c>
      <c r="AB571" s="75" t="s">
        <v>123</v>
      </c>
    </row>
    <row r="572" spans="1:28" ht="42" customHeight="1" x14ac:dyDescent="0.2">
      <c r="A572" s="5" t="s">
        <v>976</v>
      </c>
      <c r="B572" s="5" t="s">
        <v>1012</v>
      </c>
      <c r="C572" s="6"/>
      <c r="D572" s="6"/>
      <c r="E572" s="7" t="s">
        <v>1013</v>
      </c>
      <c r="F572" s="8">
        <v>320964.59999999998</v>
      </c>
      <c r="G572" s="8">
        <v>328106.59999999998</v>
      </c>
      <c r="H572" s="8">
        <v>328415.5</v>
      </c>
      <c r="I572" s="5" t="s">
        <v>253</v>
      </c>
      <c r="J572" s="5" t="s">
        <v>99</v>
      </c>
      <c r="K572" s="5">
        <v>100</v>
      </c>
      <c r="L572" s="5">
        <v>100</v>
      </c>
      <c r="M572" s="5">
        <v>100</v>
      </c>
      <c r="N572" s="1"/>
      <c r="AA572" s="71" t="s">
        <v>40</v>
      </c>
    </row>
    <row r="573" spans="1:28" ht="33" customHeight="1" x14ac:dyDescent="0.2">
      <c r="A573" s="209" t="s">
        <v>100</v>
      </c>
      <c r="B573" s="209" t="s">
        <v>100</v>
      </c>
      <c r="C573" s="207" t="s">
        <v>100</v>
      </c>
      <c r="D573" s="207"/>
      <c r="E573" s="208" t="s">
        <v>1014</v>
      </c>
      <c r="F573" s="204">
        <v>320964.59999999998</v>
      </c>
      <c r="G573" s="204">
        <v>328106.59999999998</v>
      </c>
      <c r="H573" s="204">
        <v>328415.5</v>
      </c>
      <c r="I573" s="3" t="s">
        <v>1015</v>
      </c>
      <c r="J573" s="3" t="s">
        <v>99</v>
      </c>
      <c r="K573" s="3">
        <v>91</v>
      </c>
      <c r="L573" s="3">
        <v>91</v>
      </c>
      <c r="M573" s="3">
        <v>91</v>
      </c>
      <c r="N573" s="1"/>
      <c r="AA573" s="72" t="s">
        <v>34</v>
      </c>
    </row>
    <row r="574" spans="1:28" ht="28.5" customHeight="1" x14ac:dyDescent="0.2">
      <c r="A574" s="205"/>
      <c r="B574" s="205"/>
      <c r="C574" s="205"/>
      <c r="D574" s="205"/>
      <c r="E574" s="205"/>
      <c r="F574" s="205"/>
      <c r="G574" s="205"/>
      <c r="H574" s="205"/>
      <c r="I574" s="3" t="s">
        <v>1016</v>
      </c>
      <c r="J574" s="3" t="s">
        <v>854</v>
      </c>
      <c r="K574" s="3">
        <v>61.5</v>
      </c>
      <c r="L574" s="3">
        <v>61.5</v>
      </c>
      <c r="M574" s="3">
        <v>61.5</v>
      </c>
      <c r="N574" s="1"/>
      <c r="AA574" s="73" t="s">
        <v>37</v>
      </c>
    </row>
    <row r="575" spans="1:28" ht="30.75" customHeight="1" x14ac:dyDescent="0.2">
      <c r="A575" s="206"/>
      <c r="B575" s="206"/>
      <c r="C575" s="206"/>
      <c r="D575" s="206"/>
      <c r="E575" s="206"/>
      <c r="F575" s="206"/>
      <c r="G575" s="206"/>
      <c r="H575" s="206"/>
      <c r="I575" s="3" t="s">
        <v>1017</v>
      </c>
      <c r="J575" s="3" t="s">
        <v>936</v>
      </c>
      <c r="K575" s="3">
        <v>10700</v>
      </c>
      <c r="L575" s="3">
        <v>10700</v>
      </c>
      <c r="M575" s="3">
        <v>10700</v>
      </c>
      <c r="N575" s="1"/>
      <c r="AA575" s="73" t="s">
        <v>37</v>
      </c>
    </row>
    <row r="576" spans="1:28" ht="24.75" customHeight="1" x14ac:dyDescent="0.2">
      <c r="A576" s="18">
        <v>43</v>
      </c>
      <c r="B576" s="18" t="s">
        <v>408</v>
      </c>
      <c r="C576" s="45" t="s">
        <v>100</v>
      </c>
      <c r="D576" s="18"/>
      <c r="E576" s="43" t="s">
        <v>409</v>
      </c>
      <c r="F576" s="44">
        <v>7005240.2000000011</v>
      </c>
      <c r="G576" s="44">
        <v>7030645.3000000007</v>
      </c>
      <c r="H576" s="44">
        <v>6947162.0000000009</v>
      </c>
      <c r="I576" s="46" t="s">
        <v>347</v>
      </c>
      <c r="J576" s="46" t="s">
        <v>99</v>
      </c>
      <c r="K576" s="46">
        <v>100</v>
      </c>
      <c r="L576" s="46">
        <v>100</v>
      </c>
      <c r="M576" s="46">
        <v>100</v>
      </c>
      <c r="N576" s="1"/>
      <c r="AA576" s="72" t="s">
        <v>34</v>
      </c>
    </row>
    <row r="577" spans="1:28" x14ac:dyDescent="0.2">
      <c r="A577" s="210" t="s">
        <v>112</v>
      </c>
      <c r="B577" s="202"/>
      <c r="C577" s="202"/>
      <c r="D577" s="202"/>
      <c r="E577" s="203"/>
      <c r="F577" s="13">
        <v>16881928.100000001</v>
      </c>
      <c r="G577" s="13">
        <v>18079962.199999999</v>
      </c>
      <c r="H577" s="13">
        <v>18352576.800000001</v>
      </c>
      <c r="I577" s="201"/>
      <c r="J577" s="202"/>
      <c r="K577" s="202"/>
      <c r="L577" s="202"/>
      <c r="M577" s="203"/>
      <c r="N577" s="1"/>
      <c r="AA577" s="74" t="s">
        <v>46</v>
      </c>
    </row>
    <row r="578" spans="1:28" ht="15" customHeight="1" x14ac:dyDescent="0.2">
      <c r="A578" s="4" t="s">
        <v>1018</v>
      </c>
      <c r="B578" s="212" t="s">
        <v>1019</v>
      </c>
      <c r="C578" s="202"/>
      <c r="D578" s="202"/>
      <c r="E578" s="202"/>
      <c r="F578" s="202"/>
      <c r="G578" s="202"/>
      <c r="H578" s="202"/>
      <c r="I578" s="202"/>
      <c r="J578" s="202"/>
      <c r="K578" s="202"/>
      <c r="L578" s="202"/>
      <c r="M578" s="203"/>
      <c r="N578" s="1"/>
      <c r="AA578" s="70" t="s">
        <v>43</v>
      </c>
    </row>
    <row r="579" spans="1:28" x14ac:dyDescent="0.2">
      <c r="A579" s="5" t="s">
        <v>1018</v>
      </c>
      <c r="B579" s="5" t="s">
        <v>96</v>
      </c>
      <c r="C579" s="6"/>
      <c r="D579" s="6"/>
      <c r="E579" s="7" t="s">
        <v>97</v>
      </c>
      <c r="F579" s="8">
        <v>574119.80000000005</v>
      </c>
      <c r="G579" s="8">
        <v>406225</v>
      </c>
      <c r="H579" s="8">
        <v>413820.5</v>
      </c>
      <c r="I579" s="18" t="s">
        <v>304</v>
      </c>
      <c r="J579" s="18" t="s">
        <v>99</v>
      </c>
      <c r="K579" s="18">
        <v>25</v>
      </c>
      <c r="L579" s="18">
        <v>25</v>
      </c>
      <c r="M579" s="18">
        <v>25</v>
      </c>
      <c r="N579" s="1"/>
      <c r="AA579" s="71" t="s">
        <v>40</v>
      </c>
    </row>
    <row r="580" spans="1:28" ht="34.5" customHeight="1" x14ac:dyDescent="0.2">
      <c r="A580" s="10" t="s">
        <v>100</v>
      </c>
      <c r="B580" s="10" t="s">
        <v>100</v>
      </c>
      <c r="C580" s="3" t="s">
        <v>100</v>
      </c>
      <c r="D580" s="3"/>
      <c r="E580" s="11" t="s">
        <v>101</v>
      </c>
      <c r="F580" s="12">
        <v>326940.5</v>
      </c>
      <c r="G580" s="12">
        <v>154121.9</v>
      </c>
      <c r="H580" s="12">
        <v>156695.4</v>
      </c>
      <c r="I580" s="3" t="s">
        <v>304</v>
      </c>
      <c r="J580" s="3" t="s">
        <v>99</v>
      </c>
      <c r="K580" s="3">
        <v>25</v>
      </c>
      <c r="L580" s="3">
        <v>25</v>
      </c>
      <c r="M580" s="3">
        <v>25</v>
      </c>
      <c r="N580" s="1"/>
      <c r="AA580" s="72" t="s">
        <v>34</v>
      </c>
    </row>
    <row r="581" spans="1:28" ht="30" customHeight="1" x14ac:dyDescent="0.2">
      <c r="A581" s="10" t="s">
        <v>120</v>
      </c>
      <c r="B581" s="10" t="s">
        <v>120</v>
      </c>
      <c r="C581" s="3" t="s">
        <v>120</v>
      </c>
      <c r="D581" s="3"/>
      <c r="E581" s="11" t="s">
        <v>203</v>
      </c>
      <c r="F581" s="12">
        <v>247179.3</v>
      </c>
      <c r="G581" s="12">
        <v>252103.1</v>
      </c>
      <c r="H581" s="12">
        <v>257125.1</v>
      </c>
      <c r="I581" s="3" t="s">
        <v>304</v>
      </c>
      <c r="J581" s="3" t="s">
        <v>99</v>
      </c>
      <c r="K581" s="3">
        <v>25</v>
      </c>
      <c r="L581" s="3">
        <v>25</v>
      </c>
      <c r="M581" s="3">
        <v>25</v>
      </c>
      <c r="N581" s="1"/>
      <c r="AA581" s="72" t="s">
        <v>34</v>
      </c>
    </row>
    <row r="582" spans="1:28" ht="41.25" customHeight="1" x14ac:dyDescent="0.2">
      <c r="A582" s="5" t="s">
        <v>1018</v>
      </c>
      <c r="B582" s="5" t="s">
        <v>1020</v>
      </c>
      <c r="C582" s="6"/>
      <c r="D582" s="6"/>
      <c r="E582" s="7" t="s">
        <v>1021</v>
      </c>
      <c r="F582" s="8">
        <v>4708597.9000000004</v>
      </c>
      <c r="G582" s="8">
        <v>4624342.5899999989</v>
      </c>
      <c r="H582" s="8">
        <v>4817274.55</v>
      </c>
      <c r="I582" s="5" t="s">
        <v>253</v>
      </c>
      <c r="J582" s="5" t="s">
        <v>99</v>
      </c>
      <c r="K582" s="5">
        <v>100</v>
      </c>
      <c r="L582" s="5">
        <v>100</v>
      </c>
      <c r="M582" s="5">
        <v>100</v>
      </c>
      <c r="N582" s="1"/>
      <c r="AA582" s="71" t="s">
        <v>40</v>
      </c>
    </row>
    <row r="583" spans="1:28" ht="49.5" customHeight="1" x14ac:dyDescent="0.2">
      <c r="A583" s="209" t="s">
        <v>100</v>
      </c>
      <c r="B583" s="209" t="s">
        <v>100</v>
      </c>
      <c r="C583" s="207" t="s">
        <v>100</v>
      </c>
      <c r="D583" s="207"/>
      <c r="E583" s="208" t="s">
        <v>1022</v>
      </c>
      <c r="F583" s="204">
        <v>2935233.1</v>
      </c>
      <c r="G583" s="204">
        <v>3043239.5</v>
      </c>
      <c r="H583" s="204">
        <v>3300848.15</v>
      </c>
      <c r="I583" s="3" t="s">
        <v>1023</v>
      </c>
      <c r="J583" s="3" t="s">
        <v>105</v>
      </c>
      <c r="K583" s="3">
        <v>18</v>
      </c>
      <c r="L583" s="3">
        <v>20</v>
      </c>
      <c r="M583" s="3">
        <v>20</v>
      </c>
      <c r="N583" s="1"/>
      <c r="AA583" s="72" t="s">
        <v>34</v>
      </c>
    </row>
    <row r="584" spans="1:28" ht="41.25" customHeight="1" x14ac:dyDescent="0.2">
      <c r="A584" s="205"/>
      <c r="B584" s="205"/>
      <c r="C584" s="205"/>
      <c r="D584" s="205"/>
      <c r="E584" s="205"/>
      <c r="F584" s="205"/>
      <c r="G584" s="205"/>
      <c r="H584" s="205"/>
      <c r="I584" s="3" t="s">
        <v>1024</v>
      </c>
      <c r="J584" s="3" t="s">
        <v>105</v>
      </c>
      <c r="K584" s="3">
        <v>850</v>
      </c>
      <c r="L584" s="3">
        <v>900</v>
      </c>
      <c r="M584" s="3">
        <v>900</v>
      </c>
      <c r="N584" s="1"/>
      <c r="AA584" s="73" t="s">
        <v>37</v>
      </c>
    </row>
    <row r="585" spans="1:28" ht="40.5" customHeight="1" x14ac:dyDescent="0.2">
      <c r="A585" s="205"/>
      <c r="B585" s="205"/>
      <c r="C585" s="205"/>
      <c r="D585" s="205"/>
      <c r="E585" s="205"/>
      <c r="F585" s="205"/>
      <c r="G585" s="205"/>
      <c r="H585" s="205"/>
      <c r="I585" s="3" t="s">
        <v>1025</v>
      </c>
      <c r="J585" s="3" t="s">
        <v>105</v>
      </c>
      <c r="K585" s="3">
        <v>2600</v>
      </c>
      <c r="L585" s="3">
        <v>2650</v>
      </c>
      <c r="M585" s="3">
        <v>2650</v>
      </c>
      <c r="N585" s="1"/>
      <c r="AA585" s="73" t="s">
        <v>37</v>
      </c>
    </row>
    <row r="586" spans="1:28" ht="30" customHeight="1" x14ac:dyDescent="0.2">
      <c r="A586" s="205"/>
      <c r="B586" s="205"/>
      <c r="C586" s="205"/>
      <c r="D586" s="205"/>
      <c r="E586" s="205"/>
      <c r="F586" s="205"/>
      <c r="G586" s="205"/>
      <c r="H586" s="205"/>
      <c r="I586" s="3" t="s">
        <v>1026</v>
      </c>
      <c r="J586" s="3" t="s">
        <v>105</v>
      </c>
      <c r="K586" s="3">
        <v>3543.8</v>
      </c>
      <c r="L586" s="3">
        <v>3589.1</v>
      </c>
      <c r="M586" s="3">
        <v>3589.1</v>
      </c>
      <c r="N586" s="1"/>
      <c r="AA586" s="73" t="s">
        <v>37</v>
      </c>
    </row>
    <row r="587" spans="1:28" ht="33.75" customHeight="1" x14ac:dyDescent="0.2">
      <c r="A587" s="206"/>
      <c r="B587" s="206"/>
      <c r="C587" s="206"/>
      <c r="D587" s="206"/>
      <c r="E587" s="206"/>
      <c r="F587" s="206"/>
      <c r="G587" s="206"/>
      <c r="H587" s="206"/>
      <c r="I587" s="3" t="s">
        <v>1027</v>
      </c>
      <c r="J587" s="3" t="s">
        <v>105</v>
      </c>
      <c r="K587" s="3">
        <v>39928</v>
      </c>
      <c r="L587" s="3">
        <v>41848</v>
      </c>
      <c r="M587" s="3">
        <v>41848</v>
      </c>
      <c r="N587" s="1"/>
      <c r="AA587" s="73" t="s">
        <v>37</v>
      </c>
    </row>
    <row r="588" spans="1:28" ht="42" customHeight="1" x14ac:dyDescent="0.2">
      <c r="A588" s="209" t="s">
        <v>120</v>
      </c>
      <c r="B588" s="209" t="s">
        <v>120</v>
      </c>
      <c r="C588" s="207" t="s">
        <v>120</v>
      </c>
      <c r="D588" s="207"/>
      <c r="E588" s="208" t="s">
        <v>1028</v>
      </c>
      <c r="F588" s="204">
        <v>988885.9</v>
      </c>
      <c r="G588" s="204">
        <v>1004733.59</v>
      </c>
      <c r="H588" s="204">
        <v>1032788.7</v>
      </c>
      <c r="I588" s="3" t="s">
        <v>1029</v>
      </c>
      <c r="J588" s="3" t="s">
        <v>105</v>
      </c>
      <c r="K588" s="3">
        <v>32</v>
      </c>
      <c r="L588" s="3">
        <v>34</v>
      </c>
      <c r="M588" s="3">
        <v>34</v>
      </c>
      <c r="N588" s="1"/>
      <c r="AA588" s="72" t="s">
        <v>34</v>
      </c>
    </row>
    <row r="589" spans="1:28" ht="24" customHeight="1" x14ac:dyDescent="0.2">
      <c r="A589" s="206"/>
      <c r="B589" s="206"/>
      <c r="C589" s="206"/>
      <c r="D589" s="206"/>
      <c r="E589" s="206"/>
      <c r="F589" s="206"/>
      <c r="G589" s="206"/>
      <c r="H589" s="206"/>
      <c r="I589" s="3" t="s">
        <v>1030</v>
      </c>
      <c r="J589" s="3" t="s">
        <v>99</v>
      </c>
      <c r="K589" s="3">
        <v>29</v>
      </c>
      <c r="L589" s="3">
        <v>30</v>
      </c>
      <c r="M589" s="3">
        <v>31</v>
      </c>
      <c r="N589" s="1"/>
      <c r="AA589" s="73" t="s">
        <v>37</v>
      </c>
    </row>
    <row r="590" spans="1:28" ht="72" customHeight="1" x14ac:dyDescent="0.2">
      <c r="A590" s="10" t="s">
        <v>150</v>
      </c>
      <c r="B590" s="10" t="s">
        <v>150</v>
      </c>
      <c r="C590" s="3" t="s">
        <v>150</v>
      </c>
      <c r="D590" s="3"/>
      <c r="E590" s="11" t="s">
        <v>1031</v>
      </c>
      <c r="F590" s="12">
        <v>525461.4</v>
      </c>
      <c r="G590" s="12">
        <v>405910.6</v>
      </c>
      <c r="H590" s="12">
        <v>413795.3</v>
      </c>
      <c r="I590" s="3" t="s">
        <v>1032</v>
      </c>
      <c r="J590" s="3" t="s">
        <v>105</v>
      </c>
      <c r="K590" s="3">
        <v>85</v>
      </c>
      <c r="L590" s="3">
        <v>90</v>
      </c>
      <c r="M590" s="3">
        <v>90</v>
      </c>
      <c r="N590" s="1"/>
      <c r="AA590" s="72" t="s">
        <v>34</v>
      </c>
    </row>
    <row r="591" spans="1:28" ht="36" customHeight="1" x14ac:dyDescent="0.2">
      <c r="A591" s="10" t="s">
        <v>124</v>
      </c>
      <c r="B591" s="10" t="s">
        <v>124</v>
      </c>
      <c r="C591" s="3" t="s">
        <v>124</v>
      </c>
      <c r="D591" s="3"/>
      <c r="E591" s="11" t="s">
        <v>1033</v>
      </c>
      <c r="F591" s="12">
        <v>65863.3</v>
      </c>
      <c r="G591" s="12">
        <v>67590.600000000006</v>
      </c>
      <c r="H591" s="12">
        <v>69842.399999999994</v>
      </c>
      <c r="I591" s="3" t="s">
        <v>1034</v>
      </c>
      <c r="J591" s="3" t="s">
        <v>105</v>
      </c>
      <c r="K591" s="3">
        <v>65780</v>
      </c>
      <c r="L591" s="3">
        <v>65920</v>
      </c>
      <c r="M591" s="3">
        <v>65920</v>
      </c>
      <c r="N591" s="1"/>
      <c r="AA591" s="72" t="s">
        <v>34</v>
      </c>
      <c r="AB591" s="75" t="s">
        <v>149</v>
      </c>
    </row>
    <row r="592" spans="1:28" ht="36" customHeight="1" x14ac:dyDescent="0.2">
      <c r="A592" s="209" t="s">
        <v>160</v>
      </c>
      <c r="B592" s="209" t="s">
        <v>160</v>
      </c>
      <c r="C592" s="207" t="s">
        <v>160</v>
      </c>
      <c r="D592" s="207"/>
      <c r="E592" s="208" t="s">
        <v>1035</v>
      </c>
      <c r="F592" s="204">
        <v>193154.2</v>
      </c>
      <c r="G592" s="204">
        <v>102868.3</v>
      </c>
      <c r="H592" s="204">
        <v>0</v>
      </c>
      <c r="I592" s="3" t="s">
        <v>1036</v>
      </c>
      <c r="J592" s="3" t="s">
        <v>105</v>
      </c>
      <c r="K592" s="3">
        <v>500</v>
      </c>
      <c r="L592" s="3">
        <v>600</v>
      </c>
      <c r="M592" s="3">
        <v>0</v>
      </c>
      <c r="N592" s="1"/>
      <c r="AA592" s="72" t="s">
        <v>34</v>
      </c>
      <c r="AB592" s="75" t="s">
        <v>123</v>
      </c>
    </row>
    <row r="593" spans="1:28" ht="67.5" customHeight="1" x14ac:dyDescent="0.2">
      <c r="A593" s="206"/>
      <c r="B593" s="206"/>
      <c r="C593" s="206"/>
      <c r="D593" s="206"/>
      <c r="E593" s="206"/>
      <c r="F593" s="206"/>
      <c r="G593" s="206"/>
      <c r="H593" s="206"/>
      <c r="I593" s="3" t="s">
        <v>1037</v>
      </c>
      <c r="J593" s="3" t="s">
        <v>105</v>
      </c>
      <c r="K593" s="3">
        <v>4</v>
      </c>
      <c r="L593" s="3">
        <v>4</v>
      </c>
      <c r="M593" s="3">
        <v>0</v>
      </c>
      <c r="N593" s="1"/>
      <c r="AA593" s="73" t="s">
        <v>37</v>
      </c>
    </row>
    <row r="594" spans="1:28" ht="45.75" customHeight="1" x14ac:dyDescent="0.2">
      <c r="A594" s="5" t="s">
        <v>1018</v>
      </c>
      <c r="B594" s="5" t="s">
        <v>1038</v>
      </c>
      <c r="C594" s="6"/>
      <c r="D594" s="6"/>
      <c r="E594" s="7" t="s">
        <v>1039</v>
      </c>
      <c r="F594" s="8">
        <v>1700840.9</v>
      </c>
      <c r="G594" s="8">
        <v>1615240.6</v>
      </c>
      <c r="H594" s="8">
        <v>1657155.3</v>
      </c>
      <c r="I594" s="5" t="s">
        <v>253</v>
      </c>
      <c r="J594" s="5" t="s">
        <v>99</v>
      </c>
      <c r="K594" s="5">
        <v>100</v>
      </c>
      <c r="L594" s="5">
        <v>100</v>
      </c>
      <c r="M594" s="5">
        <v>100</v>
      </c>
      <c r="N594" s="1"/>
      <c r="AA594" s="71" t="s">
        <v>40</v>
      </c>
    </row>
    <row r="595" spans="1:28" ht="44.25" customHeight="1" x14ac:dyDescent="0.2">
      <c r="A595" s="10" t="s">
        <v>100</v>
      </c>
      <c r="B595" s="10" t="s">
        <v>100</v>
      </c>
      <c r="C595" s="3" t="s">
        <v>100</v>
      </c>
      <c r="D595" s="3"/>
      <c r="E595" s="11" t="s">
        <v>1040</v>
      </c>
      <c r="F595" s="12">
        <v>1651215.3</v>
      </c>
      <c r="G595" s="12">
        <v>1588289.1</v>
      </c>
      <c r="H595" s="12">
        <v>1628203.8</v>
      </c>
      <c r="I595" s="3" t="s">
        <v>1041</v>
      </c>
      <c r="J595" s="3" t="s">
        <v>105</v>
      </c>
      <c r="K595" s="3">
        <v>1200</v>
      </c>
      <c r="L595" s="3">
        <v>1208</v>
      </c>
      <c r="M595" s="3">
        <v>1208</v>
      </c>
      <c r="N595" s="1"/>
      <c r="AA595" s="72" t="s">
        <v>34</v>
      </c>
      <c r="AB595" s="75" t="s">
        <v>169</v>
      </c>
    </row>
    <row r="596" spans="1:28" ht="32.25" customHeight="1" x14ac:dyDescent="0.2">
      <c r="A596" s="10" t="s">
        <v>120</v>
      </c>
      <c r="B596" s="10" t="s">
        <v>120</v>
      </c>
      <c r="C596" s="3" t="s">
        <v>120</v>
      </c>
      <c r="D596" s="3"/>
      <c r="E596" s="11" t="s">
        <v>1042</v>
      </c>
      <c r="F596" s="12">
        <v>49625.599999999999</v>
      </c>
      <c r="G596" s="12">
        <v>26951.5</v>
      </c>
      <c r="H596" s="12">
        <v>28951.5</v>
      </c>
      <c r="I596" s="3" t="s">
        <v>1043</v>
      </c>
      <c r="J596" s="3" t="s">
        <v>105</v>
      </c>
      <c r="K596" s="3">
        <v>290</v>
      </c>
      <c r="L596" s="3">
        <v>290</v>
      </c>
      <c r="M596" s="3">
        <v>290</v>
      </c>
      <c r="N596" s="1"/>
      <c r="AA596" s="72" t="s">
        <v>34</v>
      </c>
    </row>
    <row r="597" spans="1:28" x14ac:dyDescent="0.2">
      <c r="A597" s="210" t="s">
        <v>112</v>
      </c>
      <c r="B597" s="202"/>
      <c r="C597" s="202"/>
      <c r="D597" s="202"/>
      <c r="E597" s="203"/>
      <c r="F597" s="13">
        <v>6983558.6000000006</v>
      </c>
      <c r="G597" s="13">
        <v>6645808.1899999985</v>
      </c>
      <c r="H597" s="13">
        <v>6888250.3499999996</v>
      </c>
      <c r="I597" s="201"/>
      <c r="J597" s="202"/>
      <c r="K597" s="202"/>
      <c r="L597" s="202"/>
      <c r="M597" s="203"/>
      <c r="N597" s="1"/>
      <c r="AA597" s="74" t="s">
        <v>46</v>
      </c>
    </row>
    <row r="598" spans="1:28" ht="15" customHeight="1" x14ac:dyDescent="0.2">
      <c r="A598" s="4" t="s">
        <v>464</v>
      </c>
      <c r="B598" s="212" t="s">
        <v>1044</v>
      </c>
      <c r="C598" s="202"/>
      <c r="D598" s="202"/>
      <c r="E598" s="202"/>
      <c r="F598" s="202"/>
      <c r="G598" s="202"/>
      <c r="H598" s="202"/>
      <c r="I598" s="202"/>
      <c r="J598" s="202"/>
      <c r="K598" s="202"/>
      <c r="L598" s="202"/>
      <c r="M598" s="203"/>
      <c r="N598" s="1"/>
      <c r="AA598" s="70" t="s">
        <v>43</v>
      </c>
    </row>
    <row r="599" spans="1:28" x14ac:dyDescent="0.2">
      <c r="A599" s="5" t="s">
        <v>464</v>
      </c>
      <c r="B599" s="5" t="s">
        <v>96</v>
      </c>
      <c r="C599" s="6"/>
      <c r="D599" s="6"/>
      <c r="E599" s="7" t="s">
        <v>97</v>
      </c>
      <c r="F599" s="8">
        <v>184945.8</v>
      </c>
      <c r="G599" s="8">
        <v>188644.6</v>
      </c>
      <c r="H599" s="8">
        <v>192417.8</v>
      </c>
      <c r="I599" s="18" t="s">
        <v>304</v>
      </c>
      <c r="J599" s="18" t="s">
        <v>662</v>
      </c>
      <c r="K599" s="18">
        <v>50</v>
      </c>
      <c r="L599" s="18">
        <v>50</v>
      </c>
      <c r="M599" s="18">
        <v>50</v>
      </c>
      <c r="N599" s="1"/>
      <c r="AA599" s="71" t="s">
        <v>40</v>
      </c>
    </row>
    <row r="600" spans="1:28" ht="24" customHeight="1" x14ac:dyDescent="0.2">
      <c r="A600" s="10" t="s">
        <v>100</v>
      </c>
      <c r="B600" s="10" t="s">
        <v>100</v>
      </c>
      <c r="C600" s="3" t="s">
        <v>100</v>
      </c>
      <c r="D600" s="3"/>
      <c r="E600" s="11" t="s">
        <v>101</v>
      </c>
      <c r="F600" s="12">
        <v>184945.8</v>
      </c>
      <c r="G600" s="12">
        <v>188644.6</v>
      </c>
      <c r="H600" s="12">
        <v>192417.8</v>
      </c>
      <c r="I600" s="3" t="s">
        <v>304</v>
      </c>
      <c r="J600" s="3" t="s">
        <v>662</v>
      </c>
      <c r="K600" s="3">
        <v>50</v>
      </c>
      <c r="L600" s="3">
        <v>50</v>
      </c>
      <c r="M600" s="3">
        <v>50</v>
      </c>
      <c r="N600" s="1"/>
      <c r="AA600" s="72" t="s">
        <v>34</v>
      </c>
    </row>
    <row r="601" spans="1:28" ht="33.75" customHeight="1" x14ac:dyDescent="0.2">
      <c r="A601" s="5" t="s">
        <v>464</v>
      </c>
      <c r="B601" s="5" t="s">
        <v>419</v>
      </c>
      <c r="C601" s="6"/>
      <c r="D601" s="6"/>
      <c r="E601" s="7" t="s">
        <v>420</v>
      </c>
      <c r="F601" s="8">
        <v>0</v>
      </c>
      <c r="G601" s="8">
        <v>0</v>
      </c>
      <c r="H601" s="8">
        <v>275</v>
      </c>
      <c r="I601" s="18" t="s">
        <v>1045</v>
      </c>
      <c r="J601" s="18" t="s">
        <v>99</v>
      </c>
      <c r="K601" s="18"/>
      <c r="L601" s="18"/>
      <c r="M601" s="18">
        <v>100</v>
      </c>
      <c r="N601" s="1"/>
      <c r="AA601" s="71" t="s">
        <v>40</v>
      </c>
    </row>
    <row r="602" spans="1:28" ht="33.75" customHeight="1" x14ac:dyDescent="0.2">
      <c r="A602" s="10" t="s">
        <v>124</v>
      </c>
      <c r="B602" s="10" t="s">
        <v>124</v>
      </c>
      <c r="C602" s="3" t="s">
        <v>124</v>
      </c>
      <c r="D602" s="3"/>
      <c r="E602" s="11" t="s">
        <v>424</v>
      </c>
      <c r="F602" s="12">
        <v>0</v>
      </c>
      <c r="G602" s="12">
        <v>0</v>
      </c>
      <c r="H602" s="12">
        <v>275</v>
      </c>
      <c r="I602" s="23" t="s">
        <v>1045</v>
      </c>
      <c r="J602" s="27" t="s">
        <v>99</v>
      </c>
      <c r="K602" s="27"/>
      <c r="L602" s="27"/>
      <c r="M602" s="27">
        <v>100</v>
      </c>
      <c r="N602" s="1"/>
      <c r="AA602" s="72" t="s">
        <v>34</v>
      </c>
    </row>
    <row r="603" spans="1:28" ht="36" customHeight="1" x14ac:dyDescent="0.2">
      <c r="A603" s="5" t="s">
        <v>464</v>
      </c>
      <c r="B603" s="5" t="s">
        <v>1046</v>
      </c>
      <c r="C603" s="6"/>
      <c r="D603" s="6"/>
      <c r="E603" s="7" t="s">
        <v>1047</v>
      </c>
      <c r="F603" s="8">
        <v>691230.10000000009</v>
      </c>
      <c r="G603" s="8">
        <v>656849.10000000009</v>
      </c>
      <c r="H603" s="8">
        <v>620173.1</v>
      </c>
      <c r="I603" s="5" t="s">
        <v>253</v>
      </c>
      <c r="J603" s="5" t="s">
        <v>99</v>
      </c>
      <c r="K603" s="5">
        <v>100</v>
      </c>
      <c r="L603" s="5">
        <v>100</v>
      </c>
      <c r="M603" s="5">
        <v>100</v>
      </c>
      <c r="N603" s="1"/>
      <c r="AA603" s="71" t="s">
        <v>40</v>
      </c>
    </row>
    <row r="604" spans="1:28" ht="46.5" customHeight="1" x14ac:dyDescent="0.2">
      <c r="A604" s="209" t="s">
        <v>100</v>
      </c>
      <c r="B604" s="209" t="s">
        <v>100</v>
      </c>
      <c r="C604" s="207" t="s">
        <v>100</v>
      </c>
      <c r="D604" s="207"/>
      <c r="E604" s="208" t="s">
        <v>1048</v>
      </c>
      <c r="F604" s="204">
        <v>29856.7</v>
      </c>
      <c r="G604" s="204">
        <v>30249.8</v>
      </c>
      <c r="H604" s="204">
        <v>32172.9</v>
      </c>
      <c r="I604" s="3" t="s">
        <v>1049</v>
      </c>
      <c r="J604" s="3" t="s">
        <v>99</v>
      </c>
      <c r="K604" s="3">
        <v>100</v>
      </c>
      <c r="L604" s="3">
        <v>100</v>
      </c>
      <c r="M604" s="3">
        <v>100</v>
      </c>
      <c r="N604" s="1"/>
      <c r="AA604" s="72" t="s">
        <v>34</v>
      </c>
    </row>
    <row r="605" spans="1:28" ht="42" customHeight="1" x14ac:dyDescent="0.2">
      <c r="A605" s="206"/>
      <c r="B605" s="206"/>
      <c r="C605" s="206"/>
      <c r="D605" s="206"/>
      <c r="E605" s="206"/>
      <c r="F605" s="206"/>
      <c r="G605" s="206"/>
      <c r="H605" s="206"/>
      <c r="I605" s="3" t="s">
        <v>1050</v>
      </c>
      <c r="J605" s="3" t="s">
        <v>99</v>
      </c>
      <c r="K605" s="3">
        <v>100</v>
      </c>
      <c r="L605" s="3">
        <v>100</v>
      </c>
      <c r="M605" s="3">
        <v>100</v>
      </c>
      <c r="N605" s="1"/>
      <c r="AA605" s="73" t="s">
        <v>37</v>
      </c>
    </row>
    <row r="606" spans="1:28" ht="40.5" customHeight="1" x14ac:dyDescent="0.2">
      <c r="A606" s="10" t="s">
        <v>120</v>
      </c>
      <c r="B606" s="10" t="s">
        <v>120</v>
      </c>
      <c r="C606" s="3" t="s">
        <v>120</v>
      </c>
      <c r="D606" s="3"/>
      <c r="E606" s="11" t="s">
        <v>1051</v>
      </c>
      <c r="F606" s="12">
        <v>134368</v>
      </c>
      <c r="G606" s="12">
        <v>89504</v>
      </c>
      <c r="H606" s="12">
        <v>39917</v>
      </c>
      <c r="I606" s="3" t="s">
        <v>1052</v>
      </c>
      <c r="J606" s="3" t="s">
        <v>99</v>
      </c>
      <c r="K606" s="3">
        <v>95</v>
      </c>
      <c r="L606" s="3">
        <v>95</v>
      </c>
      <c r="M606" s="3">
        <v>95</v>
      </c>
      <c r="N606" s="1"/>
      <c r="AA606" s="72" t="s">
        <v>34</v>
      </c>
      <c r="AB606" s="75" t="s">
        <v>149</v>
      </c>
    </row>
    <row r="607" spans="1:28" ht="36" customHeight="1" x14ac:dyDescent="0.2">
      <c r="A607" s="10" t="s">
        <v>150</v>
      </c>
      <c r="B607" s="10" t="s">
        <v>150</v>
      </c>
      <c r="C607" s="3" t="s">
        <v>150</v>
      </c>
      <c r="D607" s="3"/>
      <c r="E607" s="11" t="s">
        <v>1053</v>
      </c>
      <c r="F607" s="12">
        <v>527005.4</v>
      </c>
      <c r="G607" s="12">
        <v>537095.30000000005</v>
      </c>
      <c r="H607" s="12">
        <v>548083.19999999995</v>
      </c>
      <c r="I607" s="3" t="s">
        <v>1054</v>
      </c>
      <c r="J607" s="3" t="s">
        <v>1055</v>
      </c>
      <c r="K607" s="3">
        <v>7</v>
      </c>
      <c r="L607" s="3">
        <v>7</v>
      </c>
      <c r="M607" s="3">
        <v>7</v>
      </c>
      <c r="N607" s="1"/>
      <c r="AA607" s="72" t="s">
        <v>34</v>
      </c>
    </row>
    <row r="608" spans="1:28" ht="36.75" customHeight="1" x14ac:dyDescent="0.2">
      <c r="A608" s="5" t="s">
        <v>464</v>
      </c>
      <c r="B608" s="5" t="s">
        <v>1056</v>
      </c>
      <c r="C608" s="6"/>
      <c r="D608" s="6"/>
      <c r="E608" s="7" t="s">
        <v>1057</v>
      </c>
      <c r="F608" s="8">
        <v>3803591.2</v>
      </c>
      <c r="G608" s="8">
        <v>3881073.5</v>
      </c>
      <c r="H608" s="8">
        <v>3961712.9</v>
      </c>
      <c r="I608" s="5" t="s">
        <v>253</v>
      </c>
      <c r="J608" s="5" t="s">
        <v>99</v>
      </c>
      <c r="K608" s="5">
        <v>100</v>
      </c>
      <c r="L608" s="5">
        <v>100</v>
      </c>
      <c r="M608" s="5">
        <v>100</v>
      </c>
      <c r="N608" s="1"/>
      <c r="AA608" s="71" t="s">
        <v>40</v>
      </c>
    </row>
    <row r="609" spans="1:27" ht="25.5" customHeight="1" x14ac:dyDescent="0.2">
      <c r="A609" s="209" t="s">
        <v>100</v>
      </c>
      <c r="B609" s="209" t="s">
        <v>100</v>
      </c>
      <c r="C609" s="207" t="s">
        <v>100</v>
      </c>
      <c r="D609" s="207"/>
      <c r="E609" s="208" t="s">
        <v>1058</v>
      </c>
      <c r="F609" s="204">
        <v>678450.9</v>
      </c>
      <c r="G609" s="204">
        <v>690820.1</v>
      </c>
      <c r="H609" s="204">
        <v>704636.4</v>
      </c>
      <c r="I609" s="3" t="s">
        <v>1059</v>
      </c>
      <c r="J609" s="3" t="s">
        <v>223</v>
      </c>
      <c r="K609" s="3">
        <v>16000</v>
      </c>
      <c r="L609" s="3">
        <v>16000</v>
      </c>
      <c r="M609" s="3">
        <v>16000</v>
      </c>
      <c r="N609" s="1"/>
      <c r="AA609" s="72" t="s">
        <v>34</v>
      </c>
    </row>
    <row r="610" spans="1:27" ht="31.5" customHeight="1" x14ac:dyDescent="0.2">
      <c r="A610" s="206"/>
      <c r="B610" s="206"/>
      <c r="C610" s="206"/>
      <c r="D610" s="206"/>
      <c r="E610" s="206"/>
      <c r="F610" s="206"/>
      <c r="G610" s="206"/>
      <c r="H610" s="206"/>
      <c r="I610" s="3" t="s">
        <v>1060</v>
      </c>
      <c r="J610" s="3" t="s">
        <v>223</v>
      </c>
      <c r="K610" s="3">
        <v>5100</v>
      </c>
      <c r="L610" s="3">
        <v>5100</v>
      </c>
      <c r="M610" s="3">
        <v>5100</v>
      </c>
      <c r="N610" s="1"/>
      <c r="AA610" s="73" t="s">
        <v>37</v>
      </c>
    </row>
    <row r="611" spans="1:27" x14ac:dyDescent="0.2">
      <c r="A611" s="209" t="s">
        <v>120</v>
      </c>
      <c r="B611" s="209" t="s">
        <v>120</v>
      </c>
      <c r="C611" s="207" t="s">
        <v>120</v>
      </c>
      <c r="D611" s="207"/>
      <c r="E611" s="208" t="s">
        <v>1061</v>
      </c>
      <c r="F611" s="204">
        <v>16617</v>
      </c>
      <c r="G611" s="204">
        <v>16949.3</v>
      </c>
      <c r="H611" s="204">
        <v>17288.3</v>
      </c>
      <c r="I611" s="3" t="s">
        <v>1062</v>
      </c>
      <c r="J611" s="3" t="s">
        <v>99</v>
      </c>
      <c r="K611" s="3">
        <v>100</v>
      </c>
      <c r="L611" s="3">
        <v>100</v>
      </c>
      <c r="M611" s="3">
        <v>100</v>
      </c>
      <c r="N611" s="1"/>
      <c r="AA611" s="72" t="s">
        <v>34</v>
      </c>
    </row>
    <row r="612" spans="1:27" ht="39" customHeight="1" x14ac:dyDescent="0.2">
      <c r="A612" s="206"/>
      <c r="B612" s="206"/>
      <c r="C612" s="206"/>
      <c r="D612" s="206"/>
      <c r="E612" s="206"/>
      <c r="F612" s="206"/>
      <c r="G612" s="206"/>
      <c r="H612" s="206"/>
      <c r="I612" s="3" t="s">
        <v>1063</v>
      </c>
      <c r="J612" s="3" t="s">
        <v>223</v>
      </c>
      <c r="K612" s="3">
        <v>4</v>
      </c>
      <c r="L612" s="3">
        <v>4</v>
      </c>
      <c r="M612" s="3">
        <v>4</v>
      </c>
      <c r="N612" s="1"/>
      <c r="AA612" s="73" t="s">
        <v>37</v>
      </c>
    </row>
    <row r="613" spans="1:27" ht="45" customHeight="1" x14ac:dyDescent="0.2">
      <c r="A613" s="10" t="s">
        <v>150</v>
      </c>
      <c r="B613" s="10" t="s">
        <v>150</v>
      </c>
      <c r="C613" s="3" t="s">
        <v>150</v>
      </c>
      <c r="D613" s="3"/>
      <c r="E613" s="11" t="s">
        <v>1064</v>
      </c>
      <c r="F613" s="12">
        <v>3108523.3</v>
      </c>
      <c r="G613" s="12">
        <v>3173304.1</v>
      </c>
      <c r="H613" s="12">
        <v>3239788.2</v>
      </c>
      <c r="I613" s="3" t="s">
        <v>1065</v>
      </c>
      <c r="J613" s="3" t="s">
        <v>99</v>
      </c>
      <c r="K613" s="3">
        <v>80</v>
      </c>
      <c r="L613" s="3">
        <v>80</v>
      </c>
      <c r="M613" s="3">
        <v>80</v>
      </c>
      <c r="N613" s="1"/>
      <c r="AA613" s="72" t="s">
        <v>34</v>
      </c>
    </row>
    <row r="614" spans="1:27" ht="30.75" customHeight="1" x14ac:dyDescent="0.2">
      <c r="A614" s="5" t="s">
        <v>464</v>
      </c>
      <c r="B614" s="5" t="s">
        <v>1066</v>
      </c>
      <c r="C614" s="6"/>
      <c r="D614" s="6"/>
      <c r="E614" s="7" t="s">
        <v>1067</v>
      </c>
      <c r="F614" s="8">
        <v>63032.6</v>
      </c>
      <c r="G614" s="8">
        <v>64644.800000000003</v>
      </c>
      <c r="H614" s="8">
        <v>66896.600000000006</v>
      </c>
      <c r="I614" s="5" t="s">
        <v>253</v>
      </c>
      <c r="J614" s="5" t="s">
        <v>99</v>
      </c>
      <c r="K614" s="5">
        <v>100</v>
      </c>
      <c r="L614" s="5">
        <v>100</v>
      </c>
      <c r="M614" s="5">
        <v>100</v>
      </c>
      <c r="N614" s="1"/>
      <c r="AA614" s="71" t="s">
        <v>40</v>
      </c>
    </row>
    <row r="615" spans="1:27" ht="45" customHeight="1" x14ac:dyDescent="0.2">
      <c r="A615" s="10" t="s">
        <v>100</v>
      </c>
      <c r="B615" s="10" t="s">
        <v>100</v>
      </c>
      <c r="C615" s="3" t="s">
        <v>100</v>
      </c>
      <c r="D615" s="3"/>
      <c r="E615" s="11" t="s">
        <v>1068</v>
      </c>
      <c r="F615" s="12">
        <v>34056</v>
      </c>
      <c r="G615" s="12">
        <v>35153.4</v>
      </c>
      <c r="H615" s="12">
        <v>36330.5</v>
      </c>
      <c r="I615" s="3" t="s">
        <v>1069</v>
      </c>
      <c r="J615" s="3" t="s">
        <v>223</v>
      </c>
      <c r="K615" s="3">
        <v>1700</v>
      </c>
      <c r="L615" s="3">
        <v>1700</v>
      </c>
      <c r="M615" s="3">
        <v>1700</v>
      </c>
      <c r="N615" s="1"/>
      <c r="AA615" s="72" t="s">
        <v>34</v>
      </c>
    </row>
    <row r="616" spans="1:27" ht="54" customHeight="1" x14ac:dyDescent="0.2">
      <c r="A616" s="10" t="s">
        <v>120</v>
      </c>
      <c r="B616" s="10" t="s">
        <v>120</v>
      </c>
      <c r="C616" s="3" t="s">
        <v>120</v>
      </c>
      <c r="D616" s="3"/>
      <c r="E616" s="11" t="s">
        <v>1070</v>
      </c>
      <c r="F616" s="12">
        <v>28976.6</v>
      </c>
      <c r="G616" s="12">
        <v>29491.4</v>
      </c>
      <c r="H616" s="12">
        <v>30566.1</v>
      </c>
      <c r="I616" s="3" t="s">
        <v>1071</v>
      </c>
      <c r="J616" s="3" t="s">
        <v>99</v>
      </c>
      <c r="K616" s="3">
        <v>100</v>
      </c>
      <c r="L616" s="3">
        <v>100</v>
      </c>
      <c r="M616" s="3">
        <v>100</v>
      </c>
      <c r="N616" s="1"/>
      <c r="AA616" s="72" t="s">
        <v>34</v>
      </c>
    </row>
    <row r="617" spans="1:27" ht="35.25" customHeight="1" x14ac:dyDescent="0.2">
      <c r="A617" s="5" t="s">
        <v>464</v>
      </c>
      <c r="B617" s="5" t="s">
        <v>1072</v>
      </c>
      <c r="C617" s="6"/>
      <c r="D617" s="6"/>
      <c r="E617" s="7" t="s">
        <v>1073</v>
      </c>
      <c r="F617" s="8">
        <v>4522247.8</v>
      </c>
      <c r="G617" s="8">
        <v>4631889.5</v>
      </c>
      <c r="H617" s="8">
        <v>4741723.9000000004</v>
      </c>
      <c r="I617" s="5" t="s">
        <v>253</v>
      </c>
      <c r="J617" s="5" t="s">
        <v>99</v>
      </c>
      <c r="K617" s="5">
        <v>100</v>
      </c>
      <c r="L617" s="5">
        <v>100</v>
      </c>
      <c r="M617" s="5">
        <v>100</v>
      </c>
      <c r="N617" s="1"/>
      <c r="AA617" s="71" t="s">
        <v>40</v>
      </c>
    </row>
    <row r="618" spans="1:27" ht="34.5" customHeight="1" x14ac:dyDescent="0.2">
      <c r="A618" s="10" t="s">
        <v>100</v>
      </c>
      <c r="B618" s="10" t="s">
        <v>100</v>
      </c>
      <c r="C618" s="3" t="s">
        <v>100</v>
      </c>
      <c r="D618" s="3"/>
      <c r="E618" s="11" t="s">
        <v>1074</v>
      </c>
      <c r="F618" s="12">
        <v>371826.8</v>
      </c>
      <c r="G618" s="12">
        <v>373353.4</v>
      </c>
      <c r="H618" s="12">
        <v>373910.4</v>
      </c>
      <c r="I618" s="3" t="s">
        <v>1075</v>
      </c>
      <c r="J618" s="3" t="s">
        <v>223</v>
      </c>
      <c r="K618" s="3">
        <v>80</v>
      </c>
      <c r="L618" s="3">
        <v>80</v>
      </c>
      <c r="M618" s="3">
        <v>80</v>
      </c>
      <c r="N618" s="1"/>
      <c r="AA618" s="72" t="s">
        <v>34</v>
      </c>
    </row>
    <row r="619" spans="1:27" ht="27" customHeight="1" x14ac:dyDescent="0.2">
      <c r="A619" s="209" t="s">
        <v>120</v>
      </c>
      <c r="B619" s="209" t="s">
        <v>120</v>
      </c>
      <c r="C619" s="207" t="s">
        <v>120</v>
      </c>
      <c r="D619" s="207"/>
      <c r="E619" s="208" t="s">
        <v>1076</v>
      </c>
      <c r="F619" s="204">
        <v>4150421</v>
      </c>
      <c r="G619" s="204">
        <v>4258536.0999999996</v>
      </c>
      <c r="H619" s="204">
        <v>4367813.5</v>
      </c>
      <c r="I619" s="3" t="s">
        <v>1077</v>
      </c>
      <c r="J619" s="3" t="s">
        <v>99</v>
      </c>
      <c r="K619" s="3">
        <v>45</v>
      </c>
      <c r="L619" s="3">
        <v>45</v>
      </c>
      <c r="M619" s="3">
        <v>45</v>
      </c>
      <c r="N619" s="1"/>
      <c r="AA619" s="72" t="s">
        <v>34</v>
      </c>
    </row>
    <row r="620" spans="1:27" ht="27" customHeight="1" x14ac:dyDescent="0.2">
      <c r="A620" s="206"/>
      <c r="B620" s="206"/>
      <c r="C620" s="206"/>
      <c r="D620" s="206"/>
      <c r="E620" s="206"/>
      <c r="F620" s="206"/>
      <c r="G620" s="206"/>
      <c r="H620" s="206"/>
      <c r="I620" s="3" t="s">
        <v>1078</v>
      </c>
      <c r="J620" s="3" t="s">
        <v>99</v>
      </c>
      <c r="K620" s="3">
        <v>45</v>
      </c>
      <c r="L620" s="3">
        <v>45</v>
      </c>
      <c r="M620" s="3">
        <v>45</v>
      </c>
      <c r="N620" s="1"/>
      <c r="AA620" s="73" t="s">
        <v>37</v>
      </c>
    </row>
    <row r="621" spans="1:27" ht="42" customHeight="1" x14ac:dyDescent="0.2">
      <c r="A621" s="5" t="s">
        <v>464</v>
      </c>
      <c r="B621" s="5" t="s">
        <v>1079</v>
      </c>
      <c r="C621" s="6"/>
      <c r="D621" s="6"/>
      <c r="E621" s="7" t="s">
        <v>1080</v>
      </c>
      <c r="F621" s="8">
        <v>1019758.6</v>
      </c>
      <c r="G621" s="8">
        <v>1047802.4</v>
      </c>
      <c r="H621" s="8">
        <v>1074201.8</v>
      </c>
      <c r="I621" s="5" t="s">
        <v>253</v>
      </c>
      <c r="J621" s="5" t="s">
        <v>99</v>
      </c>
      <c r="K621" s="5">
        <v>100</v>
      </c>
      <c r="L621" s="5">
        <v>100</v>
      </c>
      <c r="M621" s="5">
        <v>100</v>
      </c>
      <c r="N621" s="1"/>
      <c r="AA621" s="71" t="s">
        <v>40</v>
      </c>
    </row>
    <row r="622" spans="1:27" ht="33.75" customHeight="1" x14ac:dyDescent="0.2">
      <c r="A622" s="10" t="s">
        <v>100</v>
      </c>
      <c r="B622" s="10" t="s">
        <v>100</v>
      </c>
      <c r="C622" s="3" t="s">
        <v>100</v>
      </c>
      <c r="D622" s="3"/>
      <c r="E622" s="11" t="s">
        <v>1081</v>
      </c>
      <c r="F622" s="12">
        <v>68524</v>
      </c>
      <c r="G622" s="12">
        <v>70364.100000000006</v>
      </c>
      <c r="H622" s="12">
        <v>71959.899999999994</v>
      </c>
      <c r="I622" s="3" t="s">
        <v>1082</v>
      </c>
      <c r="J622" s="3" t="s">
        <v>105</v>
      </c>
      <c r="K622" s="3">
        <v>15</v>
      </c>
      <c r="L622" s="3">
        <v>15</v>
      </c>
      <c r="M622" s="3">
        <v>15</v>
      </c>
      <c r="N622" s="1"/>
      <c r="AA622" s="72" t="s">
        <v>34</v>
      </c>
    </row>
    <row r="623" spans="1:27" ht="36" customHeight="1" x14ac:dyDescent="0.2">
      <c r="A623" s="209" t="s">
        <v>120</v>
      </c>
      <c r="B623" s="209" t="s">
        <v>120</v>
      </c>
      <c r="C623" s="207" t="s">
        <v>120</v>
      </c>
      <c r="D623" s="207"/>
      <c r="E623" s="208" t="s">
        <v>1083</v>
      </c>
      <c r="F623" s="204">
        <v>916857.83</v>
      </c>
      <c r="G623" s="204">
        <v>940738.55</v>
      </c>
      <c r="H623" s="204">
        <v>976539.6</v>
      </c>
      <c r="I623" s="3" t="s">
        <v>1084</v>
      </c>
      <c r="J623" s="3" t="s">
        <v>99</v>
      </c>
      <c r="K623" s="3">
        <v>100</v>
      </c>
      <c r="L623" s="3">
        <v>100</v>
      </c>
      <c r="M623" s="3">
        <v>100</v>
      </c>
      <c r="N623" s="1"/>
      <c r="AA623" s="72" t="s">
        <v>34</v>
      </c>
    </row>
    <row r="624" spans="1:27" ht="28.5" customHeight="1" x14ac:dyDescent="0.2">
      <c r="A624" s="206"/>
      <c r="B624" s="206"/>
      <c r="C624" s="206"/>
      <c r="D624" s="206"/>
      <c r="E624" s="206"/>
      <c r="F624" s="206"/>
      <c r="G624" s="206"/>
      <c r="H624" s="206"/>
      <c r="I624" s="3" t="s">
        <v>1085</v>
      </c>
      <c r="J624" s="3" t="s">
        <v>99</v>
      </c>
      <c r="K624" s="3">
        <v>75</v>
      </c>
      <c r="L624" s="3">
        <v>75</v>
      </c>
      <c r="M624" s="3">
        <v>75</v>
      </c>
      <c r="N624" s="1"/>
      <c r="AA624" s="73" t="s">
        <v>37</v>
      </c>
    </row>
    <row r="625" spans="1:27" x14ac:dyDescent="0.2">
      <c r="A625" s="209" t="s">
        <v>150</v>
      </c>
      <c r="B625" s="209" t="s">
        <v>150</v>
      </c>
      <c r="C625" s="207" t="s">
        <v>150</v>
      </c>
      <c r="D625" s="207"/>
      <c r="E625" s="208" t="s">
        <v>1086</v>
      </c>
      <c r="F625" s="204">
        <v>34376.769999999997</v>
      </c>
      <c r="G625" s="204">
        <v>36699.75</v>
      </c>
      <c r="H625" s="204">
        <v>25702.3</v>
      </c>
      <c r="I625" s="3" t="s">
        <v>1087</v>
      </c>
      <c r="J625" s="3" t="s">
        <v>703</v>
      </c>
      <c r="K625" s="3">
        <v>150</v>
      </c>
      <c r="L625" s="3">
        <v>132.9</v>
      </c>
      <c r="M625" s="3">
        <v>104.5</v>
      </c>
      <c r="N625" s="1"/>
      <c r="AA625" s="72" t="s">
        <v>34</v>
      </c>
    </row>
    <row r="626" spans="1:27" x14ac:dyDescent="0.2">
      <c r="A626" s="205"/>
      <c r="B626" s="205"/>
      <c r="C626" s="205"/>
      <c r="D626" s="205"/>
      <c r="E626" s="205"/>
      <c r="F626" s="205"/>
      <c r="G626" s="205"/>
      <c r="H626" s="205"/>
      <c r="I626" s="3" t="s">
        <v>1088</v>
      </c>
      <c r="J626" s="3" t="s">
        <v>703</v>
      </c>
      <c r="K626" s="3">
        <v>300</v>
      </c>
      <c r="L626" s="3">
        <v>350</v>
      </c>
      <c r="M626" s="3">
        <v>400</v>
      </c>
      <c r="N626" s="1"/>
      <c r="AA626" s="73" t="s">
        <v>37</v>
      </c>
    </row>
    <row r="627" spans="1:27" x14ac:dyDescent="0.2">
      <c r="A627" s="205"/>
      <c r="B627" s="205"/>
      <c r="C627" s="205"/>
      <c r="D627" s="205"/>
      <c r="E627" s="205"/>
      <c r="F627" s="205"/>
      <c r="G627" s="205"/>
      <c r="H627" s="205"/>
      <c r="I627" s="3" t="s">
        <v>1089</v>
      </c>
      <c r="J627" s="3" t="s">
        <v>703</v>
      </c>
      <c r="K627" s="3">
        <v>850</v>
      </c>
      <c r="L627" s="3">
        <v>490</v>
      </c>
      <c r="M627" s="3">
        <v>400</v>
      </c>
      <c r="N627" s="1"/>
      <c r="AA627" s="73" t="s">
        <v>37</v>
      </c>
    </row>
    <row r="628" spans="1:27" x14ac:dyDescent="0.2">
      <c r="A628" s="206"/>
      <c r="B628" s="206"/>
      <c r="C628" s="206"/>
      <c r="D628" s="206"/>
      <c r="E628" s="206"/>
      <c r="F628" s="206"/>
      <c r="G628" s="206"/>
      <c r="H628" s="206"/>
      <c r="I628" s="3" t="s">
        <v>1090</v>
      </c>
      <c r="J628" s="3" t="s">
        <v>155</v>
      </c>
      <c r="K628" s="3">
        <v>150</v>
      </c>
      <c r="L628" s="3">
        <v>132</v>
      </c>
      <c r="M628" s="3">
        <v>104.5</v>
      </c>
      <c r="N628" s="1"/>
      <c r="AA628" s="73" t="s">
        <v>37</v>
      </c>
    </row>
    <row r="629" spans="1:27" x14ac:dyDescent="0.2">
      <c r="A629" s="18">
        <v>45</v>
      </c>
      <c r="B629" s="18" t="s">
        <v>408</v>
      </c>
      <c r="C629" s="45" t="s">
        <v>100</v>
      </c>
      <c r="D629" s="18"/>
      <c r="E629" s="43" t="s">
        <v>409</v>
      </c>
      <c r="F629" s="44">
        <v>3680878.8</v>
      </c>
      <c r="G629" s="44">
        <v>3737633.7</v>
      </c>
      <c r="H629" s="44">
        <v>2219304.7000000002</v>
      </c>
      <c r="I629" s="19" t="s">
        <v>347</v>
      </c>
      <c r="J629" s="19" t="s">
        <v>99</v>
      </c>
      <c r="K629" s="19">
        <v>100</v>
      </c>
      <c r="L629" s="19">
        <v>100</v>
      </c>
      <c r="M629" s="19">
        <v>100</v>
      </c>
      <c r="N629" s="1"/>
      <c r="AA629" s="72" t="s">
        <v>34</v>
      </c>
    </row>
    <row r="630" spans="1:27" x14ac:dyDescent="0.2">
      <c r="A630" s="210" t="s">
        <v>112</v>
      </c>
      <c r="B630" s="202"/>
      <c r="C630" s="202"/>
      <c r="D630" s="202"/>
      <c r="E630" s="203"/>
      <c r="F630" s="13">
        <v>13965684.9</v>
      </c>
      <c r="G630" s="13">
        <v>14208537.6</v>
      </c>
      <c r="H630" s="13">
        <v>12876705.800000001</v>
      </c>
      <c r="I630" s="201"/>
      <c r="J630" s="202"/>
      <c r="K630" s="202"/>
      <c r="L630" s="202"/>
      <c r="M630" s="203"/>
      <c r="N630" s="1"/>
      <c r="AA630" s="74" t="s">
        <v>46</v>
      </c>
    </row>
    <row r="631" spans="1:27" ht="15" customHeight="1" x14ac:dyDescent="0.2">
      <c r="A631" s="4" t="s">
        <v>466</v>
      </c>
      <c r="B631" s="212" t="s">
        <v>1091</v>
      </c>
      <c r="C631" s="202"/>
      <c r="D631" s="202"/>
      <c r="E631" s="202"/>
      <c r="F631" s="202"/>
      <c r="G631" s="202"/>
      <c r="H631" s="202"/>
      <c r="I631" s="202"/>
      <c r="J631" s="202"/>
      <c r="K631" s="202"/>
      <c r="L631" s="202"/>
      <c r="M631" s="203"/>
      <c r="N631" s="1"/>
      <c r="AA631" s="70" t="s">
        <v>43</v>
      </c>
    </row>
    <row r="632" spans="1:27" ht="27.75" customHeight="1" x14ac:dyDescent="0.2">
      <c r="A632" s="5" t="s">
        <v>466</v>
      </c>
      <c r="B632" s="5" t="s">
        <v>96</v>
      </c>
      <c r="C632" s="6"/>
      <c r="D632" s="6"/>
      <c r="E632" s="7" t="s">
        <v>97</v>
      </c>
      <c r="F632" s="8">
        <v>6239.5</v>
      </c>
      <c r="G632" s="8">
        <v>6173.6</v>
      </c>
      <c r="H632" s="8">
        <v>6186.8</v>
      </c>
      <c r="I632" s="18" t="s">
        <v>201</v>
      </c>
      <c r="J632" s="18" t="s">
        <v>99</v>
      </c>
      <c r="K632" s="18">
        <v>100</v>
      </c>
      <c r="L632" s="18">
        <v>100</v>
      </c>
      <c r="M632" s="18">
        <v>100</v>
      </c>
      <c r="N632" s="1"/>
      <c r="AA632" s="71" t="s">
        <v>40</v>
      </c>
    </row>
    <row r="633" spans="1:27" x14ac:dyDescent="0.2">
      <c r="A633" s="209" t="s">
        <v>100</v>
      </c>
      <c r="B633" s="209" t="s">
        <v>100</v>
      </c>
      <c r="C633" s="207" t="s">
        <v>100</v>
      </c>
      <c r="D633" s="207"/>
      <c r="E633" s="208" t="s">
        <v>101</v>
      </c>
      <c r="F633" s="204">
        <v>6239.5</v>
      </c>
      <c r="G633" s="204">
        <v>6173.6</v>
      </c>
      <c r="H633" s="204">
        <v>6186.8</v>
      </c>
      <c r="I633" s="3" t="s">
        <v>304</v>
      </c>
      <c r="J633" s="3" t="s">
        <v>103</v>
      </c>
      <c r="K633" s="3">
        <v>1</v>
      </c>
      <c r="L633" s="3">
        <v>1</v>
      </c>
      <c r="M633" s="3">
        <v>1</v>
      </c>
      <c r="N633" s="1"/>
      <c r="AA633" s="72" t="s">
        <v>34</v>
      </c>
    </row>
    <row r="634" spans="1:27" x14ac:dyDescent="0.2">
      <c r="A634" s="205"/>
      <c r="B634" s="205"/>
      <c r="C634" s="205"/>
      <c r="D634" s="205"/>
      <c r="E634" s="205"/>
      <c r="F634" s="205"/>
      <c r="G634" s="205"/>
      <c r="H634" s="205"/>
      <c r="I634" s="3" t="s">
        <v>1092</v>
      </c>
      <c r="J634" s="3" t="s">
        <v>99</v>
      </c>
      <c r="K634" s="3">
        <v>5</v>
      </c>
      <c r="L634" s="3">
        <v>5</v>
      </c>
      <c r="M634" s="3">
        <v>5</v>
      </c>
      <c r="N634" s="1"/>
      <c r="AA634" s="73" t="s">
        <v>37</v>
      </c>
    </row>
    <row r="635" spans="1:27" ht="27" customHeight="1" x14ac:dyDescent="0.2">
      <c r="A635" s="206"/>
      <c r="B635" s="206"/>
      <c r="C635" s="206"/>
      <c r="D635" s="206"/>
      <c r="E635" s="206"/>
      <c r="F635" s="206"/>
      <c r="G635" s="206"/>
      <c r="H635" s="206"/>
      <c r="I635" s="3" t="s">
        <v>1093</v>
      </c>
      <c r="J635" s="3" t="s">
        <v>99</v>
      </c>
      <c r="K635" s="3">
        <v>21.4</v>
      </c>
      <c r="L635" s="3">
        <v>21.4</v>
      </c>
      <c r="M635" s="3">
        <v>21.4</v>
      </c>
      <c r="N635" s="1"/>
      <c r="AA635" s="73" t="s">
        <v>37</v>
      </c>
    </row>
    <row r="636" spans="1:27" ht="36" customHeight="1" x14ac:dyDescent="0.2">
      <c r="A636" s="5" t="s">
        <v>466</v>
      </c>
      <c r="B636" s="5" t="s">
        <v>1094</v>
      </c>
      <c r="C636" s="6"/>
      <c r="D636" s="6"/>
      <c r="E636" s="7" t="s">
        <v>1095</v>
      </c>
      <c r="F636" s="8">
        <v>22582.9</v>
      </c>
      <c r="G636" s="8">
        <v>23225.200000000001</v>
      </c>
      <c r="H636" s="8">
        <v>23800</v>
      </c>
      <c r="I636" s="5" t="s">
        <v>253</v>
      </c>
      <c r="J636" s="5" t="s">
        <v>99</v>
      </c>
      <c r="K636" s="5">
        <v>100</v>
      </c>
      <c r="L636" s="5">
        <v>100</v>
      </c>
      <c r="M636" s="5">
        <v>100</v>
      </c>
      <c r="N636" s="1"/>
      <c r="AA636" s="71" t="s">
        <v>40</v>
      </c>
    </row>
    <row r="637" spans="1:27" ht="41.25" customHeight="1" x14ac:dyDescent="0.2">
      <c r="A637" s="10" t="s">
        <v>100</v>
      </c>
      <c r="B637" s="10" t="s">
        <v>100</v>
      </c>
      <c r="C637" s="3" t="s">
        <v>100</v>
      </c>
      <c r="D637" s="3"/>
      <c r="E637" s="11" t="s">
        <v>1096</v>
      </c>
      <c r="F637" s="12">
        <v>22582.9</v>
      </c>
      <c r="G637" s="12">
        <v>23225.200000000001</v>
      </c>
      <c r="H637" s="12">
        <v>23800</v>
      </c>
      <c r="I637" s="3" t="s">
        <v>1097</v>
      </c>
      <c r="J637" s="3" t="s">
        <v>155</v>
      </c>
      <c r="K637" s="3">
        <v>135</v>
      </c>
      <c r="L637" s="3">
        <v>150</v>
      </c>
      <c r="M637" s="3">
        <v>150</v>
      </c>
      <c r="N637" s="1"/>
      <c r="AA637" s="72" t="s">
        <v>34</v>
      </c>
    </row>
    <row r="638" spans="1:27" x14ac:dyDescent="0.2">
      <c r="A638" s="210" t="s">
        <v>112</v>
      </c>
      <c r="B638" s="202"/>
      <c r="C638" s="202"/>
      <c r="D638" s="202"/>
      <c r="E638" s="203"/>
      <c r="F638" s="13">
        <v>28822.400000000001</v>
      </c>
      <c r="G638" s="13">
        <v>29398.799999999999</v>
      </c>
      <c r="H638" s="13">
        <v>29986.799999999999</v>
      </c>
      <c r="I638" s="201"/>
      <c r="J638" s="202"/>
      <c r="K638" s="202"/>
      <c r="L638" s="202"/>
      <c r="M638" s="203"/>
      <c r="N638" s="1"/>
      <c r="AA638" s="74" t="s">
        <v>46</v>
      </c>
    </row>
    <row r="639" spans="1:27" ht="15" customHeight="1" x14ac:dyDescent="0.2">
      <c r="A639" s="4" t="s">
        <v>1098</v>
      </c>
      <c r="B639" s="212" t="s">
        <v>1099</v>
      </c>
      <c r="C639" s="202"/>
      <c r="D639" s="202"/>
      <c r="E639" s="202"/>
      <c r="F639" s="202"/>
      <c r="G639" s="202"/>
      <c r="H639" s="202"/>
      <c r="I639" s="202"/>
      <c r="J639" s="202"/>
      <c r="K639" s="202"/>
      <c r="L639" s="202"/>
      <c r="M639" s="203"/>
      <c r="N639" s="1"/>
      <c r="AA639" s="70" t="s">
        <v>43</v>
      </c>
    </row>
    <row r="640" spans="1:27" ht="21.75" customHeight="1" x14ac:dyDescent="0.2">
      <c r="A640" s="5" t="s">
        <v>1098</v>
      </c>
      <c r="B640" s="5" t="s">
        <v>96</v>
      </c>
      <c r="C640" s="6"/>
      <c r="D640" s="6"/>
      <c r="E640" s="7" t="s">
        <v>97</v>
      </c>
      <c r="F640" s="8">
        <v>54957</v>
      </c>
      <c r="G640" s="8">
        <v>54957</v>
      </c>
      <c r="H640" s="8">
        <v>54957</v>
      </c>
      <c r="I640" s="18" t="s">
        <v>673</v>
      </c>
      <c r="J640" s="18" t="s">
        <v>99</v>
      </c>
      <c r="K640" s="18">
        <v>40</v>
      </c>
      <c r="L640" s="18">
        <v>45</v>
      </c>
      <c r="M640" s="18">
        <v>45</v>
      </c>
      <c r="N640" s="1"/>
      <c r="AA640" s="71" t="s">
        <v>40</v>
      </c>
    </row>
    <row r="641" spans="1:27" ht="24" customHeight="1" x14ac:dyDescent="0.2">
      <c r="A641" s="10" t="s">
        <v>100</v>
      </c>
      <c r="B641" s="10" t="s">
        <v>100</v>
      </c>
      <c r="C641" s="3" t="s">
        <v>100</v>
      </c>
      <c r="D641" s="3"/>
      <c r="E641" s="11" t="s">
        <v>101</v>
      </c>
      <c r="F641" s="12">
        <v>54957</v>
      </c>
      <c r="G641" s="12">
        <v>54957</v>
      </c>
      <c r="H641" s="12">
        <v>54957</v>
      </c>
      <c r="I641" s="3" t="s">
        <v>673</v>
      </c>
      <c r="J641" s="3" t="s">
        <v>99</v>
      </c>
      <c r="K641" s="3">
        <v>40</v>
      </c>
      <c r="L641" s="3">
        <v>45</v>
      </c>
      <c r="M641" s="3">
        <v>45</v>
      </c>
      <c r="N641" s="1"/>
      <c r="AA641" s="72" t="s">
        <v>34</v>
      </c>
    </row>
    <row r="642" spans="1:27" ht="30.75" customHeight="1" x14ac:dyDescent="0.2">
      <c r="A642" s="5" t="s">
        <v>1098</v>
      </c>
      <c r="B642" s="5" t="s">
        <v>1100</v>
      </c>
      <c r="C642" s="6"/>
      <c r="D642" s="6"/>
      <c r="E642" s="7" t="s">
        <v>1101</v>
      </c>
      <c r="F642" s="8">
        <v>2392955.1</v>
      </c>
      <c r="G642" s="8">
        <v>2445991.31</v>
      </c>
      <c r="H642" s="8">
        <v>2495616.7400000002</v>
      </c>
      <c r="I642" s="5" t="s">
        <v>253</v>
      </c>
      <c r="J642" s="5" t="s">
        <v>99</v>
      </c>
      <c r="K642" s="5">
        <v>100</v>
      </c>
      <c r="L642" s="5">
        <v>100</v>
      </c>
      <c r="M642" s="5">
        <v>100</v>
      </c>
      <c r="N642" s="1"/>
      <c r="AA642" s="71" t="s">
        <v>40</v>
      </c>
    </row>
    <row r="643" spans="1:27" ht="30" customHeight="1" x14ac:dyDescent="0.2">
      <c r="A643" s="10" t="s">
        <v>100</v>
      </c>
      <c r="B643" s="10" t="s">
        <v>100</v>
      </c>
      <c r="C643" s="3" t="s">
        <v>100</v>
      </c>
      <c r="D643" s="3"/>
      <c r="E643" s="11" t="s">
        <v>1102</v>
      </c>
      <c r="F643" s="12">
        <v>2223278.2999999998</v>
      </c>
      <c r="G643" s="12">
        <v>2276314.5099999998</v>
      </c>
      <c r="H643" s="12">
        <v>2325939.94</v>
      </c>
      <c r="I643" s="3" t="s">
        <v>1103</v>
      </c>
      <c r="J643" s="3" t="s">
        <v>105</v>
      </c>
      <c r="K643" s="3">
        <v>15</v>
      </c>
      <c r="L643" s="3">
        <v>20</v>
      </c>
      <c r="M643" s="3">
        <v>25</v>
      </c>
      <c r="N643" s="1"/>
      <c r="AA643" s="72" t="s">
        <v>34</v>
      </c>
    </row>
    <row r="644" spans="1:27" ht="44.25" customHeight="1" x14ac:dyDescent="0.2">
      <c r="A644" s="209" t="s">
        <v>124</v>
      </c>
      <c r="B644" s="209" t="s">
        <v>124</v>
      </c>
      <c r="C644" s="207" t="s">
        <v>124</v>
      </c>
      <c r="D644" s="207"/>
      <c r="E644" s="208" t="s">
        <v>1104</v>
      </c>
      <c r="F644" s="204">
        <v>169676.79999999999</v>
      </c>
      <c r="G644" s="204">
        <v>169676.79999999999</v>
      </c>
      <c r="H644" s="204">
        <v>169676.79999999999</v>
      </c>
      <c r="I644" s="3" t="s">
        <v>1105</v>
      </c>
      <c r="J644" s="3" t="s">
        <v>105</v>
      </c>
      <c r="K644" s="3">
        <v>1600</v>
      </c>
      <c r="L644" s="3">
        <v>1600</v>
      </c>
      <c r="M644" s="3">
        <v>1600</v>
      </c>
      <c r="N644" s="1"/>
      <c r="AA644" s="72" t="s">
        <v>34</v>
      </c>
    </row>
    <row r="645" spans="1:27" ht="30" customHeight="1" x14ac:dyDescent="0.2">
      <c r="A645" s="206"/>
      <c r="B645" s="206"/>
      <c r="C645" s="206"/>
      <c r="D645" s="206"/>
      <c r="E645" s="206"/>
      <c r="F645" s="206"/>
      <c r="G645" s="206"/>
      <c r="H645" s="206"/>
      <c r="I645" s="3" t="s">
        <v>1106</v>
      </c>
      <c r="J645" s="3" t="s">
        <v>105</v>
      </c>
      <c r="K645" s="3">
        <v>490</v>
      </c>
      <c r="L645" s="3">
        <v>495</v>
      </c>
      <c r="M645" s="3">
        <v>495</v>
      </c>
      <c r="N645" s="1"/>
      <c r="AA645" s="73" t="s">
        <v>37</v>
      </c>
    </row>
    <row r="646" spans="1:27" ht="16.5" customHeight="1" x14ac:dyDescent="0.2">
      <c r="A646" s="210" t="s">
        <v>112</v>
      </c>
      <c r="B646" s="202"/>
      <c r="C646" s="202"/>
      <c r="D646" s="202"/>
      <c r="E646" s="203"/>
      <c r="F646" s="13">
        <v>2447912.1</v>
      </c>
      <c r="G646" s="13">
        <v>2500948.31</v>
      </c>
      <c r="H646" s="13">
        <v>2550573.7400000002</v>
      </c>
      <c r="I646" s="201"/>
      <c r="J646" s="202"/>
      <c r="K646" s="202"/>
      <c r="L646" s="202"/>
      <c r="M646" s="203"/>
      <c r="N646" s="1"/>
      <c r="AA646" s="74" t="s">
        <v>46</v>
      </c>
    </row>
    <row r="647" spans="1:27" ht="15.75" customHeight="1" x14ac:dyDescent="0.2">
      <c r="A647" s="4" t="s">
        <v>1107</v>
      </c>
      <c r="B647" s="212" t="s">
        <v>1108</v>
      </c>
      <c r="C647" s="202"/>
      <c r="D647" s="202"/>
      <c r="E647" s="202"/>
      <c r="F647" s="202"/>
      <c r="G647" s="202"/>
      <c r="H647" s="202"/>
      <c r="I647" s="202"/>
      <c r="J647" s="202"/>
      <c r="K647" s="202"/>
      <c r="L647" s="202"/>
      <c r="M647" s="203"/>
      <c r="N647" s="1"/>
      <c r="AA647" s="70" t="s">
        <v>43</v>
      </c>
    </row>
    <row r="648" spans="1:27" ht="30" customHeight="1" x14ac:dyDescent="0.2">
      <c r="A648" s="5" t="s">
        <v>1107</v>
      </c>
      <c r="B648" s="5" t="s">
        <v>1109</v>
      </c>
      <c r="C648" s="6"/>
      <c r="D648" s="6"/>
      <c r="E648" s="7" t="s">
        <v>1110</v>
      </c>
      <c r="F648" s="8">
        <v>2724111.8000000012</v>
      </c>
      <c r="G648" s="8">
        <v>2445747.7000000002</v>
      </c>
      <c r="H648" s="8">
        <v>2495212.7000000002</v>
      </c>
      <c r="I648" s="9" t="s">
        <v>1111</v>
      </c>
      <c r="J648" s="9" t="s">
        <v>99</v>
      </c>
      <c r="K648" s="9">
        <v>100</v>
      </c>
      <c r="L648" s="9">
        <v>100</v>
      </c>
      <c r="M648" s="9">
        <v>100</v>
      </c>
      <c r="N648" s="1"/>
      <c r="AA648" s="71" t="s">
        <v>40</v>
      </c>
    </row>
    <row r="649" spans="1:27" ht="24" customHeight="1" x14ac:dyDescent="0.2">
      <c r="A649" s="10" t="s">
        <v>120</v>
      </c>
      <c r="B649" s="10" t="s">
        <v>120</v>
      </c>
      <c r="C649" s="3" t="s">
        <v>120</v>
      </c>
      <c r="D649" s="3"/>
      <c r="E649" s="11" t="s">
        <v>1112</v>
      </c>
      <c r="F649" s="12">
        <v>2540465.4</v>
      </c>
      <c r="G649" s="12">
        <v>2258289.1</v>
      </c>
      <c r="H649" s="12">
        <v>2303858.6</v>
      </c>
      <c r="I649" s="3" t="s">
        <v>1113</v>
      </c>
      <c r="J649" s="3" t="s">
        <v>99</v>
      </c>
      <c r="K649" s="3">
        <v>100</v>
      </c>
      <c r="L649" s="3">
        <v>100</v>
      </c>
      <c r="M649" s="3">
        <v>100</v>
      </c>
      <c r="N649" s="1"/>
      <c r="AA649" s="72" t="s">
        <v>34</v>
      </c>
    </row>
    <row r="650" spans="1:27" ht="24" customHeight="1" x14ac:dyDescent="0.2">
      <c r="A650" s="10" t="s">
        <v>150</v>
      </c>
      <c r="B650" s="10" t="s">
        <v>150</v>
      </c>
      <c r="C650" s="3" t="s">
        <v>150</v>
      </c>
      <c r="D650" s="3"/>
      <c r="E650" s="11" t="s">
        <v>1114</v>
      </c>
      <c r="F650" s="12">
        <v>159465.70000000001</v>
      </c>
      <c r="G650" s="12">
        <v>162659.29999999999</v>
      </c>
      <c r="H650" s="12">
        <v>165917.1</v>
      </c>
      <c r="I650" s="3" t="s">
        <v>1115</v>
      </c>
      <c r="J650" s="3" t="s">
        <v>99</v>
      </c>
      <c r="K650" s="3">
        <v>100</v>
      </c>
      <c r="L650" s="3">
        <v>100</v>
      </c>
      <c r="M650" s="3">
        <v>100</v>
      </c>
      <c r="N650" s="1"/>
      <c r="AA650" s="72" t="s">
        <v>34</v>
      </c>
    </row>
    <row r="651" spans="1:27" x14ac:dyDescent="0.2">
      <c r="A651" s="10" t="s">
        <v>124</v>
      </c>
      <c r="B651" s="10" t="s">
        <v>124</v>
      </c>
      <c r="C651" s="3" t="s">
        <v>124</v>
      </c>
      <c r="D651" s="3"/>
      <c r="E651" s="11" t="s">
        <v>1116</v>
      </c>
      <c r="F651" s="12">
        <v>24180.7</v>
      </c>
      <c r="G651" s="12">
        <v>24799.3</v>
      </c>
      <c r="H651" s="12">
        <v>25437</v>
      </c>
      <c r="I651" s="3" t="s">
        <v>1117</v>
      </c>
      <c r="J651" s="3" t="s">
        <v>99</v>
      </c>
      <c r="K651" s="3">
        <v>100</v>
      </c>
      <c r="L651" s="3">
        <v>100</v>
      </c>
      <c r="M651" s="3">
        <v>100</v>
      </c>
      <c r="N651" s="1"/>
      <c r="AA651" s="72" t="s">
        <v>34</v>
      </c>
    </row>
    <row r="652" spans="1:27" ht="32.25" customHeight="1" x14ac:dyDescent="0.2">
      <c r="A652" s="5" t="s">
        <v>1107</v>
      </c>
      <c r="B652" s="5" t="s">
        <v>1118</v>
      </c>
      <c r="C652" s="6"/>
      <c r="D652" s="6"/>
      <c r="E652" s="7" t="s">
        <v>1119</v>
      </c>
      <c r="F652" s="8">
        <v>551932.5</v>
      </c>
      <c r="G652" s="8">
        <v>553267.80000000005</v>
      </c>
      <c r="H652" s="8">
        <v>564333.19999999995</v>
      </c>
      <c r="I652" s="16" t="s">
        <v>201</v>
      </c>
      <c r="J652" s="16" t="s">
        <v>99</v>
      </c>
      <c r="K652" s="16">
        <v>100</v>
      </c>
      <c r="L652" s="16">
        <v>100</v>
      </c>
      <c r="M652" s="16">
        <v>100</v>
      </c>
      <c r="N652" s="1"/>
      <c r="AA652" s="71" t="s">
        <v>40</v>
      </c>
    </row>
    <row r="653" spans="1:27" ht="24" customHeight="1" x14ac:dyDescent="0.2">
      <c r="A653" s="10" t="s">
        <v>100</v>
      </c>
      <c r="B653" s="10" t="s">
        <v>100</v>
      </c>
      <c r="C653" s="3" t="s">
        <v>100</v>
      </c>
      <c r="D653" s="3"/>
      <c r="E653" s="11" t="s">
        <v>1120</v>
      </c>
      <c r="F653" s="12">
        <v>275966.25</v>
      </c>
      <c r="G653" s="12">
        <v>276633.90000000002</v>
      </c>
      <c r="H653" s="12">
        <v>282166.59999999998</v>
      </c>
      <c r="I653" s="3" t="s">
        <v>1121</v>
      </c>
      <c r="J653" s="3" t="s">
        <v>103</v>
      </c>
      <c r="K653" s="3">
        <v>100</v>
      </c>
      <c r="L653" s="3">
        <v>100</v>
      </c>
      <c r="M653" s="3">
        <v>100</v>
      </c>
      <c r="N653" s="1"/>
      <c r="AA653" s="72" t="s">
        <v>34</v>
      </c>
    </row>
    <row r="654" spans="1:27" x14ac:dyDescent="0.2">
      <c r="A654" s="10" t="s">
        <v>120</v>
      </c>
      <c r="B654" s="10" t="s">
        <v>120</v>
      </c>
      <c r="C654" s="3" t="s">
        <v>120</v>
      </c>
      <c r="D654" s="3"/>
      <c r="E654" s="11" t="s">
        <v>1122</v>
      </c>
      <c r="F654" s="12">
        <v>275966.25</v>
      </c>
      <c r="G654" s="12">
        <v>276633.90000000002</v>
      </c>
      <c r="H654" s="12">
        <v>282166.59999999998</v>
      </c>
      <c r="I654" s="3" t="s">
        <v>1123</v>
      </c>
      <c r="J654" s="3" t="s">
        <v>103</v>
      </c>
      <c r="K654" s="3">
        <v>100</v>
      </c>
      <c r="L654" s="3">
        <v>100</v>
      </c>
      <c r="M654" s="3">
        <v>100</v>
      </c>
      <c r="N654" s="1"/>
      <c r="AA654" s="72" t="s">
        <v>34</v>
      </c>
    </row>
    <row r="655" spans="1:27" x14ac:dyDescent="0.2">
      <c r="A655" s="210" t="s">
        <v>112</v>
      </c>
      <c r="B655" s="202"/>
      <c r="C655" s="202"/>
      <c r="D655" s="202"/>
      <c r="E655" s="203"/>
      <c r="F655" s="13">
        <v>3276044.3000000012</v>
      </c>
      <c r="G655" s="13">
        <v>2999015.5</v>
      </c>
      <c r="H655" s="13">
        <v>3059545.9</v>
      </c>
      <c r="I655" s="201"/>
      <c r="J655" s="202"/>
      <c r="K655" s="202"/>
      <c r="L655" s="202"/>
      <c r="M655" s="203"/>
      <c r="N655" s="1"/>
      <c r="O655" s="48">
        <v>3054483.6</v>
      </c>
      <c r="P655" s="32"/>
      <c r="AA655" s="74" t="s">
        <v>46</v>
      </c>
    </row>
    <row r="656" spans="1:27" ht="15" customHeight="1" x14ac:dyDescent="0.2">
      <c r="A656" s="4" t="s">
        <v>1124</v>
      </c>
      <c r="B656" s="212" t="s">
        <v>1125</v>
      </c>
      <c r="C656" s="202"/>
      <c r="D656" s="202"/>
      <c r="E656" s="202"/>
      <c r="F656" s="202"/>
      <c r="G656" s="202"/>
      <c r="H656" s="202"/>
      <c r="I656" s="202"/>
      <c r="J656" s="202"/>
      <c r="K656" s="202"/>
      <c r="L656" s="202"/>
      <c r="M656" s="203"/>
      <c r="N656" s="1"/>
      <c r="O656" s="32">
        <f>F655-O655</f>
        <v>221560.70000000112</v>
      </c>
      <c r="AA656" s="70" t="s">
        <v>43</v>
      </c>
    </row>
    <row r="657" spans="1:28" ht="33" customHeight="1" x14ac:dyDescent="0.2">
      <c r="A657" s="5" t="s">
        <v>1124</v>
      </c>
      <c r="B657" s="5" t="s">
        <v>1126</v>
      </c>
      <c r="C657" s="6"/>
      <c r="D657" s="6"/>
      <c r="E657" s="7" t="s">
        <v>1127</v>
      </c>
      <c r="F657" s="8">
        <v>20667.599999999999</v>
      </c>
      <c r="G657" s="8">
        <v>15879</v>
      </c>
      <c r="H657" s="8">
        <v>16196.5</v>
      </c>
      <c r="I657" s="5" t="s">
        <v>253</v>
      </c>
      <c r="J657" s="5" t="s">
        <v>99</v>
      </c>
      <c r="K657" s="5">
        <v>100</v>
      </c>
      <c r="L657" s="5">
        <v>100</v>
      </c>
      <c r="M657" s="5">
        <v>100</v>
      </c>
      <c r="N657" s="1"/>
      <c r="P657" s="32"/>
      <c r="AA657" s="71" t="s">
        <v>40</v>
      </c>
    </row>
    <row r="658" spans="1:28" ht="36" customHeight="1" x14ac:dyDescent="0.2">
      <c r="A658" s="209" t="s">
        <v>100</v>
      </c>
      <c r="B658" s="209" t="s">
        <v>100</v>
      </c>
      <c r="C658" s="207" t="s">
        <v>100</v>
      </c>
      <c r="D658" s="207"/>
      <c r="E658" s="208" t="s">
        <v>1128</v>
      </c>
      <c r="F658" s="204">
        <v>4794.6000000000004</v>
      </c>
      <c r="G658" s="204">
        <v>4794.6000000000004</v>
      </c>
      <c r="H658" s="204">
        <v>4794.6000000000004</v>
      </c>
      <c r="I658" s="3" t="s">
        <v>1129</v>
      </c>
      <c r="J658" s="3" t="s">
        <v>105</v>
      </c>
      <c r="K658" s="3">
        <v>36950</v>
      </c>
      <c r="L658" s="3">
        <v>37150</v>
      </c>
      <c r="M658" s="3">
        <v>37150</v>
      </c>
      <c r="N658" s="1"/>
      <c r="AA658" s="72" t="s">
        <v>34</v>
      </c>
    </row>
    <row r="659" spans="1:28" x14ac:dyDescent="0.2">
      <c r="A659" s="205"/>
      <c r="B659" s="205"/>
      <c r="C659" s="205"/>
      <c r="D659" s="205"/>
      <c r="E659" s="205"/>
      <c r="F659" s="205"/>
      <c r="G659" s="205"/>
      <c r="H659" s="205"/>
      <c r="I659" s="3" t="s">
        <v>1130</v>
      </c>
      <c r="J659" s="3" t="s">
        <v>159</v>
      </c>
      <c r="K659" s="3">
        <v>4550</v>
      </c>
      <c r="L659" s="3">
        <v>4550</v>
      </c>
      <c r="M659" s="3">
        <v>4550</v>
      </c>
      <c r="N659" s="1"/>
      <c r="AA659" s="73" t="s">
        <v>37</v>
      </c>
    </row>
    <row r="660" spans="1:28" ht="29.25" customHeight="1" x14ac:dyDescent="0.2">
      <c r="A660" s="206"/>
      <c r="B660" s="206"/>
      <c r="C660" s="206"/>
      <c r="D660" s="206"/>
      <c r="E660" s="206"/>
      <c r="F660" s="206"/>
      <c r="G660" s="206"/>
      <c r="H660" s="206"/>
      <c r="I660" s="3" t="s">
        <v>1131</v>
      </c>
      <c r="J660" s="3" t="s">
        <v>105</v>
      </c>
      <c r="K660" s="3">
        <v>24000</v>
      </c>
      <c r="L660" s="3">
        <v>24000</v>
      </c>
      <c r="M660" s="3">
        <v>24000</v>
      </c>
      <c r="N660" s="1"/>
      <c r="AA660" s="73" t="s">
        <v>37</v>
      </c>
    </row>
    <row r="661" spans="1:28" ht="30" customHeight="1" x14ac:dyDescent="0.2">
      <c r="A661" s="10" t="s">
        <v>150</v>
      </c>
      <c r="B661" s="10" t="s">
        <v>150</v>
      </c>
      <c r="C661" s="3" t="s">
        <v>150</v>
      </c>
      <c r="D661" s="3"/>
      <c r="E661" s="11" t="s">
        <v>1132</v>
      </c>
      <c r="F661" s="12">
        <v>15873</v>
      </c>
      <c r="G661" s="12">
        <v>11084.4</v>
      </c>
      <c r="H661" s="12">
        <v>11401.9</v>
      </c>
      <c r="I661" s="3" t="s">
        <v>1133</v>
      </c>
      <c r="J661" s="3" t="s">
        <v>99</v>
      </c>
      <c r="K661" s="3">
        <v>80</v>
      </c>
      <c r="L661" s="3">
        <v>80</v>
      </c>
      <c r="M661" s="3">
        <v>80</v>
      </c>
      <c r="N661" s="1"/>
      <c r="AA661" s="72" t="s">
        <v>34</v>
      </c>
    </row>
    <row r="662" spans="1:28" ht="27.75" customHeight="1" x14ac:dyDescent="0.2">
      <c r="A662" s="5" t="s">
        <v>1124</v>
      </c>
      <c r="B662" s="5" t="s">
        <v>1134</v>
      </c>
      <c r="C662" s="6"/>
      <c r="D662" s="6"/>
      <c r="E662" s="7" t="s">
        <v>1135</v>
      </c>
      <c r="F662" s="8">
        <v>55362.400000000001</v>
      </c>
      <c r="G662" s="8">
        <v>41101.4</v>
      </c>
      <c r="H662" s="8">
        <v>41923.5</v>
      </c>
      <c r="I662" s="5" t="s">
        <v>253</v>
      </c>
      <c r="J662" s="5" t="s">
        <v>99</v>
      </c>
      <c r="K662" s="5">
        <v>100</v>
      </c>
      <c r="L662" s="5">
        <v>100</v>
      </c>
      <c r="M662" s="5">
        <v>100</v>
      </c>
      <c r="N662" s="1"/>
      <c r="AA662" s="71" t="s">
        <v>40</v>
      </c>
      <c r="AB662" s="75" t="s">
        <v>169</v>
      </c>
    </row>
    <row r="663" spans="1:28" ht="42" customHeight="1" x14ac:dyDescent="0.2">
      <c r="A663" s="209" t="s">
        <v>100</v>
      </c>
      <c r="B663" s="209" t="s">
        <v>100</v>
      </c>
      <c r="C663" s="207" t="s">
        <v>100</v>
      </c>
      <c r="D663" s="207"/>
      <c r="E663" s="208" t="s">
        <v>1136</v>
      </c>
      <c r="F663" s="204">
        <v>35307.300000000003</v>
      </c>
      <c r="G663" s="204">
        <v>26569.4</v>
      </c>
      <c r="H663" s="204">
        <v>27100.799999999999</v>
      </c>
      <c r="I663" s="3" t="s">
        <v>1137</v>
      </c>
      <c r="J663" s="3" t="s">
        <v>186</v>
      </c>
      <c r="K663" s="3">
        <v>306077</v>
      </c>
      <c r="L663" s="3">
        <v>231203.7</v>
      </c>
      <c r="M663" s="3">
        <v>235825</v>
      </c>
      <c r="N663" s="1"/>
      <c r="AA663" s="72" t="s">
        <v>34</v>
      </c>
    </row>
    <row r="664" spans="1:28" ht="41.25" customHeight="1" x14ac:dyDescent="0.2">
      <c r="A664" s="206"/>
      <c r="B664" s="206"/>
      <c r="C664" s="206"/>
      <c r="D664" s="206"/>
      <c r="E664" s="206"/>
      <c r="F664" s="206"/>
      <c r="G664" s="206"/>
      <c r="H664" s="206"/>
      <c r="I664" s="3" t="s">
        <v>1138</v>
      </c>
      <c r="J664" s="3" t="s">
        <v>186</v>
      </c>
      <c r="K664" s="3">
        <v>12000</v>
      </c>
      <c r="L664" s="3">
        <v>12000</v>
      </c>
      <c r="M664" s="3">
        <v>12000</v>
      </c>
      <c r="N664" s="1"/>
      <c r="AA664" s="73" t="s">
        <v>37</v>
      </c>
    </row>
    <row r="665" spans="1:28" ht="42.75" customHeight="1" x14ac:dyDescent="0.2">
      <c r="A665" s="209" t="s">
        <v>120</v>
      </c>
      <c r="B665" s="209" t="s">
        <v>120</v>
      </c>
      <c r="C665" s="207" t="s">
        <v>120</v>
      </c>
      <c r="D665" s="207"/>
      <c r="E665" s="208" t="s">
        <v>1139</v>
      </c>
      <c r="F665" s="204">
        <v>20055.099999999999</v>
      </c>
      <c r="G665" s="204">
        <v>14532</v>
      </c>
      <c r="H665" s="204">
        <v>14822.7</v>
      </c>
      <c r="I665" s="3" t="s">
        <v>1140</v>
      </c>
      <c r="J665" s="3" t="s">
        <v>159</v>
      </c>
      <c r="K665" s="3">
        <v>380</v>
      </c>
      <c r="L665" s="3">
        <v>380</v>
      </c>
      <c r="M665" s="3">
        <v>380</v>
      </c>
      <c r="N665" s="1"/>
      <c r="AA665" s="72" t="s">
        <v>34</v>
      </c>
    </row>
    <row r="666" spans="1:28" ht="29.25" customHeight="1" x14ac:dyDescent="0.2">
      <c r="A666" s="206"/>
      <c r="B666" s="206"/>
      <c r="C666" s="206"/>
      <c r="D666" s="206"/>
      <c r="E666" s="206"/>
      <c r="F666" s="206"/>
      <c r="G666" s="206"/>
      <c r="H666" s="206"/>
      <c r="I666" s="3" t="s">
        <v>1141</v>
      </c>
      <c r="J666" s="3" t="s">
        <v>186</v>
      </c>
      <c r="K666" s="3">
        <v>25</v>
      </c>
      <c r="L666" s="3">
        <v>25</v>
      </c>
      <c r="M666" s="3">
        <v>25</v>
      </c>
      <c r="N666" s="1"/>
      <c r="AA666" s="73" t="s">
        <v>37</v>
      </c>
    </row>
    <row r="667" spans="1:28" x14ac:dyDescent="0.2">
      <c r="A667" s="210" t="s">
        <v>112</v>
      </c>
      <c r="B667" s="202"/>
      <c r="C667" s="202"/>
      <c r="D667" s="202"/>
      <c r="E667" s="203"/>
      <c r="F667" s="13">
        <v>76030</v>
      </c>
      <c r="G667" s="13">
        <v>56980.4</v>
      </c>
      <c r="H667" s="13">
        <v>58120</v>
      </c>
      <c r="I667" s="201"/>
      <c r="J667" s="202"/>
      <c r="K667" s="202"/>
      <c r="L667" s="202"/>
      <c r="M667" s="203"/>
      <c r="N667" s="1"/>
      <c r="AA667" s="74" t="s">
        <v>46</v>
      </c>
    </row>
    <row r="668" spans="1:28" ht="15" customHeight="1" x14ac:dyDescent="0.2">
      <c r="A668" s="4" t="s">
        <v>469</v>
      </c>
      <c r="B668" s="212" t="s">
        <v>1142</v>
      </c>
      <c r="C668" s="202"/>
      <c r="D668" s="202"/>
      <c r="E668" s="202"/>
      <c r="F668" s="202"/>
      <c r="G668" s="202"/>
      <c r="H668" s="202"/>
      <c r="I668" s="202"/>
      <c r="J668" s="202"/>
      <c r="K668" s="202"/>
      <c r="L668" s="202"/>
      <c r="M668" s="203"/>
      <c r="N668" s="1"/>
      <c r="AA668" s="70" t="s">
        <v>43</v>
      </c>
    </row>
    <row r="669" spans="1:28" x14ac:dyDescent="0.2">
      <c r="A669" s="5" t="s">
        <v>469</v>
      </c>
      <c r="B669" s="5" t="s">
        <v>96</v>
      </c>
      <c r="C669" s="6"/>
      <c r="D669" s="6"/>
      <c r="E669" s="7" t="s">
        <v>97</v>
      </c>
      <c r="F669" s="8">
        <v>26079.599999999999</v>
      </c>
      <c r="G669" s="8">
        <v>26742.400000000001</v>
      </c>
      <c r="H669" s="8">
        <v>27149.8</v>
      </c>
      <c r="I669" s="18" t="s">
        <v>304</v>
      </c>
      <c r="J669" s="18" t="s">
        <v>103</v>
      </c>
      <c r="K669" s="18">
        <v>100</v>
      </c>
      <c r="L669" s="18">
        <v>100</v>
      </c>
      <c r="M669" s="18">
        <v>100</v>
      </c>
      <c r="N669" s="1"/>
      <c r="AA669" s="71" t="s">
        <v>40</v>
      </c>
    </row>
    <row r="670" spans="1:28" ht="24" customHeight="1" x14ac:dyDescent="0.2">
      <c r="A670" s="10" t="s">
        <v>100</v>
      </c>
      <c r="B670" s="10" t="s">
        <v>100</v>
      </c>
      <c r="C670" s="3" t="s">
        <v>100</v>
      </c>
      <c r="D670" s="3"/>
      <c r="E670" s="11" t="s">
        <v>101</v>
      </c>
      <c r="F670" s="12">
        <v>26079.599999999999</v>
      </c>
      <c r="G670" s="12">
        <v>26742.400000000001</v>
      </c>
      <c r="H670" s="12">
        <v>27149.8</v>
      </c>
      <c r="I670" s="3" t="s">
        <v>304</v>
      </c>
      <c r="J670" s="3" t="s">
        <v>103</v>
      </c>
      <c r="K670" s="3">
        <v>100</v>
      </c>
      <c r="L670" s="3">
        <v>100</v>
      </c>
      <c r="M670" s="3">
        <v>100</v>
      </c>
      <c r="N670" s="1"/>
      <c r="AA670" s="72" t="s">
        <v>34</v>
      </c>
    </row>
    <row r="671" spans="1:28" ht="36" customHeight="1" x14ac:dyDescent="0.2">
      <c r="A671" s="5" t="s">
        <v>469</v>
      </c>
      <c r="B671" s="5" t="s">
        <v>1143</v>
      </c>
      <c r="C671" s="6"/>
      <c r="D671" s="6"/>
      <c r="E671" s="7" t="s">
        <v>1144</v>
      </c>
      <c r="F671" s="8">
        <v>38654.400000000001</v>
      </c>
      <c r="G671" s="8">
        <v>39236.300000000003</v>
      </c>
      <c r="H671" s="8">
        <v>39598.5</v>
      </c>
      <c r="I671" s="5" t="s">
        <v>253</v>
      </c>
      <c r="J671" s="5" t="s">
        <v>99</v>
      </c>
      <c r="K671" s="5">
        <v>100</v>
      </c>
      <c r="L671" s="5">
        <v>100</v>
      </c>
      <c r="M671" s="5">
        <v>100</v>
      </c>
      <c r="N671" s="1"/>
      <c r="AA671" s="71" t="s">
        <v>40</v>
      </c>
      <c r="AB671" s="75" t="s">
        <v>123</v>
      </c>
    </row>
    <row r="672" spans="1:28" ht="24" customHeight="1" x14ac:dyDescent="0.2">
      <c r="A672" s="10" t="s">
        <v>100</v>
      </c>
      <c r="B672" s="10" t="s">
        <v>100</v>
      </c>
      <c r="C672" s="3" t="s">
        <v>100</v>
      </c>
      <c r="D672" s="3"/>
      <c r="E672" s="11" t="s">
        <v>1145</v>
      </c>
      <c r="F672" s="12">
        <v>25037.3</v>
      </c>
      <c r="G672" s="12">
        <v>25447.1</v>
      </c>
      <c r="H672" s="12">
        <v>25574.2</v>
      </c>
      <c r="I672" s="3" t="s">
        <v>1146</v>
      </c>
      <c r="J672" s="3" t="s">
        <v>159</v>
      </c>
      <c r="K672" s="3">
        <v>10000</v>
      </c>
      <c r="L672" s="3">
        <v>15000</v>
      </c>
      <c r="M672" s="3">
        <v>20000</v>
      </c>
      <c r="N672" s="1"/>
      <c r="AA672" s="72" t="s">
        <v>34</v>
      </c>
      <c r="AB672" s="75" t="s">
        <v>169</v>
      </c>
    </row>
    <row r="673" spans="1:28" ht="24" customHeight="1" x14ac:dyDescent="0.2">
      <c r="A673" s="10" t="s">
        <v>124</v>
      </c>
      <c r="B673" s="10" t="s">
        <v>124</v>
      </c>
      <c r="C673" s="3" t="s">
        <v>124</v>
      </c>
      <c r="D673" s="3"/>
      <c r="E673" s="11" t="s">
        <v>1147</v>
      </c>
      <c r="F673" s="12">
        <v>13617.1</v>
      </c>
      <c r="G673" s="12">
        <v>13789.2</v>
      </c>
      <c r="H673" s="12">
        <v>14024.3</v>
      </c>
      <c r="I673" s="3" t="s">
        <v>304</v>
      </c>
      <c r="J673" s="3" t="s">
        <v>103</v>
      </c>
      <c r="K673" s="3">
        <v>100</v>
      </c>
      <c r="L673" s="3">
        <v>100</v>
      </c>
      <c r="M673" s="3">
        <v>100</v>
      </c>
      <c r="N673" s="1"/>
      <c r="AA673" s="72" t="s">
        <v>34</v>
      </c>
    </row>
    <row r="674" spans="1:28" x14ac:dyDescent="0.2">
      <c r="A674" s="210" t="s">
        <v>112</v>
      </c>
      <c r="B674" s="202"/>
      <c r="C674" s="202"/>
      <c r="D674" s="202"/>
      <c r="E674" s="203"/>
      <c r="F674" s="13">
        <v>64734</v>
      </c>
      <c r="G674" s="13">
        <v>65978.700000000012</v>
      </c>
      <c r="H674" s="13">
        <v>66748.3</v>
      </c>
      <c r="I674" s="201"/>
      <c r="J674" s="202"/>
      <c r="K674" s="202"/>
      <c r="L674" s="202"/>
      <c r="M674" s="203"/>
      <c r="N674" s="1"/>
      <c r="AA674" s="74" t="s">
        <v>46</v>
      </c>
    </row>
    <row r="675" spans="1:28" ht="15" customHeight="1" x14ac:dyDescent="0.2">
      <c r="A675" s="4" t="s">
        <v>1148</v>
      </c>
      <c r="B675" s="212" t="s">
        <v>1149</v>
      </c>
      <c r="C675" s="202"/>
      <c r="D675" s="202"/>
      <c r="E675" s="202"/>
      <c r="F675" s="202"/>
      <c r="G675" s="202"/>
      <c r="H675" s="202"/>
      <c r="I675" s="202"/>
      <c r="J675" s="202"/>
      <c r="K675" s="202"/>
      <c r="L675" s="202"/>
      <c r="M675" s="203"/>
      <c r="N675" s="1"/>
      <c r="AA675" s="70" t="s">
        <v>43</v>
      </c>
    </row>
    <row r="676" spans="1:28" ht="32.25" customHeight="1" x14ac:dyDescent="0.2">
      <c r="A676" s="5" t="s">
        <v>1148</v>
      </c>
      <c r="B676" s="5" t="s">
        <v>1150</v>
      </c>
      <c r="C676" s="6"/>
      <c r="D676" s="6"/>
      <c r="E676" s="7" t="s">
        <v>1151</v>
      </c>
      <c r="F676" s="8">
        <v>2246762.7999999998</v>
      </c>
      <c r="G676" s="8">
        <v>2173251.2999999998</v>
      </c>
      <c r="H676" s="8">
        <v>2166358</v>
      </c>
      <c r="I676" s="5" t="s">
        <v>253</v>
      </c>
      <c r="J676" s="5" t="s">
        <v>99</v>
      </c>
      <c r="K676" s="5">
        <v>100</v>
      </c>
      <c r="L676" s="5">
        <v>100</v>
      </c>
      <c r="M676" s="5">
        <v>100</v>
      </c>
      <c r="N676" s="1"/>
      <c r="AA676" s="71" t="s">
        <v>40</v>
      </c>
    </row>
    <row r="677" spans="1:28" ht="48.75" customHeight="1" x14ac:dyDescent="0.2">
      <c r="A677" s="10" t="s">
        <v>100</v>
      </c>
      <c r="B677" s="10" t="s">
        <v>100</v>
      </c>
      <c r="C677" s="3" t="s">
        <v>100</v>
      </c>
      <c r="D677" s="3"/>
      <c r="E677" s="11" t="s">
        <v>1152</v>
      </c>
      <c r="F677" s="12">
        <v>1859868.5</v>
      </c>
      <c r="G677" s="12">
        <v>1897065.9</v>
      </c>
      <c r="H677" s="12">
        <v>1916267.2</v>
      </c>
      <c r="I677" s="3" t="s">
        <v>1153</v>
      </c>
      <c r="J677" s="3" t="s">
        <v>155</v>
      </c>
      <c r="K677" s="3">
        <v>1528972</v>
      </c>
      <c r="L677" s="3">
        <v>1605420</v>
      </c>
      <c r="M677" s="3">
        <v>1685691</v>
      </c>
      <c r="N677" s="1"/>
      <c r="AA677" s="72" t="s">
        <v>34</v>
      </c>
    </row>
    <row r="678" spans="1:28" ht="30" customHeight="1" x14ac:dyDescent="0.2">
      <c r="A678" s="10" t="s">
        <v>120</v>
      </c>
      <c r="B678" s="10" t="s">
        <v>120</v>
      </c>
      <c r="C678" s="3" t="s">
        <v>120</v>
      </c>
      <c r="D678" s="3"/>
      <c r="E678" s="11" t="s">
        <v>1154</v>
      </c>
      <c r="F678" s="12">
        <v>72740</v>
      </c>
      <c r="G678" s="12">
        <v>0</v>
      </c>
      <c r="H678" s="12">
        <v>0</v>
      </c>
      <c r="I678" s="3" t="s">
        <v>1155</v>
      </c>
      <c r="J678" s="3" t="s">
        <v>155</v>
      </c>
      <c r="K678" s="3">
        <v>21</v>
      </c>
      <c r="L678" s="3">
        <v>0</v>
      </c>
      <c r="M678" s="3">
        <v>0</v>
      </c>
      <c r="N678" s="1"/>
      <c r="AA678" s="72" t="s">
        <v>34</v>
      </c>
    </row>
    <row r="679" spans="1:28" ht="48.75" customHeight="1" x14ac:dyDescent="0.2">
      <c r="A679" s="209" t="s">
        <v>150</v>
      </c>
      <c r="B679" s="209" t="s">
        <v>150</v>
      </c>
      <c r="C679" s="207" t="s">
        <v>150</v>
      </c>
      <c r="D679" s="207"/>
      <c r="E679" s="208" t="s">
        <v>1156</v>
      </c>
      <c r="F679" s="204">
        <v>131872.9</v>
      </c>
      <c r="G679" s="204">
        <v>133710.39999999999</v>
      </c>
      <c r="H679" s="204">
        <v>104766.2</v>
      </c>
      <c r="I679" s="3" t="s">
        <v>1157</v>
      </c>
      <c r="J679" s="3" t="s">
        <v>1158</v>
      </c>
      <c r="K679" s="3">
        <v>8</v>
      </c>
      <c r="L679" s="3">
        <v>8</v>
      </c>
      <c r="M679" s="3">
        <v>8</v>
      </c>
      <c r="N679" s="1"/>
      <c r="AA679" s="72" t="s">
        <v>34</v>
      </c>
      <c r="AB679" s="75" t="s">
        <v>960</v>
      </c>
    </row>
    <row r="680" spans="1:28" ht="35.25" customHeight="1" x14ac:dyDescent="0.2">
      <c r="A680" s="206"/>
      <c r="B680" s="206"/>
      <c r="C680" s="206"/>
      <c r="D680" s="206"/>
      <c r="E680" s="206"/>
      <c r="F680" s="206"/>
      <c r="G680" s="206"/>
      <c r="H680" s="206"/>
      <c r="I680" s="3" t="s">
        <v>1159</v>
      </c>
      <c r="J680" s="3" t="s">
        <v>1160</v>
      </c>
      <c r="K680" s="3">
        <v>248</v>
      </c>
      <c r="L680" s="3">
        <v>248</v>
      </c>
      <c r="M680" s="3">
        <v>248</v>
      </c>
      <c r="N680" s="1"/>
      <c r="AA680" s="73" t="s">
        <v>37</v>
      </c>
    </row>
    <row r="681" spans="1:28" ht="35.25" customHeight="1" x14ac:dyDescent="0.2">
      <c r="A681" s="209" t="s">
        <v>124</v>
      </c>
      <c r="B681" s="209" t="s">
        <v>124</v>
      </c>
      <c r="C681" s="207" t="s">
        <v>124</v>
      </c>
      <c r="D681" s="207"/>
      <c r="E681" s="208" t="s">
        <v>1161</v>
      </c>
      <c r="F681" s="204">
        <v>182281.4</v>
      </c>
      <c r="G681" s="204">
        <v>142475</v>
      </c>
      <c r="H681" s="204">
        <v>145324.6</v>
      </c>
      <c r="I681" s="3" t="s">
        <v>1162</v>
      </c>
      <c r="J681" s="3" t="s">
        <v>1163</v>
      </c>
      <c r="K681" s="3">
        <v>71</v>
      </c>
      <c r="L681" s="3">
        <v>71</v>
      </c>
      <c r="M681" s="3">
        <v>71</v>
      </c>
      <c r="N681" s="1"/>
      <c r="AA681" s="72" t="s">
        <v>34</v>
      </c>
      <c r="AB681" s="75" t="s">
        <v>123</v>
      </c>
    </row>
    <row r="682" spans="1:28" ht="48" customHeight="1" x14ac:dyDescent="0.2">
      <c r="A682" s="206"/>
      <c r="B682" s="206"/>
      <c r="C682" s="206"/>
      <c r="D682" s="206"/>
      <c r="E682" s="206"/>
      <c r="F682" s="206"/>
      <c r="G682" s="206"/>
      <c r="H682" s="206"/>
      <c r="I682" s="3" t="s">
        <v>1164</v>
      </c>
      <c r="J682" s="3" t="s">
        <v>1160</v>
      </c>
      <c r="K682" s="3">
        <v>107</v>
      </c>
      <c r="L682" s="3">
        <v>107</v>
      </c>
      <c r="M682" s="3">
        <v>107</v>
      </c>
      <c r="N682" s="1"/>
      <c r="AA682" s="73" t="s">
        <v>37</v>
      </c>
    </row>
    <row r="683" spans="1:28" x14ac:dyDescent="0.2">
      <c r="A683" s="210" t="s">
        <v>112</v>
      </c>
      <c r="B683" s="202"/>
      <c r="C683" s="202"/>
      <c r="D683" s="202"/>
      <c r="E683" s="203"/>
      <c r="F683" s="13">
        <v>2246762.7999999998</v>
      </c>
      <c r="G683" s="13">
        <v>2173251.2999999998</v>
      </c>
      <c r="H683" s="13">
        <v>2166358</v>
      </c>
      <c r="I683" s="201"/>
      <c r="J683" s="202"/>
      <c r="K683" s="202"/>
      <c r="L683" s="202"/>
      <c r="M683" s="203"/>
      <c r="N683" s="1"/>
      <c r="AA683" s="74" t="s">
        <v>46</v>
      </c>
    </row>
    <row r="684" spans="1:28" ht="15" customHeight="1" x14ac:dyDescent="0.2">
      <c r="A684" s="4" t="s">
        <v>1165</v>
      </c>
      <c r="B684" s="212" t="s">
        <v>1166</v>
      </c>
      <c r="C684" s="202"/>
      <c r="D684" s="202"/>
      <c r="E684" s="202"/>
      <c r="F684" s="202"/>
      <c r="G684" s="202"/>
      <c r="H684" s="202"/>
      <c r="I684" s="202"/>
      <c r="J684" s="202"/>
      <c r="K684" s="202"/>
      <c r="L684" s="202"/>
      <c r="M684" s="203"/>
      <c r="N684" s="1"/>
      <c r="AA684" s="70" t="s">
        <v>43</v>
      </c>
    </row>
    <row r="685" spans="1:28" ht="24" customHeight="1" x14ac:dyDescent="0.2">
      <c r="A685" s="5" t="s">
        <v>1165</v>
      </c>
      <c r="B685" s="5" t="s">
        <v>1167</v>
      </c>
      <c r="C685" s="6"/>
      <c r="D685" s="6"/>
      <c r="E685" s="7" t="s">
        <v>1168</v>
      </c>
      <c r="F685" s="8">
        <v>1105080.8999999999</v>
      </c>
      <c r="G685" s="8">
        <v>1205298.5</v>
      </c>
      <c r="H685" s="8">
        <v>1255198</v>
      </c>
      <c r="I685" s="18" t="s">
        <v>1169</v>
      </c>
      <c r="J685" s="18" t="s">
        <v>155</v>
      </c>
      <c r="K685" s="18">
        <v>168000</v>
      </c>
      <c r="L685" s="18">
        <v>178000</v>
      </c>
      <c r="M685" s="18">
        <v>188000</v>
      </c>
      <c r="N685" s="1"/>
      <c r="AA685" s="71" t="s">
        <v>40</v>
      </c>
    </row>
    <row r="686" spans="1:28" ht="36" customHeight="1" x14ac:dyDescent="0.2">
      <c r="A686" s="10" t="s">
        <v>100</v>
      </c>
      <c r="B686" s="10" t="s">
        <v>100</v>
      </c>
      <c r="C686" s="3" t="s">
        <v>100</v>
      </c>
      <c r="D686" s="3"/>
      <c r="E686" s="11" t="s">
        <v>1170</v>
      </c>
      <c r="F686" s="12">
        <v>1105080.8999999999</v>
      </c>
      <c r="G686" s="12">
        <v>1205298.5</v>
      </c>
      <c r="H686" s="12">
        <v>1255198</v>
      </c>
      <c r="I686" s="3" t="s">
        <v>1171</v>
      </c>
      <c r="J686" s="3" t="s">
        <v>155</v>
      </c>
      <c r="K686" s="3">
        <v>934000</v>
      </c>
      <c r="L686" s="3">
        <v>944000</v>
      </c>
      <c r="M686" s="3">
        <v>954000</v>
      </c>
      <c r="N686" s="1"/>
      <c r="AA686" s="72" t="s">
        <v>34</v>
      </c>
    </row>
    <row r="687" spans="1:28" x14ac:dyDescent="0.2">
      <c r="A687" s="210" t="s">
        <v>112</v>
      </c>
      <c r="B687" s="202"/>
      <c r="C687" s="202"/>
      <c r="D687" s="202"/>
      <c r="E687" s="203"/>
      <c r="F687" s="13">
        <v>1105080.8999999999</v>
      </c>
      <c r="G687" s="13">
        <v>1205298.5</v>
      </c>
      <c r="H687" s="13">
        <v>1255198</v>
      </c>
      <c r="I687" s="201"/>
      <c r="J687" s="202"/>
      <c r="K687" s="202"/>
      <c r="L687" s="202"/>
      <c r="M687" s="203"/>
      <c r="N687" s="1"/>
      <c r="AA687" s="74" t="s">
        <v>46</v>
      </c>
    </row>
    <row r="688" spans="1:28" ht="15" customHeight="1" x14ac:dyDescent="0.2">
      <c r="A688" s="4" t="s">
        <v>1172</v>
      </c>
      <c r="B688" s="212" t="s">
        <v>1173</v>
      </c>
      <c r="C688" s="202"/>
      <c r="D688" s="202"/>
      <c r="E688" s="202"/>
      <c r="F688" s="202"/>
      <c r="G688" s="202"/>
      <c r="H688" s="202"/>
      <c r="I688" s="202"/>
      <c r="J688" s="202"/>
      <c r="K688" s="202"/>
      <c r="L688" s="202"/>
      <c r="M688" s="203"/>
      <c r="N688" s="1"/>
      <c r="AA688" s="70" t="s">
        <v>43</v>
      </c>
    </row>
    <row r="689" spans="1:27" ht="33" customHeight="1" x14ac:dyDescent="0.2">
      <c r="A689" s="5" t="s">
        <v>1172</v>
      </c>
      <c r="B689" s="5" t="s">
        <v>1174</v>
      </c>
      <c r="C689" s="6"/>
      <c r="D689" s="6"/>
      <c r="E689" s="7" t="s">
        <v>1175</v>
      </c>
      <c r="F689" s="8">
        <v>147614.5</v>
      </c>
      <c r="G689" s="8">
        <v>150566.79</v>
      </c>
      <c r="H689" s="8">
        <v>153578.13</v>
      </c>
      <c r="I689" s="18" t="s">
        <v>253</v>
      </c>
      <c r="J689" s="18" t="s">
        <v>99</v>
      </c>
      <c r="K689" s="18">
        <v>100</v>
      </c>
      <c r="L689" s="18">
        <v>100</v>
      </c>
      <c r="M689" s="18">
        <v>100</v>
      </c>
      <c r="N689" s="1"/>
      <c r="AA689" s="71" t="s">
        <v>40</v>
      </c>
    </row>
    <row r="690" spans="1:27" ht="45" customHeight="1" x14ac:dyDescent="0.2">
      <c r="A690" s="10" t="s">
        <v>100</v>
      </c>
      <c r="B690" s="10" t="s">
        <v>100</v>
      </c>
      <c r="C690" s="3" t="s">
        <v>100</v>
      </c>
      <c r="D690" s="3"/>
      <c r="E690" s="11" t="s">
        <v>1176</v>
      </c>
      <c r="F690" s="12">
        <v>147614.5</v>
      </c>
      <c r="G690" s="12">
        <v>150566.79</v>
      </c>
      <c r="H690" s="12">
        <v>153578.13</v>
      </c>
      <c r="I690" s="3" t="s">
        <v>1177</v>
      </c>
      <c r="J690" s="3" t="s">
        <v>99</v>
      </c>
      <c r="K690" s="3">
        <v>100</v>
      </c>
      <c r="L690" s="3">
        <v>100</v>
      </c>
      <c r="M690" s="3">
        <v>100</v>
      </c>
      <c r="N690" s="1"/>
      <c r="AA690" s="72" t="s">
        <v>34</v>
      </c>
    </row>
    <row r="691" spans="1:27" x14ac:dyDescent="0.2">
      <c r="A691" s="210" t="s">
        <v>112</v>
      </c>
      <c r="B691" s="202"/>
      <c r="C691" s="202"/>
      <c r="D691" s="202"/>
      <c r="E691" s="203"/>
      <c r="F691" s="13">
        <v>147614.5</v>
      </c>
      <c r="G691" s="13">
        <v>150566.79</v>
      </c>
      <c r="H691" s="13">
        <v>153578.13</v>
      </c>
      <c r="I691" s="201"/>
      <c r="J691" s="202"/>
      <c r="K691" s="202"/>
      <c r="L691" s="202"/>
      <c r="M691" s="203"/>
      <c r="N691" s="1"/>
      <c r="AA691" s="74" t="s">
        <v>46</v>
      </c>
    </row>
    <row r="692" spans="1:27" ht="15" customHeight="1" x14ac:dyDescent="0.2">
      <c r="A692" s="4" t="s">
        <v>471</v>
      </c>
      <c r="B692" s="212" t="s">
        <v>1178</v>
      </c>
      <c r="C692" s="202"/>
      <c r="D692" s="202"/>
      <c r="E692" s="202"/>
      <c r="F692" s="202"/>
      <c r="G692" s="202"/>
      <c r="H692" s="202"/>
      <c r="I692" s="202"/>
      <c r="J692" s="202"/>
      <c r="K692" s="202"/>
      <c r="L692" s="202"/>
      <c r="M692" s="203"/>
      <c r="N692" s="1"/>
      <c r="AA692" s="70" t="s">
        <v>43</v>
      </c>
    </row>
    <row r="693" spans="1:27" ht="24" customHeight="1" x14ac:dyDescent="0.2">
      <c r="A693" s="5" t="s">
        <v>471</v>
      </c>
      <c r="B693" s="5" t="s">
        <v>96</v>
      </c>
      <c r="C693" s="6"/>
      <c r="D693" s="6"/>
      <c r="E693" s="7" t="s">
        <v>97</v>
      </c>
      <c r="F693" s="8">
        <v>14991.7</v>
      </c>
      <c r="G693" s="8">
        <v>15291.53</v>
      </c>
      <c r="H693" s="8">
        <v>15597.36</v>
      </c>
      <c r="I693" s="18" t="s">
        <v>253</v>
      </c>
      <c r="J693" s="18" t="s">
        <v>99</v>
      </c>
      <c r="K693" s="18">
        <v>100</v>
      </c>
      <c r="L693" s="18">
        <v>100</v>
      </c>
      <c r="M693" s="18">
        <v>100</v>
      </c>
      <c r="N693" s="1"/>
      <c r="AA693" s="71" t="s">
        <v>40</v>
      </c>
    </row>
    <row r="694" spans="1:27" ht="24" customHeight="1" x14ac:dyDescent="0.2">
      <c r="A694" s="10" t="s">
        <v>100</v>
      </c>
      <c r="B694" s="10" t="s">
        <v>100</v>
      </c>
      <c r="C694" s="3" t="s">
        <v>100</v>
      </c>
      <c r="D694" s="3"/>
      <c r="E694" s="11" t="s">
        <v>101</v>
      </c>
      <c r="F694" s="12">
        <v>14991.7</v>
      </c>
      <c r="G694" s="12">
        <v>15291.53</v>
      </c>
      <c r="H694" s="12">
        <v>15597.36</v>
      </c>
      <c r="I694" s="3" t="s">
        <v>1179</v>
      </c>
      <c r="J694" s="3" t="s">
        <v>105</v>
      </c>
      <c r="K694" s="3">
        <v>20</v>
      </c>
      <c r="L694" s="3">
        <v>20</v>
      </c>
      <c r="M694" s="3">
        <v>20</v>
      </c>
      <c r="N694" s="1"/>
      <c r="AA694" s="72" t="s">
        <v>34</v>
      </c>
    </row>
    <row r="695" spans="1:27" x14ac:dyDescent="0.2">
      <c r="A695" s="210" t="s">
        <v>112</v>
      </c>
      <c r="B695" s="202"/>
      <c r="C695" s="202"/>
      <c r="D695" s="202"/>
      <c r="E695" s="203"/>
      <c r="F695" s="13">
        <v>14991.7</v>
      </c>
      <c r="G695" s="13">
        <v>15291.53</v>
      </c>
      <c r="H695" s="13">
        <v>15597.36</v>
      </c>
      <c r="I695" s="201"/>
      <c r="J695" s="202"/>
      <c r="K695" s="202"/>
      <c r="L695" s="202"/>
      <c r="M695" s="203"/>
      <c r="N695" s="1"/>
      <c r="AA695" s="74" t="s">
        <v>46</v>
      </c>
    </row>
    <row r="696" spans="1:27" ht="15" customHeight="1" x14ac:dyDescent="0.2">
      <c r="A696" s="4" t="s">
        <v>1180</v>
      </c>
      <c r="B696" s="212" t="s">
        <v>1181</v>
      </c>
      <c r="C696" s="202"/>
      <c r="D696" s="202"/>
      <c r="E696" s="202"/>
      <c r="F696" s="202"/>
      <c r="G696" s="202"/>
      <c r="H696" s="202"/>
      <c r="I696" s="202"/>
      <c r="J696" s="202"/>
      <c r="K696" s="202"/>
      <c r="L696" s="202"/>
      <c r="M696" s="203"/>
      <c r="N696" s="1"/>
      <c r="AA696" s="70" t="s">
        <v>43</v>
      </c>
    </row>
    <row r="697" spans="1:27" x14ac:dyDescent="0.2">
      <c r="A697" s="5" t="s">
        <v>1180</v>
      </c>
      <c r="B697" s="5" t="s">
        <v>96</v>
      </c>
      <c r="C697" s="6"/>
      <c r="D697" s="6"/>
      <c r="E697" s="7" t="s">
        <v>97</v>
      </c>
      <c r="F697" s="8">
        <v>128453.6</v>
      </c>
      <c r="G697" s="8">
        <v>132913.5</v>
      </c>
      <c r="H697" s="8">
        <v>136938.20000000001</v>
      </c>
      <c r="I697" s="18" t="s">
        <v>304</v>
      </c>
      <c r="J697" s="18" t="s">
        <v>103</v>
      </c>
      <c r="K697" s="18">
        <v>35</v>
      </c>
      <c r="L697" s="18">
        <v>35</v>
      </c>
      <c r="M697" s="18">
        <v>35</v>
      </c>
      <c r="N697" s="1"/>
      <c r="AA697" s="71" t="s">
        <v>40</v>
      </c>
    </row>
    <row r="698" spans="1:27" ht="24" customHeight="1" x14ac:dyDescent="0.2">
      <c r="A698" s="10" t="s">
        <v>100</v>
      </c>
      <c r="B698" s="10" t="s">
        <v>100</v>
      </c>
      <c r="C698" s="3" t="s">
        <v>100</v>
      </c>
      <c r="D698" s="3"/>
      <c r="E698" s="11" t="s">
        <v>101</v>
      </c>
      <c r="F698" s="12">
        <v>128453.6</v>
      </c>
      <c r="G698" s="12">
        <v>132913.5</v>
      </c>
      <c r="H698" s="12">
        <v>136938.20000000001</v>
      </c>
      <c r="I698" s="3" t="s">
        <v>304</v>
      </c>
      <c r="J698" s="3" t="s">
        <v>103</v>
      </c>
      <c r="K698" s="3">
        <v>35</v>
      </c>
      <c r="L698" s="3">
        <v>35</v>
      </c>
      <c r="M698" s="3">
        <v>35</v>
      </c>
      <c r="N698" s="1"/>
      <c r="AA698" s="72" t="s">
        <v>34</v>
      </c>
    </row>
    <row r="699" spans="1:27" ht="35.25" customHeight="1" x14ac:dyDescent="0.2">
      <c r="A699" s="5" t="s">
        <v>1180</v>
      </c>
      <c r="B699" s="5" t="s">
        <v>1182</v>
      </c>
      <c r="C699" s="6"/>
      <c r="D699" s="6"/>
      <c r="E699" s="7" t="s">
        <v>1183</v>
      </c>
      <c r="F699" s="8">
        <v>78720.399999999994</v>
      </c>
      <c r="G699" s="8">
        <v>81620.399999999994</v>
      </c>
      <c r="H699" s="8">
        <v>84440</v>
      </c>
      <c r="I699" s="5" t="s">
        <v>253</v>
      </c>
      <c r="J699" s="5" t="s">
        <v>99</v>
      </c>
      <c r="K699" s="5">
        <v>100</v>
      </c>
      <c r="L699" s="5">
        <v>100</v>
      </c>
      <c r="M699" s="5">
        <v>100</v>
      </c>
      <c r="N699" s="1"/>
      <c r="AA699" s="71" t="s">
        <v>40</v>
      </c>
    </row>
    <row r="700" spans="1:27" x14ac:dyDescent="0.2">
      <c r="A700" s="209" t="s">
        <v>100</v>
      </c>
      <c r="B700" s="209" t="s">
        <v>100</v>
      </c>
      <c r="C700" s="207" t="s">
        <v>100</v>
      </c>
      <c r="D700" s="207"/>
      <c r="E700" s="208" t="s">
        <v>1184</v>
      </c>
      <c r="F700" s="204">
        <v>39360.199999999997</v>
      </c>
      <c r="G700" s="204">
        <v>40810.199999999997</v>
      </c>
      <c r="H700" s="204">
        <v>42220</v>
      </c>
      <c r="I700" s="3" t="s">
        <v>1185</v>
      </c>
      <c r="J700" s="3" t="s">
        <v>155</v>
      </c>
      <c r="K700" s="3">
        <v>44</v>
      </c>
      <c r="L700" s="3">
        <v>47</v>
      </c>
      <c r="M700" s="3">
        <v>50</v>
      </c>
      <c r="N700" s="1"/>
      <c r="AA700" s="72" t="s">
        <v>34</v>
      </c>
    </row>
    <row r="701" spans="1:27" x14ac:dyDescent="0.2">
      <c r="A701" s="205"/>
      <c r="B701" s="205"/>
      <c r="C701" s="205"/>
      <c r="D701" s="205"/>
      <c r="E701" s="205"/>
      <c r="F701" s="205"/>
      <c r="G701" s="205"/>
      <c r="H701" s="205"/>
      <c r="I701" s="3" t="s">
        <v>1186</v>
      </c>
      <c r="J701" s="3" t="s">
        <v>155</v>
      </c>
      <c r="K701" s="3">
        <v>41</v>
      </c>
      <c r="L701" s="3">
        <v>44</v>
      </c>
      <c r="M701" s="3">
        <v>47</v>
      </c>
      <c r="N701" s="1"/>
      <c r="AA701" s="73" t="s">
        <v>37</v>
      </c>
    </row>
    <row r="702" spans="1:27" x14ac:dyDescent="0.2">
      <c r="A702" s="206"/>
      <c r="B702" s="206"/>
      <c r="C702" s="206"/>
      <c r="D702" s="206"/>
      <c r="E702" s="206"/>
      <c r="F702" s="206"/>
      <c r="G702" s="206"/>
      <c r="H702" s="206"/>
      <c r="I702" s="3" t="s">
        <v>1187</v>
      </c>
      <c r="J702" s="3" t="s">
        <v>155</v>
      </c>
      <c r="K702" s="3">
        <v>25</v>
      </c>
      <c r="L702" s="3">
        <v>27</v>
      </c>
      <c r="M702" s="3">
        <v>30</v>
      </c>
      <c r="N702" s="1"/>
      <c r="AA702" s="73" t="s">
        <v>37</v>
      </c>
    </row>
    <row r="703" spans="1:27" ht="24" customHeight="1" x14ac:dyDescent="0.2">
      <c r="A703" s="10" t="s">
        <v>120</v>
      </c>
      <c r="B703" s="10" t="s">
        <v>120</v>
      </c>
      <c r="C703" s="3" t="s">
        <v>120</v>
      </c>
      <c r="D703" s="3"/>
      <c r="E703" s="11" t="s">
        <v>1188</v>
      </c>
      <c r="F703" s="12">
        <v>39360.199999999997</v>
      </c>
      <c r="G703" s="12">
        <v>40810.199999999997</v>
      </c>
      <c r="H703" s="12">
        <v>42220</v>
      </c>
      <c r="I703" s="3" t="s">
        <v>1189</v>
      </c>
      <c r="J703" s="3" t="s">
        <v>99</v>
      </c>
      <c r="K703" s="3">
        <v>26.7</v>
      </c>
      <c r="L703" s="3">
        <v>26.7</v>
      </c>
      <c r="M703" s="3">
        <v>26.7</v>
      </c>
      <c r="N703" s="1"/>
      <c r="AA703" s="72" t="s">
        <v>34</v>
      </c>
    </row>
    <row r="704" spans="1:27" ht="24" customHeight="1" x14ac:dyDescent="0.2">
      <c r="A704" s="5" t="s">
        <v>1180</v>
      </c>
      <c r="B704" s="5" t="s">
        <v>1190</v>
      </c>
      <c r="C704" s="6"/>
      <c r="D704" s="6"/>
      <c r="E704" s="7" t="s">
        <v>1191</v>
      </c>
      <c r="F704" s="8">
        <v>71785.3</v>
      </c>
      <c r="G704" s="8">
        <v>72914</v>
      </c>
      <c r="H704" s="8">
        <v>74452.7</v>
      </c>
      <c r="I704" s="5" t="s">
        <v>253</v>
      </c>
      <c r="J704" s="5" t="s">
        <v>99</v>
      </c>
      <c r="K704" s="5">
        <v>100</v>
      </c>
      <c r="L704" s="5">
        <v>100</v>
      </c>
      <c r="M704" s="5">
        <v>100</v>
      </c>
      <c r="N704" s="1"/>
      <c r="AA704" s="71" t="s">
        <v>40</v>
      </c>
    </row>
    <row r="705" spans="1:27" ht="24" customHeight="1" x14ac:dyDescent="0.2">
      <c r="A705" s="10" t="s">
        <v>120</v>
      </c>
      <c r="B705" s="10" t="s">
        <v>120</v>
      </c>
      <c r="C705" s="3" t="s">
        <v>120</v>
      </c>
      <c r="D705" s="3"/>
      <c r="E705" s="11" t="s">
        <v>1192</v>
      </c>
      <c r="F705" s="12">
        <v>71785.3</v>
      </c>
      <c r="G705" s="12">
        <v>72914</v>
      </c>
      <c r="H705" s="12">
        <v>74452.7</v>
      </c>
      <c r="I705" s="3" t="s">
        <v>1193</v>
      </c>
      <c r="J705" s="3" t="s">
        <v>99</v>
      </c>
      <c r="K705" s="3">
        <v>3</v>
      </c>
      <c r="L705" s="3">
        <v>3</v>
      </c>
      <c r="M705" s="3">
        <v>3</v>
      </c>
      <c r="N705" s="1"/>
      <c r="AA705" s="72" t="s">
        <v>34</v>
      </c>
    </row>
    <row r="706" spans="1:27" ht="34.5" customHeight="1" x14ac:dyDescent="0.2">
      <c r="A706" s="5" t="s">
        <v>1180</v>
      </c>
      <c r="B706" s="5" t="s">
        <v>1194</v>
      </c>
      <c r="C706" s="6"/>
      <c r="D706" s="6"/>
      <c r="E706" s="7" t="s">
        <v>1195</v>
      </c>
      <c r="F706" s="8">
        <v>24094.2</v>
      </c>
      <c r="G706" s="8">
        <v>25803.8</v>
      </c>
      <c r="H706" s="8">
        <v>27410</v>
      </c>
      <c r="I706" s="5" t="s">
        <v>253</v>
      </c>
      <c r="J706" s="5" t="s">
        <v>99</v>
      </c>
      <c r="K706" s="5">
        <v>100</v>
      </c>
      <c r="L706" s="5">
        <v>100</v>
      </c>
      <c r="M706" s="5">
        <v>100</v>
      </c>
      <c r="N706" s="1"/>
      <c r="AA706" s="71" t="s">
        <v>40</v>
      </c>
    </row>
    <row r="707" spans="1:27" ht="38.25" customHeight="1" x14ac:dyDescent="0.2">
      <c r="A707" s="10" t="s">
        <v>100</v>
      </c>
      <c r="B707" s="10" t="s">
        <v>100</v>
      </c>
      <c r="C707" s="3" t="s">
        <v>100</v>
      </c>
      <c r="D707" s="3"/>
      <c r="E707" s="11" t="s">
        <v>1196</v>
      </c>
      <c r="F707" s="12">
        <v>20594.2</v>
      </c>
      <c r="G707" s="12">
        <v>21517.9</v>
      </c>
      <c r="H707" s="12">
        <v>22342.5</v>
      </c>
      <c r="I707" s="3" t="s">
        <v>1197</v>
      </c>
      <c r="J707" s="3" t="s">
        <v>99</v>
      </c>
      <c r="K707" s="3">
        <v>10</v>
      </c>
      <c r="L707" s="3">
        <v>11</v>
      </c>
      <c r="M707" s="3">
        <v>12</v>
      </c>
      <c r="N707" s="1"/>
      <c r="AA707" s="72" t="s">
        <v>34</v>
      </c>
    </row>
    <row r="708" spans="1:27" ht="31.5" customHeight="1" x14ac:dyDescent="0.2">
      <c r="A708" s="10" t="s">
        <v>120</v>
      </c>
      <c r="B708" s="10" t="s">
        <v>120</v>
      </c>
      <c r="C708" s="3" t="s">
        <v>120</v>
      </c>
      <c r="D708" s="3"/>
      <c r="E708" s="11" t="s">
        <v>1198</v>
      </c>
      <c r="F708" s="12">
        <v>3500</v>
      </c>
      <c r="G708" s="12">
        <v>4285.8999999999996</v>
      </c>
      <c r="H708" s="12">
        <v>5067.5</v>
      </c>
      <c r="I708" s="3" t="s">
        <v>1199</v>
      </c>
      <c r="J708" s="3" t="s">
        <v>99</v>
      </c>
      <c r="K708" s="3">
        <v>10</v>
      </c>
      <c r="L708" s="3">
        <v>10</v>
      </c>
      <c r="M708" s="3">
        <v>10</v>
      </c>
      <c r="N708" s="1"/>
      <c r="AA708" s="72" t="s">
        <v>34</v>
      </c>
    </row>
    <row r="709" spans="1:27" ht="28.5" customHeight="1" x14ac:dyDescent="0.2">
      <c r="A709" s="18">
        <v>55</v>
      </c>
      <c r="B709" s="18" t="s">
        <v>408</v>
      </c>
      <c r="C709" s="45" t="s">
        <v>100</v>
      </c>
      <c r="D709" s="18"/>
      <c r="E709" s="43" t="s">
        <v>409</v>
      </c>
      <c r="F709" s="44">
        <v>7983368.7999999998</v>
      </c>
      <c r="G709" s="44">
        <v>10721323.199999999</v>
      </c>
      <c r="H709" s="44">
        <v>4762805.3</v>
      </c>
      <c r="I709" s="46" t="s">
        <v>347</v>
      </c>
      <c r="J709" s="46" t="s">
        <v>99</v>
      </c>
      <c r="K709" s="46">
        <v>100</v>
      </c>
      <c r="L709" s="46">
        <v>100</v>
      </c>
      <c r="M709" s="46">
        <v>100</v>
      </c>
      <c r="N709" s="1"/>
      <c r="AA709" s="72" t="s">
        <v>34</v>
      </c>
    </row>
    <row r="710" spans="1:27" ht="18.75" customHeight="1" x14ac:dyDescent="0.2">
      <c r="A710" s="210" t="s">
        <v>112</v>
      </c>
      <c r="B710" s="202"/>
      <c r="C710" s="202"/>
      <c r="D710" s="202"/>
      <c r="E710" s="203"/>
      <c r="F710" s="13">
        <v>8286422.2999999998</v>
      </c>
      <c r="G710" s="13">
        <v>11034574.9</v>
      </c>
      <c r="H710" s="13">
        <v>5086046.2</v>
      </c>
      <c r="I710" s="201"/>
      <c r="J710" s="202"/>
      <c r="K710" s="202"/>
      <c r="L710" s="202"/>
      <c r="M710" s="203"/>
      <c r="N710" s="1"/>
      <c r="AA710" s="74" t="s">
        <v>46</v>
      </c>
    </row>
    <row r="711" spans="1:27" ht="15" customHeight="1" x14ac:dyDescent="0.2">
      <c r="A711" s="4" t="s">
        <v>1200</v>
      </c>
      <c r="B711" s="212" t="s">
        <v>1201</v>
      </c>
      <c r="C711" s="202"/>
      <c r="D711" s="202"/>
      <c r="E711" s="202"/>
      <c r="F711" s="202"/>
      <c r="G711" s="202"/>
      <c r="H711" s="202"/>
      <c r="I711" s="202"/>
      <c r="J711" s="202"/>
      <c r="K711" s="202"/>
      <c r="L711" s="202"/>
      <c r="M711" s="203"/>
      <c r="N711" s="1"/>
      <c r="AA711" s="70" t="s">
        <v>43</v>
      </c>
    </row>
    <row r="712" spans="1:27" ht="30" customHeight="1" x14ac:dyDescent="0.2">
      <c r="A712" s="5" t="s">
        <v>1200</v>
      </c>
      <c r="B712" s="5" t="s">
        <v>96</v>
      </c>
      <c r="C712" s="6"/>
      <c r="D712" s="6"/>
      <c r="E712" s="7" t="s">
        <v>97</v>
      </c>
      <c r="F712" s="8">
        <v>42136.2</v>
      </c>
      <c r="G712" s="8">
        <v>42978.9</v>
      </c>
      <c r="H712" s="8">
        <v>43838.5</v>
      </c>
      <c r="I712" s="5" t="s">
        <v>253</v>
      </c>
      <c r="J712" s="5" t="s">
        <v>99</v>
      </c>
      <c r="K712" s="5">
        <v>100</v>
      </c>
      <c r="L712" s="5">
        <v>100</v>
      </c>
      <c r="M712" s="5">
        <v>100</v>
      </c>
      <c r="N712" s="1"/>
      <c r="AA712" s="71" t="s">
        <v>40</v>
      </c>
    </row>
    <row r="713" spans="1:27" ht="24" customHeight="1" x14ac:dyDescent="0.2">
      <c r="A713" s="10" t="s">
        <v>100</v>
      </c>
      <c r="B713" s="10" t="s">
        <v>100</v>
      </c>
      <c r="C713" s="3" t="s">
        <v>100</v>
      </c>
      <c r="D713" s="3"/>
      <c r="E713" s="11" t="s">
        <v>101</v>
      </c>
      <c r="F713" s="12">
        <v>42136.2</v>
      </c>
      <c r="G713" s="12">
        <v>42978.9</v>
      </c>
      <c r="H713" s="12">
        <v>43838.5</v>
      </c>
      <c r="I713" s="3" t="s">
        <v>304</v>
      </c>
      <c r="J713" s="3" t="s">
        <v>223</v>
      </c>
      <c r="K713" s="3">
        <v>250</v>
      </c>
      <c r="L713" s="3">
        <v>300</v>
      </c>
      <c r="M713" s="3">
        <v>350</v>
      </c>
      <c r="N713" s="1"/>
      <c r="AA713" s="72" t="s">
        <v>34</v>
      </c>
    </row>
    <row r="714" spans="1:27" x14ac:dyDescent="0.2">
      <c r="A714" s="210" t="s">
        <v>112</v>
      </c>
      <c r="B714" s="202"/>
      <c r="C714" s="202"/>
      <c r="D714" s="202"/>
      <c r="E714" s="203"/>
      <c r="F714" s="13">
        <v>42136.2</v>
      </c>
      <c r="G714" s="13">
        <v>42978.9</v>
      </c>
      <c r="H714" s="13">
        <v>43838.5</v>
      </c>
      <c r="I714" s="201"/>
      <c r="J714" s="202"/>
      <c r="K714" s="202"/>
      <c r="L714" s="202"/>
      <c r="M714" s="203"/>
      <c r="N714" s="1"/>
      <c r="AA714" s="74" t="s">
        <v>46</v>
      </c>
    </row>
    <row r="715" spans="1:27" ht="15" customHeight="1" x14ac:dyDescent="0.2">
      <c r="A715" s="4" t="s">
        <v>1202</v>
      </c>
      <c r="B715" s="212" t="s">
        <v>1203</v>
      </c>
      <c r="C715" s="202"/>
      <c r="D715" s="202"/>
      <c r="E715" s="202"/>
      <c r="F715" s="202"/>
      <c r="G715" s="202"/>
      <c r="H715" s="202"/>
      <c r="I715" s="202"/>
      <c r="J715" s="202"/>
      <c r="K715" s="202"/>
      <c r="L715" s="202"/>
      <c r="M715" s="203"/>
      <c r="N715" s="1"/>
      <c r="AA715" s="70" t="s">
        <v>43</v>
      </c>
    </row>
    <row r="716" spans="1:27" x14ac:dyDescent="0.2">
      <c r="A716" s="5" t="s">
        <v>1202</v>
      </c>
      <c r="B716" s="5" t="s">
        <v>96</v>
      </c>
      <c r="C716" s="6"/>
      <c r="D716" s="6"/>
      <c r="E716" s="7" t="s">
        <v>97</v>
      </c>
      <c r="F716" s="8">
        <v>71643.5</v>
      </c>
      <c r="G716" s="8">
        <v>72793</v>
      </c>
      <c r="H716" s="8">
        <v>74434.3</v>
      </c>
      <c r="I716" s="18" t="s">
        <v>304</v>
      </c>
      <c r="J716" s="18" t="s">
        <v>103</v>
      </c>
      <c r="K716" s="18">
        <v>48</v>
      </c>
      <c r="L716" s="18">
        <v>49</v>
      </c>
      <c r="M716" s="18">
        <v>50</v>
      </c>
      <c r="N716" s="1"/>
      <c r="AA716" s="71" t="s">
        <v>40</v>
      </c>
    </row>
    <row r="717" spans="1:27" ht="24" customHeight="1" x14ac:dyDescent="0.2">
      <c r="A717" s="10" t="s">
        <v>100</v>
      </c>
      <c r="B717" s="10" t="s">
        <v>100</v>
      </c>
      <c r="C717" s="3" t="s">
        <v>100</v>
      </c>
      <c r="D717" s="3"/>
      <c r="E717" s="11" t="s">
        <v>101</v>
      </c>
      <c r="F717" s="12">
        <v>71643.5</v>
      </c>
      <c r="G717" s="12">
        <v>72793</v>
      </c>
      <c r="H717" s="12">
        <v>74434.3</v>
      </c>
      <c r="I717" s="3" t="s">
        <v>304</v>
      </c>
      <c r="J717" s="3" t="s">
        <v>103</v>
      </c>
      <c r="K717" s="3">
        <v>48</v>
      </c>
      <c r="L717" s="3">
        <v>49</v>
      </c>
      <c r="M717" s="3">
        <v>50</v>
      </c>
      <c r="N717" s="1"/>
      <c r="AA717" s="72" t="s">
        <v>34</v>
      </c>
    </row>
    <row r="718" spans="1:27" ht="37.5" customHeight="1" x14ac:dyDescent="0.2">
      <c r="A718" s="5" t="s">
        <v>1202</v>
      </c>
      <c r="B718" s="5" t="s">
        <v>1204</v>
      </c>
      <c r="C718" s="6"/>
      <c r="D718" s="6"/>
      <c r="E718" s="7" t="s">
        <v>1205</v>
      </c>
      <c r="F718" s="8">
        <v>29838.1</v>
      </c>
      <c r="G718" s="8">
        <v>30571.4</v>
      </c>
      <c r="H718" s="8">
        <v>30997.4</v>
      </c>
      <c r="I718" s="5" t="s">
        <v>253</v>
      </c>
      <c r="J718" s="5" t="s">
        <v>99</v>
      </c>
      <c r="K718" s="5">
        <v>100</v>
      </c>
      <c r="L718" s="5">
        <v>100</v>
      </c>
      <c r="M718" s="5">
        <v>100</v>
      </c>
      <c r="N718" s="1"/>
      <c r="AA718" s="71" t="s">
        <v>40</v>
      </c>
    </row>
    <row r="719" spans="1:27" ht="30" customHeight="1" x14ac:dyDescent="0.2">
      <c r="A719" s="10" t="s">
        <v>120</v>
      </c>
      <c r="B719" s="10" t="s">
        <v>120</v>
      </c>
      <c r="C719" s="3" t="s">
        <v>120</v>
      </c>
      <c r="D719" s="3"/>
      <c r="E719" s="11" t="s">
        <v>1206</v>
      </c>
      <c r="F719" s="12">
        <v>8959.5</v>
      </c>
      <c r="G719" s="12">
        <v>9275.2999999999993</v>
      </c>
      <c r="H719" s="12">
        <v>9275.2999999999993</v>
      </c>
      <c r="I719" s="3" t="s">
        <v>1207</v>
      </c>
      <c r="J719" s="3" t="s">
        <v>552</v>
      </c>
      <c r="K719" s="3">
        <v>1.3</v>
      </c>
      <c r="L719" s="3">
        <v>1.3</v>
      </c>
      <c r="M719" s="3">
        <v>1.4</v>
      </c>
      <c r="N719" s="1"/>
      <c r="AA719" s="72" t="s">
        <v>34</v>
      </c>
    </row>
    <row r="720" spans="1:27" x14ac:dyDescent="0.2">
      <c r="A720" s="209" t="s">
        <v>150</v>
      </c>
      <c r="B720" s="209" t="s">
        <v>150</v>
      </c>
      <c r="C720" s="207" t="s">
        <v>150</v>
      </c>
      <c r="D720" s="207"/>
      <c r="E720" s="208" t="s">
        <v>1208</v>
      </c>
      <c r="F720" s="204">
        <v>20878.599999999999</v>
      </c>
      <c r="G720" s="204">
        <v>21296.1</v>
      </c>
      <c r="H720" s="204">
        <v>21722.1</v>
      </c>
      <c r="I720" s="3" t="s">
        <v>1209</v>
      </c>
      <c r="J720" s="3" t="s">
        <v>105</v>
      </c>
      <c r="K720" s="3">
        <v>20</v>
      </c>
      <c r="L720" s="3">
        <v>20</v>
      </c>
      <c r="M720" s="3">
        <v>20</v>
      </c>
      <c r="N720" s="1"/>
      <c r="AA720" s="72" t="s">
        <v>34</v>
      </c>
    </row>
    <row r="721" spans="1:28" ht="32.25" customHeight="1" x14ac:dyDescent="0.2">
      <c r="A721" s="206"/>
      <c r="B721" s="206"/>
      <c r="C721" s="206"/>
      <c r="D721" s="206"/>
      <c r="E721" s="206"/>
      <c r="F721" s="206"/>
      <c r="G721" s="206"/>
      <c r="H721" s="206"/>
      <c r="I721" s="3" t="s">
        <v>1210</v>
      </c>
      <c r="J721" s="3" t="s">
        <v>379</v>
      </c>
      <c r="K721" s="3">
        <v>61</v>
      </c>
      <c r="L721" s="3">
        <v>61</v>
      </c>
      <c r="M721" s="3">
        <v>61</v>
      </c>
      <c r="N721" s="1"/>
      <c r="AA721" s="73" t="s">
        <v>37</v>
      </c>
    </row>
    <row r="722" spans="1:28" x14ac:dyDescent="0.2">
      <c r="A722" s="210" t="s">
        <v>112</v>
      </c>
      <c r="B722" s="202"/>
      <c r="C722" s="202"/>
      <c r="D722" s="202"/>
      <c r="E722" s="203"/>
      <c r="F722" s="13">
        <v>101481.60000000001</v>
      </c>
      <c r="G722" s="13">
        <v>103364.4</v>
      </c>
      <c r="H722" s="13">
        <v>105431.7</v>
      </c>
      <c r="I722" s="201"/>
      <c r="J722" s="202"/>
      <c r="K722" s="202"/>
      <c r="L722" s="202"/>
      <c r="M722" s="203"/>
      <c r="N722" s="1"/>
      <c r="AA722" s="74" t="s">
        <v>46</v>
      </c>
    </row>
    <row r="723" spans="1:28" ht="15" customHeight="1" x14ac:dyDescent="0.2">
      <c r="A723" s="4" t="s">
        <v>474</v>
      </c>
      <c r="B723" s="212" t="s">
        <v>1211</v>
      </c>
      <c r="C723" s="202"/>
      <c r="D723" s="202"/>
      <c r="E723" s="202"/>
      <c r="F723" s="202"/>
      <c r="G723" s="202"/>
      <c r="H723" s="202"/>
      <c r="I723" s="202"/>
      <c r="J723" s="202"/>
      <c r="K723" s="202"/>
      <c r="L723" s="202"/>
      <c r="M723" s="203"/>
      <c r="N723" s="1"/>
      <c r="AA723" s="70" t="s">
        <v>43</v>
      </c>
    </row>
    <row r="724" spans="1:28" ht="33" customHeight="1" x14ac:dyDescent="0.2">
      <c r="A724" s="5" t="s">
        <v>474</v>
      </c>
      <c r="B724" s="5" t="s">
        <v>96</v>
      </c>
      <c r="C724" s="6"/>
      <c r="D724" s="6"/>
      <c r="E724" s="7" t="s">
        <v>97</v>
      </c>
      <c r="F724" s="8">
        <v>43252.2</v>
      </c>
      <c r="G724" s="8">
        <v>44058.96</v>
      </c>
      <c r="H724" s="8">
        <v>44881.86</v>
      </c>
      <c r="I724" s="5" t="s">
        <v>253</v>
      </c>
      <c r="J724" s="5" t="s">
        <v>99</v>
      </c>
      <c r="K724" s="5">
        <v>100</v>
      </c>
      <c r="L724" s="5">
        <v>100</v>
      </c>
      <c r="M724" s="5">
        <v>100</v>
      </c>
      <c r="N724" s="1"/>
      <c r="AA724" s="71" t="s">
        <v>40</v>
      </c>
    </row>
    <row r="725" spans="1:28" ht="29.25" customHeight="1" x14ac:dyDescent="0.2">
      <c r="A725" s="10" t="s">
        <v>100</v>
      </c>
      <c r="B725" s="10" t="s">
        <v>100</v>
      </c>
      <c r="C725" s="3" t="s">
        <v>100</v>
      </c>
      <c r="D725" s="3"/>
      <c r="E725" s="11" t="s">
        <v>101</v>
      </c>
      <c r="F725" s="12">
        <v>43252.2</v>
      </c>
      <c r="G725" s="12">
        <v>44058.96</v>
      </c>
      <c r="H725" s="12">
        <v>44881.86</v>
      </c>
      <c r="I725" s="3" t="s">
        <v>1212</v>
      </c>
      <c r="J725" s="3" t="s">
        <v>99</v>
      </c>
      <c r="K725" s="3">
        <v>100</v>
      </c>
      <c r="L725" s="3">
        <v>100</v>
      </c>
      <c r="M725" s="3">
        <v>100</v>
      </c>
      <c r="N725" s="1"/>
      <c r="AA725" s="72" t="s">
        <v>34</v>
      </c>
    </row>
    <row r="726" spans="1:28" ht="48" customHeight="1" x14ac:dyDescent="0.2">
      <c r="A726" s="5" t="s">
        <v>474</v>
      </c>
      <c r="B726" s="5" t="s">
        <v>1213</v>
      </c>
      <c r="C726" s="6"/>
      <c r="D726" s="6"/>
      <c r="E726" s="7" t="s">
        <v>1214</v>
      </c>
      <c r="F726" s="8">
        <v>16853.2</v>
      </c>
      <c r="G726" s="8">
        <v>16853.2</v>
      </c>
      <c r="H726" s="8">
        <v>16853.2</v>
      </c>
      <c r="I726" s="5" t="s">
        <v>253</v>
      </c>
      <c r="J726" s="5" t="s">
        <v>99</v>
      </c>
      <c r="K726" s="5">
        <v>100</v>
      </c>
      <c r="L726" s="5">
        <v>100</v>
      </c>
      <c r="M726" s="5">
        <v>100</v>
      </c>
      <c r="N726" s="1"/>
      <c r="AA726" s="71" t="s">
        <v>40</v>
      </c>
      <c r="AB726" s="75" t="s">
        <v>169</v>
      </c>
    </row>
    <row r="727" spans="1:28" x14ac:dyDescent="0.2">
      <c r="A727" s="10" t="s">
        <v>100</v>
      </c>
      <c r="B727" s="10" t="s">
        <v>100</v>
      </c>
      <c r="C727" s="3" t="s">
        <v>100</v>
      </c>
      <c r="D727" s="3"/>
      <c r="E727" s="11" t="s">
        <v>1215</v>
      </c>
      <c r="F727" s="12">
        <v>16853.2</v>
      </c>
      <c r="G727" s="12">
        <v>16853.2</v>
      </c>
      <c r="H727" s="12">
        <v>16853.2</v>
      </c>
      <c r="I727" s="3" t="s">
        <v>366</v>
      </c>
      <c r="J727" s="3" t="s">
        <v>105</v>
      </c>
      <c r="K727" s="3">
        <v>1500</v>
      </c>
      <c r="L727" s="3">
        <v>1700</v>
      </c>
      <c r="M727" s="3">
        <v>1800</v>
      </c>
      <c r="N727" s="1"/>
      <c r="AA727" s="72" t="s">
        <v>34</v>
      </c>
    </row>
    <row r="728" spans="1:28" x14ac:dyDescent="0.2">
      <c r="A728" s="210" t="s">
        <v>112</v>
      </c>
      <c r="B728" s="202"/>
      <c r="C728" s="202"/>
      <c r="D728" s="202"/>
      <c r="E728" s="203"/>
      <c r="F728" s="13">
        <v>60105.399999999987</v>
      </c>
      <c r="G728" s="13">
        <v>60912.160000000003</v>
      </c>
      <c r="H728" s="13">
        <v>61735.06</v>
      </c>
      <c r="I728" s="201"/>
      <c r="J728" s="202"/>
      <c r="K728" s="202"/>
      <c r="L728" s="202"/>
      <c r="M728" s="203"/>
      <c r="N728" s="1"/>
      <c r="AA728" s="74" t="s">
        <v>46</v>
      </c>
    </row>
    <row r="729" spans="1:28" ht="15" customHeight="1" x14ac:dyDescent="0.2">
      <c r="A729" s="4" t="s">
        <v>476</v>
      </c>
      <c r="B729" s="212" t="s">
        <v>1216</v>
      </c>
      <c r="C729" s="202"/>
      <c r="D729" s="202"/>
      <c r="E729" s="202"/>
      <c r="F729" s="202"/>
      <c r="G729" s="202"/>
      <c r="H729" s="202"/>
      <c r="I729" s="202"/>
      <c r="J729" s="202"/>
      <c r="K729" s="202"/>
      <c r="L729" s="202"/>
      <c r="M729" s="203"/>
      <c r="N729" s="1"/>
      <c r="AA729" s="70" t="s">
        <v>43</v>
      </c>
    </row>
    <row r="730" spans="1:28" ht="34.5" customHeight="1" x14ac:dyDescent="0.2">
      <c r="A730" s="5" t="s">
        <v>476</v>
      </c>
      <c r="B730" s="5" t="s">
        <v>96</v>
      </c>
      <c r="C730" s="6"/>
      <c r="D730" s="6"/>
      <c r="E730" s="7" t="s">
        <v>97</v>
      </c>
      <c r="F730" s="8">
        <v>76997.08</v>
      </c>
      <c r="G730" s="8">
        <v>79050.080000000002</v>
      </c>
      <c r="H730" s="8">
        <v>79250.080000000002</v>
      </c>
      <c r="I730" s="5" t="s">
        <v>253</v>
      </c>
      <c r="J730" s="5" t="s">
        <v>99</v>
      </c>
      <c r="K730" s="5">
        <v>100</v>
      </c>
      <c r="L730" s="5">
        <v>100</v>
      </c>
      <c r="M730" s="5">
        <v>100</v>
      </c>
      <c r="N730" s="1"/>
      <c r="AA730" s="71" t="s">
        <v>40</v>
      </c>
    </row>
    <row r="731" spans="1:28" ht="56.25" customHeight="1" x14ac:dyDescent="0.2">
      <c r="A731" s="10" t="s">
        <v>100</v>
      </c>
      <c r="B731" s="10" t="s">
        <v>100</v>
      </c>
      <c r="C731" s="3" t="s">
        <v>100</v>
      </c>
      <c r="D731" s="3"/>
      <c r="E731" s="11" t="s">
        <v>101</v>
      </c>
      <c r="F731" s="12">
        <v>49247.58</v>
      </c>
      <c r="G731" s="12">
        <v>51300.58</v>
      </c>
      <c r="H731" s="12">
        <v>51500.58</v>
      </c>
      <c r="I731" s="3" t="s">
        <v>1217</v>
      </c>
      <c r="J731" s="3" t="s">
        <v>99</v>
      </c>
      <c r="K731" s="3">
        <v>95</v>
      </c>
      <c r="L731" s="3">
        <v>96</v>
      </c>
      <c r="M731" s="3">
        <v>97</v>
      </c>
      <c r="N731" s="1"/>
      <c r="AA731" s="72" t="s">
        <v>34</v>
      </c>
    </row>
    <row r="732" spans="1:28" ht="62.25" customHeight="1" x14ac:dyDescent="0.2">
      <c r="A732" s="10" t="s">
        <v>120</v>
      </c>
      <c r="B732" s="10" t="s">
        <v>120</v>
      </c>
      <c r="C732" s="3" t="s">
        <v>120</v>
      </c>
      <c r="D732" s="3"/>
      <c r="E732" s="11" t="s">
        <v>203</v>
      </c>
      <c r="F732" s="12">
        <v>27749.5</v>
      </c>
      <c r="G732" s="12">
        <v>27749.5</v>
      </c>
      <c r="H732" s="12">
        <v>27749.5</v>
      </c>
      <c r="I732" s="3" t="s">
        <v>1217</v>
      </c>
      <c r="J732" s="3" t="s">
        <v>99</v>
      </c>
      <c r="K732" s="3">
        <v>95</v>
      </c>
      <c r="L732" s="3">
        <v>96</v>
      </c>
      <c r="M732" s="3">
        <v>97</v>
      </c>
      <c r="N732" s="1"/>
      <c r="AA732" s="72" t="s">
        <v>34</v>
      </c>
    </row>
    <row r="733" spans="1:28" ht="33.75" customHeight="1" x14ac:dyDescent="0.2">
      <c r="A733" s="5" t="s">
        <v>476</v>
      </c>
      <c r="B733" s="5" t="s">
        <v>1218</v>
      </c>
      <c r="C733" s="6"/>
      <c r="D733" s="6"/>
      <c r="E733" s="7" t="s">
        <v>1219</v>
      </c>
      <c r="F733" s="8">
        <v>24913.32</v>
      </c>
      <c r="G733" s="8">
        <v>26275.52</v>
      </c>
      <c r="H733" s="8">
        <v>28484.92</v>
      </c>
      <c r="I733" s="5" t="s">
        <v>253</v>
      </c>
      <c r="J733" s="5" t="s">
        <v>99</v>
      </c>
      <c r="K733" s="5">
        <v>100</v>
      </c>
      <c r="L733" s="5">
        <v>100</v>
      </c>
      <c r="M733" s="5">
        <v>100</v>
      </c>
      <c r="N733" s="1"/>
      <c r="AA733" s="71" t="s">
        <v>40</v>
      </c>
    </row>
    <row r="734" spans="1:28" ht="32.25" customHeight="1" x14ac:dyDescent="0.2">
      <c r="A734" s="209" t="s">
        <v>124</v>
      </c>
      <c r="B734" s="209" t="s">
        <v>124</v>
      </c>
      <c r="C734" s="207" t="s">
        <v>124</v>
      </c>
      <c r="D734" s="207"/>
      <c r="E734" s="208" t="s">
        <v>1220</v>
      </c>
      <c r="F734" s="204">
        <v>14697.7</v>
      </c>
      <c r="G734" s="204">
        <v>14697.7</v>
      </c>
      <c r="H734" s="204">
        <v>14697.7</v>
      </c>
      <c r="I734" s="3" t="s">
        <v>1221</v>
      </c>
      <c r="J734" s="3" t="s">
        <v>99</v>
      </c>
      <c r="K734" s="3">
        <v>68.2</v>
      </c>
      <c r="L734" s="3">
        <v>68.3</v>
      </c>
      <c r="M734" s="3">
        <v>68.400000000000006</v>
      </c>
      <c r="N734" s="1"/>
      <c r="AA734" s="72" t="s">
        <v>34</v>
      </c>
      <c r="AB734" s="75" t="s">
        <v>169</v>
      </c>
    </row>
    <row r="735" spans="1:28" ht="42.75" customHeight="1" x14ac:dyDescent="0.2">
      <c r="A735" s="206"/>
      <c r="B735" s="206"/>
      <c r="C735" s="206"/>
      <c r="D735" s="206"/>
      <c r="E735" s="206"/>
      <c r="F735" s="206"/>
      <c r="G735" s="206"/>
      <c r="H735" s="206"/>
      <c r="I735" s="3" t="s">
        <v>1222</v>
      </c>
      <c r="J735" s="3" t="s">
        <v>99</v>
      </c>
      <c r="K735" s="3">
        <v>61</v>
      </c>
      <c r="L735" s="3">
        <v>62</v>
      </c>
      <c r="M735" s="3">
        <v>63</v>
      </c>
      <c r="N735" s="1"/>
      <c r="AA735" s="73" t="s">
        <v>37</v>
      </c>
    </row>
    <row r="736" spans="1:28" ht="42.75" customHeight="1" x14ac:dyDescent="0.2">
      <c r="A736" s="209" t="s">
        <v>160</v>
      </c>
      <c r="B736" s="209" t="s">
        <v>160</v>
      </c>
      <c r="C736" s="207" t="s">
        <v>160</v>
      </c>
      <c r="D736" s="207"/>
      <c r="E736" s="208" t="s">
        <v>1223</v>
      </c>
      <c r="F736" s="204">
        <v>10215.620000000001</v>
      </c>
      <c r="G736" s="204">
        <v>11577.82</v>
      </c>
      <c r="H736" s="204">
        <v>13787.22</v>
      </c>
      <c r="I736" s="3" t="s">
        <v>1224</v>
      </c>
      <c r="J736" s="3" t="s">
        <v>99</v>
      </c>
      <c r="K736" s="3">
        <v>50</v>
      </c>
      <c r="L736" s="3">
        <v>60</v>
      </c>
      <c r="M736" s="3">
        <v>70</v>
      </c>
      <c r="N736" s="1"/>
      <c r="AA736" s="72" t="s">
        <v>34</v>
      </c>
      <c r="AB736" s="75" t="s">
        <v>169</v>
      </c>
    </row>
    <row r="737" spans="1:28" ht="27" customHeight="1" x14ac:dyDescent="0.2">
      <c r="A737" s="205"/>
      <c r="B737" s="205"/>
      <c r="C737" s="205"/>
      <c r="D737" s="205"/>
      <c r="E737" s="205"/>
      <c r="F737" s="205"/>
      <c r="G737" s="205"/>
      <c r="H737" s="205"/>
      <c r="I737" s="3" t="s">
        <v>1225</v>
      </c>
      <c r="J737" s="3" t="s">
        <v>99</v>
      </c>
      <c r="K737" s="3">
        <v>82</v>
      </c>
      <c r="L737" s="3">
        <v>83</v>
      </c>
      <c r="M737" s="3">
        <v>84</v>
      </c>
      <c r="N737" s="1"/>
      <c r="AA737" s="73" t="s">
        <v>37</v>
      </c>
    </row>
    <row r="738" spans="1:28" ht="47.25" customHeight="1" x14ac:dyDescent="0.2">
      <c r="A738" s="206"/>
      <c r="B738" s="206"/>
      <c r="C738" s="206"/>
      <c r="D738" s="206"/>
      <c r="E738" s="206"/>
      <c r="F738" s="206"/>
      <c r="G738" s="206"/>
      <c r="H738" s="206"/>
      <c r="I738" s="3" t="s">
        <v>1226</v>
      </c>
      <c r="J738" s="3" t="s">
        <v>99</v>
      </c>
      <c r="K738" s="3">
        <v>82</v>
      </c>
      <c r="L738" s="3">
        <v>83</v>
      </c>
      <c r="M738" s="3">
        <v>84</v>
      </c>
      <c r="N738" s="1"/>
      <c r="AA738" s="73" t="s">
        <v>37</v>
      </c>
    </row>
    <row r="739" spans="1:28" ht="29.25" customHeight="1" x14ac:dyDescent="0.2">
      <c r="A739" s="5" t="s">
        <v>476</v>
      </c>
      <c r="B739" s="5" t="s">
        <v>1227</v>
      </c>
      <c r="C739" s="6"/>
      <c r="D739" s="6"/>
      <c r="E739" s="7" t="s">
        <v>1228</v>
      </c>
      <c r="F739" s="8">
        <v>16197.4</v>
      </c>
      <c r="G739" s="8">
        <v>15144.4</v>
      </c>
      <c r="H739" s="8">
        <v>15144.4</v>
      </c>
      <c r="I739" s="5" t="s">
        <v>253</v>
      </c>
      <c r="J739" s="5" t="s">
        <v>99</v>
      </c>
      <c r="K739" s="5">
        <v>100</v>
      </c>
      <c r="L739" s="5">
        <v>100</v>
      </c>
      <c r="M739" s="5">
        <v>100</v>
      </c>
      <c r="N739" s="1"/>
      <c r="AA739" s="71" t="s">
        <v>40</v>
      </c>
    </row>
    <row r="740" spans="1:28" ht="36" customHeight="1" x14ac:dyDescent="0.2">
      <c r="A740" s="10" t="s">
        <v>100</v>
      </c>
      <c r="B740" s="10" t="s">
        <v>100</v>
      </c>
      <c r="C740" s="3" t="s">
        <v>100</v>
      </c>
      <c r="D740" s="3"/>
      <c r="E740" s="11" t="s">
        <v>1229</v>
      </c>
      <c r="F740" s="12">
        <v>16197.4</v>
      </c>
      <c r="G740" s="12">
        <v>15144.4</v>
      </c>
      <c r="H740" s="12">
        <v>15144.4</v>
      </c>
      <c r="I740" s="3" t="s">
        <v>1230</v>
      </c>
      <c r="J740" s="3" t="s">
        <v>223</v>
      </c>
      <c r="K740" s="3">
        <v>18</v>
      </c>
      <c r="L740" s="3">
        <v>19</v>
      </c>
      <c r="M740" s="3">
        <v>20</v>
      </c>
      <c r="N740" s="1"/>
      <c r="AA740" s="72" t="s">
        <v>34</v>
      </c>
    </row>
    <row r="741" spans="1:28" x14ac:dyDescent="0.2">
      <c r="A741" s="210" t="s">
        <v>112</v>
      </c>
      <c r="B741" s="202"/>
      <c r="C741" s="202"/>
      <c r="D741" s="202"/>
      <c r="E741" s="203"/>
      <c r="F741" s="13">
        <v>118107.8</v>
      </c>
      <c r="G741" s="13">
        <v>120470</v>
      </c>
      <c r="H741" s="13">
        <v>122879.4</v>
      </c>
      <c r="I741" s="201"/>
      <c r="J741" s="202"/>
      <c r="K741" s="202"/>
      <c r="L741" s="202"/>
      <c r="M741" s="203"/>
      <c r="N741" s="1"/>
      <c r="AA741" s="74" t="s">
        <v>46</v>
      </c>
    </row>
    <row r="742" spans="1:28" ht="15" customHeight="1" x14ac:dyDescent="0.2">
      <c r="A742" s="4" t="s">
        <v>44</v>
      </c>
      <c r="B742" s="212" t="s">
        <v>1231</v>
      </c>
      <c r="C742" s="202"/>
      <c r="D742" s="202"/>
      <c r="E742" s="202"/>
      <c r="F742" s="202"/>
      <c r="G742" s="202"/>
      <c r="H742" s="202"/>
      <c r="I742" s="202"/>
      <c r="J742" s="202"/>
      <c r="K742" s="202"/>
      <c r="L742" s="202"/>
      <c r="M742" s="203"/>
      <c r="N742" s="1"/>
      <c r="AA742" s="70" t="s">
        <v>43</v>
      </c>
    </row>
    <row r="743" spans="1:28" x14ac:dyDescent="0.2">
      <c r="A743" s="5" t="s">
        <v>44</v>
      </c>
      <c r="B743" s="5" t="s">
        <v>96</v>
      </c>
      <c r="C743" s="6"/>
      <c r="D743" s="6"/>
      <c r="E743" s="7" t="s">
        <v>97</v>
      </c>
      <c r="F743" s="8">
        <v>304748.5</v>
      </c>
      <c r="G743" s="8">
        <v>324376.7</v>
      </c>
      <c r="H743" s="8">
        <v>325855.40000000002</v>
      </c>
      <c r="I743" s="18" t="s">
        <v>304</v>
      </c>
      <c r="J743" s="18" t="s">
        <v>99</v>
      </c>
      <c r="K743" s="18">
        <v>40</v>
      </c>
      <c r="L743" s="18">
        <v>40</v>
      </c>
      <c r="M743" s="18">
        <v>40</v>
      </c>
      <c r="N743" s="1"/>
      <c r="AA743" s="71" t="s">
        <v>40</v>
      </c>
    </row>
    <row r="744" spans="1:28" ht="24" customHeight="1" x14ac:dyDescent="0.2">
      <c r="A744" s="10" t="s">
        <v>100</v>
      </c>
      <c r="B744" s="10" t="s">
        <v>100</v>
      </c>
      <c r="C744" s="3" t="s">
        <v>100</v>
      </c>
      <c r="D744" s="3"/>
      <c r="E744" s="11" t="s">
        <v>101</v>
      </c>
      <c r="F744" s="12">
        <v>304748.5</v>
      </c>
      <c r="G744" s="12">
        <v>324376.7</v>
      </c>
      <c r="H744" s="12">
        <v>325855.40000000002</v>
      </c>
      <c r="I744" s="3" t="s">
        <v>304</v>
      </c>
      <c r="J744" s="3" t="s">
        <v>99</v>
      </c>
      <c r="K744" s="3">
        <v>40</v>
      </c>
      <c r="L744" s="3">
        <v>40</v>
      </c>
      <c r="M744" s="3">
        <v>40</v>
      </c>
      <c r="N744" s="1"/>
      <c r="AA744" s="72" t="s">
        <v>34</v>
      </c>
    </row>
    <row r="745" spans="1:28" ht="33" customHeight="1" x14ac:dyDescent="0.2">
      <c r="A745" s="5" t="s">
        <v>44</v>
      </c>
      <c r="B745" s="5" t="s">
        <v>1232</v>
      </c>
      <c r="C745" s="6"/>
      <c r="D745" s="6"/>
      <c r="E745" s="7" t="s">
        <v>1233</v>
      </c>
      <c r="F745" s="8">
        <v>88484.5</v>
      </c>
      <c r="G745" s="8">
        <v>90254.2</v>
      </c>
      <c r="H745" s="8">
        <v>92059.3</v>
      </c>
      <c r="I745" s="18" t="s">
        <v>1234</v>
      </c>
      <c r="J745" s="18" t="s">
        <v>99</v>
      </c>
      <c r="K745" s="18">
        <v>100</v>
      </c>
      <c r="L745" s="18">
        <v>100</v>
      </c>
      <c r="M745" s="18">
        <v>100</v>
      </c>
      <c r="N745" s="1"/>
      <c r="AA745" s="71" t="s">
        <v>40</v>
      </c>
    </row>
    <row r="746" spans="1:28" ht="30" customHeight="1" x14ac:dyDescent="0.2">
      <c r="A746" s="10" t="s">
        <v>100</v>
      </c>
      <c r="B746" s="10" t="s">
        <v>100</v>
      </c>
      <c r="C746" s="3" t="s">
        <v>100</v>
      </c>
      <c r="D746" s="3"/>
      <c r="E746" s="11" t="s">
        <v>1235</v>
      </c>
      <c r="F746" s="12">
        <v>88484.5</v>
      </c>
      <c r="G746" s="12">
        <v>90254.2</v>
      </c>
      <c r="H746" s="12">
        <v>92059.3</v>
      </c>
      <c r="I746" s="3" t="s">
        <v>1234</v>
      </c>
      <c r="J746" s="3" t="s">
        <v>99</v>
      </c>
      <c r="K746" s="3">
        <v>100</v>
      </c>
      <c r="L746" s="3">
        <v>100</v>
      </c>
      <c r="M746" s="3">
        <v>100</v>
      </c>
      <c r="N746" s="1"/>
      <c r="AA746" s="72" t="s">
        <v>34</v>
      </c>
      <c r="AB746" s="75" t="s">
        <v>169</v>
      </c>
    </row>
    <row r="747" spans="1:28" ht="21" customHeight="1" x14ac:dyDescent="0.2">
      <c r="A747" s="18" t="s">
        <v>44</v>
      </c>
      <c r="B747" s="18" t="s">
        <v>408</v>
      </c>
      <c r="C747" s="18" t="s">
        <v>100</v>
      </c>
      <c r="D747" s="18"/>
      <c r="E747" s="43" t="s">
        <v>409</v>
      </c>
      <c r="F747" s="44">
        <v>2026039.1</v>
      </c>
      <c r="G747" s="44">
        <v>1682974.6</v>
      </c>
      <c r="H747" s="44">
        <v>1764841.6</v>
      </c>
      <c r="I747" s="46" t="s">
        <v>347</v>
      </c>
      <c r="J747" s="46" t="s">
        <v>99</v>
      </c>
      <c r="K747" s="46">
        <v>100</v>
      </c>
      <c r="L747" s="46">
        <v>100</v>
      </c>
      <c r="M747" s="46">
        <v>100</v>
      </c>
      <c r="N747" s="1"/>
      <c r="AA747" s="72" t="s">
        <v>34</v>
      </c>
    </row>
    <row r="748" spans="1:28" x14ac:dyDescent="0.2">
      <c r="A748" s="210" t="s">
        <v>112</v>
      </c>
      <c r="B748" s="202"/>
      <c r="C748" s="202"/>
      <c r="D748" s="202"/>
      <c r="E748" s="203"/>
      <c r="F748" s="13">
        <v>2419272.1</v>
      </c>
      <c r="G748" s="13">
        <v>2097605.5</v>
      </c>
      <c r="H748" s="13">
        <v>2182756.2999999998</v>
      </c>
      <c r="I748" s="201"/>
      <c r="J748" s="202"/>
      <c r="K748" s="202"/>
      <c r="L748" s="202"/>
      <c r="M748" s="203"/>
      <c r="N748" s="1"/>
      <c r="AA748" s="74" t="s">
        <v>46</v>
      </c>
    </row>
    <row r="749" spans="1:28" ht="15" customHeight="1" x14ac:dyDescent="0.2">
      <c r="A749" s="4" t="s">
        <v>1236</v>
      </c>
      <c r="B749" s="212" t="s">
        <v>1237</v>
      </c>
      <c r="C749" s="202"/>
      <c r="D749" s="202"/>
      <c r="E749" s="202"/>
      <c r="F749" s="202"/>
      <c r="G749" s="202"/>
      <c r="H749" s="202"/>
      <c r="I749" s="202"/>
      <c r="J749" s="202"/>
      <c r="K749" s="202"/>
      <c r="L749" s="202"/>
      <c r="M749" s="203"/>
      <c r="N749" s="1"/>
      <c r="AA749" s="70" t="s">
        <v>43</v>
      </c>
    </row>
    <row r="750" spans="1:28" ht="33" customHeight="1" x14ac:dyDescent="0.2">
      <c r="A750" s="5" t="s">
        <v>1236</v>
      </c>
      <c r="B750" s="5" t="s">
        <v>96</v>
      </c>
      <c r="C750" s="6"/>
      <c r="D750" s="6"/>
      <c r="E750" s="7" t="s">
        <v>97</v>
      </c>
      <c r="F750" s="8">
        <v>61534.100000000013</v>
      </c>
      <c r="G750" s="8">
        <v>64812.69</v>
      </c>
      <c r="H750" s="8">
        <v>66055.350000000006</v>
      </c>
      <c r="I750" s="5" t="s">
        <v>253</v>
      </c>
      <c r="J750" s="21" t="s">
        <v>99</v>
      </c>
      <c r="K750" s="21">
        <v>100</v>
      </c>
      <c r="L750" s="21">
        <v>100</v>
      </c>
      <c r="M750" s="21">
        <v>100</v>
      </c>
      <c r="N750" s="1"/>
      <c r="AA750" s="71" t="s">
        <v>40</v>
      </c>
    </row>
    <row r="751" spans="1:28" ht="96" customHeight="1" x14ac:dyDescent="0.2">
      <c r="A751" s="10" t="s">
        <v>100</v>
      </c>
      <c r="B751" s="10" t="s">
        <v>100</v>
      </c>
      <c r="C751" s="3" t="s">
        <v>100</v>
      </c>
      <c r="D751" s="3"/>
      <c r="E751" s="11" t="s">
        <v>101</v>
      </c>
      <c r="F751" s="12">
        <v>39106.400000000001</v>
      </c>
      <c r="G751" s="12">
        <v>39514.89</v>
      </c>
      <c r="H751" s="12">
        <v>40263.300000000003</v>
      </c>
      <c r="I751" s="3" t="s">
        <v>1238</v>
      </c>
      <c r="J751" s="3" t="s">
        <v>105</v>
      </c>
      <c r="K751" s="3">
        <v>72</v>
      </c>
      <c r="L751" s="3">
        <v>78</v>
      </c>
      <c r="M751" s="3">
        <v>78</v>
      </c>
      <c r="N751" s="1"/>
      <c r="AA751" s="72" t="s">
        <v>34</v>
      </c>
    </row>
    <row r="752" spans="1:28" ht="54.75" customHeight="1" x14ac:dyDescent="0.2">
      <c r="A752" s="10" t="s">
        <v>120</v>
      </c>
      <c r="B752" s="10" t="s">
        <v>120</v>
      </c>
      <c r="C752" s="3" t="s">
        <v>120</v>
      </c>
      <c r="D752" s="3"/>
      <c r="E752" s="11" t="s">
        <v>203</v>
      </c>
      <c r="F752" s="12">
        <v>22427.7</v>
      </c>
      <c r="G752" s="12">
        <v>25297.8</v>
      </c>
      <c r="H752" s="12">
        <v>25792.05</v>
      </c>
      <c r="I752" s="3" t="s">
        <v>1239</v>
      </c>
      <c r="J752" s="3" t="s">
        <v>105</v>
      </c>
      <c r="K752" s="3">
        <v>14</v>
      </c>
      <c r="L752" s="3">
        <v>14</v>
      </c>
      <c r="M752" s="3">
        <v>18</v>
      </c>
      <c r="N752" s="1"/>
      <c r="AA752" s="72" t="s">
        <v>34</v>
      </c>
    </row>
    <row r="753" spans="1:27" x14ac:dyDescent="0.2">
      <c r="A753" s="210" t="s">
        <v>112</v>
      </c>
      <c r="B753" s="202"/>
      <c r="C753" s="202"/>
      <c r="D753" s="202"/>
      <c r="E753" s="203"/>
      <c r="F753" s="13">
        <v>61534.100000000013</v>
      </c>
      <c r="G753" s="13">
        <v>64812.69</v>
      </c>
      <c r="H753" s="13">
        <v>66055.350000000006</v>
      </c>
      <c r="I753" s="201"/>
      <c r="J753" s="202"/>
      <c r="K753" s="202"/>
      <c r="L753" s="202"/>
      <c r="M753" s="203"/>
      <c r="N753" s="1"/>
      <c r="AA753" s="74" t="s">
        <v>46</v>
      </c>
    </row>
    <row r="754" spans="1:27" ht="15" customHeight="1" x14ac:dyDescent="0.2">
      <c r="A754" s="4" t="s">
        <v>1240</v>
      </c>
      <c r="B754" s="212" t="s">
        <v>1241</v>
      </c>
      <c r="C754" s="202"/>
      <c r="D754" s="202"/>
      <c r="E754" s="202"/>
      <c r="F754" s="202"/>
      <c r="G754" s="202"/>
      <c r="H754" s="202"/>
      <c r="I754" s="202"/>
      <c r="J754" s="202"/>
      <c r="K754" s="202"/>
      <c r="L754" s="202"/>
      <c r="M754" s="203"/>
      <c r="N754" s="1"/>
      <c r="AA754" s="70" t="s">
        <v>43</v>
      </c>
    </row>
    <row r="755" spans="1:27" ht="30.75" customHeight="1" x14ac:dyDescent="0.2">
      <c r="A755" s="5" t="s">
        <v>1240</v>
      </c>
      <c r="B755" s="5" t="s">
        <v>96</v>
      </c>
      <c r="C755" s="6"/>
      <c r="D755" s="6"/>
      <c r="E755" s="7" t="s">
        <v>97</v>
      </c>
      <c r="F755" s="8">
        <v>1210859.2</v>
      </c>
      <c r="G755" s="8">
        <v>1219071.57</v>
      </c>
      <c r="H755" s="8">
        <v>1227171.07</v>
      </c>
      <c r="I755" s="5" t="s">
        <v>253</v>
      </c>
      <c r="J755" s="21" t="s">
        <v>99</v>
      </c>
      <c r="K755" s="21">
        <v>100</v>
      </c>
      <c r="L755" s="21">
        <v>100</v>
      </c>
      <c r="M755" s="21">
        <v>100</v>
      </c>
      <c r="N755" s="1"/>
      <c r="AA755" s="71" t="s">
        <v>40</v>
      </c>
    </row>
    <row r="756" spans="1:27" ht="24" customHeight="1" x14ac:dyDescent="0.2">
      <c r="A756" s="10" t="s">
        <v>100</v>
      </c>
      <c r="B756" s="10" t="s">
        <v>100</v>
      </c>
      <c r="C756" s="3" t="s">
        <v>100</v>
      </c>
      <c r="D756" s="3"/>
      <c r="E756" s="11" t="s">
        <v>101</v>
      </c>
      <c r="F756" s="12">
        <v>1012484.2</v>
      </c>
      <c r="G756" s="12">
        <v>1014750.3</v>
      </c>
      <c r="H756" s="12">
        <v>1016836.4</v>
      </c>
      <c r="I756" s="3" t="s">
        <v>304</v>
      </c>
      <c r="J756" s="3" t="s">
        <v>103</v>
      </c>
      <c r="K756" s="3">
        <v>16.600000000000001</v>
      </c>
      <c r="L756" s="3">
        <v>16.600000000000001</v>
      </c>
      <c r="M756" s="3">
        <v>1.6</v>
      </c>
      <c r="N756" s="1"/>
      <c r="AA756" s="72" t="s">
        <v>34</v>
      </c>
    </row>
    <row r="757" spans="1:27" ht="24" customHeight="1" x14ac:dyDescent="0.2">
      <c r="A757" s="10" t="s">
        <v>120</v>
      </c>
      <c r="B757" s="10" t="s">
        <v>120</v>
      </c>
      <c r="C757" s="3" t="s">
        <v>120</v>
      </c>
      <c r="D757" s="3"/>
      <c r="E757" s="11" t="s">
        <v>203</v>
      </c>
      <c r="F757" s="12">
        <v>198375</v>
      </c>
      <c r="G757" s="12">
        <v>204321.27</v>
      </c>
      <c r="H757" s="12">
        <v>210334.67</v>
      </c>
      <c r="I757" s="3" t="s">
        <v>304</v>
      </c>
      <c r="J757" s="3" t="s">
        <v>103</v>
      </c>
      <c r="K757" s="3">
        <v>8.1</v>
      </c>
      <c r="L757" s="3">
        <v>8.1</v>
      </c>
      <c r="M757" s="3">
        <v>8.1</v>
      </c>
      <c r="N757" s="1"/>
      <c r="AA757" s="72" t="s">
        <v>34</v>
      </c>
    </row>
    <row r="758" spans="1:27" ht="42.75" customHeight="1" x14ac:dyDescent="0.2">
      <c r="A758" s="5" t="s">
        <v>1240</v>
      </c>
      <c r="B758" s="5" t="s">
        <v>1242</v>
      </c>
      <c r="C758" s="6"/>
      <c r="D758" s="6"/>
      <c r="E758" s="7" t="s">
        <v>1243</v>
      </c>
      <c r="F758" s="8">
        <v>241520.6</v>
      </c>
      <c r="G758" s="8">
        <v>243998.3</v>
      </c>
      <c r="H758" s="8">
        <v>246598.39999999999</v>
      </c>
      <c r="I758" s="18" t="s">
        <v>1244</v>
      </c>
      <c r="J758" s="18" t="s">
        <v>105</v>
      </c>
      <c r="K758" s="18">
        <v>4</v>
      </c>
      <c r="L758" s="18">
        <v>4</v>
      </c>
      <c r="M758" s="18">
        <v>4</v>
      </c>
      <c r="N758" s="1"/>
      <c r="AA758" s="71" t="s">
        <v>40</v>
      </c>
    </row>
    <row r="759" spans="1:27" x14ac:dyDescent="0.2">
      <c r="A759" s="209" t="s">
        <v>100</v>
      </c>
      <c r="B759" s="209" t="s">
        <v>100</v>
      </c>
      <c r="C759" s="207" t="s">
        <v>100</v>
      </c>
      <c r="D759" s="207"/>
      <c r="E759" s="208" t="s">
        <v>1245</v>
      </c>
      <c r="F759" s="204">
        <v>203829.3</v>
      </c>
      <c r="G759" s="204">
        <v>205535.1</v>
      </c>
      <c r="H759" s="204">
        <v>207321.1</v>
      </c>
      <c r="I759" s="3" t="s">
        <v>1246</v>
      </c>
      <c r="J759" s="3" t="s">
        <v>105</v>
      </c>
      <c r="K759" s="3">
        <v>2050</v>
      </c>
      <c r="L759" s="3">
        <v>2100</v>
      </c>
      <c r="M759" s="3">
        <v>2150</v>
      </c>
      <c r="N759" s="1"/>
      <c r="AA759" s="72" t="s">
        <v>34</v>
      </c>
    </row>
    <row r="760" spans="1:27" ht="20.25" customHeight="1" x14ac:dyDescent="0.2">
      <c r="A760" s="205"/>
      <c r="B760" s="205"/>
      <c r="C760" s="205"/>
      <c r="D760" s="205"/>
      <c r="E760" s="205"/>
      <c r="F760" s="205"/>
      <c r="G760" s="205"/>
      <c r="H760" s="205"/>
      <c r="I760" s="3" t="s">
        <v>1247</v>
      </c>
      <c r="J760" s="3" t="s">
        <v>105</v>
      </c>
      <c r="K760" s="3">
        <v>2100</v>
      </c>
      <c r="L760" s="3">
        <v>2150</v>
      </c>
      <c r="M760" s="3">
        <v>2200</v>
      </c>
      <c r="N760" s="1"/>
      <c r="AA760" s="73" t="s">
        <v>37</v>
      </c>
    </row>
    <row r="761" spans="1:27" ht="27.75" customHeight="1" x14ac:dyDescent="0.2">
      <c r="A761" s="206"/>
      <c r="B761" s="206"/>
      <c r="C761" s="206"/>
      <c r="D761" s="206"/>
      <c r="E761" s="206"/>
      <c r="F761" s="206"/>
      <c r="G761" s="206"/>
      <c r="H761" s="206"/>
      <c r="I761" s="3" t="s">
        <v>1248</v>
      </c>
      <c r="J761" s="3" t="s">
        <v>379</v>
      </c>
      <c r="K761" s="3">
        <v>61.96</v>
      </c>
      <c r="L761" s="3">
        <v>74.47</v>
      </c>
      <c r="M761" s="3">
        <v>77.98</v>
      </c>
      <c r="N761" s="1"/>
      <c r="AA761" s="73" t="s">
        <v>37</v>
      </c>
    </row>
    <row r="762" spans="1:27" ht="28.5" customHeight="1" x14ac:dyDescent="0.2">
      <c r="A762" s="209" t="s">
        <v>120</v>
      </c>
      <c r="B762" s="209" t="s">
        <v>120</v>
      </c>
      <c r="C762" s="207" t="s">
        <v>120</v>
      </c>
      <c r="D762" s="207"/>
      <c r="E762" s="208" t="s">
        <v>1249</v>
      </c>
      <c r="F762" s="204">
        <v>17041.7</v>
      </c>
      <c r="G762" s="204">
        <v>17041.7</v>
      </c>
      <c r="H762" s="204">
        <v>18041.7</v>
      </c>
      <c r="I762" s="3" t="s">
        <v>1250</v>
      </c>
      <c r="J762" s="3" t="s">
        <v>99</v>
      </c>
      <c r="K762" s="3">
        <v>92</v>
      </c>
      <c r="L762" s="3">
        <v>92</v>
      </c>
      <c r="M762" s="3">
        <v>92</v>
      </c>
      <c r="N762" s="1"/>
      <c r="AA762" s="72" t="s">
        <v>34</v>
      </c>
    </row>
    <row r="763" spans="1:27" ht="42" customHeight="1" x14ac:dyDescent="0.2">
      <c r="A763" s="206"/>
      <c r="B763" s="206"/>
      <c r="C763" s="206"/>
      <c r="D763" s="206"/>
      <c r="E763" s="206"/>
      <c r="F763" s="206"/>
      <c r="G763" s="206"/>
      <c r="H763" s="206"/>
      <c r="I763" s="3" t="s">
        <v>1251</v>
      </c>
      <c r="J763" s="3" t="s">
        <v>99</v>
      </c>
      <c r="K763" s="3">
        <v>92</v>
      </c>
      <c r="L763" s="3">
        <v>92</v>
      </c>
      <c r="M763" s="3">
        <v>92</v>
      </c>
      <c r="N763" s="1"/>
      <c r="AA763" s="73" t="s">
        <v>37</v>
      </c>
    </row>
    <row r="764" spans="1:27" ht="30" customHeight="1" x14ac:dyDescent="0.2">
      <c r="A764" s="209" t="s">
        <v>150</v>
      </c>
      <c r="B764" s="209" t="s">
        <v>150</v>
      </c>
      <c r="C764" s="207" t="s">
        <v>150</v>
      </c>
      <c r="D764" s="207"/>
      <c r="E764" s="208" t="s">
        <v>1252</v>
      </c>
      <c r="F764" s="204">
        <v>20649.599999999999</v>
      </c>
      <c r="G764" s="204">
        <v>21421.5</v>
      </c>
      <c r="H764" s="204">
        <v>21235.599999999999</v>
      </c>
      <c r="I764" s="3" t="s">
        <v>1253</v>
      </c>
      <c r="J764" s="3" t="s">
        <v>105</v>
      </c>
      <c r="K764" s="3">
        <v>187</v>
      </c>
      <c r="L764" s="3">
        <v>187</v>
      </c>
      <c r="M764" s="3">
        <v>187</v>
      </c>
      <c r="N764" s="1"/>
      <c r="AA764" s="72" t="s">
        <v>34</v>
      </c>
    </row>
    <row r="765" spans="1:27" x14ac:dyDescent="0.2">
      <c r="A765" s="205"/>
      <c r="B765" s="205"/>
      <c r="C765" s="205"/>
      <c r="D765" s="205"/>
      <c r="E765" s="205"/>
      <c r="F765" s="205"/>
      <c r="G765" s="205"/>
      <c r="H765" s="205"/>
      <c r="I765" s="3" t="s">
        <v>1254</v>
      </c>
      <c r="J765" s="3" t="s">
        <v>105</v>
      </c>
      <c r="K765" s="3">
        <v>2500</v>
      </c>
      <c r="L765" s="3">
        <v>2500</v>
      </c>
      <c r="M765" s="3">
        <v>2500</v>
      </c>
      <c r="N765" s="1"/>
      <c r="AA765" s="73" t="s">
        <v>37</v>
      </c>
    </row>
    <row r="766" spans="1:27" ht="29.25" customHeight="1" x14ac:dyDescent="0.2">
      <c r="A766" s="206"/>
      <c r="B766" s="206"/>
      <c r="C766" s="206"/>
      <c r="D766" s="206"/>
      <c r="E766" s="206"/>
      <c r="F766" s="206"/>
      <c r="G766" s="206"/>
      <c r="H766" s="206"/>
      <c r="I766" s="3" t="s">
        <v>1255</v>
      </c>
      <c r="J766" s="3" t="s">
        <v>105</v>
      </c>
      <c r="K766" s="3">
        <v>100</v>
      </c>
      <c r="L766" s="3">
        <v>100</v>
      </c>
      <c r="M766" s="3">
        <v>100</v>
      </c>
      <c r="N766" s="1"/>
      <c r="AA766" s="73" t="s">
        <v>37</v>
      </c>
    </row>
    <row r="767" spans="1:27" ht="33" customHeight="1" x14ac:dyDescent="0.2">
      <c r="A767" s="5" t="s">
        <v>1240</v>
      </c>
      <c r="B767" s="5" t="s">
        <v>1256</v>
      </c>
      <c r="C767" s="6"/>
      <c r="D767" s="6"/>
      <c r="E767" s="7" t="s">
        <v>1257</v>
      </c>
      <c r="F767" s="8">
        <v>309621.3</v>
      </c>
      <c r="G767" s="8">
        <v>316994.3</v>
      </c>
      <c r="H767" s="8">
        <v>325432.37</v>
      </c>
      <c r="I767" s="18" t="s">
        <v>1258</v>
      </c>
      <c r="J767" s="18" t="s">
        <v>105</v>
      </c>
      <c r="K767" s="18">
        <v>175</v>
      </c>
      <c r="L767" s="18">
        <v>175</v>
      </c>
      <c r="M767" s="18">
        <v>175</v>
      </c>
      <c r="N767" s="1"/>
      <c r="AA767" s="71" t="s">
        <v>40</v>
      </c>
    </row>
    <row r="768" spans="1:27" x14ac:dyDescent="0.2">
      <c r="A768" s="209" t="s">
        <v>100</v>
      </c>
      <c r="B768" s="209" t="s">
        <v>100</v>
      </c>
      <c r="C768" s="207" t="s">
        <v>100</v>
      </c>
      <c r="D768" s="207"/>
      <c r="E768" s="208" t="s">
        <v>1259</v>
      </c>
      <c r="F768" s="204">
        <v>309621.3</v>
      </c>
      <c r="G768" s="204">
        <v>316994.3</v>
      </c>
      <c r="H768" s="204">
        <v>325432.37</v>
      </c>
      <c r="I768" s="3" t="s">
        <v>1260</v>
      </c>
      <c r="J768" s="3" t="s">
        <v>703</v>
      </c>
      <c r="K768" s="3">
        <v>1476122</v>
      </c>
      <c r="L768" s="3">
        <v>1476122</v>
      </c>
      <c r="M768" s="3">
        <v>1476122</v>
      </c>
      <c r="N768" s="1"/>
      <c r="AA768" s="72" t="s">
        <v>34</v>
      </c>
    </row>
    <row r="769" spans="1:27" x14ac:dyDescent="0.2">
      <c r="A769" s="205"/>
      <c r="B769" s="205"/>
      <c r="C769" s="205"/>
      <c r="D769" s="205"/>
      <c r="E769" s="205"/>
      <c r="F769" s="205"/>
      <c r="G769" s="205"/>
      <c r="H769" s="205"/>
      <c r="I769" s="3" t="s">
        <v>1261</v>
      </c>
      <c r="J769" s="3" t="s">
        <v>105</v>
      </c>
      <c r="K769" s="3">
        <v>14</v>
      </c>
      <c r="L769" s="3">
        <v>14</v>
      </c>
      <c r="M769" s="3">
        <v>14</v>
      </c>
      <c r="N769" s="1"/>
      <c r="AA769" s="73" t="s">
        <v>37</v>
      </c>
    </row>
    <row r="770" spans="1:27" ht="33" customHeight="1" x14ac:dyDescent="0.2">
      <c r="A770" s="205"/>
      <c r="B770" s="205"/>
      <c r="C770" s="205"/>
      <c r="D770" s="205"/>
      <c r="E770" s="205"/>
      <c r="F770" s="205"/>
      <c r="G770" s="205"/>
      <c r="H770" s="205"/>
      <c r="I770" s="3" t="s">
        <v>1262</v>
      </c>
      <c r="J770" s="3" t="s">
        <v>105</v>
      </c>
      <c r="K770" s="3">
        <v>0</v>
      </c>
      <c r="L770" s="3">
        <v>0</v>
      </c>
      <c r="M770" s="3">
        <v>0</v>
      </c>
      <c r="N770" s="1"/>
      <c r="AA770" s="73" t="s">
        <v>37</v>
      </c>
    </row>
    <row r="771" spans="1:27" ht="62.25" customHeight="1" x14ac:dyDescent="0.2">
      <c r="A771" s="205"/>
      <c r="B771" s="205"/>
      <c r="C771" s="205"/>
      <c r="D771" s="205"/>
      <c r="E771" s="205"/>
      <c r="F771" s="205"/>
      <c r="G771" s="205"/>
      <c r="H771" s="205"/>
      <c r="I771" s="3" t="s">
        <v>1263</v>
      </c>
      <c r="J771" s="3" t="s">
        <v>105</v>
      </c>
      <c r="K771" s="3">
        <v>1734</v>
      </c>
      <c r="L771" s="3">
        <v>1734</v>
      </c>
      <c r="M771" s="3">
        <v>1734</v>
      </c>
      <c r="N771" s="1"/>
      <c r="AA771" s="73" t="s">
        <v>37</v>
      </c>
    </row>
    <row r="772" spans="1:27" ht="53.25" customHeight="1" x14ac:dyDescent="0.2">
      <c r="A772" s="206"/>
      <c r="B772" s="206"/>
      <c r="C772" s="206"/>
      <c r="D772" s="206"/>
      <c r="E772" s="206"/>
      <c r="F772" s="206"/>
      <c r="G772" s="206"/>
      <c r="H772" s="206"/>
      <c r="I772" s="3" t="s">
        <v>1264</v>
      </c>
      <c r="J772" s="3" t="s">
        <v>105</v>
      </c>
      <c r="K772" s="3">
        <v>4000</v>
      </c>
      <c r="L772" s="3">
        <v>4000</v>
      </c>
      <c r="M772" s="3">
        <v>4000</v>
      </c>
      <c r="N772" s="1"/>
      <c r="AA772" s="73" t="s">
        <v>37</v>
      </c>
    </row>
    <row r="773" spans="1:27" ht="24" customHeight="1" x14ac:dyDescent="0.2">
      <c r="A773" s="5" t="s">
        <v>1240</v>
      </c>
      <c r="B773" s="5" t="s">
        <v>1265</v>
      </c>
      <c r="C773" s="6"/>
      <c r="D773" s="6"/>
      <c r="E773" s="7" t="s">
        <v>1266</v>
      </c>
      <c r="F773" s="8">
        <v>86522.26</v>
      </c>
      <c r="G773" s="8">
        <v>88286.36</v>
      </c>
      <c r="H773" s="8">
        <v>89372.36</v>
      </c>
      <c r="I773" s="46" t="s">
        <v>347</v>
      </c>
      <c r="J773" s="46" t="s">
        <v>99</v>
      </c>
      <c r="K773" s="46">
        <v>100</v>
      </c>
      <c r="L773" s="46">
        <v>100</v>
      </c>
      <c r="M773" s="46">
        <v>100</v>
      </c>
      <c r="N773" s="1"/>
      <c r="AA773" s="71" t="s">
        <v>40</v>
      </c>
    </row>
    <row r="774" spans="1:27" ht="21" customHeight="1" x14ac:dyDescent="0.2">
      <c r="A774" s="209" t="s">
        <v>100</v>
      </c>
      <c r="B774" s="209" t="s">
        <v>100</v>
      </c>
      <c r="C774" s="207" t="s">
        <v>100</v>
      </c>
      <c r="D774" s="207"/>
      <c r="E774" s="208" t="s">
        <v>1267</v>
      </c>
      <c r="F774" s="204">
        <v>86522.26</v>
      </c>
      <c r="G774" s="204">
        <v>88286.36</v>
      </c>
      <c r="H774" s="204">
        <v>89372.36</v>
      </c>
      <c r="I774" s="3" t="s">
        <v>1268</v>
      </c>
      <c r="J774" s="3" t="s">
        <v>99</v>
      </c>
      <c r="K774" s="3">
        <v>1</v>
      </c>
      <c r="L774" s="3">
        <v>1</v>
      </c>
      <c r="M774" s="3">
        <v>1</v>
      </c>
      <c r="N774" s="1"/>
      <c r="AA774" s="72" t="s">
        <v>34</v>
      </c>
    </row>
    <row r="775" spans="1:27" ht="21" customHeight="1" x14ac:dyDescent="0.2">
      <c r="A775" s="206"/>
      <c r="B775" s="206"/>
      <c r="C775" s="206"/>
      <c r="D775" s="206"/>
      <c r="E775" s="206"/>
      <c r="F775" s="206"/>
      <c r="G775" s="206"/>
      <c r="H775" s="206"/>
      <c r="I775" s="3" t="s">
        <v>1269</v>
      </c>
      <c r="J775" s="3" t="s">
        <v>99</v>
      </c>
      <c r="K775" s="3">
        <v>1</v>
      </c>
      <c r="L775" s="3">
        <v>1</v>
      </c>
      <c r="M775" s="3">
        <v>1</v>
      </c>
      <c r="N775" s="1"/>
      <c r="AA775" s="75" t="s">
        <v>48</v>
      </c>
    </row>
    <row r="776" spans="1:27" ht="21" customHeight="1" x14ac:dyDescent="0.2">
      <c r="A776" s="5" t="s">
        <v>1240</v>
      </c>
      <c r="B776" s="5" t="s">
        <v>1270</v>
      </c>
      <c r="C776" s="6"/>
      <c r="D776" s="6"/>
      <c r="E776" s="7" t="s">
        <v>1271</v>
      </c>
      <c r="F776" s="8">
        <v>23000</v>
      </c>
      <c r="G776" s="8">
        <v>23000</v>
      </c>
      <c r="H776" s="8">
        <v>23000</v>
      </c>
      <c r="I776" s="46" t="s">
        <v>347</v>
      </c>
      <c r="J776" s="46" t="s">
        <v>99</v>
      </c>
      <c r="K776" s="46">
        <v>100</v>
      </c>
      <c r="L776" s="46">
        <v>100</v>
      </c>
      <c r="M776" s="46">
        <v>100</v>
      </c>
      <c r="N776" s="1"/>
      <c r="AA776" s="71" t="s">
        <v>40</v>
      </c>
    </row>
    <row r="777" spans="1:27" ht="39" customHeight="1" x14ac:dyDescent="0.2">
      <c r="A777" s="10" t="s">
        <v>100</v>
      </c>
      <c r="B777" s="10" t="s">
        <v>100</v>
      </c>
      <c r="C777" s="3" t="s">
        <v>100</v>
      </c>
      <c r="D777" s="3"/>
      <c r="E777" s="11" t="s">
        <v>1272</v>
      </c>
      <c r="F777" s="12">
        <v>13000</v>
      </c>
      <c r="G777" s="12">
        <v>13000</v>
      </c>
      <c r="H777" s="12">
        <v>13000</v>
      </c>
      <c r="I777" s="3" t="s">
        <v>1273</v>
      </c>
      <c r="J777" s="3" t="s">
        <v>99</v>
      </c>
      <c r="K777" s="3">
        <v>20</v>
      </c>
      <c r="L777" s="3">
        <v>20</v>
      </c>
      <c r="M777" s="3">
        <v>20</v>
      </c>
      <c r="N777" s="1"/>
      <c r="AA777" s="72" t="s">
        <v>34</v>
      </c>
    </row>
    <row r="778" spans="1:27" ht="36" customHeight="1" x14ac:dyDescent="0.2">
      <c r="A778" s="209" t="s">
        <v>120</v>
      </c>
      <c r="B778" s="209" t="s">
        <v>120</v>
      </c>
      <c r="C778" s="207" t="s">
        <v>120</v>
      </c>
      <c r="D778" s="207"/>
      <c r="E778" s="208" t="s">
        <v>1274</v>
      </c>
      <c r="F778" s="204">
        <v>10000</v>
      </c>
      <c r="G778" s="204">
        <v>10000</v>
      </c>
      <c r="H778" s="204">
        <v>10000</v>
      </c>
      <c r="I778" s="3" t="s">
        <v>1275</v>
      </c>
      <c r="J778" s="3" t="s">
        <v>223</v>
      </c>
      <c r="K778" s="3">
        <v>34000</v>
      </c>
      <c r="L778" s="3">
        <v>34000</v>
      </c>
      <c r="M778" s="3">
        <v>34000</v>
      </c>
      <c r="N778" s="1"/>
      <c r="AA778" s="72" t="s">
        <v>34</v>
      </c>
    </row>
    <row r="779" spans="1:27" ht="35.25" customHeight="1" x14ac:dyDescent="0.2">
      <c r="A779" s="206"/>
      <c r="B779" s="206"/>
      <c r="C779" s="206"/>
      <c r="D779" s="206"/>
      <c r="E779" s="206"/>
      <c r="F779" s="206"/>
      <c r="G779" s="206"/>
      <c r="H779" s="206"/>
      <c r="I779" s="3" t="s">
        <v>1276</v>
      </c>
      <c r="J779" s="3" t="s">
        <v>405</v>
      </c>
      <c r="K779" s="3">
        <v>30</v>
      </c>
      <c r="L779" s="3">
        <v>60</v>
      </c>
      <c r="M779" s="3">
        <v>60</v>
      </c>
      <c r="N779" s="1"/>
      <c r="AA779" s="73" t="s">
        <v>37</v>
      </c>
    </row>
    <row r="780" spans="1:27" ht="24.75" customHeight="1" x14ac:dyDescent="0.2">
      <c r="A780" s="18">
        <v>65</v>
      </c>
      <c r="B780" s="18" t="s">
        <v>408</v>
      </c>
      <c r="C780" s="45" t="s">
        <v>100</v>
      </c>
      <c r="D780" s="18"/>
      <c r="E780" s="43" t="s">
        <v>409</v>
      </c>
      <c r="F780" s="44">
        <v>353600</v>
      </c>
      <c r="G780" s="44">
        <v>357200</v>
      </c>
      <c r="H780" s="44">
        <v>268500</v>
      </c>
      <c r="I780" s="46" t="s">
        <v>347</v>
      </c>
      <c r="J780" s="46" t="s">
        <v>99</v>
      </c>
      <c r="K780" s="46">
        <v>100</v>
      </c>
      <c r="L780" s="46">
        <v>100</v>
      </c>
      <c r="M780" s="46">
        <v>100</v>
      </c>
      <c r="N780" s="1"/>
      <c r="AA780" s="72" t="s">
        <v>34</v>
      </c>
    </row>
    <row r="781" spans="1:27" x14ac:dyDescent="0.2">
      <c r="A781" s="210" t="s">
        <v>112</v>
      </c>
      <c r="B781" s="202"/>
      <c r="C781" s="202"/>
      <c r="D781" s="202"/>
      <c r="E781" s="203"/>
      <c r="F781" s="13">
        <v>2225123.36</v>
      </c>
      <c r="G781" s="13">
        <v>2248550.5299999998</v>
      </c>
      <c r="H781" s="13">
        <v>2180074.2000000002</v>
      </c>
      <c r="I781" s="201"/>
      <c r="J781" s="202"/>
      <c r="K781" s="202"/>
      <c r="L781" s="202"/>
      <c r="M781" s="203"/>
      <c r="N781" s="1"/>
      <c r="AA781" s="74" t="s">
        <v>46</v>
      </c>
    </row>
    <row r="782" spans="1:27" ht="15" customHeight="1" x14ac:dyDescent="0.2">
      <c r="A782" s="4" t="s">
        <v>1277</v>
      </c>
      <c r="B782" s="212" t="s">
        <v>1278</v>
      </c>
      <c r="C782" s="202"/>
      <c r="D782" s="202"/>
      <c r="E782" s="202"/>
      <c r="F782" s="202"/>
      <c r="G782" s="202"/>
      <c r="H782" s="202"/>
      <c r="I782" s="202"/>
      <c r="J782" s="202"/>
      <c r="K782" s="202"/>
      <c r="L782" s="202"/>
      <c r="M782" s="203"/>
      <c r="N782" s="1"/>
      <c r="AA782" s="70" t="s">
        <v>43</v>
      </c>
    </row>
    <row r="783" spans="1:27" ht="24" customHeight="1" x14ac:dyDescent="0.2">
      <c r="A783" s="5" t="s">
        <v>1277</v>
      </c>
      <c r="B783" s="5" t="s">
        <v>96</v>
      </c>
      <c r="C783" s="6"/>
      <c r="D783" s="6"/>
      <c r="E783" s="7" t="s">
        <v>97</v>
      </c>
      <c r="F783" s="8">
        <v>8993.7000000000007</v>
      </c>
      <c r="G783" s="8">
        <v>9173.6</v>
      </c>
      <c r="H783" s="8">
        <v>9357</v>
      </c>
      <c r="I783" s="9" t="s">
        <v>1279</v>
      </c>
      <c r="J783" s="9" t="s">
        <v>99</v>
      </c>
      <c r="K783" s="9">
        <v>100</v>
      </c>
      <c r="L783" s="9">
        <v>100</v>
      </c>
      <c r="M783" s="9">
        <v>100</v>
      </c>
      <c r="N783" s="1"/>
      <c r="AA783" s="71" t="s">
        <v>40</v>
      </c>
    </row>
    <row r="784" spans="1:27" ht="36" customHeight="1" x14ac:dyDescent="0.2">
      <c r="A784" s="10" t="s">
        <v>100</v>
      </c>
      <c r="B784" s="10" t="s">
        <v>100</v>
      </c>
      <c r="C784" s="3" t="s">
        <v>100</v>
      </c>
      <c r="D784" s="3"/>
      <c r="E784" s="11" t="s">
        <v>101</v>
      </c>
      <c r="F784" s="12">
        <v>8993.7000000000007</v>
      </c>
      <c r="G784" s="12">
        <v>9173.6</v>
      </c>
      <c r="H784" s="12">
        <v>9357</v>
      </c>
      <c r="I784" s="3" t="s">
        <v>1280</v>
      </c>
      <c r="J784" s="3" t="s">
        <v>99</v>
      </c>
      <c r="K784" s="3">
        <v>100</v>
      </c>
      <c r="L784" s="3">
        <v>100</v>
      </c>
      <c r="M784" s="3">
        <v>100</v>
      </c>
      <c r="N784" s="1"/>
      <c r="AA784" s="72" t="s">
        <v>34</v>
      </c>
    </row>
    <row r="785" spans="1:28" x14ac:dyDescent="0.2">
      <c r="A785" s="210" t="s">
        <v>112</v>
      </c>
      <c r="B785" s="202"/>
      <c r="C785" s="202"/>
      <c r="D785" s="202"/>
      <c r="E785" s="203"/>
      <c r="F785" s="13">
        <v>8993.7000000000007</v>
      </c>
      <c r="G785" s="13">
        <v>9173.6</v>
      </c>
      <c r="H785" s="13">
        <v>9357</v>
      </c>
      <c r="I785" s="201"/>
      <c r="J785" s="202"/>
      <c r="K785" s="202"/>
      <c r="L785" s="202"/>
      <c r="M785" s="203"/>
      <c r="N785" s="1"/>
      <c r="AA785" s="74" t="s">
        <v>46</v>
      </c>
    </row>
    <row r="786" spans="1:28" ht="15" customHeight="1" x14ac:dyDescent="0.2">
      <c r="A786" s="4" t="s">
        <v>485</v>
      </c>
      <c r="B786" s="212" t="s">
        <v>1281</v>
      </c>
      <c r="C786" s="202"/>
      <c r="D786" s="202"/>
      <c r="E786" s="202"/>
      <c r="F786" s="202"/>
      <c r="G786" s="202"/>
      <c r="H786" s="202"/>
      <c r="I786" s="202"/>
      <c r="J786" s="202"/>
      <c r="K786" s="202"/>
      <c r="L786" s="202"/>
      <c r="M786" s="203"/>
      <c r="N786" s="1"/>
      <c r="AA786" s="70" t="s">
        <v>43</v>
      </c>
    </row>
    <row r="787" spans="1:28" ht="26.25" customHeight="1" x14ac:dyDescent="0.2">
      <c r="A787" s="5" t="s">
        <v>485</v>
      </c>
      <c r="B787" s="5" t="s">
        <v>96</v>
      </c>
      <c r="C787" s="6"/>
      <c r="D787" s="6"/>
      <c r="E787" s="7" t="s">
        <v>97</v>
      </c>
      <c r="F787" s="8">
        <v>487435.1</v>
      </c>
      <c r="G787" s="8">
        <v>188447.3</v>
      </c>
      <c r="H787" s="8">
        <v>189563.7</v>
      </c>
      <c r="I787" s="18" t="s">
        <v>304</v>
      </c>
      <c r="J787" s="18" t="s">
        <v>99</v>
      </c>
      <c r="K787" s="18">
        <v>40</v>
      </c>
      <c r="L787" s="18">
        <v>40</v>
      </c>
      <c r="M787" s="18">
        <v>40</v>
      </c>
      <c r="N787" s="1"/>
      <c r="AA787" s="71" t="s">
        <v>40</v>
      </c>
    </row>
    <row r="788" spans="1:28" ht="24" customHeight="1" x14ac:dyDescent="0.2">
      <c r="A788" s="10" t="s">
        <v>100</v>
      </c>
      <c r="B788" s="10" t="s">
        <v>100</v>
      </c>
      <c r="C788" s="3" t="s">
        <v>100</v>
      </c>
      <c r="D788" s="3"/>
      <c r="E788" s="11" t="s">
        <v>101</v>
      </c>
      <c r="F788" s="12">
        <v>487435.1</v>
      </c>
      <c r="G788" s="12">
        <v>188447.3</v>
      </c>
      <c r="H788" s="12">
        <v>189563.7</v>
      </c>
      <c r="I788" s="3" t="s">
        <v>304</v>
      </c>
      <c r="J788" s="3" t="s">
        <v>99</v>
      </c>
      <c r="K788" s="3">
        <v>40</v>
      </c>
      <c r="L788" s="3">
        <v>40</v>
      </c>
      <c r="M788" s="3">
        <v>40</v>
      </c>
      <c r="N788" s="1"/>
      <c r="AA788" s="72" t="s">
        <v>34</v>
      </c>
    </row>
    <row r="789" spans="1:28" ht="21.75" customHeight="1" x14ac:dyDescent="0.2">
      <c r="A789" s="5" t="s">
        <v>485</v>
      </c>
      <c r="B789" s="5" t="s">
        <v>1282</v>
      </c>
      <c r="C789" s="6"/>
      <c r="D789" s="6"/>
      <c r="E789" s="7" t="s">
        <v>1283</v>
      </c>
      <c r="F789" s="8">
        <v>235540.7</v>
      </c>
      <c r="G789" s="8">
        <v>243207.82</v>
      </c>
      <c r="H789" s="8">
        <v>249375.35</v>
      </c>
      <c r="I789" s="18" t="s">
        <v>1284</v>
      </c>
      <c r="J789" s="18" t="s">
        <v>155</v>
      </c>
      <c r="K789" s="18">
        <v>185</v>
      </c>
      <c r="L789" s="18">
        <v>185</v>
      </c>
      <c r="M789" s="18">
        <v>186</v>
      </c>
      <c r="N789" s="1"/>
      <c r="AA789" s="71" t="s">
        <v>40</v>
      </c>
    </row>
    <row r="790" spans="1:28" ht="26.25" customHeight="1" x14ac:dyDescent="0.2">
      <c r="A790" s="209" t="s">
        <v>100</v>
      </c>
      <c r="B790" s="209" t="s">
        <v>100</v>
      </c>
      <c r="C790" s="207" t="s">
        <v>100</v>
      </c>
      <c r="D790" s="207"/>
      <c r="E790" s="208" t="s">
        <v>1285</v>
      </c>
      <c r="F790" s="204">
        <v>101340.7</v>
      </c>
      <c r="G790" s="204">
        <v>106104</v>
      </c>
      <c r="H790" s="204">
        <v>110878.7</v>
      </c>
      <c r="I790" s="3" t="s">
        <v>1286</v>
      </c>
      <c r="J790" s="3" t="s">
        <v>155</v>
      </c>
      <c r="K790" s="3">
        <v>1</v>
      </c>
      <c r="L790" s="3">
        <v>1</v>
      </c>
      <c r="M790" s="3">
        <v>1</v>
      </c>
      <c r="N790" s="1"/>
      <c r="AA790" s="72" t="s">
        <v>34</v>
      </c>
    </row>
    <row r="791" spans="1:28" ht="34.5" customHeight="1" x14ac:dyDescent="0.2">
      <c r="A791" s="205"/>
      <c r="B791" s="205"/>
      <c r="C791" s="205"/>
      <c r="D791" s="205"/>
      <c r="E791" s="205"/>
      <c r="F791" s="205"/>
      <c r="G791" s="205"/>
      <c r="H791" s="205"/>
      <c r="I791" s="3" t="s">
        <v>1287</v>
      </c>
      <c r="J791" s="3" t="s">
        <v>155</v>
      </c>
      <c r="K791" s="3">
        <v>17760</v>
      </c>
      <c r="L791" s="3">
        <v>17760</v>
      </c>
      <c r="M791" s="3">
        <v>17500</v>
      </c>
      <c r="N791" s="1"/>
      <c r="AA791" s="73" t="s">
        <v>37</v>
      </c>
    </row>
    <row r="792" spans="1:28" ht="20.25" customHeight="1" x14ac:dyDescent="0.2">
      <c r="A792" s="205"/>
      <c r="B792" s="205"/>
      <c r="C792" s="205"/>
      <c r="D792" s="205"/>
      <c r="E792" s="205"/>
      <c r="F792" s="205"/>
      <c r="G792" s="205"/>
      <c r="H792" s="205"/>
      <c r="I792" s="3" t="s">
        <v>1288</v>
      </c>
      <c r="J792" s="3" t="s">
        <v>155</v>
      </c>
      <c r="K792" s="3">
        <v>23</v>
      </c>
      <c r="L792" s="3">
        <v>26</v>
      </c>
      <c r="M792" s="3">
        <v>30</v>
      </c>
      <c r="N792" s="1"/>
      <c r="AA792" s="73" t="s">
        <v>37</v>
      </c>
    </row>
    <row r="793" spans="1:28" ht="19.5" customHeight="1" x14ac:dyDescent="0.2">
      <c r="A793" s="205"/>
      <c r="B793" s="205"/>
      <c r="C793" s="205"/>
      <c r="D793" s="205"/>
      <c r="E793" s="205"/>
      <c r="F793" s="205"/>
      <c r="G793" s="205"/>
      <c r="H793" s="205"/>
      <c r="I793" s="3" t="s">
        <v>1289</v>
      </c>
      <c r="J793" s="3" t="s">
        <v>155</v>
      </c>
      <c r="K793" s="3">
        <v>38</v>
      </c>
      <c r="L793" s="3">
        <v>39</v>
      </c>
      <c r="M793" s="3">
        <v>40</v>
      </c>
      <c r="N793" s="1"/>
      <c r="AA793" s="73" t="s">
        <v>37</v>
      </c>
    </row>
    <row r="794" spans="1:28" ht="36" customHeight="1" x14ac:dyDescent="0.2">
      <c r="A794" s="206"/>
      <c r="B794" s="206"/>
      <c r="C794" s="206"/>
      <c r="D794" s="206"/>
      <c r="E794" s="206"/>
      <c r="F794" s="206"/>
      <c r="G794" s="206"/>
      <c r="H794" s="206"/>
      <c r="I794" s="3" t="s">
        <v>1290</v>
      </c>
      <c r="J794" s="3" t="s">
        <v>155</v>
      </c>
      <c r="K794" s="3">
        <v>343</v>
      </c>
      <c r="L794" s="3">
        <v>344</v>
      </c>
      <c r="M794" s="3">
        <v>345</v>
      </c>
      <c r="N794" s="1"/>
      <c r="AA794" s="73" t="s">
        <v>37</v>
      </c>
    </row>
    <row r="795" spans="1:28" ht="48" customHeight="1" x14ac:dyDescent="0.2">
      <c r="A795" s="10" t="s">
        <v>124</v>
      </c>
      <c r="B795" s="10" t="s">
        <v>124</v>
      </c>
      <c r="C795" s="3" t="s">
        <v>124</v>
      </c>
      <c r="D795" s="3"/>
      <c r="E795" s="11" t="s">
        <v>1291</v>
      </c>
      <c r="F795" s="12">
        <v>2100</v>
      </c>
      <c r="G795" s="12">
        <v>2150</v>
      </c>
      <c r="H795" s="12">
        <v>2170</v>
      </c>
      <c r="I795" s="3" t="s">
        <v>1292</v>
      </c>
      <c r="J795" s="3" t="s">
        <v>155</v>
      </c>
      <c r="K795" s="3">
        <v>700</v>
      </c>
      <c r="L795" s="3">
        <v>700</v>
      </c>
      <c r="M795" s="3">
        <v>700</v>
      </c>
      <c r="N795" s="1"/>
      <c r="AA795" s="72" t="s">
        <v>34</v>
      </c>
    </row>
    <row r="796" spans="1:28" ht="42.75" customHeight="1" x14ac:dyDescent="0.2">
      <c r="A796" s="10" t="s">
        <v>156</v>
      </c>
      <c r="B796" s="10" t="s">
        <v>156</v>
      </c>
      <c r="C796" s="3" t="s">
        <v>156</v>
      </c>
      <c r="D796" s="3"/>
      <c r="E796" s="11" t="s">
        <v>1293</v>
      </c>
      <c r="F796" s="12">
        <v>132100</v>
      </c>
      <c r="G796" s="12">
        <v>134953.82</v>
      </c>
      <c r="H796" s="12">
        <v>136326.65</v>
      </c>
      <c r="I796" s="3" t="s">
        <v>1294</v>
      </c>
      <c r="J796" s="3" t="s">
        <v>155</v>
      </c>
      <c r="K796" s="3">
        <v>23434</v>
      </c>
      <c r="L796" s="3">
        <v>23434</v>
      </c>
      <c r="M796" s="3">
        <v>23560</v>
      </c>
      <c r="N796" s="1"/>
      <c r="AA796" s="72" t="s">
        <v>34</v>
      </c>
    </row>
    <row r="797" spans="1:28" ht="24" customHeight="1" x14ac:dyDescent="0.2">
      <c r="A797" s="5" t="s">
        <v>485</v>
      </c>
      <c r="B797" s="5" t="s">
        <v>1295</v>
      </c>
      <c r="C797" s="6"/>
      <c r="D797" s="6"/>
      <c r="E797" s="7" t="s">
        <v>1296</v>
      </c>
      <c r="F797" s="8">
        <v>476116.2</v>
      </c>
      <c r="G797" s="8">
        <v>484548.06</v>
      </c>
      <c r="H797" s="8">
        <v>493748.27</v>
      </c>
      <c r="I797" s="9" t="s">
        <v>1279</v>
      </c>
      <c r="J797" s="9" t="s">
        <v>99</v>
      </c>
      <c r="K797" s="9">
        <v>100</v>
      </c>
      <c r="L797" s="9">
        <v>100</v>
      </c>
      <c r="M797" s="9">
        <v>100</v>
      </c>
      <c r="N797" s="1"/>
      <c r="AA797" s="71" t="s">
        <v>40</v>
      </c>
      <c r="AB797" s="75" t="s">
        <v>149</v>
      </c>
    </row>
    <row r="798" spans="1:28" ht="41.25" customHeight="1" x14ac:dyDescent="0.2">
      <c r="A798" s="10" t="s">
        <v>100</v>
      </c>
      <c r="B798" s="10" t="s">
        <v>100</v>
      </c>
      <c r="C798" s="3" t="s">
        <v>100</v>
      </c>
      <c r="D798" s="3"/>
      <c r="E798" s="11" t="s">
        <v>1297</v>
      </c>
      <c r="F798" s="12">
        <v>476116.2</v>
      </c>
      <c r="G798" s="12">
        <v>484548.06</v>
      </c>
      <c r="H798" s="12">
        <v>493748.27</v>
      </c>
      <c r="I798" s="3" t="s">
        <v>1298</v>
      </c>
      <c r="J798" s="3" t="s">
        <v>105</v>
      </c>
      <c r="K798" s="3">
        <v>71439</v>
      </c>
      <c r="L798" s="3">
        <v>72868</v>
      </c>
      <c r="M798" s="3">
        <v>74326</v>
      </c>
      <c r="N798" s="1"/>
      <c r="AA798" s="72" t="s">
        <v>34</v>
      </c>
    </row>
    <row r="799" spans="1:28" x14ac:dyDescent="0.2">
      <c r="A799" s="210" t="s">
        <v>112</v>
      </c>
      <c r="B799" s="202"/>
      <c r="C799" s="202"/>
      <c r="D799" s="202"/>
      <c r="E799" s="203"/>
      <c r="F799" s="13">
        <v>1199092</v>
      </c>
      <c r="G799" s="13">
        <v>916203.17999999993</v>
      </c>
      <c r="H799" s="13">
        <v>932687.32000000007</v>
      </c>
      <c r="I799" s="201"/>
      <c r="J799" s="202"/>
      <c r="K799" s="202"/>
      <c r="L799" s="202"/>
      <c r="M799" s="203"/>
      <c r="N799" s="1"/>
      <c r="AA799" s="74" t="s">
        <v>46</v>
      </c>
    </row>
    <row r="800" spans="1:28" ht="15" customHeight="1" x14ac:dyDescent="0.2">
      <c r="A800" s="4" t="s">
        <v>1299</v>
      </c>
      <c r="B800" s="212" t="s">
        <v>1300</v>
      </c>
      <c r="C800" s="202"/>
      <c r="D800" s="202"/>
      <c r="E800" s="202"/>
      <c r="F800" s="202"/>
      <c r="G800" s="202"/>
      <c r="H800" s="202"/>
      <c r="I800" s="202"/>
      <c r="J800" s="202"/>
      <c r="K800" s="202"/>
      <c r="L800" s="202"/>
      <c r="M800" s="203"/>
      <c r="N800" s="1"/>
      <c r="AA800" s="70" t="s">
        <v>43</v>
      </c>
    </row>
    <row r="801" spans="1:28" x14ac:dyDescent="0.2">
      <c r="A801" s="5" t="s">
        <v>1299</v>
      </c>
      <c r="B801" s="5" t="s">
        <v>96</v>
      </c>
      <c r="C801" s="6"/>
      <c r="D801" s="6"/>
      <c r="E801" s="7" t="s">
        <v>97</v>
      </c>
      <c r="F801" s="8">
        <v>13560</v>
      </c>
      <c r="G801" s="8">
        <v>14490</v>
      </c>
      <c r="H801" s="8">
        <v>14290</v>
      </c>
      <c r="I801" s="9" t="s">
        <v>1279</v>
      </c>
      <c r="J801" s="9" t="s">
        <v>99</v>
      </c>
      <c r="K801" s="9">
        <v>100</v>
      </c>
      <c r="L801" s="9">
        <v>100</v>
      </c>
      <c r="M801" s="9">
        <v>100</v>
      </c>
      <c r="N801" s="1"/>
      <c r="AA801" s="71" t="s">
        <v>40</v>
      </c>
    </row>
    <row r="802" spans="1:28" ht="30" customHeight="1" x14ac:dyDescent="0.2">
      <c r="A802" s="10" t="s">
        <v>100</v>
      </c>
      <c r="B802" s="10" t="s">
        <v>100</v>
      </c>
      <c r="C802" s="3" t="s">
        <v>100</v>
      </c>
      <c r="D802" s="3"/>
      <c r="E802" s="11" t="s">
        <v>101</v>
      </c>
      <c r="F802" s="12">
        <v>13560</v>
      </c>
      <c r="G802" s="12">
        <v>14490</v>
      </c>
      <c r="H802" s="12">
        <v>14290</v>
      </c>
      <c r="I802" s="3" t="s">
        <v>1301</v>
      </c>
      <c r="J802" s="3" t="s">
        <v>155</v>
      </c>
      <c r="K802" s="3">
        <v>100</v>
      </c>
      <c r="L802" s="3">
        <v>100</v>
      </c>
      <c r="M802" s="3">
        <v>100</v>
      </c>
      <c r="N802" s="1"/>
      <c r="AA802" s="72" t="s">
        <v>34</v>
      </c>
    </row>
    <row r="803" spans="1:28" ht="32.25" customHeight="1" x14ac:dyDescent="0.2">
      <c r="A803" s="5" t="s">
        <v>1299</v>
      </c>
      <c r="B803" s="5" t="s">
        <v>1302</v>
      </c>
      <c r="C803" s="6"/>
      <c r="D803" s="6"/>
      <c r="E803" s="7" t="s">
        <v>1303</v>
      </c>
      <c r="F803" s="8">
        <v>42253.4</v>
      </c>
      <c r="G803" s="8">
        <v>36639.199999999997</v>
      </c>
      <c r="H803" s="8">
        <v>37861.800000000003</v>
      </c>
      <c r="I803" s="9" t="s">
        <v>1304</v>
      </c>
      <c r="J803" s="9" t="s">
        <v>155</v>
      </c>
      <c r="K803" s="9">
        <v>60</v>
      </c>
      <c r="L803" s="9">
        <v>65</v>
      </c>
      <c r="M803" s="9">
        <v>65</v>
      </c>
      <c r="N803" s="1"/>
      <c r="AA803" s="71" t="s">
        <v>40</v>
      </c>
    </row>
    <row r="804" spans="1:28" ht="36" customHeight="1" x14ac:dyDescent="0.2">
      <c r="A804" s="10" t="s">
        <v>100</v>
      </c>
      <c r="B804" s="10" t="s">
        <v>100</v>
      </c>
      <c r="C804" s="3" t="s">
        <v>100</v>
      </c>
      <c r="D804" s="3"/>
      <c r="E804" s="11" t="s">
        <v>1305</v>
      </c>
      <c r="F804" s="12">
        <v>42253.4</v>
      </c>
      <c r="G804" s="12">
        <v>36639.199999999997</v>
      </c>
      <c r="H804" s="12">
        <v>37861.800000000003</v>
      </c>
      <c r="I804" s="3" t="s">
        <v>1306</v>
      </c>
      <c r="J804" s="3" t="s">
        <v>155</v>
      </c>
      <c r="K804" s="3">
        <v>60</v>
      </c>
      <c r="L804" s="3">
        <v>65</v>
      </c>
      <c r="M804" s="3">
        <v>65</v>
      </c>
      <c r="N804" s="1"/>
      <c r="AA804" s="72" t="s">
        <v>34</v>
      </c>
    </row>
    <row r="805" spans="1:28" x14ac:dyDescent="0.2">
      <c r="A805" s="210" t="s">
        <v>112</v>
      </c>
      <c r="B805" s="202"/>
      <c r="C805" s="202"/>
      <c r="D805" s="202"/>
      <c r="E805" s="203"/>
      <c r="F805" s="13">
        <v>55813.4</v>
      </c>
      <c r="G805" s="13">
        <v>51129.2</v>
      </c>
      <c r="H805" s="13">
        <v>52151.8</v>
      </c>
      <c r="I805" s="201"/>
      <c r="J805" s="202"/>
      <c r="K805" s="202"/>
      <c r="L805" s="202"/>
      <c r="M805" s="203"/>
      <c r="N805" s="1"/>
      <c r="AA805" s="74" t="s">
        <v>46</v>
      </c>
    </row>
    <row r="806" spans="1:28" ht="18" customHeight="1" x14ac:dyDescent="0.2">
      <c r="A806" s="4" t="s">
        <v>1307</v>
      </c>
      <c r="B806" s="212" t="s">
        <v>1308</v>
      </c>
      <c r="C806" s="202"/>
      <c r="D806" s="202"/>
      <c r="E806" s="202"/>
      <c r="F806" s="202"/>
      <c r="G806" s="202"/>
      <c r="H806" s="202"/>
      <c r="I806" s="202"/>
      <c r="J806" s="202"/>
      <c r="K806" s="202"/>
      <c r="L806" s="202"/>
      <c r="M806" s="203"/>
      <c r="N806" s="1"/>
      <c r="AA806" s="70" t="s">
        <v>43</v>
      </c>
    </row>
    <row r="807" spans="1:28" ht="21" customHeight="1" x14ac:dyDescent="0.2">
      <c r="A807" s="5" t="s">
        <v>1307</v>
      </c>
      <c r="B807" s="5" t="s">
        <v>96</v>
      </c>
      <c r="C807" s="6"/>
      <c r="D807" s="6"/>
      <c r="E807" s="7" t="s">
        <v>97</v>
      </c>
      <c r="F807" s="8">
        <v>616423.80000000005</v>
      </c>
      <c r="G807" s="8">
        <v>627457.30000000005</v>
      </c>
      <c r="H807" s="8">
        <v>622528.14</v>
      </c>
      <c r="I807" s="16" t="s">
        <v>1309</v>
      </c>
      <c r="J807" s="16" t="s">
        <v>99</v>
      </c>
      <c r="K807" s="16">
        <v>26</v>
      </c>
      <c r="L807" s="16">
        <v>26</v>
      </c>
      <c r="M807" s="16">
        <v>26</v>
      </c>
      <c r="N807" s="1"/>
      <c r="AA807" s="71" t="s">
        <v>40</v>
      </c>
    </row>
    <row r="808" spans="1:28" ht="19.5" customHeight="1" x14ac:dyDescent="0.2">
      <c r="A808" s="10" t="s">
        <v>100</v>
      </c>
      <c r="B808" s="10" t="s">
        <v>100</v>
      </c>
      <c r="C808" s="3" t="s">
        <v>100</v>
      </c>
      <c r="D808" s="3"/>
      <c r="E808" s="11" t="s">
        <v>101</v>
      </c>
      <c r="F808" s="12">
        <v>192449.6</v>
      </c>
      <c r="G808" s="12">
        <v>221483.1</v>
      </c>
      <c r="H808" s="12">
        <v>211553.94</v>
      </c>
      <c r="I808" s="3" t="s">
        <v>1309</v>
      </c>
      <c r="J808" s="3" t="s">
        <v>99</v>
      </c>
      <c r="K808" s="3">
        <v>26</v>
      </c>
      <c r="L808" s="3">
        <v>26</v>
      </c>
      <c r="M808" s="3">
        <v>26</v>
      </c>
      <c r="N808" s="1"/>
      <c r="AA808" s="72" t="s">
        <v>34</v>
      </c>
    </row>
    <row r="809" spans="1:28" ht="27.75" customHeight="1" x14ac:dyDescent="0.2">
      <c r="A809" s="10" t="s">
        <v>120</v>
      </c>
      <c r="B809" s="10" t="s">
        <v>120</v>
      </c>
      <c r="C809" s="3" t="s">
        <v>120</v>
      </c>
      <c r="D809" s="3"/>
      <c r="E809" s="11" t="s">
        <v>203</v>
      </c>
      <c r="F809" s="12">
        <v>423974.2</v>
      </c>
      <c r="G809" s="12">
        <v>405974.2</v>
      </c>
      <c r="H809" s="12">
        <v>410974.2</v>
      </c>
      <c r="I809" s="3" t="s">
        <v>1309</v>
      </c>
      <c r="J809" s="3" t="s">
        <v>99</v>
      </c>
      <c r="K809" s="3">
        <v>26</v>
      </c>
      <c r="L809" s="3">
        <v>26</v>
      </c>
      <c r="M809" s="3">
        <v>26</v>
      </c>
      <c r="N809" s="1"/>
      <c r="AA809" s="72" t="s">
        <v>34</v>
      </c>
    </row>
    <row r="810" spans="1:28" ht="32.25" customHeight="1" x14ac:dyDescent="0.2">
      <c r="A810" s="5" t="s">
        <v>1307</v>
      </c>
      <c r="B810" s="5" t="s">
        <v>1310</v>
      </c>
      <c r="C810" s="6"/>
      <c r="D810" s="6"/>
      <c r="E810" s="7" t="s">
        <v>1311</v>
      </c>
      <c r="F810" s="8">
        <v>65686</v>
      </c>
      <c r="G810" s="8">
        <v>57372.4</v>
      </c>
      <c r="H810" s="8">
        <v>65686</v>
      </c>
      <c r="I810" s="18" t="s">
        <v>1312</v>
      </c>
      <c r="J810" s="18" t="s">
        <v>662</v>
      </c>
      <c r="K810" s="18">
        <v>63.5</v>
      </c>
      <c r="L810" s="18">
        <v>63.6</v>
      </c>
      <c r="M810" s="18">
        <v>63.7</v>
      </c>
      <c r="N810" s="1"/>
      <c r="AA810" s="71" t="s">
        <v>40</v>
      </c>
    </row>
    <row r="811" spans="1:28" ht="32.25" customHeight="1" x14ac:dyDescent="0.2">
      <c r="A811" s="10" t="s">
        <v>100</v>
      </c>
      <c r="B811" s="10" t="s">
        <v>100</v>
      </c>
      <c r="C811" s="3" t="s">
        <v>100</v>
      </c>
      <c r="D811" s="3"/>
      <c r="E811" s="11" t="s">
        <v>1313</v>
      </c>
      <c r="F811" s="12">
        <v>46576.4</v>
      </c>
      <c r="G811" s="12">
        <v>46576.4</v>
      </c>
      <c r="H811" s="12">
        <v>54673.8</v>
      </c>
      <c r="I811" s="3" t="s">
        <v>1312</v>
      </c>
      <c r="J811" s="3" t="s">
        <v>662</v>
      </c>
      <c r="K811" s="3">
        <v>63.5</v>
      </c>
      <c r="L811" s="3">
        <v>63.6</v>
      </c>
      <c r="M811" s="3">
        <v>63.7</v>
      </c>
      <c r="N811" s="1"/>
      <c r="AA811" s="72" t="s">
        <v>34</v>
      </c>
      <c r="AB811" s="75" t="s">
        <v>149</v>
      </c>
    </row>
    <row r="812" spans="1:28" ht="24" customHeight="1" x14ac:dyDescent="0.2">
      <c r="A812" s="10" t="s">
        <v>120</v>
      </c>
      <c r="B812" s="10" t="s">
        <v>120</v>
      </c>
      <c r="C812" s="3" t="s">
        <v>120</v>
      </c>
      <c r="D812" s="3"/>
      <c r="E812" s="11" t="s">
        <v>1314</v>
      </c>
      <c r="F812" s="12">
        <v>19109.599999999999</v>
      </c>
      <c r="G812" s="12">
        <v>10796</v>
      </c>
      <c r="H812" s="12">
        <v>11012.2</v>
      </c>
      <c r="I812" s="3" t="s">
        <v>1315</v>
      </c>
      <c r="J812" s="3" t="s">
        <v>105</v>
      </c>
      <c r="K812" s="3">
        <v>7000</v>
      </c>
      <c r="L812" s="3">
        <v>7200</v>
      </c>
      <c r="M812" s="3">
        <v>7300</v>
      </c>
      <c r="N812" s="1"/>
      <c r="AA812" s="72" t="s">
        <v>34</v>
      </c>
    </row>
    <row r="813" spans="1:28" ht="37.5" customHeight="1" x14ac:dyDescent="0.2">
      <c r="A813" s="5" t="s">
        <v>1307</v>
      </c>
      <c r="B813" s="5" t="s">
        <v>1316</v>
      </c>
      <c r="C813" s="6"/>
      <c r="D813" s="6"/>
      <c r="E813" s="7" t="s">
        <v>1317</v>
      </c>
      <c r="F813" s="8">
        <v>13161.7</v>
      </c>
      <c r="G813" s="8">
        <v>13332.8</v>
      </c>
      <c r="H813" s="8">
        <v>13161.7</v>
      </c>
      <c r="I813" s="18" t="s">
        <v>1318</v>
      </c>
      <c r="J813" s="18" t="s">
        <v>99</v>
      </c>
      <c r="K813" s="18">
        <v>31.2</v>
      </c>
      <c r="L813" s="18">
        <v>31.3</v>
      </c>
      <c r="M813" s="18">
        <v>31.4</v>
      </c>
      <c r="N813" s="1"/>
      <c r="AA813" s="71" t="s">
        <v>40</v>
      </c>
    </row>
    <row r="814" spans="1:28" ht="42" customHeight="1" x14ac:dyDescent="0.2">
      <c r="A814" s="10" t="s">
        <v>100</v>
      </c>
      <c r="B814" s="10" t="s">
        <v>100</v>
      </c>
      <c r="C814" s="3" t="s">
        <v>100</v>
      </c>
      <c r="D814" s="3"/>
      <c r="E814" s="11" t="s">
        <v>1319</v>
      </c>
      <c r="F814" s="12">
        <v>11870</v>
      </c>
      <c r="G814" s="12">
        <v>11870</v>
      </c>
      <c r="H814" s="12">
        <v>11870</v>
      </c>
      <c r="I814" s="3" t="s">
        <v>1318</v>
      </c>
      <c r="J814" s="3" t="s">
        <v>99</v>
      </c>
      <c r="K814" s="3">
        <v>31.2</v>
      </c>
      <c r="L814" s="3">
        <v>31.3</v>
      </c>
      <c r="M814" s="3">
        <v>31.4</v>
      </c>
      <c r="N814" s="1"/>
      <c r="AA814" s="72" t="s">
        <v>34</v>
      </c>
    </row>
    <row r="815" spans="1:28" ht="46.5" customHeight="1" x14ac:dyDescent="0.2">
      <c r="A815" s="10" t="s">
        <v>120</v>
      </c>
      <c r="B815" s="10" t="s">
        <v>120</v>
      </c>
      <c r="C815" s="3" t="s">
        <v>120</v>
      </c>
      <c r="D815" s="3"/>
      <c r="E815" s="11" t="s">
        <v>1320</v>
      </c>
      <c r="F815" s="12">
        <v>1291.7</v>
      </c>
      <c r="G815" s="12">
        <v>1462.8</v>
      </c>
      <c r="H815" s="12">
        <v>1291.7</v>
      </c>
      <c r="I815" s="3" t="s">
        <v>1321</v>
      </c>
      <c r="J815" s="3" t="s">
        <v>99</v>
      </c>
      <c r="K815" s="3">
        <v>79</v>
      </c>
      <c r="L815" s="3">
        <v>80</v>
      </c>
      <c r="M815" s="3">
        <v>81</v>
      </c>
      <c r="N815" s="1"/>
      <c r="AA815" s="72" t="s">
        <v>34</v>
      </c>
    </row>
    <row r="816" spans="1:28" ht="19.5" customHeight="1" x14ac:dyDescent="0.2">
      <c r="A816" s="18">
        <v>74</v>
      </c>
      <c r="B816" s="18" t="s">
        <v>408</v>
      </c>
      <c r="C816" s="45" t="s">
        <v>100</v>
      </c>
      <c r="D816" s="18"/>
      <c r="E816" s="43" t="s">
        <v>409</v>
      </c>
      <c r="F816" s="44">
        <v>160216.20000000001</v>
      </c>
      <c r="G816" s="44">
        <v>103980.9</v>
      </c>
      <c r="H816" s="44">
        <v>0</v>
      </c>
      <c r="I816" s="46" t="s">
        <v>347</v>
      </c>
      <c r="J816" s="46" t="s">
        <v>99</v>
      </c>
      <c r="K816" s="46">
        <v>100</v>
      </c>
      <c r="L816" s="46">
        <v>100</v>
      </c>
      <c r="M816" s="46">
        <v>0</v>
      </c>
      <c r="N816" s="1"/>
      <c r="AA816" s="72" t="s">
        <v>34</v>
      </c>
    </row>
    <row r="817" spans="1:28" x14ac:dyDescent="0.2">
      <c r="A817" s="210" t="s">
        <v>112</v>
      </c>
      <c r="B817" s="202"/>
      <c r="C817" s="202"/>
      <c r="D817" s="202"/>
      <c r="E817" s="203"/>
      <c r="F817" s="13">
        <v>855487.70000000007</v>
      </c>
      <c r="G817" s="13">
        <v>802143.4</v>
      </c>
      <c r="H817" s="13">
        <v>701375.84</v>
      </c>
      <c r="I817" s="201"/>
      <c r="J817" s="202"/>
      <c r="K817" s="202"/>
      <c r="L817" s="202"/>
      <c r="M817" s="203"/>
      <c r="N817" s="1"/>
      <c r="AA817" s="74" t="s">
        <v>46</v>
      </c>
    </row>
    <row r="818" spans="1:28" ht="15" customHeight="1" x14ac:dyDescent="0.2">
      <c r="A818" s="4" t="s">
        <v>497</v>
      </c>
      <c r="B818" s="212" t="s">
        <v>1322</v>
      </c>
      <c r="C818" s="202"/>
      <c r="D818" s="202"/>
      <c r="E818" s="202"/>
      <c r="F818" s="202"/>
      <c r="G818" s="202"/>
      <c r="H818" s="202"/>
      <c r="I818" s="202"/>
      <c r="J818" s="202"/>
      <c r="K818" s="202"/>
      <c r="L818" s="202"/>
      <c r="M818" s="203"/>
      <c r="N818" s="1"/>
      <c r="AA818" s="70" t="s">
        <v>43</v>
      </c>
    </row>
    <row r="819" spans="1:28" ht="38.25" customHeight="1" x14ac:dyDescent="0.2">
      <c r="A819" s="5" t="s">
        <v>497</v>
      </c>
      <c r="B819" s="5" t="s">
        <v>1323</v>
      </c>
      <c r="C819" s="6"/>
      <c r="D819" s="6"/>
      <c r="E819" s="7" t="s">
        <v>1324</v>
      </c>
      <c r="F819" s="8">
        <v>6488.1</v>
      </c>
      <c r="G819" s="8">
        <v>6617.9</v>
      </c>
      <c r="H819" s="8">
        <v>6750.2</v>
      </c>
      <c r="I819" s="18" t="s">
        <v>1325</v>
      </c>
      <c r="J819" s="18" t="s">
        <v>105</v>
      </c>
      <c r="K819" s="18">
        <v>13</v>
      </c>
      <c r="L819" s="18">
        <v>13</v>
      </c>
      <c r="M819" s="18">
        <v>13</v>
      </c>
      <c r="N819" s="1"/>
      <c r="AA819" s="71" t="s">
        <v>40</v>
      </c>
      <c r="AB819" s="75" t="s">
        <v>169</v>
      </c>
    </row>
    <row r="820" spans="1:28" ht="36" customHeight="1" x14ac:dyDescent="0.2">
      <c r="A820" s="10" t="s">
        <v>100</v>
      </c>
      <c r="B820" s="10" t="s">
        <v>100</v>
      </c>
      <c r="C820" s="3" t="s">
        <v>100</v>
      </c>
      <c r="D820" s="3"/>
      <c r="E820" s="11" t="s">
        <v>1326</v>
      </c>
      <c r="F820" s="12">
        <v>6488.1</v>
      </c>
      <c r="G820" s="12">
        <v>6617.9</v>
      </c>
      <c r="H820" s="12">
        <v>6750.2</v>
      </c>
      <c r="I820" s="3" t="s">
        <v>1327</v>
      </c>
      <c r="J820" s="3" t="s">
        <v>105</v>
      </c>
      <c r="K820" s="3">
        <v>2</v>
      </c>
      <c r="L820" s="3">
        <v>2</v>
      </c>
      <c r="M820" s="3">
        <v>2</v>
      </c>
      <c r="N820" s="1"/>
      <c r="AA820" s="72" t="s">
        <v>34</v>
      </c>
      <c r="AB820" s="75" t="s">
        <v>169</v>
      </c>
    </row>
    <row r="821" spans="1:28" x14ac:dyDescent="0.2">
      <c r="A821" s="210" t="s">
        <v>112</v>
      </c>
      <c r="B821" s="202"/>
      <c r="C821" s="202"/>
      <c r="D821" s="202"/>
      <c r="E821" s="203"/>
      <c r="F821" s="13">
        <v>6488.1</v>
      </c>
      <c r="G821" s="13">
        <v>6617.9</v>
      </c>
      <c r="H821" s="13">
        <v>6750.2</v>
      </c>
      <c r="I821" s="201"/>
      <c r="J821" s="202"/>
      <c r="K821" s="202"/>
      <c r="L821" s="202"/>
      <c r="M821" s="203"/>
      <c r="N821" s="1"/>
      <c r="AA821" s="74" t="s">
        <v>46</v>
      </c>
    </row>
    <row r="822" spans="1:28" ht="15" customHeight="1" x14ac:dyDescent="0.2">
      <c r="A822" s="4" t="s">
        <v>1328</v>
      </c>
      <c r="B822" s="212" t="s">
        <v>1329</v>
      </c>
      <c r="C822" s="202"/>
      <c r="D822" s="202"/>
      <c r="E822" s="202"/>
      <c r="F822" s="202"/>
      <c r="G822" s="202"/>
      <c r="H822" s="202"/>
      <c r="I822" s="202"/>
      <c r="J822" s="202"/>
      <c r="K822" s="202"/>
      <c r="L822" s="202"/>
      <c r="M822" s="203"/>
      <c r="N822" s="1"/>
      <c r="AA822" s="70" t="s">
        <v>43</v>
      </c>
    </row>
    <row r="823" spans="1:28" x14ac:dyDescent="0.2">
      <c r="A823" s="5" t="s">
        <v>1328</v>
      </c>
      <c r="B823" s="5" t="s">
        <v>96</v>
      </c>
      <c r="C823" s="6"/>
      <c r="D823" s="6"/>
      <c r="E823" s="7" t="s">
        <v>97</v>
      </c>
      <c r="F823" s="8">
        <v>60662.6</v>
      </c>
      <c r="G823" s="8">
        <v>141699.67000000001</v>
      </c>
      <c r="H823" s="8">
        <v>156050.23000000001</v>
      </c>
      <c r="I823" s="16" t="s">
        <v>1279</v>
      </c>
      <c r="J823" s="16" t="s">
        <v>99</v>
      </c>
      <c r="K823" s="16">
        <v>100</v>
      </c>
      <c r="L823" s="16">
        <v>100</v>
      </c>
      <c r="M823" s="16">
        <v>100</v>
      </c>
      <c r="N823" s="1"/>
      <c r="AA823" s="71" t="s">
        <v>40</v>
      </c>
    </row>
    <row r="824" spans="1:28" x14ac:dyDescent="0.2">
      <c r="A824" s="209" t="s">
        <v>100</v>
      </c>
      <c r="B824" s="209" t="s">
        <v>100</v>
      </c>
      <c r="C824" s="207" t="s">
        <v>100</v>
      </c>
      <c r="D824" s="207"/>
      <c r="E824" s="208" t="s">
        <v>101</v>
      </c>
      <c r="F824" s="204">
        <v>60662.6</v>
      </c>
      <c r="G824" s="204">
        <v>141699.67000000001</v>
      </c>
      <c r="H824" s="204">
        <v>156050.23000000001</v>
      </c>
      <c r="I824" s="3" t="s">
        <v>1330</v>
      </c>
      <c r="J824" s="3" t="s">
        <v>155</v>
      </c>
      <c r="K824" s="3">
        <v>26</v>
      </c>
      <c r="L824" s="3">
        <v>27</v>
      </c>
      <c r="M824" s="3">
        <v>30</v>
      </c>
      <c r="N824" s="1"/>
      <c r="AA824" s="72" t="s">
        <v>34</v>
      </c>
    </row>
    <row r="825" spans="1:28" x14ac:dyDescent="0.2">
      <c r="A825" s="205"/>
      <c r="B825" s="205"/>
      <c r="C825" s="205"/>
      <c r="D825" s="205"/>
      <c r="E825" s="205"/>
      <c r="F825" s="205"/>
      <c r="G825" s="205"/>
      <c r="H825" s="205"/>
      <c r="I825" s="3" t="s">
        <v>1331</v>
      </c>
      <c r="J825" s="3" t="s">
        <v>155</v>
      </c>
      <c r="K825" s="3">
        <v>47</v>
      </c>
      <c r="L825" s="3">
        <v>55</v>
      </c>
      <c r="M825" s="3">
        <v>55</v>
      </c>
      <c r="N825" s="1"/>
      <c r="AA825" s="73" t="s">
        <v>37</v>
      </c>
    </row>
    <row r="826" spans="1:28" x14ac:dyDescent="0.2">
      <c r="A826" s="206"/>
      <c r="B826" s="206"/>
      <c r="C826" s="206"/>
      <c r="D826" s="206"/>
      <c r="E826" s="206"/>
      <c r="F826" s="206"/>
      <c r="G826" s="206"/>
      <c r="H826" s="206"/>
      <c r="I826" s="3" t="s">
        <v>1332</v>
      </c>
      <c r="J826" s="3" t="s">
        <v>155</v>
      </c>
      <c r="K826" s="3">
        <v>5</v>
      </c>
      <c r="L826" s="3">
        <v>5</v>
      </c>
      <c r="M826" s="3">
        <v>5</v>
      </c>
      <c r="N826" s="1"/>
      <c r="AA826" s="73" t="s">
        <v>37</v>
      </c>
    </row>
    <row r="827" spans="1:28" ht="31.5" customHeight="1" x14ac:dyDescent="0.2">
      <c r="A827" s="5" t="s">
        <v>1328</v>
      </c>
      <c r="B827" s="5" t="s">
        <v>1333</v>
      </c>
      <c r="C827" s="6"/>
      <c r="D827" s="6"/>
      <c r="E827" s="7" t="s">
        <v>1334</v>
      </c>
      <c r="F827" s="8">
        <v>231608.2</v>
      </c>
      <c r="G827" s="8">
        <v>211964.3</v>
      </c>
      <c r="H827" s="8">
        <v>206974.8</v>
      </c>
      <c r="I827" s="16" t="s">
        <v>1335</v>
      </c>
      <c r="J827" s="16" t="s">
        <v>155</v>
      </c>
      <c r="K827" s="16">
        <v>1</v>
      </c>
      <c r="L827" s="16">
        <v>1</v>
      </c>
      <c r="M827" s="16">
        <v>1</v>
      </c>
      <c r="N827" s="1"/>
      <c r="AA827" s="71" t="s">
        <v>40</v>
      </c>
    </row>
    <row r="828" spans="1:28" ht="41.25" customHeight="1" x14ac:dyDescent="0.2">
      <c r="A828" s="10" t="s">
        <v>100</v>
      </c>
      <c r="B828" s="10" t="s">
        <v>100</v>
      </c>
      <c r="C828" s="3" t="s">
        <v>100</v>
      </c>
      <c r="D828" s="3"/>
      <c r="E828" s="11" t="s">
        <v>1336</v>
      </c>
      <c r="F828" s="12">
        <v>64269.5</v>
      </c>
      <c r="G828" s="12">
        <v>55845.599999999999</v>
      </c>
      <c r="H828" s="12">
        <v>55345.599999999999</v>
      </c>
      <c r="I828" s="3" t="s">
        <v>1337</v>
      </c>
      <c r="J828" s="3" t="s">
        <v>155</v>
      </c>
      <c r="K828" s="3">
        <v>8751</v>
      </c>
      <c r="L828" s="3">
        <v>9026</v>
      </c>
      <c r="M828" s="3">
        <v>9026</v>
      </c>
      <c r="N828" s="1"/>
      <c r="AA828" s="72" t="s">
        <v>34</v>
      </c>
    </row>
    <row r="829" spans="1:28" ht="48.75" customHeight="1" x14ac:dyDescent="0.2">
      <c r="A829" s="10" t="s">
        <v>120</v>
      </c>
      <c r="B829" s="10" t="s">
        <v>120</v>
      </c>
      <c r="C829" s="3" t="s">
        <v>120</v>
      </c>
      <c r="D829" s="3"/>
      <c r="E829" s="11" t="s">
        <v>1338</v>
      </c>
      <c r="F829" s="12">
        <v>44427.199999999997</v>
      </c>
      <c r="G829" s="12">
        <v>31462.2</v>
      </c>
      <c r="H829" s="12">
        <v>28717.7</v>
      </c>
      <c r="I829" s="3" t="s">
        <v>1339</v>
      </c>
      <c r="J829" s="3" t="s">
        <v>155</v>
      </c>
      <c r="K829" s="3">
        <v>20</v>
      </c>
      <c r="L829" s="3">
        <v>20</v>
      </c>
      <c r="M829" s="3">
        <v>20</v>
      </c>
      <c r="N829" s="1"/>
      <c r="AA829" s="72" t="s">
        <v>34</v>
      </c>
    </row>
    <row r="830" spans="1:28" ht="60.75" customHeight="1" x14ac:dyDescent="0.2">
      <c r="A830" s="10" t="s">
        <v>150</v>
      </c>
      <c r="B830" s="10" t="s">
        <v>150</v>
      </c>
      <c r="C830" s="3" t="s">
        <v>150</v>
      </c>
      <c r="D830" s="3"/>
      <c r="E830" s="11" t="s">
        <v>1340</v>
      </c>
      <c r="F830" s="12">
        <v>92119.7</v>
      </c>
      <c r="G830" s="12">
        <v>93119.7</v>
      </c>
      <c r="H830" s="12">
        <v>92219.7</v>
      </c>
      <c r="I830" s="3" t="s">
        <v>1341</v>
      </c>
      <c r="J830" s="3" t="s">
        <v>155</v>
      </c>
      <c r="K830" s="3">
        <v>15</v>
      </c>
      <c r="L830" s="3">
        <v>21</v>
      </c>
      <c r="M830" s="3">
        <v>23</v>
      </c>
      <c r="N830" s="1"/>
      <c r="AA830" s="72" t="s">
        <v>34</v>
      </c>
    </row>
    <row r="831" spans="1:28" ht="60" customHeight="1" x14ac:dyDescent="0.2">
      <c r="A831" s="10" t="s">
        <v>124</v>
      </c>
      <c r="B831" s="10" t="s">
        <v>124</v>
      </c>
      <c r="C831" s="3" t="s">
        <v>124</v>
      </c>
      <c r="D831" s="3"/>
      <c r="E831" s="11" t="s">
        <v>1342</v>
      </c>
      <c r="F831" s="12">
        <v>30791.8</v>
      </c>
      <c r="G831" s="12">
        <v>31536.799999999999</v>
      </c>
      <c r="H831" s="12">
        <v>30691.8</v>
      </c>
      <c r="I831" s="3" t="s">
        <v>1343</v>
      </c>
      <c r="J831" s="3" t="s">
        <v>155</v>
      </c>
      <c r="K831" s="3">
        <v>15</v>
      </c>
      <c r="L831" s="3">
        <v>15</v>
      </c>
      <c r="M831" s="3">
        <v>15</v>
      </c>
      <c r="N831" s="1"/>
      <c r="AA831" s="72" t="s">
        <v>34</v>
      </c>
    </row>
    <row r="832" spans="1:28" ht="32.25" customHeight="1" x14ac:dyDescent="0.2">
      <c r="A832" s="5" t="s">
        <v>1328</v>
      </c>
      <c r="B832" s="5" t="s">
        <v>1344</v>
      </c>
      <c r="C832" s="6"/>
      <c r="D832" s="6"/>
      <c r="E832" s="7" t="s">
        <v>1345</v>
      </c>
      <c r="F832" s="8">
        <v>254484.9</v>
      </c>
      <c r="G832" s="8">
        <v>204791.4</v>
      </c>
      <c r="H832" s="8">
        <v>213199.9</v>
      </c>
      <c r="I832" s="18" t="s">
        <v>1346</v>
      </c>
      <c r="J832" s="18" t="s">
        <v>155</v>
      </c>
      <c r="K832" s="18">
        <v>18</v>
      </c>
      <c r="L832" s="18">
        <v>24</v>
      </c>
      <c r="M832" s="18">
        <v>24</v>
      </c>
      <c r="N832" s="1"/>
      <c r="AA832" s="71" t="s">
        <v>40</v>
      </c>
    </row>
    <row r="833" spans="1:28" ht="79.5" customHeight="1" x14ac:dyDescent="0.2">
      <c r="A833" s="10" t="s">
        <v>100</v>
      </c>
      <c r="B833" s="10" t="s">
        <v>100</v>
      </c>
      <c r="C833" s="3" t="s">
        <v>100</v>
      </c>
      <c r="D833" s="3"/>
      <c r="E833" s="11" t="s">
        <v>1347</v>
      </c>
      <c r="F833" s="12">
        <v>131285.6</v>
      </c>
      <c r="G833" s="12">
        <v>119036</v>
      </c>
      <c r="H833" s="12">
        <v>122037.6</v>
      </c>
      <c r="I833" s="3" t="s">
        <v>1348</v>
      </c>
      <c r="J833" s="3" t="s">
        <v>155</v>
      </c>
      <c r="K833" s="3">
        <v>25</v>
      </c>
      <c r="L833" s="3">
        <v>25</v>
      </c>
      <c r="M833" s="3">
        <v>25</v>
      </c>
      <c r="N833" s="1"/>
      <c r="AA833" s="72" t="s">
        <v>34</v>
      </c>
    </row>
    <row r="834" spans="1:28" ht="55.5" customHeight="1" x14ac:dyDescent="0.2">
      <c r="A834" s="10" t="s">
        <v>120</v>
      </c>
      <c r="B834" s="10" t="s">
        <v>120</v>
      </c>
      <c r="C834" s="3" t="s">
        <v>120</v>
      </c>
      <c r="D834" s="3"/>
      <c r="E834" s="11" t="s">
        <v>1349</v>
      </c>
      <c r="F834" s="12">
        <v>108724.9</v>
      </c>
      <c r="G834" s="12">
        <v>70981</v>
      </c>
      <c r="H834" s="12">
        <v>72975.5</v>
      </c>
      <c r="I834" s="3" t="s">
        <v>1350</v>
      </c>
      <c r="J834" s="3" t="s">
        <v>155</v>
      </c>
      <c r="K834" s="3">
        <v>180</v>
      </c>
      <c r="L834" s="3">
        <v>200</v>
      </c>
      <c r="M834" s="3">
        <v>200</v>
      </c>
      <c r="N834" s="1"/>
      <c r="AA834" s="72" t="s">
        <v>34</v>
      </c>
    </row>
    <row r="835" spans="1:28" ht="57" customHeight="1" x14ac:dyDescent="0.2">
      <c r="A835" s="10" t="s">
        <v>150</v>
      </c>
      <c r="B835" s="10" t="s">
        <v>150</v>
      </c>
      <c r="C835" s="3" t="s">
        <v>150</v>
      </c>
      <c r="D835" s="3"/>
      <c r="E835" s="11" t="s">
        <v>1351</v>
      </c>
      <c r="F835" s="12">
        <v>14474.4</v>
      </c>
      <c r="G835" s="12">
        <v>14774.4</v>
      </c>
      <c r="H835" s="12">
        <v>18186.8</v>
      </c>
      <c r="I835" s="3" t="s">
        <v>1346</v>
      </c>
      <c r="J835" s="3" t="s">
        <v>155</v>
      </c>
      <c r="K835" s="3">
        <v>18</v>
      </c>
      <c r="L835" s="3">
        <v>24</v>
      </c>
      <c r="M835" s="3">
        <v>24</v>
      </c>
      <c r="N835" s="1"/>
      <c r="AA835" s="72" t="s">
        <v>34</v>
      </c>
      <c r="AB835" s="75" t="s">
        <v>169</v>
      </c>
    </row>
    <row r="836" spans="1:28" ht="24" customHeight="1" x14ac:dyDescent="0.2">
      <c r="A836" s="5" t="s">
        <v>1328</v>
      </c>
      <c r="B836" s="5" t="s">
        <v>1352</v>
      </c>
      <c r="C836" s="6"/>
      <c r="D836" s="6"/>
      <c r="E836" s="7" t="s">
        <v>1353</v>
      </c>
      <c r="F836" s="8">
        <v>96094.1</v>
      </c>
      <c r="G836" s="8">
        <v>83855.3</v>
      </c>
      <c r="H836" s="8">
        <v>80142.8</v>
      </c>
      <c r="I836" s="18" t="s">
        <v>1354</v>
      </c>
      <c r="J836" s="18" t="s">
        <v>155</v>
      </c>
      <c r="K836" s="18">
        <v>30</v>
      </c>
      <c r="L836" s="18">
        <v>30</v>
      </c>
      <c r="M836" s="18">
        <v>30</v>
      </c>
      <c r="N836" s="1"/>
      <c r="AA836" s="71" t="s">
        <v>40</v>
      </c>
    </row>
    <row r="837" spans="1:28" ht="61.5" customHeight="1" x14ac:dyDescent="0.2">
      <c r="A837" s="10" t="s">
        <v>100</v>
      </c>
      <c r="B837" s="10" t="s">
        <v>100</v>
      </c>
      <c r="C837" s="3" t="s">
        <v>100</v>
      </c>
      <c r="D837" s="3"/>
      <c r="E837" s="11" t="s">
        <v>1355</v>
      </c>
      <c r="F837" s="12">
        <v>17629.400000000001</v>
      </c>
      <c r="G837" s="12">
        <v>11752</v>
      </c>
      <c r="H837" s="12">
        <v>11752</v>
      </c>
      <c r="I837" s="3" t="s">
        <v>1354</v>
      </c>
      <c r="J837" s="3" t="s">
        <v>155</v>
      </c>
      <c r="K837" s="3">
        <v>30</v>
      </c>
      <c r="L837" s="3">
        <v>30</v>
      </c>
      <c r="M837" s="3">
        <v>30</v>
      </c>
      <c r="N837" s="1"/>
      <c r="AA837" s="72" t="s">
        <v>34</v>
      </c>
    </row>
    <row r="838" spans="1:28" ht="48" customHeight="1" x14ac:dyDescent="0.2">
      <c r="A838" s="10" t="s">
        <v>120</v>
      </c>
      <c r="B838" s="10" t="s">
        <v>120</v>
      </c>
      <c r="C838" s="3" t="s">
        <v>120</v>
      </c>
      <c r="D838" s="3"/>
      <c r="E838" s="11" t="s">
        <v>1356</v>
      </c>
      <c r="F838" s="12">
        <v>25185.4</v>
      </c>
      <c r="G838" s="12">
        <v>25185.4</v>
      </c>
      <c r="H838" s="12">
        <v>25185.3</v>
      </c>
      <c r="I838" s="3" t="s">
        <v>1357</v>
      </c>
      <c r="J838" s="3" t="s">
        <v>155</v>
      </c>
      <c r="K838" s="3">
        <v>6</v>
      </c>
      <c r="L838" s="3">
        <v>7</v>
      </c>
      <c r="M838" s="3">
        <v>8</v>
      </c>
      <c r="N838" s="1"/>
      <c r="AA838" s="72" t="s">
        <v>34</v>
      </c>
    </row>
    <row r="839" spans="1:28" ht="36.75" customHeight="1" x14ac:dyDescent="0.2">
      <c r="A839" s="10" t="s">
        <v>150</v>
      </c>
      <c r="B839" s="10" t="s">
        <v>150</v>
      </c>
      <c r="C839" s="3" t="s">
        <v>150</v>
      </c>
      <c r="D839" s="3"/>
      <c r="E839" s="11" t="s">
        <v>1358</v>
      </c>
      <c r="F839" s="12">
        <v>53279.3</v>
      </c>
      <c r="G839" s="12">
        <v>46917.9</v>
      </c>
      <c r="H839" s="12">
        <v>43205.5</v>
      </c>
      <c r="I839" s="3" t="s">
        <v>1359</v>
      </c>
      <c r="J839" s="3" t="s">
        <v>155</v>
      </c>
      <c r="K839" s="3">
        <v>90</v>
      </c>
      <c r="L839" s="3">
        <v>95</v>
      </c>
      <c r="M839" s="3">
        <v>95</v>
      </c>
      <c r="N839" s="1"/>
      <c r="AA839" s="72" t="s">
        <v>34</v>
      </c>
    </row>
    <row r="840" spans="1:28" x14ac:dyDescent="0.2">
      <c r="A840" s="210" t="s">
        <v>112</v>
      </c>
      <c r="B840" s="202"/>
      <c r="C840" s="202"/>
      <c r="D840" s="202"/>
      <c r="E840" s="203"/>
      <c r="F840" s="13">
        <v>642849.79999999993</v>
      </c>
      <c r="G840" s="13">
        <v>642310.67000000004</v>
      </c>
      <c r="H840" s="13">
        <v>656367.73</v>
      </c>
      <c r="I840" s="201"/>
      <c r="J840" s="202"/>
      <c r="K840" s="202"/>
      <c r="L840" s="202"/>
      <c r="M840" s="203"/>
      <c r="N840" s="1"/>
      <c r="AA840" s="74" t="s">
        <v>46</v>
      </c>
    </row>
    <row r="841" spans="1:28" ht="15" customHeight="1" x14ac:dyDescent="0.2">
      <c r="A841" s="4" t="s">
        <v>1360</v>
      </c>
      <c r="B841" s="212" t="s">
        <v>1361</v>
      </c>
      <c r="C841" s="202"/>
      <c r="D841" s="202"/>
      <c r="E841" s="202"/>
      <c r="F841" s="202"/>
      <c r="G841" s="202"/>
      <c r="H841" s="202"/>
      <c r="I841" s="202"/>
      <c r="J841" s="202"/>
      <c r="K841" s="202"/>
      <c r="L841" s="202"/>
      <c r="M841" s="203"/>
      <c r="N841" s="1"/>
      <c r="AA841" s="70" t="s">
        <v>43</v>
      </c>
    </row>
    <row r="842" spans="1:28" ht="36" customHeight="1" x14ac:dyDescent="0.2">
      <c r="A842" s="5" t="s">
        <v>1360</v>
      </c>
      <c r="B842" s="5" t="s">
        <v>1362</v>
      </c>
      <c r="C842" s="6"/>
      <c r="D842" s="6"/>
      <c r="E842" s="7" t="s">
        <v>1363</v>
      </c>
      <c r="F842" s="8">
        <v>415289</v>
      </c>
      <c r="G842" s="8">
        <v>427634.8</v>
      </c>
      <c r="H842" s="8">
        <v>436107.5</v>
      </c>
      <c r="I842" s="18" t="s">
        <v>1364</v>
      </c>
      <c r="J842" s="18" t="s">
        <v>159</v>
      </c>
      <c r="K842" s="18">
        <v>7600</v>
      </c>
      <c r="L842" s="18">
        <v>7600</v>
      </c>
      <c r="M842" s="18">
        <v>7700</v>
      </c>
      <c r="N842" s="1"/>
      <c r="AA842" s="71" t="s">
        <v>40</v>
      </c>
    </row>
    <row r="843" spans="1:28" ht="36" customHeight="1" x14ac:dyDescent="0.2">
      <c r="A843" s="10" t="s">
        <v>100</v>
      </c>
      <c r="B843" s="10" t="s">
        <v>100</v>
      </c>
      <c r="C843" s="3" t="s">
        <v>100</v>
      </c>
      <c r="D843" s="3"/>
      <c r="E843" s="11" t="s">
        <v>1365</v>
      </c>
      <c r="F843" s="12">
        <v>415289</v>
      </c>
      <c r="G843" s="12">
        <v>427634.8</v>
      </c>
      <c r="H843" s="12">
        <v>436107.5</v>
      </c>
      <c r="I843" s="3" t="s">
        <v>1364</v>
      </c>
      <c r="J843" s="3" t="s">
        <v>159</v>
      </c>
      <c r="K843" s="3">
        <v>7600</v>
      </c>
      <c r="L843" s="3">
        <v>7600</v>
      </c>
      <c r="M843" s="3">
        <v>7700</v>
      </c>
      <c r="N843" s="1"/>
      <c r="AA843" s="72" t="s">
        <v>34</v>
      </c>
    </row>
    <row r="844" spans="1:28" x14ac:dyDescent="0.2">
      <c r="A844" s="210" t="s">
        <v>112</v>
      </c>
      <c r="B844" s="202"/>
      <c r="C844" s="202"/>
      <c r="D844" s="202"/>
      <c r="E844" s="203"/>
      <c r="F844" s="13">
        <v>415289</v>
      </c>
      <c r="G844" s="13">
        <v>427634.8</v>
      </c>
      <c r="H844" s="13">
        <v>436107.5</v>
      </c>
      <c r="I844" s="201"/>
      <c r="J844" s="202"/>
      <c r="K844" s="202"/>
      <c r="L844" s="202"/>
      <c r="M844" s="203"/>
      <c r="N844" s="1"/>
      <c r="AA844" s="74" t="s">
        <v>46</v>
      </c>
    </row>
    <row r="845" spans="1:28" ht="15" customHeight="1" x14ac:dyDescent="0.2">
      <c r="A845" s="4" t="s">
        <v>1366</v>
      </c>
      <c r="B845" s="212" t="s">
        <v>1367</v>
      </c>
      <c r="C845" s="202"/>
      <c r="D845" s="202"/>
      <c r="E845" s="202"/>
      <c r="F845" s="202"/>
      <c r="G845" s="202"/>
      <c r="H845" s="202"/>
      <c r="I845" s="202"/>
      <c r="J845" s="202"/>
      <c r="K845" s="202"/>
      <c r="L845" s="202"/>
      <c r="M845" s="203"/>
      <c r="N845" s="1"/>
      <c r="AA845" s="70" t="s">
        <v>43</v>
      </c>
    </row>
    <row r="846" spans="1:28" ht="36" customHeight="1" x14ac:dyDescent="0.2">
      <c r="A846" s="5" t="s">
        <v>1366</v>
      </c>
      <c r="B846" s="5" t="s">
        <v>96</v>
      </c>
      <c r="C846" s="6"/>
      <c r="D846" s="6"/>
      <c r="E846" s="7" t="s">
        <v>97</v>
      </c>
      <c r="F846" s="8">
        <v>32091.4</v>
      </c>
      <c r="G846" s="8">
        <v>32733.200000000001</v>
      </c>
      <c r="H846" s="8">
        <v>33387.9</v>
      </c>
      <c r="I846" s="9" t="s">
        <v>249</v>
      </c>
      <c r="J846" s="9" t="s">
        <v>99</v>
      </c>
      <c r="K846" s="9">
        <v>100</v>
      </c>
      <c r="L846" s="9">
        <v>100</v>
      </c>
      <c r="M846" s="9">
        <v>100</v>
      </c>
      <c r="N846" s="1"/>
      <c r="AA846" s="71" t="s">
        <v>40</v>
      </c>
    </row>
    <row r="847" spans="1:28" ht="24" customHeight="1" x14ac:dyDescent="0.2">
      <c r="A847" s="10" t="s">
        <v>100</v>
      </c>
      <c r="B847" s="10" t="s">
        <v>100</v>
      </c>
      <c r="C847" s="3" t="s">
        <v>100</v>
      </c>
      <c r="D847" s="3"/>
      <c r="E847" s="11" t="s">
        <v>101</v>
      </c>
      <c r="F847" s="12">
        <v>15201.9</v>
      </c>
      <c r="G847" s="12">
        <v>15301.9</v>
      </c>
      <c r="H847" s="12">
        <v>15501.9</v>
      </c>
      <c r="I847" s="3" t="s">
        <v>304</v>
      </c>
      <c r="J847" s="3" t="s">
        <v>99</v>
      </c>
      <c r="K847" s="3">
        <v>100</v>
      </c>
      <c r="L847" s="3">
        <v>100</v>
      </c>
      <c r="M847" s="3">
        <v>100</v>
      </c>
      <c r="N847" s="1"/>
      <c r="AA847" s="72" t="s">
        <v>34</v>
      </c>
    </row>
    <row r="848" spans="1:28" ht="24" customHeight="1" x14ac:dyDescent="0.2">
      <c r="A848" s="10" t="s">
        <v>120</v>
      </c>
      <c r="B848" s="10" t="s">
        <v>120</v>
      </c>
      <c r="C848" s="3" t="s">
        <v>120</v>
      </c>
      <c r="D848" s="3"/>
      <c r="E848" s="11" t="s">
        <v>203</v>
      </c>
      <c r="F848" s="12">
        <v>16889.5</v>
      </c>
      <c r="G848" s="12">
        <v>17431.3</v>
      </c>
      <c r="H848" s="12">
        <v>17886</v>
      </c>
      <c r="I848" s="3" t="s">
        <v>201</v>
      </c>
      <c r="J848" s="3" t="s">
        <v>99</v>
      </c>
      <c r="K848" s="3">
        <v>100</v>
      </c>
      <c r="L848" s="3">
        <v>100</v>
      </c>
      <c r="M848" s="3">
        <v>100</v>
      </c>
      <c r="N848" s="1"/>
      <c r="AA848" s="72" t="s">
        <v>34</v>
      </c>
    </row>
    <row r="849" spans="1:28" x14ac:dyDescent="0.2">
      <c r="A849" s="210" t="s">
        <v>112</v>
      </c>
      <c r="B849" s="202"/>
      <c r="C849" s="202"/>
      <c r="D849" s="202"/>
      <c r="E849" s="203"/>
      <c r="F849" s="13">
        <v>32091.4</v>
      </c>
      <c r="G849" s="13">
        <v>32733.200000000001</v>
      </c>
      <c r="H849" s="13">
        <v>33387.9</v>
      </c>
      <c r="I849" s="201"/>
      <c r="J849" s="202"/>
      <c r="K849" s="202"/>
      <c r="L849" s="202"/>
      <c r="M849" s="203"/>
      <c r="N849" s="1"/>
      <c r="AA849" s="74" t="s">
        <v>46</v>
      </c>
    </row>
    <row r="850" spans="1:28" ht="15" customHeight="1" x14ac:dyDescent="0.2">
      <c r="A850" s="4" t="s">
        <v>1368</v>
      </c>
      <c r="B850" s="212" t="s">
        <v>1369</v>
      </c>
      <c r="C850" s="202"/>
      <c r="D850" s="202"/>
      <c r="E850" s="202"/>
      <c r="F850" s="202"/>
      <c r="G850" s="202"/>
      <c r="H850" s="202"/>
      <c r="I850" s="202"/>
      <c r="J850" s="202"/>
      <c r="K850" s="202"/>
      <c r="L850" s="202"/>
      <c r="M850" s="203"/>
      <c r="N850" s="1"/>
      <c r="AA850" s="70" t="s">
        <v>43</v>
      </c>
    </row>
    <row r="851" spans="1:28" x14ac:dyDescent="0.2">
      <c r="A851" s="5" t="s">
        <v>1368</v>
      </c>
      <c r="B851" s="5" t="s">
        <v>1370</v>
      </c>
      <c r="C851" s="6"/>
      <c r="D851" s="6"/>
      <c r="E851" s="7" t="s">
        <v>1371</v>
      </c>
      <c r="F851" s="8">
        <v>33904.199999999997</v>
      </c>
      <c r="G851" s="8">
        <v>34582.300000000003</v>
      </c>
      <c r="H851" s="8">
        <v>35273.9</v>
      </c>
      <c r="I851" s="16" t="s">
        <v>1279</v>
      </c>
      <c r="J851" s="16" t="s">
        <v>99</v>
      </c>
      <c r="K851" s="16">
        <v>100</v>
      </c>
      <c r="L851" s="16">
        <v>100</v>
      </c>
      <c r="M851" s="16">
        <v>100</v>
      </c>
      <c r="N851" s="1"/>
      <c r="AA851" s="71" t="s">
        <v>40</v>
      </c>
      <c r="AB851" s="75" t="s">
        <v>123</v>
      </c>
    </row>
    <row r="852" spans="1:28" ht="24" customHeight="1" x14ac:dyDescent="0.2">
      <c r="A852" s="10" t="s">
        <v>100</v>
      </c>
      <c r="B852" s="10" t="s">
        <v>100</v>
      </c>
      <c r="C852" s="3" t="s">
        <v>100</v>
      </c>
      <c r="D852" s="3"/>
      <c r="E852" s="11" t="s">
        <v>1372</v>
      </c>
      <c r="F852" s="12">
        <v>33904.199999999997</v>
      </c>
      <c r="G852" s="12">
        <v>34582.300000000003</v>
      </c>
      <c r="H852" s="12">
        <v>35273.9</v>
      </c>
      <c r="I852" s="3" t="s">
        <v>1373</v>
      </c>
      <c r="J852" s="3" t="s">
        <v>99</v>
      </c>
      <c r="K852" s="3">
        <v>100</v>
      </c>
      <c r="L852" s="3">
        <v>100</v>
      </c>
      <c r="M852" s="3">
        <v>100</v>
      </c>
      <c r="N852" s="1"/>
      <c r="AA852" s="72" t="s">
        <v>34</v>
      </c>
      <c r="AB852" s="75" t="s">
        <v>123</v>
      </c>
    </row>
    <row r="853" spans="1:28" x14ac:dyDescent="0.2">
      <c r="A853" s="210" t="s">
        <v>112</v>
      </c>
      <c r="B853" s="202"/>
      <c r="C853" s="202"/>
      <c r="D853" s="202"/>
      <c r="E853" s="203"/>
      <c r="F853" s="13">
        <v>33904.199999999997</v>
      </c>
      <c r="G853" s="13">
        <v>34582.300000000003</v>
      </c>
      <c r="H853" s="13">
        <v>35273.9</v>
      </c>
      <c r="I853" s="201"/>
      <c r="J853" s="202"/>
      <c r="K853" s="202"/>
      <c r="L853" s="202"/>
      <c r="M853" s="203"/>
      <c r="N853" s="1"/>
      <c r="AA853" s="74" t="s">
        <v>46</v>
      </c>
    </row>
    <row r="854" spans="1:28" ht="15" customHeight="1" x14ac:dyDescent="0.2">
      <c r="A854" s="4" t="s">
        <v>1374</v>
      </c>
      <c r="B854" s="212" t="s">
        <v>1375</v>
      </c>
      <c r="C854" s="202"/>
      <c r="D854" s="202"/>
      <c r="E854" s="202"/>
      <c r="F854" s="202"/>
      <c r="G854" s="202"/>
      <c r="H854" s="202"/>
      <c r="I854" s="202"/>
      <c r="J854" s="202"/>
      <c r="K854" s="202"/>
      <c r="L854" s="202"/>
      <c r="M854" s="203"/>
      <c r="N854" s="1"/>
      <c r="AA854" s="70" t="s">
        <v>43</v>
      </c>
    </row>
    <row r="855" spans="1:28" x14ac:dyDescent="0.2">
      <c r="A855" s="5" t="s">
        <v>1374</v>
      </c>
      <c r="B855" s="5" t="s">
        <v>1376</v>
      </c>
      <c r="C855" s="6"/>
      <c r="D855" s="6"/>
      <c r="E855" s="7" t="s">
        <v>1377</v>
      </c>
      <c r="F855" s="8">
        <v>6630.4</v>
      </c>
      <c r="G855" s="8">
        <v>6763</v>
      </c>
      <c r="H855" s="8">
        <v>6898.27</v>
      </c>
      <c r="I855" s="9" t="s">
        <v>1279</v>
      </c>
      <c r="J855" s="9" t="s">
        <v>99</v>
      </c>
      <c r="K855" s="9">
        <v>100</v>
      </c>
      <c r="L855" s="9">
        <v>100</v>
      </c>
      <c r="M855" s="9">
        <v>100</v>
      </c>
      <c r="N855" s="1"/>
      <c r="AA855" s="71" t="s">
        <v>40</v>
      </c>
      <c r="AB855" s="75" t="s">
        <v>123</v>
      </c>
    </row>
    <row r="856" spans="1:28" ht="36" customHeight="1" x14ac:dyDescent="0.2">
      <c r="A856" s="10" t="s">
        <v>100</v>
      </c>
      <c r="B856" s="10" t="s">
        <v>100</v>
      </c>
      <c r="C856" s="3" t="s">
        <v>100</v>
      </c>
      <c r="D856" s="3"/>
      <c r="E856" s="11" t="s">
        <v>1378</v>
      </c>
      <c r="F856" s="12">
        <v>6630.4</v>
      </c>
      <c r="G856" s="12">
        <v>6763</v>
      </c>
      <c r="H856" s="12">
        <v>6898.27</v>
      </c>
      <c r="I856" s="3" t="s">
        <v>1379</v>
      </c>
      <c r="J856" s="3" t="s">
        <v>99</v>
      </c>
      <c r="K856" s="3">
        <v>100</v>
      </c>
      <c r="L856" s="3">
        <v>100</v>
      </c>
      <c r="M856" s="3">
        <v>100</v>
      </c>
      <c r="N856" s="1"/>
      <c r="AA856" s="72" t="s">
        <v>34</v>
      </c>
      <c r="AB856" s="75" t="s">
        <v>123</v>
      </c>
    </row>
    <row r="857" spans="1:28" x14ac:dyDescent="0.2">
      <c r="A857" s="210" t="s">
        <v>112</v>
      </c>
      <c r="B857" s="202"/>
      <c r="C857" s="202"/>
      <c r="D857" s="202"/>
      <c r="E857" s="203"/>
      <c r="F857" s="13">
        <v>6630.4</v>
      </c>
      <c r="G857" s="13">
        <v>6763</v>
      </c>
      <c r="H857" s="13">
        <v>6898.27</v>
      </c>
      <c r="I857" s="201"/>
      <c r="J857" s="202"/>
      <c r="K857" s="202"/>
      <c r="L857" s="202"/>
      <c r="M857" s="203"/>
      <c r="N857" s="1"/>
      <c r="AA857" s="74" t="s">
        <v>46</v>
      </c>
    </row>
    <row r="858" spans="1:28" ht="15" customHeight="1" x14ac:dyDescent="0.2">
      <c r="A858" s="4" t="s">
        <v>1380</v>
      </c>
      <c r="B858" s="212" t="s">
        <v>1381</v>
      </c>
      <c r="C858" s="202"/>
      <c r="D858" s="202"/>
      <c r="E858" s="202"/>
      <c r="F858" s="202"/>
      <c r="G858" s="202"/>
      <c r="H858" s="202"/>
      <c r="I858" s="202"/>
      <c r="J858" s="202"/>
      <c r="K858" s="202"/>
      <c r="L858" s="202"/>
      <c r="M858" s="203"/>
      <c r="N858" s="1"/>
      <c r="AA858" s="70" t="s">
        <v>43</v>
      </c>
    </row>
    <row r="859" spans="1:28" x14ac:dyDescent="0.2">
      <c r="A859" s="5" t="s">
        <v>1380</v>
      </c>
      <c r="B859" s="5" t="s">
        <v>96</v>
      </c>
      <c r="C859" s="6"/>
      <c r="D859" s="6"/>
      <c r="E859" s="7" t="s">
        <v>97</v>
      </c>
      <c r="F859" s="8">
        <v>208952.6</v>
      </c>
      <c r="G859" s="8">
        <v>212277.1</v>
      </c>
      <c r="H859" s="8">
        <v>215764.3</v>
      </c>
      <c r="I859" s="18" t="s">
        <v>304</v>
      </c>
      <c r="J859" s="18" t="s">
        <v>99</v>
      </c>
      <c r="K859" s="18">
        <v>95</v>
      </c>
      <c r="L859" s="18">
        <v>95</v>
      </c>
      <c r="M859" s="18">
        <v>95</v>
      </c>
      <c r="N859" s="1"/>
      <c r="AA859" s="71" t="s">
        <v>40</v>
      </c>
    </row>
    <row r="860" spans="1:28" ht="24" customHeight="1" x14ac:dyDescent="0.2">
      <c r="A860" s="10" t="s">
        <v>100</v>
      </c>
      <c r="B860" s="10" t="s">
        <v>100</v>
      </c>
      <c r="C860" s="3" t="s">
        <v>100</v>
      </c>
      <c r="D860" s="3"/>
      <c r="E860" s="11" t="s">
        <v>101</v>
      </c>
      <c r="F860" s="12">
        <v>208952.6</v>
      </c>
      <c r="G860" s="12">
        <v>212277.1</v>
      </c>
      <c r="H860" s="12">
        <v>215764.3</v>
      </c>
      <c r="I860" s="3" t="s">
        <v>304</v>
      </c>
      <c r="J860" s="3" t="s">
        <v>99</v>
      </c>
      <c r="K860" s="3">
        <v>95</v>
      </c>
      <c r="L860" s="3">
        <v>95</v>
      </c>
      <c r="M860" s="3">
        <v>95</v>
      </c>
      <c r="N860" s="1"/>
      <c r="AA860" s="72" t="s">
        <v>34</v>
      </c>
    </row>
    <row r="861" spans="1:28" x14ac:dyDescent="0.2">
      <c r="A861" s="5" t="s">
        <v>1380</v>
      </c>
      <c r="B861" s="5" t="s">
        <v>1382</v>
      </c>
      <c r="C861" s="6"/>
      <c r="D861" s="6"/>
      <c r="E861" s="7" t="s">
        <v>1383</v>
      </c>
      <c r="F861" s="8">
        <v>1244130.3999999999</v>
      </c>
      <c r="G861" s="8">
        <v>798566.5</v>
      </c>
      <c r="H861" s="8">
        <v>813240.5</v>
      </c>
      <c r="I861" s="18" t="s">
        <v>1384</v>
      </c>
      <c r="J861" s="18" t="s">
        <v>1385</v>
      </c>
      <c r="K861" s="18">
        <v>114610</v>
      </c>
      <c r="L861" s="18">
        <v>114610</v>
      </c>
      <c r="M861" s="18">
        <v>114924</v>
      </c>
      <c r="N861" s="1"/>
      <c r="AA861" s="71" t="s">
        <v>40</v>
      </c>
    </row>
    <row r="862" spans="1:28" x14ac:dyDescent="0.2">
      <c r="A862" s="10" t="s">
        <v>100</v>
      </c>
      <c r="B862" s="10" t="s">
        <v>100</v>
      </c>
      <c r="C862" s="3" t="s">
        <v>100</v>
      </c>
      <c r="D862" s="3"/>
      <c r="E862" s="11" t="s">
        <v>1386</v>
      </c>
      <c r="F862" s="12">
        <v>1150434.6000000001</v>
      </c>
      <c r="G862" s="12">
        <v>704870.7</v>
      </c>
      <c r="H862" s="12">
        <v>719544.7</v>
      </c>
      <c r="I862" s="3" t="s">
        <v>1384</v>
      </c>
      <c r="J862" s="3" t="s">
        <v>1385</v>
      </c>
      <c r="K862" s="3">
        <v>114610</v>
      </c>
      <c r="L862" s="3">
        <v>114610</v>
      </c>
      <c r="M862" s="3">
        <v>114924</v>
      </c>
      <c r="N862" s="1"/>
      <c r="AA862" s="72" t="s">
        <v>34</v>
      </c>
    </row>
    <row r="863" spans="1:28" x14ac:dyDescent="0.2">
      <c r="A863" s="10" t="s">
        <v>120</v>
      </c>
      <c r="B863" s="10" t="s">
        <v>120</v>
      </c>
      <c r="C863" s="3" t="s">
        <v>120</v>
      </c>
      <c r="D863" s="3"/>
      <c r="E863" s="11" t="s">
        <v>1387</v>
      </c>
      <c r="F863" s="12">
        <v>93695.8</v>
      </c>
      <c r="G863" s="12">
        <v>93695.8</v>
      </c>
      <c r="H863" s="12">
        <v>93695.8</v>
      </c>
      <c r="I863" s="3" t="s">
        <v>1388</v>
      </c>
      <c r="J863" s="3" t="s">
        <v>99</v>
      </c>
      <c r="K863" s="3">
        <v>100</v>
      </c>
      <c r="L863" s="3">
        <v>100</v>
      </c>
      <c r="M863" s="3">
        <v>100</v>
      </c>
      <c r="N863" s="1"/>
      <c r="AA863" s="72" t="s">
        <v>34</v>
      </c>
    </row>
    <row r="864" spans="1:28" ht="24" customHeight="1" x14ac:dyDescent="0.2">
      <c r="A864" s="5" t="s">
        <v>1380</v>
      </c>
      <c r="B864" s="5" t="s">
        <v>1389</v>
      </c>
      <c r="C864" s="6"/>
      <c r="D864" s="6"/>
      <c r="E864" s="7" t="s">
        <v>1390</v>
      </c>
      <c r="F864" s="8">
        <v>140250.4</v>
      </c>
      <c r="G864" s="8">
        <v>53760.3</v>
      </c>
      <c r="H864" s="8">
        <v>55055</v>
      </c>
      <c r="I864" s="9" t="s">
        <v>1391</v>
      </c>
      <c r="J864" s="9" t="s">
        <v>99</v>
      </c>
      <c r="K864" s="9">
        <v>100</v>
      </c>
      <c r="L864" s="9">
        <v>100</v>
      </c>
      <c r="M864" s="9">
        <v>100</v>
      </c>
      <c r="N864" s="1"/>
      <c r="AA864" s="71" t="s">
        <v>40</v>
      </c>
      <c r="AB864" s="75" t="s">
        <v>149</v>
      </c>
    </row>
    <row r="865" spans="1:27" x14ac:dyDescent="0.2">
      <c r="A865" s="10" t="s">
        <v>100</v>
      </c>
      <c r="B865" s="10" t="s">
        <v>100</v>
      </c>
      <c r="C865" s="3" t="s">
        <v>100</v>
      </c>
      <c r="D865" s="3"/>
      <c r="E865" s="11" t="s">
        <v>1392</v>
      </c>
      <c r="F865" s="12">
        <v>36532.800000000003</v>
      </c>
      <c r="G865" s="12">
        <v>36574.699999999997</v>
      </c>
      <c r="H865" s="12">
        <v>37467.300000000003</v>
      </c>
      <c r="I865" s="3" t="s">
        <v>1393</v>
      </c>
      <c r="J865" s="3" t="s">
        <v>99</v>
      </c>
      <c r="K865" s="3">
        <v>90</v>
      </c>
      <c r="L865" s="3">
        <v>90</v>
      </c>
      <c r="M865" s="3">
        <v>90</v>
      </c>
      <c r="N865" s="1"/>
      <c r="AA865" s="72" t="s">
        <v>34</v>
      </c>
    </row>
    <row r="866" spans="1:27" ht="28.5" customHeight="1" x14ac:dyDescent="0.2">
      <c r="A866" s="10" t="s">
        <v>120</v>
      </c>
      <c r="B866" s="10" t="s">
        <v>120</v>
      </c>
      <c r="C866" s="3" t="s">
        <v>120</v>
      </c>
      <c r="D866" s="3"/>
      <c r="E866" s="11" t="s">
        <v>1394</v>
      </c>
      <c r="F866" s="12">
        <v>103717.6</v>
      </c>
      <c r="G866" s="12">
        <v>17185.599999999999</v>
      </c>
      <c r="H866" s="12">
        <v>17587.7</v>
      </c>
      <c r="I866" s="3" t="s">
        <v>1395</v>
      </c>
      <c r="J866" s="3" t="s">
        <v>99</v>
      </c>
      <c r="K866" s="3">
        <v>95</v>
      </c>
      <c r="L866" s="3">
        <v>95</v>
      </c>
      <c r="M866" s="3">
        <v>95</v>
      </c>
      <c r="N866" s="1"/>
      <c r="AA866" s="72" t="s">
        <v>34</v>
      </c>
    </row>
    <row r="867" spans="1:27" ht="30" customHeight="1" x14ac:dyDescent="0.2">
      <c r="A867" s="5" t="s">
        <v>1380</v>
      </c>
      <c r="B867" s="5" t="s">
        <v>1396</v>
      </c>
      <c r="C867" s="6"/>
      <c r="D867" s="6"/>
      <c r="E867" s="7" t="s">
        <v>1397</v>
      </c>
      <c r="F867" s="8">
        <v>77139.69</v>
      </c>
      <c r="G867" s="8">
        <v>68343.199999999997</v>
      </c>
      <c r="H867" s="8">
        <v>69710</v>
      </c>
      <c r="I867" s="18" t="s">
        <v>1391</v>
      </c>
      <c r="J867" s="18" t="s">
        <v>99</v>
      </c>
      <c r="K867" s="18">
        <v>98</v>
      </c>
      <c r="L867" s="18">
        <v>100</v>
      </c>
      <c r="M867" s="18">
        <v>100</v>
      </c>
      <c r="N867" s="1"/>
      <c r="AA867" s="71" t="s">
        <v>40</v>
      </c>
    </row>
    <row r="868" spans="1:27" ht="30" customHeight="1" x14ac:dyDescent="0.2">
      <c r="A868" s="10" t="s">
        <v>100</v>
      </c>
      <c r="B868" s="10" t="s">
        <v>100</v>
      </c>
      <c r="C868" s="3" t="s">
        <v>100</v>
      </c>
      <c r="D868" s="3"/>
      <c r="E868" s="11" t="s">
        <v>1398</v>
      </c>
      <c r="F868" s="12">
        <v>77139.69</v>
      </c>
      <c r="G868" s="12">
        <v>68343.199999999997</v>
      </c>
      <c r="H868" s="12">
        <v>69710</v>
      </c>
      <c r="I868" s="3" t="s">
        <v>1399</v>
      </c>
      <c r="J868" s="3" t="s">
        <v>99</v>
      </c>
      <c r="K868" s="3">
        <v>98</v>
      </c>
      <c r="L868" s="3">
        <v>100</v>
      </c>
      <c r="M868" s="3">
        <v>100</v>
      </c>
      <c r="N868" s="1"/>
      <c r="AA868" s="72" t="s">
        <v>34</v>
      </c>
    </row>
    <row r="869" spans="1:27" x14ac:dyDescent="0.2">
      <c r="A869" s="210" t="s">
        <v>112</v>
      </c>
      <c r="B869" s="202"/>
      <c r="C869" s="202"/>
      <c r="D869" s="202"/>
      <c r="E869" s="203"/>
      <c r="F869" s="13">
        <v>1670473.09</v>
      </c>
      <c r="G869" s="13">
        <v>1132947.1000000001</v>
      </c>
      <c r="H869" s="13">
        <v>1153769.8</v>
      </c>
      <c r="I869" s="201"/>
      <c r="J869" s="202"/>
      <c r="K869" s="202"/>
      <c r="L869" s="202"/>
      <c r="M869" s="203"/>
      <c r="N869" s="1"/>
      <c r="AA869" s="74" t="s">
        <v>46</v>
      </c>
    </row>
    <row r="870" spans="1:27" ht="15" customHeight="1" x14ac:dyDescent="0.2">
      <c r="A870" s="4" t="s">
        <v>1400</v>
      </c>
      <c r="B870" s="212" t="s">
        <v>1401</v>
      </c>
      <c r="C870" s="202"/>
      <c r="D870" s="202"/>
      <c r="E870" s="202"/>
      <c r="F870" s="202"/>
      <c r="G870" s="202"/>
      <c r="H870" s="202"/>
      <c r="I870" s="202"/>
      <c r="J870" s="202"/>
      <c r="K870" s="202"/>
      <c r="L870" s="202"/>
      <c r="M870" s="203"/>
      <c r="N870" s="1"/>
      <c r="AA870" s="70" t="s">
        <v>43</v>
      </c>
    </row>
    <row r="871" spans="1:27" ht="31.5" customHeight="1" x14ac:dyDescent="0.2">
      <c r="A871" s="5" t="s">
        <v>1400</v>
      </c>
      <c r="B871" s="5" t="s">
        <v>96</v>
      </c>
      <c r="C871" s="6"/>
      <c r="D871" s="6"/>
      <c r="E871" s="7" t="s">
        <v>97</v>
      </c>
      <c r="F871" s="8">
        <v>70000</v>
      </c>
      <c r="G871" s="8">
        <v>70000</v>
      </c>
      <c r="H871" s="8">
        <v>70000</v>
      </c>
      <c r="I871" s="9" t="s">
        <v>1402</v>
      </c>
      <c r="J871" s="9" t="s">
        <v>99</v>
      </c>
      <c r="K871" s="9">
        <v>100</v>
      </c>
      <c r="L871" s="9">
        <v>100</v>
      </c>
      <c r="M871" s="9">
        <v>100</v>
      </c>
      <c r="N871" s="1"/>
      <c r="AA871" s="71" t="s">
        <v>40</v>
      </c>
    </row>
    <row r="872" spans="1:27" ht="29.25" customHeight="1" x14ac:dyDescent="0.2">
      <c r="A872" s="10" t="s">
        <v>100</v>
      </c>
      <c r="B872" s="10" t="s">
        <v>100</v>
      </c>
      <c r="C872" s="3" t="s">
        <v>100</v>
      </c>
      <c r="D872" s="3"/>
      <c r="E872" s="11" t="s">
        <v>101</v>
      </c>
      <c r="F872" s="12">
        <v>70000</v>
      </c>
      <c r="G872" s="12">
        <v>70000</v>
      </c>
      <c r="H872" s="12">
        <v>70000</v>
      </c>
      <c r="I872" s="17" t="s">
        <v>1403</v>
      </c>
      <c r="J872" s="17" t="s">
        <v>99</v>
      </c>
      <c r="K872" s="17">
        <v>100</v>
      </c>
      <c r="L872" s="17">
        <v>100</v>
      </c>
      <c r="M872" s="17">
        <v>100</v>
      </c>
      <c r="N872" s="1"/>
      <c r="AA872" s="72" t="s">
        <v>34</v>
      </c>
    </row>
    <row r="873" spans="1:27" x14ac:dyDescent="0.2">
      <c r="A873" s="210" t="s">
        <v>112</v>
      </c>
      <c r="B873" s="202"/>
      <c r="C873" s="202"/>
      <c r="D873" s="202"/>
      <c r="E873" s="203"/>
      <c r="F873" s="13">
        <v>70000</v>
      </c>
      <c r="G873" s="13">
        <v>70000</v>
      </c>
      <c r="H873" s="13">
        <v>70000</v>
      </c>
      <c r="I873" s="201"/>
      <c r="J873" s="202"/>
      <c r="K873" s="202"/>
      <c r="L873" s="202"/>
      <c r="M873" s="203"/>
      <c r="N873" s="1"/>
      <c r="AA873" s="74" t="s">
        <v>46</v>
      </c>
    </row>
    <row r="874" spans="1:27" ht="15" customHeight="1" x14ac:dyDescent="0.2">
      <c r="A874" s="4" t="s">
        <v>1404</v>
      </c>
      <c r="B874" s="212" t="s">
        <v>1405</v>
      </c>
      <c r="C874" s="202"/>
      <c r="D874" s="202"/>
      <c r="E874" s="202"/>
      <c r="F874" s="202"/>
      <c r="G874" s="202"/>
      <c r="H874" s="202"/>
      <c r="I874" s="202"/>
      <c r="J874" s="202"/>
      <c r="K874" s="202"/>
      <c r="L874" s="202"/>
      <c r="M874" s="203"/>
      <c r="N874" s="1"/>
      <c r="AA874" s="70" t="s">
        <v>43</v>
      </c>
    </row>
    <row r="875" spans="1:27" ht="21.75" customHeight="1" x14ac:dyDescent="0.2">
      <c r="A875" s="5" t="s">
        <v>1404</v>
      </c>
      <c r="B875" s="5" t="s">
        <v>96</v>
      </c>
      <c r="C875" s="6"/>
      <c r="D875" s="6"/>
      <c r="E875" s="7" t="s">
        <v>97</v>
      </c>
      <c r="F875" s="8">
        <v>39019.300000000003</v>
      </c>
      <c r="G875" s="8">
        <v>39019.300000000003</v>
      </c>
      <c r="H875" s="8">
        <v>39502.699999999997</v>
      </c>
      <c r="I875" s="16" t="s">
        <v>347</v>
      </c>
      <c r="J875" s="16" t="s">
        <v>99</v>
      </c>
      <c r="K875" s="16">
        <v>100</v>
      </c>
      <c r="L875" s="16">
        <v>100</v>
      </c>
      <c r="M875" s="16">
        <v>100</v>
      </c>
      <c r="N875" s="1"/>
      <c r="AA875" s="71" t="s">
        <v>40</v>
      </c>
    </row>
    <row r="876" spans="1:27" ht="30" customHeight="1" x14ac:dyDescent="0.2">
      <c r="A876" s="10" t="s">
        <v>100</v>
      </c>
      <c r="B876" s="10" t="s">
        <v>100</v>
      </c>
      <c r="C876" s="3" t="s">
        <v>100</v>
      </c>
      <c r="D876" s="3"/>
      <c r="E876" s="11" t="s">
        <v>101</v>
      </c>
      <c r="F876" s="12">
        <v>39019.300000000003</v>
      </c>
      <c r="G876" s="12">
        <v>39019.300000000003</v>
      </c>
      <c r="H876" s="12">
        <v>39502.699999999997</v>
      </c>
      <c r="I876" s="3" t="s">
        <v>1406</v>
      </c>
      <c r="J876" s="3" t="s">
        <v>105</v>
      </c>
      <c r="K876" s="3">
        <v>11000</v>
      </c>
      <c r="L876" s="3">
        <v>11000</v>
      </c>
      <c r="M876" s="3">
        <v>11000</v>
      </c>
      <c r="N876" s="1"/>
      <c r="AA876" s="72" t="s">
        <v>34</v>
      </c>
    </row>
    <row r="877" spans="1:27" x14ac:dyDescent="0.2">
      <c r="A877" s="210" t="s">
        <v>112</v>
      </c>
      <c r="B877" s="202"/>
      <c r="C877" s="202"/>
      <c r="D877" s="202"/>
      <c r="E877" s="203"/>
      <c r="F877" s="13">
        <v>39019.300000000003</v>
      </c>
      <c r="G877" s="13">
        <v>39019.300000000003</v>
      </c>
      <c r="H877" s="13">
        <v>39502.699999999997</v>
      </c>
      <c r="I877" s="201"/>
      <c r="J877" s="202"/>
      <c r="K877" s="202"/>
      <c r="L877" s="202"/>
      <c r="M877" s="203"/>
      <c r="N877" s="1"/>
      <c r="AA877" s="74" t="s">
        <v>46</v>
      </c>
    </row>
    <row r="878" spans="1:27" ht="15" customHeight="1" x14ac:dyDescent="0.2">
      <c r="A878" s="4" t="s">
        <v>1407</v>
      </c>
      <c r="B878" s="212" t="s">
        <v>1408</v>
      </c>
      <c r="C878" s="202"/>
      <c r="D878" s="202"/>
      <c r="E878" s="202"/>
      <c r="F878" s="202"/>
      <c r="G878" s="202"/>
      <c r="H878" s="202"/>
      <c r="I878" s="202"/>
      <c r="J878" s="202"/>
      <c r="K878" s="202"/>
      <c r="L878" s="202"/>
      <c r="M878" s="203"/>
      <c r="N878" s="1"/>
      <c r="AA878" s="70" t="s">
        <v>43</v>
      </c>
    </row>
    <row r="879" spans="1:27" ht="36" customHeight="1" x14ac:dyDescent="0.2">
      <c r="A879" s="5" t="s">
        <v>1407</v>
      </c>
      <c r="B879" s="5" t="s">
        <v>96</v>
      </c>
      <c r="C879" s="6"/>
      <c r="D879" s="6"/>
      <c r="E879" s="7" t="s">
        <v>97</v>
      </c>
      <c r="F879" s="8">
        <v>11260.6</v>
      </c>
      <c r="G879" s="8">
        <v>11445.6</v>
      </c>
      <c r="H879" s="8">
        <v>11650.6</v>
      </c>
      <c r="I879" s="18" t="s">
        <v>1409</v>
      </c>
      <c r="J879" s="18" t="s">
        <v>99</v>
      </c>
      <c r="K879" s="18">
        <v>100</v>
      </c>
      <c r="L879" s="18">
        <v>100</v>
      </c>
      <c r="M879" s="18">
        <v>100</v>
      </c>
      <c r="N879" s="1"/>
      <c r="AA879" s="71" t="s">
        <v>40</v>
      </c>
    </row>
    <row r="880" spans="1:27" ht="36" customHeight="1" x14ac:dyDescent="0.2">
      <c r="A880" s="10" t="s">
        <v>100</v>
      </c>
      <c r="B880" s="10" t="s">
        <v>100</v>
      </c>
      <c r="C880" s="3" t="s">
        <v>100</v>
      </c>
      <c r="D880" s="3"/>
      <c r="E880" s="11" t="s">
        <v>101</v>
      </c>
      <c r="F880" s="12">
        <v>11260.6</v>
      </c>
      <c r="G880" s="12">
        <v>11445.6</v>
      </c>
      <c r="H880" s="12">
        <v>11650.6</v>
      </c>
      <c r="I880" s="3" t="s">
        <v>1410</v>
      </c>
      <c r="J880" s="3" t="s">
        <v>99</v>
      </c>
      <c r="K880" s="3">
        <v>100</v>
      </c>
      <c r="L880" s="3">
        <v>100</v>
      </c>
      <c r="M880" s="3">
        <v>100</v>
      </c>
      <c r="N880" s="1"/>
      <c r="AA880" s="72" t="s">
        <v>34</v>
      </c>
    </row>
    <row r="881" spans="1:27" ht="24" customHeight="1" x14ac:dyDescent="0.2">
      <c r="A881" s="5" t="s">
        <v>1407</v>
      </c>
      <c r="B881" s="5" t="s">
        <v>1411</v>
      </c>
      <c r="C881" s="6"/>
      <c r="D881" s="6"/>
      <c r="E881" s="7" t="s">
        <v>1412</v>
      </c>
      <c r="F881" s="8">
        <v>31215.1</v>
      </c>
      <c r="G881" s="8">
        <v>31879.599999999999</v>
      </c>
      <c r="H881" s="8">
        <v>32541.1</v>
      </c>
      <c r="I881" s="18" t="s">
        <v>201</v>
      </c>
      <c r="J881" s="18" t="s">
        <v>99</v>
      </c>
      <c r="K881" s="46">
        <v>100</v>
      </c>
      <c r="L881" s="46">
        <v>100</v>
      </c>
      <c r="M881" s="46">
        <v>100</v>
      </c>
      <c r="N881" s="1"/>
      <c r="AA881" s="71" t="s">
        <v>40</v>
      </c>
    </row>
    <row r="882" spans="1:27" ht="48" customHeight="1" x14ac:dyDescent="0.2">
      <c r="A882" s="10" t="s">
        <v>100</v>
      </c>
      <c r="B882" s="10" t="s">
        <v>100</v>
      </c>
      <c r="C882" s="3" t="s">
        <v>100</v>
      </c>
      <c r="D882" s="3"/>
      <c r="E882" s="11" t="s">
        <v>1413</v>
      </c>
      <c r="F882" s="12">
        <v>31215.1</v>
      </c>
      <c r="G882" s="12">
        <v>31879.599999999999</v>
      </c>
      <c r="H882" s="12">
        <v>32541.1</v>
      </c>
      <c r="I882" s="3" t="s">
        <v>201</v>
      </c>
      <c r="J882" s="3" t="s">
        <v>99</v>
      </c>
      <c r="K882" s="14">
        <v>100</v>
      </c>
      <c r="L882" s="14">
        <v>100</v>
      </c>
      <c r="M882" s="14">
        <v>100</v>
      </c>
      <c r="N882" s="1"/>
      <c r="AA882" s="72" t="s">
        <v>34</v>
      </c>
    </row>
    <row r="883" spans="1:27" x14ac:dyDescent="0.2">
      <c r="A883" s="210" t="s">
        <v>112</v>
      </c>
      <c r="B883" s="202"/>
      <c r="C883" s="202"/>
      <c r="D883" s="202"/>
      <c r="E883" s="203"/>
      <c r="F883" s="13">
        <v>42475.7</v>
      </c>
      <c r="G883" s="13">
        <v>43325.2</v>
      </c>
      <c r="H883" s="13">
        <v>44191.7</v>
      </c>
      <c r="I883" s="201"/>
      <c r="J883" s="202"/>
      <c r="K883" s="202"/>
      <c r="L883" s="202"/>
      <c r="M883" s="203"/>
      <c r="N883" s="1"/>
      <c r="AA883" s="74" t="s">
        <v>46</v>
      </c>
    </row>
    <row r="884" spans="1:27" ht="15" customHeight="1" x14ac:dyDescent="0.2">
      <c r="F884" s="32">
        <f>SUM(F883,F877,F873,F869,F857,F853,F849,F844,F840,F821,F817,F805,F799,F785,F781,F753,F748,F741,F728,F722,F714,F710,F695,F687,F691,F683,F674,F667,F655,F646,F638,F630,F597,F577,F545,F545,F538,F486,F482,F473,F411,F343,F325,F309,F250,F246,F189,F160,F151,F142,F124,F120,F115,F94,F86,F75,F58,F34,F28,F21,F15)</f>
        <v>593152147.30000007</v>
      </c>
      <c r="M884" s="49"/>
      <c r="AA884" s="75" t="s">
        <v>51</v>
      </c>
    </row>
  </sheetData>
  <autoFilter ref="A5:M884" xr:uid="{00000000-0009-0000-0000-000001000000}">
    <filterColumn colId="5" showButton="0"/>
    <filterColumn colId="6" showButton="0"/>
    <filterColumn colId="11" showButton="0"/>
  </autoFilter>
  <mergeCells count="1004">
    <mergeCell ref="I869:M869"/>
    <mergeCell ref="A869:E869"/>
    <mergeCell ref="C541:C542"/>
    <mergeCell ref="E541:E542"/>
    <mergeCell ref="E461:E465"/>
    <mergeCell ref="B353:B356"/>
    <mergeCell ref="B334:B336"/>
    <mergeCell ref="H623:H624"/>
    <mergeCell ref="D334:D336"/>
    <mergeCell ref="B557:B559"/>
    <mergeCell ref="A429:A432"/>
    <mergeCell ref="B427:B428"/>
    <mergeCell ref="B668:M668"/>
    <mergeCell ref="A366:A367"/>
    <mergeCell ref="D427:D428"/>
    <mergeCell ref="G357:G358"/>
    <mergeCell ref="A468:A469"/>
    <mergeCell ref="D346:D349"/>
    <mergeCell ref="G515:G516"/>
    <mergeCell ref="A844:E844"/>
    <mergeCell ref="G508:G511"/>
    <mergeCell ref="B854:M854"/>
    <mergeCell ref="F498:F500"/>
    <mergeCell ref="A667:E667"/>
    <mergeCell ref="F824:F826"/>
    <mergeCell ref="D565:D570"/>
    <mergeCell ref="E375:E379"/>
    <mergeCell ref="B357:B358"/>
    <mergeCell ref="I753:M753"/>
    <mergeCell ref="I538:M538"/>
    <mergeCell ref="A753:E753"/>
    <mergeCell ref="A817:E817"/>
    <mergeCell ref="I853:M853"/>
    <mergeCell ref="C513:C514"/>
    <mergeCell ref="F720:F721"/>
    <mergeCell ref="A293:A296"/>
    <mergeCell ref="H720:H721"/>
    <mergeCell ref="E681:E682"/>
    <mergeCell ref="G439:G440"/>
    <mergeCell ref="C293:C296"/>
    <mergeCell ref="D364:D365"/>
    <mergeCell ref="E454:E455"/>
    <mergeCell ref="I840:M840"/>
    <mergeCell ref="G454:G455"/>
    <mergeCell ref="E108:E110"/>
    <mergeCell ref="G108:G110"/>
    <mergeCell ref="A427:A428"/>
    <mergeCell ref="C185:C186"/>
    <mergeCell ref="C427:C428"/>
    <mergeCell ref="E185:E186"/>
    <mergeCell ref="G764:G766"/>
    <mergeCell ref="H557:H559"/>
    <mergeCell ref="G400:G403"/>
    <mergeCell ref="G385:G386"/>
    <mergeCell ref="B382:B383"/>
    <mergeCell ref="G185:G186"/>
    <mergeCell ref="B541:B542"/>
    <mergeCell ref="G366:G367"/>
    <mergeCell ref="H361:H363"/>
    <mergeCell ref="D264:D268"/>
    <mergeCell ref="D369:D370"/>
    <mergeCell ref="F264:F268"/>
    <mergeCell ref="F369:F370"/>
    <mergeCell ref="B729:M729"/>
    <mergeCell ref="A573:A575"/>
    <mergeCell ref="D503:D506"/>
    <mergeCell ref="A679:A680"/>
    <mergeCell ref="C339:C341"/>
    <mergeCell ref="B100:B102"/>
    <mergeCell ref="B304:B305"/>
    <mergeCell ref="A449:A450"/>
    <mergeCell ref="B841:M841"/>
    <mergeCell ref="D498:D500"/>
    <mergeCell ref="B456:B457"/>
    <mergeCell ref="C424:C425"/>
    <mergeCell ref="A513:A514"/>
    <mergeCell ref="B9:B12"/>
    <mergeCell ref="B700:B702"/>
    <mergeCell ref="E565:E570"/>
    <mergeCell ref="A748:E748"/>
    <mergeCell ref="F400:F403"/>
    <mergeCell ref="I805:M805"/>
    <mergeCell ref="B76:M76"/>
    <mergeCell ref="C778:C779"/>
    <mergeCell ref="H441:H443"/>
    <mergeCell ref="B466:B467"/>
    <mergeCell ref="I142:M142"/>
    <mergeCell ref="G663:G664"/>
    <mergeCell ref="D466:D467"/>
    <mergeCell ref="B331:B332"/>
    <mergeCell ref="E299:E303"/>
    <mergeCell ref="E768:E772"/>
    <mergeCell ref="G299:G303"/>
    <mergeCell ref="G768:G772"/>
    <mergeCell ref="E665:E666"/>
    <mergeCell ref="G665:G666"/>
    <mergeCell ref="I638:M638"/>
    <mergeCell ref="B573:B575"/>
    <mergeCell ref="E503:E506"/>
    <mergeCell ref="D764:D766"/>
    <mergeCell ref="A392:A394"/>
    <mergeCell ref="A100:A102"/>
    <mergeCell ref="E427:E428"/>
    <mergeCell ref="A700:A702"/>
    <mergeCell ref="E253:E258"/>
    <mergeCell ref="G449:G450"/>
    <mergeCell ref="A325:E325"/>
    <mergeCell ref="I189:M189"/>
    <mergeCell ref="A790:A794"/>
    <mergeCell ref="H663:H664"/>
    <mergeCell ref="A331:A332"/>
    <mergeCell ref="C320:C321"/>
    <mergeCell ref="E320:E321"/>
    <mergeCell ref="H644:H645"/>
    <mergeCell ref="H331:H332"/>
    <mergeCell ref="F665:F666"/>
    <mergeCell ref="B681:B682"/>
    <mergeCell ref="C272:C283"/>
    <mergeCell ref="A272:A283"/>
    <mergeCell ref="D609:D610"/>
    <mergeCell ref="A350:A351"/>
    <mergeCell ref="B420:B423"/>
    <mergeCell ref="F609:F610"/>
    <mergeCell ref="I714:M714"/>
    <mergeCell ref="A382:A383"/>
    <mergeCell ref="F375:F379"/>
    <mergeCell ref="A420:A423"/>
    <mergeCell ref="H495:H496"/>
    <mergeCell ref="A609:A610"/>
    <mergeCell ref="B310:M310"/>
    <mergeCell ref="C565:C570"/>
    <mergeCell ref="A523:A524"/>
    <mergeCell ref="F768:F772"/>
    <mergeCell ref="B611:B612"/>
    <mergeCell ref="H768:H772"/>
    <mergeCell ref="D611:D612"/>
    <mergeCell ref="H619:H620"/>
    <mergeCell ref="D583:D587"/>
    <mergeCell ref="F583:F587"/>
    <mergeCell ref="D439:D440"/>
    <mergeCell ref="B29:M29"/>
    <mergeCell ref="A674:E674"/>
    <mergeCell ref="A625:A628"/>
    <mergeCell ref="C625:C628"/>
    <mergeCell ref="F454:F455"/>
    <mergeCell ref="I722:M722"/>
    <mergeCell ref="H400:H403"/>
    <mergeCell ref="C503:C506"/>
    <mergeCell ref="G272:G283"/>
    <mergeCell ref="E385:E386"/>
    <mergeCell ref="I328:I329"/>
    <mergeCell ref="H420:H423"/>
    <mergeCell ref="E366:E367"/>
    <mergeCell ref="G495:G496"/>
    <mergeCell ref="B369:B370"/>
    <mergeCell ref="B251:M251"/>
    <mergeCell ref="F24:F27"/>
    <mergeCell ref="H31:H32"/>
    <mergeCell ref="A486:E486"/>
    <mergeCell ref="H446:H448"/>
    <mergeCell ref="B87:M87"/>
    <mergeCell ref="F663:F664"/>
    <mergeCell ref="C498:C500"/>
    <mergeCell ref="A242:A244"/>
    <mergeCell ref="C242:C244"/>
    <mergeCell ref="B129:B132"/>
    <mergeCell ref="D129:D132"/>
    <mergeCell ref="B44:B45"/>
    <mergeCell ref="D100:D102"/>
    <mergeCell ref="F446:F448"/>
    <mergeCell ref="F439:F440"/>
    <mergeCell ref="F359:F360"/>
    <mergeCell ref="D375:D379"/>
    <mergeCell ref="D658:D660"/>
    <mergeCell ref="C129:C132"/>
    <mergeCell ref="B474:M474"/>
    <mergeCell ref="G523:G524"/>
    <mergeCell ref="I325:M325"/>
    <mergeCell ref="B720:B721"/>
    <mergeCell ref="D320:D321"/>
    <mergeCell ref="D720:D721"/>
    <mergeCell ref="A768:A772"/>
    <mergeCell ref="C768:C772"/>
    <mergeCell ref="G253:G258"/>
    <mergeCell ref="B121:M121"/>
    <mergeCell ref="M328:M329"/>
    <mergeCell ref="D541:D542"/>
    <mergeCell ref="A353:A356"/>
    <mergeCell ref="B339:B341"/>
    <mergeCell ref="B152:M152"/>
    <mergeCell ref="G633:G635"/>
    <mergeCell ref="D339:D341"/>
    <mergeCell ref="D420:D423"/>
    <mergeCell ref="C167:C171"/>
    <mergeCell ref="E167:E171"/>
    <mergeCell ref="A142:E142"/>
    <mergeCell ref="C573:C575"/>
    <mergeCell ref="D392:D394"/>
    <mergeCell ref="I748:M748"/>
    <mergeCell ref="E498:E500"/>
    <mergeCell ref="D573:D575"/>
    <mergeCell ref="G503:G506"/>
    <mergeCell ref="B684:M684"/>
    <mergeCell ref="H395:H398"/>
    <mergeCell ref="A339:A341"/>
    <mergeCell ref="C764:C766"/>
    <mergeCell ref="H449:H450"/>
    <mergeCell ref="E417:E419"/>
    <mergeCell ref="G417:G419"/>
    <mergeCell ref="A28:E28"/>
    <mergeCell ref="B320:B321"/>
    <mergeCell ref="A799:E799"/>
    <mergeCell ref="D385:D386"/>
    <mergeCell ref="H734:H735"/>
    <mergeCell ref="E269:E270"/>
    <mergeCell ref="H44:H45"/>
    <mergeCell ref="E824:E826"/>
    <mergeCell ref="B167:B171"/>
    <mergeCell ref="G824:G826"/>
    <mergeCell ref="B619:B620"/>
    <mergeCell ref="D681:D682"/>
    <mergeCell ref="E111:E113"/>
    <mergeCell ref="B293:B296"/>
    <mergeCell ref="G111:G113"/>
    <mergeCell ref="F519:F522"/>
    <mergeCell ref="E778:E779"/>
    <mergeCell ref="D293:D296"/>
    <mergeCell ref="D454:D455"/>
    <mergeCell ref="A451:A452"/>
    <mergeCell ref="G353:G356"/>
    <mergeCell ref="A160:E160"/>
    <mergeCell ref="D108:D110"/>
    <mergeCell ref="B269:B270"/>
    <mergeCell ref="F108:F110"/>
    <mergeCell ref="A588:A589"/>
    <mergeCell ref="A466:A467"/>
    <mergeCell ref="B850:M850"/>
    <mergeCell ref="B95:M95"/>
    <mergeCell ref="B845:M845"/>
    <mergeCell ref="A849:E849"/>
    <mergeCell ref="D444:D445"/>
    <mergeCell ref="H513:H514"/>
    <mergeCell ref="G176:G177"/>
    <mergeCell ref="A619:A620"/>
    <mergeCell ref="C681:C682"/>
    <mergeCell ref="E446:E448"/>
    <mergeCell ref="C619:C620"/>
    <mergeCell ref="G468:G469"/>
    <mergeCell ref="B598:M598"/>
    <mergeCell ref="E439:E440"/>
    <mergeCell ref="B774:B775"/>
    <mergeCell ref="D774:D775"/>
    <mergeCell ref="A129:A132"/>
    <mergeCell ref="C359:C360"/>
    <mergeCell ref="A577:E577"/>
    <mergeCell ref="B800:M800"/>
    <mergeCell ref="H665:H666"/>
    <mergeCell ref="E359:E360"/>
    <mergeCell ref="C588:C589"/>
    <mergeCell ref="F366:F367"/>
    <mergeCell ref="D104:D106"/>
    <mergeCell ref="A560:A564"/>
    <mergeCell ref="H519:H522"/>
    <mergeCell ref="F468:F469"/>
    <mergeCell ref="C560:C564"/>
    <mergeCell ref="H493:H494"/>
    <mergeCell ref="H468:H469"/>
    <mergeCell ref="C420:C423"/>
    <mergeCell ref="B878:M878"/>
    <mergeCell ref="A346:A349"/>
    <mergeCell ref="D359:D360"/>
    <mergeCell ref="A741:E741"/>
    <mergeCell ref="H444:H445"/>
    <mergeCell ref="A728:E728"/>
    <mergeCell ref="F111:F113"/>
    <mergeCell ref="D778:D779"/>
    <mergeCell ref="H111:H113"/>
    <mergeCell ref="G519:G522"/>
    <mergeCell ref="H9:H12"/>
    <mergeCell ref="B116:M116"/>
    <mergeCell ref="H272:H283"/>
    <mergeCell ref="F592:F593"/>
    <mergeCell ref="H350:H351"/>
    <mergeCell ref="A805:E805"/>
    <mergeCell ref="A456:A457"/>
    <mergeCell ref="D417:D419"/>
    <mergeCell ref="H353:H356"/>
    <mergeCell ref="B143:M143"/>
    <mergeCell ref="F392:F394"/>
    <mergeCell ref="F523:F524"/>
    <mergeCell ref="H392:H394"/>
    <mergeCell ref="H523:H524"/>
    <mergeCell ref="C375:C379"/>
    <mergeCell ref="H78:H82"/>
    <mergeCell ref="F31:F32"/>
    <mergeCell ref="B242:B244"/>
    <mergeCell ref="I687:M687"/>
    <mergeCell ref="C762:C763"/>
    <mergeCell ref="B736:B738"/>
    <mergeCell ref="C385:C386"/>
    <mergeCell ref="A883:E883"/>
    <mergeCell ref="D508:D511"/>
    <mergeCell ref="H24:H27"/>
    <mergeCell ref="F762:F763"/>
    <mergeCell ref="A304:A305"/>
    <mergeCell ref="C304:C305"/>
    <mergeCell ref="C369:C370"/>
    <mergeCell ref="A691:E691"/>
    <mergeCell ref="C604:C605"/>
    <mergeCell ref="E604:E605"/>
    <mergeCell ref="E400:E403"/>
    <mergeCell ref="C364:C365"/>
    <mergeCell ref="B696:M696"/>
    <mergeCell ref="G451:G452"/>
    <mergeCell ref="E364:E365"/>
    <mergeCell ref="B588:B589"/>
    <mergeCell ref="D269:D270"/>
    <mergeCell ref="B560:B564"/>
    <mergeCell ref="G493:G494"/>
    <mergeCell ref="A246:E246"/>
    <mergeCell ref="D560:D564"/>
    <mergeCell ref="A75:E75"/>
    <mergeCell ref="A493:A494"/>
    <mergeCell ref="B361:B363"/>
    <mergeCell ref="D361:D363"/>
    <mergeCell ref="G24:G27"/>
    <mergeCell ref="E762:E763"/>
    <mergeCell ref="A167:A171"/>
    <mergeCell ref="F417:F419"/>
    <mergeCell ref="H369:H370"/>
    <mergeCell ref="B264:B268"/>
    <mergeCell ref="B806:M806"/>
    <mergeCell ref="A877:E877"/>
    <mergeCell ref="I741:M741"/>
    <mergeCell ref="D623:D624"/>
    <mergeCell ref="I597:M597"/>
    <mergeCell ref="C461:C465"/>
    <mergeCell ref="F623:F624"/>
    <mergeCell ref="I728:M728"/>
    <mergeCell ref="A597:E597"/>
    <mergeCell ref="C429:C432"/>
    <mergeCell ref="H387:H388"/>
    <mergeCell ref="A658:A660"/>
    <mergeCell ref="E429:E432"/>
    <mergeCell ref="F346:F349"/>
    <mergeCell ref="B59:M59"/>
    <mergeCell ref="B190:M190"/>
    <mergeCell ref="D700:D702"/>
    <mergeCell ref="I94:M94"/>
    <mergeCell ref="B782:M782"/>
    <mergeCell ref="E387:E388"/>
    <mergeCell ref="B461:B465"/>
    <mergeCell ref="B625:B628"/>
    <mergeCell ref="E734:E735"/>
    <mergeCell ref="H242:H244"/>
    <mergeCell ref="I630:M630"/>
    <mergeCell ref="A722:E722"/>
    <mergeCell ref="H679:H680"/>
    <mergeCell ref="I309:M309"/>
    <mergeCell ref="I545:M545"/>
    <mergeCell ref="D176:D177"/>
    <mergeCell ref="B185:B186"/>
    <mergeCell ref="F176:F177"/>
    <mergeCell ref="C449:C450"/>
    <mergeCell ref="I683:M683"/>
    <mergeCell ref="I343:M343"/>
    <mergeCell ref="G734:G735"/>
    <mergeCell ref="B583:B587"/>
    <mergeCell ref="E395:E398"/>
    <mergeCell ref="F320:F321"/>
    <mergeCell ref="G331:G332"/>
    <mergeCell ref="G293:G296"/>
    <mergeCell ref="B468:B469"/>
    <mergeCell ref="A269:A270"/>
    <mergeCell ref="G269:G270"/>
    <mergeCell ref="B272:B283"/>
    <mergeCell ref="I1:M1"/>
    <mergeCell ref="A461:A465"/>
    <mergeCell ref="F286:F290"/>
    <mergeCell ref="H286:H290"/>
    <mergeCell ref="F387:F388"/>
    <mergeCell ref="A3:M3"/>
    <mergeCell ref="G31:G32"/>
    <mergeCell ref="L5:M5"/>
    <mergeCell ref="G44:G45"/>
    <mergeCell ref="B7:M7"/>
    <mergeCell ref="G9:G12"/>
    <mergeCell ref="I5:I6"/>
    <mergeCell ref="D299:D303"/>
    <mergeCell ref="C658:C660"/>
    <mergeCell ref="F299:F303"/>
    <mergeCell ref="A5:A6"/>
    <mergeCell ref="F78:F82"/>
    <mergeCell ref="F633:F635"/>
    <mergeCell ref="H366:H367"/>
    <mergeCell ref="B493:B494"/>
    <mergeCell ref="D429:D432"/>
    <mergeCell ref="B658:B660"/>
    <mergeCell ref="G679:G680"/>
    <mergeCell ref="B385:B386"/>
    <mergeCell ref="A681:A682"/>
    <mergeCell ref="B778:B779"/>
    <mergeCell ref="D468:D469"/>
    <mergeCell ref="H364:H365"/>
    <mergeCell ref="B451:B452"/>
    <mergeCell ref="D451:D452"/>
    <mergeCell ref="A515:A516"/>
    <mergeCell ref="A762:A763"/>
    <mergeCell ref="G778:G779"/>
    <mergeCell ref="B539:M539"/>
    <mergeCell ref="D366:D367"/>
    <mergeCell ref="D253:D258"/>
    <mergeCell ref="B487:M487"/>
    <mergeCell ref="A495:A496"/>
    <mergeCell ref="F253:F258"/>
    <mergeCell ref="H253:H258"/>
    <mergeCell ref="D461:D465"/>
    <mergeCell ref="D762:D763"/>
    <mergeCell ref="E623:E624"/>
    <mergeCell ref="I674:M674"/>
    <mergeCell ref="B429:B432"/>
    <mergeCell ref="G623:G624"/>
    <mergeCell ref="G387:G388"/>
    <mergeCell ref="F350:F351"/>
    <mergeCell ref="E508:E511"/>
    <mergeCell ref="B768:B772"/>
    <mergeCell ref="D304:D305"/>
    <mergeCell ref="D768:D772"/>
    <mergeCell ref="A15:E15"/>
    <mergeCell ref="D441:D443"/>
    <mergeCell ref="H466:H467"/>
    <mergeCell ref="F441:F443"/>
    <mergeCell ref="C269:C270"/>
    <mergeCell ref="A361:A363"/>
    <mergeCell ref="C361:C363"/>
    <mergeCell ref="A299:A303"/>
    <mergeCell ref="C299:C303"/>
    <mergeCell ref="A369:A370"/>
    <mergeCell ref="H264:H268"/>
    <mergeCell ref="B874:M874"/>
    <mergeCell ref="B656:M656"/>
    <mergeCell ref="F503:F506"/>
    <mergeCell ref="H503:H506"/>
    <mergeCell ref="A736:A738"/>
    <mergeCell ref="H371:H372"/>
    <mergeCell ref="C108:C110"/>
    <mergeCell ref="C176:C177"/>
    <mergeCell ref="D357:D358"/>
    <mergeCell ref="A185:A186"/>
    <mergeCell ref="C400:C403"/>
    <mergeCell ref="B515:B516"/>
    <mergeCell ref="E764:E766"/>
    <mergeCell ref="E176:E177"/>
    <mergeCell ref="D515:D516"/>
    <mergeCell ref="H346:H349"/>
    <mergeCell ref="B609:B610"/>
    <mergeCell ref="G441:G443"/>
    <mergeCell ref="A508:A511"/>
    <mergeCell ref="C508:C511"/>
    <mergeCell ref="H424:H425"/>
    <mergeCell ref="J5:J6"/>
    <mergeCell ref="G395:G398"/>
    <mergeCell ref="B446:B448"/>
    <mergeCell ref="B439:B440"/>
    <mergeCell ref="J328:J329"/>
    <mergeCell ref="B604:B605"/>
    <mergeCell ref="D446:D448"/>
    <mergeCell ref="L328:L329"/>
    <mergeCell ref="D604:D605"/>
    <mergeCell ref="B326:M326"/>
    <mergeCell ref="A646:E646"/>
    <mergeCell ref="I246:M246"/>
    <mergeCell ref="D644:D645"/>
    <mergeCell ref="G736:G738"/>
    <mergeCell ref="F364:F365"/>
    <mergeCell ref="G167:G171"/>
    <mergeCell ref="A710:E710"/>
    <mergeCell ref="A565:A570"/>
    <mergeCell ref="I15:M15"/>
    <mergeCell ref="B400:B403"/>
    <mergeCell ref="B16:M16"/>
    <mergeCell ref="I691:M691"/>
    <mergeCell ref="A21:E21"/>
    <mergeCell ref="F395:F398"/>
    <mergeCell ref="A446:A448"/>
    <mergeCell ref="A439:A440"/>
    <mergeCell ref="I34:M34"/>
    <mergeCell ref="A34:E34"/>
    <mergeCell ref="B78:B82"/>
    <mergeCell ref="B366:B367"/>
    <mergeCell ref="G557:G559"/>
    <mergeCell ref="A264:A268"/>
    <mergeCell ref="G264:G268"/>
    <mergeCell ref="C720:C721"/>
    <mergeCell ref="G513:G514"/>
    <mergeCell ref="E720:E721"/>
    <mergeCell ref="E78:E82"/>
    <mergeCell ref="G78:G82"/>
    <mergeCell ref="A364:A365"/>
    <mergeCell ref="B454:B455"/>
    <mergeCell ref="H609:H610"/>
    <mergeCell ref="E371:E372"/>
    <mergeCell ref="C353:C356"/>
    <mergeCell ref="E104:E106"/>
    <mergeCell ref="G371:G372"/>
    <mergeCell ref="E353:E356"/>
    <mergeCell ref="B108:B110"/>
    <mergeCell ref="G104:G106"/>
    <mergeCell ref="H375:H379"/>
    <mergeCell ref="C557:C559"/>
    <mergeCell ref="B578:M578"/>
    <mergeCell ref="D400:D403"/>
    <mergeCell ref="B375:B379"/>
    <mergeCell ref="H611:H612"/>
    <mergeCell ref="G346:G349"/>
    <mergeCell ref="B508:B511"/>
    <mergeCell ref="B253:B258"/>
    <mergeCell ref="D449:D450"/>
    <mergeCell ref="D513:D514"/>
    <mergeCell ref="D395:D398"/>
    <mergeCell ref="F451:F452"/>
    <mergeCell ref="C357:C358"/>
    <mergeCell ref="E357:E358"/>
    <mergeCell ref="H451:H452"/>
    <mergeCell ref="K328:K329"/>
    <mergeCell ref="A857:E857"/>
    <mergeCell ref="E468:E469"/>
    <mergeCell ref="I710:M710"/>
    <mergeCell ref="I577:M577"/>
    <mergeCell ref="E633:E635"/>
    <mergeCell ref="F371:F372"/>
    <mergeCell ref="A108:A110"/>
    <mergeCell ref="H736:H738"/>
    <mergeCell ref="H167:H171"/>
    <mergeCell ref="A400:A403"/>
    <mergeCell ref="B565:B570"/>
    <mergeCell ref="H108:H110"/>
    <mergeCell ref="C441:C443"/>
    <mergeCell ref="G392:G394"/>
    <mergeCell ref="G456:G457"/>
    <mergeCell ref="F424:F425"/>
    <mergeCell ref="F495:F496"/>
    <mergeCell ref="E286:E290"/>
    <mergeCell ref="G286:G290"/>
    <mergeCell ref="C633:C635"/>
    <mergeCell ref="B759:B761"/>
    <mergeCell ref="D759:D761"/>
    <mergeCell ref="F456:F457"/>
    <mergeCell ref="E334:E336"/>
    <mergeCell ref="G334:G336"/>
    <mergeCell ref="A359:A360"/>
    <mergeCell ref="G588:G589"/>
    <mergeCell ref="B503:B506"/>
    <mergeCell ref="E557:E559"/>
    <mergeCell ref="I849:M849"/>
    <mergeCell ref="F644:F645"/>
    <mergeCell ref="D495:D496"/>
    <mergeCell ref="F734:F735"/>
    <mergeCell ref="I646:M646"/>
    <mergeCell ref="B723:M723"/>
    <mergeCell ref="H334:H336"/>
    <mergeCell ref="B519:B522"/>
    <mergeCell ref="D519:D522"/>
    <mergeCell ref="H762:H763"/>
    <mergeCell ref="H429:H432"/>
    <mergeCell ref="F658:F660"/>
    <mergeCell ref="A395:A398"/>
    <mergeCell ref="H658:H660"/>
    <mergeCell ref="C395:C398"/>
    <mergeCell ref="A774:A775"/>
    <mergeCell ref="H357:H358"/>
    <mergeCell ref="I857:M857"/>
    <mergeCell ref="C439:C440"/>
    <mergeCell ref="H700:H702"/>
    <mergeCell ref="F764:F766"/>
    <mergeCell ref="B822:M822"/>
    <mergeCell ref="A778:A779"/>
    <mergeCell ref="B749:M749"/>
    <mergeCell ref="C515:C516"/>
    <mergeCell ref="E515:E516"/>
    <mergeCell ref="B711:M711"/>
    <mergeCell ref="F466:F467"/>
    <mergeCell ref="H588:H589"/>
    <mergeCell ref="F790:F794"/>
    <mergeCell ref="E592:E593"/>
    <mergeCell ref="H382:H383"/>
    <mergeCell ref="G350:G351"/>
    <mergeCell ref="G592:G593"/>
    <mergeCell ref="C31:C32"/>
    <mergeCell ref="E31:E32"/>
    <mergeCell ref="F625:F628"/>
    <mergeCell ref="C446:C448"/>
    <mergeCell ref="C623:C624"/>
    <mergeCell ref="C679:C680"/>
    <mergeCell ref="A454:A455"/>
    <mergeCell ref="C454:C455"/>
    <mergeCell ref="E679:E680"/>
    <mergeCell ref="H293:H296"/>
    <mergeCell ref="C331:C332"/>
    <mergeCell ref="E331:E332"/>
    <mergeCell ref="A665:A666"/>
    <mergeCell ref="C665:C666"/>
    <mergeCell ref="B444:B445"/>
    <mergeCell ref="B111:B113"/>
    <mergeCell ref="D111:D113"/>
    <mergeCell ref="C519:C522"/>
    <mergeCell ref="E441:E443"/>
    <mergeCell ref="B31:B32"/>
    <mergeCell ref="C44:C45"/>
    <mergeCell ref="E44:E45"/>
    <mergeCell ref="A444:A445"/>
    <mergeCell ref="C644:C645"/>
    <mergeCell ref="C444:C445"/>
    <mergeCell ref="A111:A113"/>
    <mergeCell ref="E644:E645"/>
    <mergeCell ref="C111:C113"/>
    <mergeCell ref="B299:B303"/>
    <mergeCell ref="H456:H457"/>
    <mergeCell ref="G424:G425"/>
    <mergeCell ref="F357:F358"/>
    <mergeCell ref="F104:F106"/>
    <mergeCell ref="B824:B826"/>
    <mergeCell ref="I883:M883"/>
    <mergeCell ref="E424:E425"/>
    <mergeCell ref="B392:B394"/>
    <mergeCell ref="A58:E58"/>
    <mergeCell ref="D523:D524"/>
    <mergeCell ref="D78:D82"/>
    <mergeCell ref="A375:A379"/>
    <mergeCell ref="G611:G612"/>
    <mergeCell ref="B161:M161"/>
    <mergeCell ref="A785:E785"/>
    <mergeCell ref="G583:G587"/>
    <mergeCell ref="H573:H575"/>
    <mergeCell ref="F541:F542"/>
    <mergeCell ref="H541:H542"/>
    <mergeCell ref="D679:D680"/>
    <mergeCell ref="A385:A386"/>
    <mergeCell ref="F679:F680"/>
    <mergeCell ref="A124:E124"/>
    <mergeCell ref="B176:B177"/>
    <mergeCell ref="I115:M115"/>
    <mergeCell ref="B546:M546"/>
    <mergeCell ref="F513:F514"/>
    <mergeCell ref="D625:D628"/>
    <mergeCell ref="A873:E873"/>
    <mergeCell ref="I799:M799"/>
    <mergeCell ref="A824:A826"/>
    <mergeCell ref="C824:C826"/>
    <mergeCell ref="I817:M817"/>
    <mergeCell ref="E700:E702"/>
    <mergeCell ref="F557:F559"/>
    <mergeCell ref="C9:C12"/>
    <mergeCell ref="G700:G702"/>
    <mergeCell ref="E9:E12"/>
    <mergeCell ref="B762:B763"/>
    <mergeCell ref="H778:H779"/>
    <mergeCell ref="I75:M75"/>
    <mergeCell ref="G466:G467"/>
    <mergeCell ref="H299:H303"/>
    <mergeCell ref="I667:M667"/>
    <mergeCell ref="A86:E86"/>
    <mergeCell ref="G604:G605"/>
    <mergeCell ref="A151:E151"/>
    <mergeCell ref="E573:E575"/>
    <mergeCell ref="A604:A605"/>
    <mergeCell ref="G573:G575"/>
    <mergeCell ref="B754:M754"/>
    <mergeCell ref="E736:E738"/>
    <mergeCell ref="G541:G542"/>
    <mergeCell ref="E339:E341"/>
    <mergeCell ref="A411:E411"/>
    <mergeCell ref="E513:E514"/>
    <mergeCell ref="B387:B388"/>
    <mergeCell ref="E619:E620"/>
    <mergeCell ref="G681:G682"/>
    <mergeCell ref="A583:A587"/>
    <mergeCell ref="G619:G620"/>
    <mergeCell ref="B623:B624"/>
    <mergeCell ref="D387:D388"/>
    <mergeCell ref="E293:E296"/>
    <mergeCell ref="E519:E522"/>
    <mergeCell ref="D272:D283"/>
    <mergeCell ref="H185:H186"/>
    <mergeCell ref="I877:M877"/>
    <mergeCell ref="F334:F336"/>
    <mergeCell ref="D588:D589"/>
    <mergeCell ref="A78:A82"/>
    <mergeCell ref="F588:F589"/>
    <mergeCell ref="B359:B360"/>
    <mergeCell ref="D557:D559"/>
    <mergeCell ref="H269:H270"/>
    <mergeCell ref="B22:M22"/>
    <mergeCell ref="C366:C367"/>
    <mergeCell ref="D31:D32"/>
    <mergeCell ref="F427:F428"/>
    <mergeCell ref="C493:C494"/>
    <mergeCell ref="C468:C469"/>
    <mergeCell ref="H427:H428"/>
    <mergeCell ref="E493:E494"/>
    <mergeCell ref="B247:M247"/>
    <mergeCell ref="A104:A106"/>
    <mergeCell ref="F100:F102"/>
    <mergeCell ref="A24:A27"/>
    <mergeCell ref="C24:C27"/>
    <mergeCell ref="F304:F305"/>
    <mergeCell ref="E449:E450"/>
    <mergeCell ref="B417:B419"/>
    <mergeCell ref="E24:E27"/>
    <mergeCell ref="H498:H500"/>
    <mergeCell ref="C495:C496"/>
    <mergeCell ref="H320:H321"/>
    <mergeCell ref="E495:E496"/>
    <mergeCell ref="I655:M655"/>
    <mergeCell ref="G100:G102"/>
    <mergeCell ref="E100:E102"/>
    <mergeCell ref="I58:M58"/>
    <mergeCell ref="G427:G428"/>
    <mergeCell ref="G375:G379"/>
    <mergeCell ref="A592:A593"/>
    <mergeCell ref="D382:D383"/>
    <mergeCell ref="A630:E630"/>
    <mergeCell ref="C592:C593"/>
    <mergeCell ref="F382:F383"/>
    <mergeCell ref="B742:M742"/>
    <mergeCell ref="C350:C351"/>
    <mergeCell ref="E350:E351"/>
    <mergeCell ref="E272:E283"/>
    <mergeCell ref="F420:F423"/>
    <mergeCell ref="A417:A419"/>
    <mergeCell ref="F242:F244"/>
    <mergeCell ref="C417:C419"/>
    <mergeCell ref="D242:D244"/>
    <mergeCell ref="G498:G500"/>
    <mergeCell ref="C392:C394"/>
    <mergeCell ref="C523:C524"/>
    <mergeCell ref="C253:C258"/>
    <mergeCell ref="A115:E115"/>
    <mergeCell ref="A286:A290"/>
    <mergeCell ref="C286:C290"/>
    <mergeCell ref="H681:H682"/>
    <mergeCell ref="F619:F620"/>
    <mergeCell ref="B412:M412"/>
    <mergeCell ref="B639:M639"/>
    <mergeCell ref="F293:F296"/>
    <mergeCell ref="H461:H465"/>
    <mergeCell ref="B344:M344"/>
    <mergeCell ref="F429:F432"/>
    <mergeCell ref="B35:M35"/>
    <mergeCell ref="F611:F612"/>
    <mergeCell ref="D619:D620"/>
    <mergeCell ref="H439:H440"/>
    <mergeCell ref="A623:A624"/>
    <mergeCell ref="A541:A542"/>
    <mergeCell ref="G339:G341"/>
    <mergeCell ref="B631:M631"/>
    <mergeCell ref="A176:A177"/>
    <mergeCell ref="D44:D45"/>
    <mergeCell ref="F44:F45"/>
    <mergeCell ref="F5:H5"/>
    <mergeCell ref="H100:H102"/>
    <mergeCell ref="G565:G570"/>
    <mergeCell ref="I124:M124"/>
    <mergeCell ref="F700:F702"/>
    <mergeCell ref="B350:B351"/>
    <mergeCell ref="D350:D351"/>
    <mergeCell ref="I86:M86"/>
    <mergeCell ref="A94:E94"/>
    <mergeCell ref="I151:M151"/>
    <mergeCell ref="A343:E343"/>
    <mergeCell ref="H625:H628"/>
    <mergeCell ref="D331:D332"/>
    <mergeCell ref="C663:C664"/>
    <mergeCell ref="G129:G132"/>
    <mergeCell ref="B24:B27"/>
    <mergeCell ref="D24:D27"/>
    <mergeCell ref="G320:G321"/>
    <mergeCell ref="B125:M125"/>
    <mergeCell ref="A320:A321"/>
    <mergeCell ref="A253:A258"/>
    <mergeCell ref="B870:M870"/>
    <mergeCell ref="F573:F575"/>
    <mergeCell ref="A503:A506"/>
    <mergeCell ref="F339:F341"/>
    <mergeCell ref="B692:M692"/>
    <mergeCell ref="H339:H341"/>
    <mergeCell ref="B364:B365"/>
    <mergeCell ref="H764:H766"/>
    <mergeCell ref="H824:H826"/>
    <mergeCell ref="E523:E524"/>
    <mergeCell ref="B441:B443"/>
    <mergeCell ref="B786:M786"/>
    <mergeCell ref="I785:M785"/>
    <mergeCell ref="G461:G465"/>
    <mergeCell ref="G762:G763"/>
    <mergeCell ref="B483:M483"/>
    <mergeCell ref="A498:A500"/>
    <mergeCell ref="G429:G432"/>
    <mergeCell ref="E658:E660"/>
    <mergeCell ref="A387:A388"/>
    <mergeCell ref="F681:F682"/>
    <mergeCell ref="C387:C388"/>
    <mergeCell ref="F759:F761"/>
    <mergeCell ref="A853:E853"/>
    <mergeCell ref="F353:F356"/>
    <mergeCell ref="H565:H570"/>
    <mergeCell ref="I781:M781"/>
    <mergeCell ref="E382:E383"/>
    <mergeCell ref="G382:G383"/>
    <mergeCell ref="G609:G610"/>
    <mergeCell ref="B675:M675"/>
    <mergeCell ref="G420:G423"/>
    <mergeCell ref="A821:E821"/>
    <mergeCell ref="H790:H794"/>
    <mergeCell ref="E663:E664"/>
    <mergeCell ref="F331:F332"/>
    <mergeCell ref="A633:A635"/>
    <mergeCell ref="I411:M411"/>
    <mergeCell ref="F604:F605"/>
    <mergeCell ref="A687:E687"/>
    <mergeCell ref="H359:H360"/>
    <mergeCell ref="F272:F283"/>
    <mergeCell ref="D353:D356"/>
    <mergeCell ref="E625:E628"/>
    <mergeCell ref="E790:E794"/>
    <mergeCell ref="B663:B664"/>
    <mergeCell ref="D592:D593"/>
    <mergeCell ref="G790:G794"/>
    <mergeCell ref="D663:D664"/>
    <mergeCell ref="A655:E655"/>
    <mergeCell ref="D734:D735"/>
    <mergeCell ref="A611:A612"/>
    <mergeCell ref="E774:E775"/>
    <mergeCell ref="G774:G775"/>
    <mergeCell ref="F493:F494"/>
    <mergeCell ref="B633:B635"/>
    <mergeCell ref="D633:D635"/>
    <mergeCell ref="B688:M688"/>
    <mergeCell ref="A759:A761"/>
    <mergeCell ref="B498:B500"/>
    <mergeCell ref="A764:A766"/>
    <mergeCell ref="C759:C761"/>
    <mergeCell ref="B495:B496"/>
    <mergeCell ref="F449:F450"/>
    <mergeCell ref="I28:M28"/>
    <mergeCell ref="E264:E268"/>
    <mergeCell ref="A720:A721"/>
    <mergeCell ref="A120:E120"/>
    <mergeCell ref="B286:B290"/>
    <mergeCell ref="C78:C82"/>
    <mergeCell ref="I21:M21"/>
    <mergeCell ref="D286:D290"/>
    <mergeCell ref="F560:F564"/>
    <mergeCell ref="A695:E695"/>
    <mergeCell ref="A371:A372"/>
    <mergeCell ref="H560:H564"/>
    <mergeCell ref="C371:C372"/>
    <mergeCell ref="F774:F775"/>
    <mergeCell ref="I486:M486"/>
    <mergeCell ref="C104:C106"/>
    <mergeCell ref="H774:H775"/>
    <mergeCell ref="A357:A358"/>
    <mergeCell ref="A557:A559"/>
    <mergeCell ref="H304:H305"/>
    <mergeCell ref="B764:B766"/>
    <mergeCell ref="C346:C349"/>
    <mergeCell ref="H759:H761"/>
    <mergeCell ref="G625:G628"/>
    <mergeCell ref="H604:H605"/>
    <mergeCell ref="A644:A645"/>
    <mergeCell ref="B734:B735"/>
    <mergeCell ref="C700:C702"/>
    <mergeCell ref="F444:F445"/>
    <mergeCell ref="A189:E189"/>
    <mergeCell ref="A683:E683"/>
    <mergeCell ref="F461:F465"/>
    <mergeCell ref="I873:M873"/>
    <mergeCell ref="G658:G660"/>
    <mergeCell ref="C5:C6"/>
    <mergeCell ref="B513:B514"/>
    <mergeCell ref="B395:B398"/>
    <mergeCell ref="E5:E6"/>
    <mergeCell ref="G359:G360"/>
    <mergeCell ref="B665:B666"/>
    <mergeCell ref="E466:E467"/>
    <mergeCell ref="B858:M858"/>
    <mergeCell ref="D665:D666"/>
    <mergeCell ref="A840:E840"/>
    <mergeCell ref="I120:M120"/>
    <mergeCell ref="E560:E564"/>
    <mergeCell ref="H104:H106"/>
    <mergeCell ref="A250:E250"/>
    <mergeCell ref="G560:G564"/>
    <mergeCell ref="B371:B372"/>
    <mergeCell ref="D493:D494"/>
    <mergeCell ref="D371:D372"/>
    <mergeCell ref="E361:E363"/>
    <mergeCell ref="G361:G363"/>
    <mergeCell ref="D736:D738"/>
    <mergeCell ref="D167:D171"/>
    <mergeCell ref="A473:E473"/>
    <mergeCell ref="B818:M818"/>
    <mergeCell ref="B647:M647"/>
    <mergeCell ref="F167:F171"/>
    <mergeCell ref="A441:A443"/>
    <mergeCell ref="F129:F132"/>
    <mergeCell ref="H129:H132"/>
    <mergeCell ref="E392:E394"/>
    <mergeCell ref="D9:D12"/>
    <mergeCell ref="F9:F12"/>
    <mergeCell ref="H592:H593"/>
    <mergeCell ref="C456:C457"/>
    <mergeCell ref="B424:B425"/>
    <mergeCell ref="E456:E457"/>
    <mergeCell ref="C736:C738"/>
    <mergeCell ref="D424:D425"/>
    <mergeCell ref="H417:H419"/>
    <mergeCell ref="G759:G761"/>
    <mergeCell ref="G446:G448"/>
    <mergeCell ref="B679:B680"/>
    <mergeCell ref="A309:E309"/>
    <mergeCell ref="C334:C336"/>
    <mergeCell ref="A734:A735"/>
    <mergeCell ref="A545:E545"/>
    <mergeCell ref="C734:C735"/>
    <mergeCell ref="H454:H455"/>
    <mergeCell ref="D456:D457"/>
    <mergeCell ref="C451:C452"/>
    <mergeCell ref="E451:E452"/>
    <mergeCell ref="C466:C467"/>
    <mergeCell ref="E588:E589"/>
    <mergeCell ref="C382:C383"/>
    <mergeCell ref="B592:B593"/>
    <mergeCell ref="E420:E423"/>
    <mergeCell ref="E242:E244"/>
    <mergeCell ref="G242:G244"/>
    <mergeCell ref="B644:B645"/>
    <mergeCell ref="B523:B524"/>
    <mergeCell ref="F385:F386"/>
    <mergeCell ref="C264:C268"/>
    <mergeCell ref="H176:H177"/>
    <mergeCell ref="F185:F186"/>
    <mergeCell ref="C609:C610"/>
    <mergeCell ref="D824:D826"/>
    <mergeCell ref="E609:E610"/>
    <mergeCell ref="B104:B106"/>
    <mergeCell ref="F508:F511"/>
    <mergeCell ref="H508:H511"/>
    <mergeCell ref="A424:A425"/>
    <mergeCell ref="E304:E305"/>
    <mergeCell ref="G304:G305"/>
    <mergeCell ref="C611:C612"/>
    <mergeCell ref="E369:E370"/>
    <mergeCell ref="E611:E612"/>
    <mergeCell ref="G369:G370"/>
    <mergeCell ref="B346:B349"/>
    <mergeCell ref="A714:E714"/>
    <mergeCell ref="C583:C587"/>
    <mergeCell ref="E583:E587"/>
    <mergeCell ref="E346:E349"/>
    <mergeCell ref="C774:C775"/>
    <mergeCell ref="F515:F516"/>
    <mergeCell ref="H633:H635"/>
    <mergeCell ref="H515:H516"/>
    <mergeCell ref="E759:E761"/>
    <mergeCell ref="B715:M715"/>
    <mergeCell ref="B449:B450"/>
    <mergeCell ref="C790:C794"/>
    <mergeCell ref="A781:E781"/>
    <mergeCell ref="H385:H386"/>
    <mergeCell ref="A334:A336"/>
    <mergeCell ref="H583:H587"/>
    <mergeCell ref="I844:M844"/>
    <mergeCell ref="F361:F363"/>
    <mergeCell ref="B5:B6"/>
    <mergeCell ref="E444:E445"/>
    <mergeCell ref="A44:A45"/>
    <mergeCell ref="G644:G645"/>
    <mergeCell ref="G444:G445"/>
    <mergeCell ref="I250:M250"/>
    <mergeCell ref="D5:D6"/>
    <mergeCell ref="G364:G365"/>
    <mergeCell ref="I482:M482"/>
    <mergeCell ref="C100:C102"/>
    <mergeCell ref="A9:A12"/>
    <mergeCell ref="A482:E482"/>
    <mergeCell ref="A538:E538"/>
    <mergeCell ref="I473:M473"/>
    <mergeCell ref="F565:F570"/>
    <mergeCell ref="F269:F270"/>
    <mergeCell ref="F778:F779"/>
    <mergeCell ref="A31:A32"/>
    <mergeCell ref="I821:M821"/>
    <mergeCell ref="E129:E132"/>
    <mergeCell ref="B790:B794"/>
    <mergeCell ref="D790:D794"/>
    <mergeCell ref="G720:G721"/>
    <mergeCell ref="A663:A664"/>
    <mergeCell ref="A638:E638"/>
    <mergeCell ref="I160:M160"/>
    <mergeCell ref="F736:F738"/>
    <mergeCell ref="I695:M695"/>
    <mergeCell ref="D185:D186"/>
    <mergeCell ref="A519:A522"/>
  </mergeCells>
  <printOptions horizontalCentered="1"/>
  <pageMargins left="0.39370078740157483" right="0.39370078740157483" top="0.39370078740157483" bottom="0.39370078740157483" header="0.19685039370078741" footer="0.19685039370078741"/>
  <pageSetup paperSize="9" scale="63" fitToHeight="0" orientation="landscape"/>
  <headerFooter differentFirst="1">
    <oddFooter>&amp;R&amp;"Times New Roman,обычный"&amp;8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3AB7E-9DA8-B64E-A9D4-E6632B7117F6}">
  <sheetPr filterMode="1">
    <outlinePr summaryBelow="0"/>
    <pageSetUpPr fitToPage="1"/>
  </sheetPr>
  <dimension ref="A1:R887"/>
  <sheetViews>
    <sheetView topLeftCell="A5" zoomScale="163" zoomScaleNormal="100" zoomScaleSheetLayoutView="150" workbookViewId="0">
      <selection activeCell="B188" sqref="B188:F816"/>
    </sheetView>
  </sheetViews>
  <sheetFormatPr baseColWidth="10" defaultColWidth="14.5" defaultRowHeight="15" customHeight="1" x14ac:dyDescent="0.2"/>
  <cols>
    <col min="2" max="2" width="5.83203125" customWidth="1"/>
    <col min="3" max="3" width="5" style="85" customWidth="1"/>
    <col min="4" max="4" width="5" customWidth="1"/>
    <col min="5" max="5" width="5.6640625" customWidth="1"/>
    <col min="6" max="6" width="47.1640625" customWidth="1"/>
    <col min="7" max="9" width="15.5" customWidth="1"/>
    <col min="10" max="10" width="43.5" customWidth="1"/>
    <col min="11" max="11" width="9" customWidth="1"/>
    <col min="12" max="14" width="11.6640625" customWidth="1"/>
    <col min="15" max="15" width="2.1640625" customWidth="1"/>
    <col min="17" max="17" width="14" customWidth="1"/>
    <col min="18" max="18" width="50" customWidth="1"/>
  </cols>
  <sheetData>
    <row r="1" spans="1:18" ht="70.5" customHeight="1" x14ac:dyDescent="0.2">
      <c r="B1" s="1"/>
      <c r="C1" s="84"/>
      <c r="D1" s="1"/>
      <c r="E1" s="1"/>
      <c r="F1" s="1"/>
      <c r="G1" s="1"/>
      <c r="H1" s="1"/>
      <c r="I1" s="1"/>
      <c r="J1" s="220" t="s">
        <v>79</v>
      </c>
      <c r="K1" s="199"/>
      <c r="L1" s="199"/>
      <c r="M1" s="199"/>
      <c r="N1" s="199"/>
      <c r="O1" s="1"/>
    </row>
    <row r="2" spans="1:18" x14ac:dyDescent="0.2">
      <c r="B2" s="1"/>
      <c r="C2" s="84"/>
      <c r="D2" s="1"/>
      <c r="E2" s="1"/>
      <c r="F2" s="1"/>
      <c r="G2" s="1"/>
      <c r="H2" s="1"/>
      <c r="I2" s="1"/>
      <c r="J2" s="57"/>
      <c r="K2" s="57"/>
      <c r="L2" s="57"/>
      <c r="M2" s="57"/>
      <c r="N2" s="57"/>
      <c r="O2" s="1"/>
    </row>
    <row r="3" spans="1:18" ht="25.5" customHeight="1" x14ac:dyDescent="0.2">
      <c r="B3" s="221" t="s">
        <v>80</v>
      </c>
      <c r="C3" s="222"/>
      <c r="D3" s="199"/>
      <c r="E3" s="199"/>
      <c r="F3" s="199"/>
      <c r="G3" s="199"/>
      <c r="H3" s="199"/>
      <c r="I3" s="199"/>
      <c r="J3" s="199"/>
      <c r="K3" s="199"/>
      <c r="L3" s="199"/>
      <c r="M3" s="199"/>
      <c r="N3" s="199"/>
      <c r="O3" s="1"/>
    </row>
    <row r="4" spans="1:18" ht="12" customHeight="1" x14ac:dyDescent="0.2">
      <c r="B4" s="1"/>
      <c r="C4" s="84"/>
      <c r="D4" s="1"/>
      <c r="E4" s="1"/>
      <c r="F4" s="1"/>
      <c r="G4" s="1"/>
      <c r="H4" s="1"/>
      <c r="I4" s="1"/>
      <c r="J4" s="1"/>
      <c r="K4" s="2"/>
      <c r="L4" s="2"/>
      <c r="M4" s="2"/>
      <c r="N4" s="2"/>
      <c r="O4" s="1"/>
    </row>
    <row r="5" spans="1:18" ht="85" customHeight="1" x14ac:dyDescent="0.2">
      <c r="A5" s="193" t="s">
        <v>5883</v>
      </c>
      <c r="B5" s="207" t="s">
        <v>81</v>
      </c>
      <c r="C5" s="208" t="s">
        <v>82</v>
      </c>
      <c r="D5" s="207" t="s">
        <v>83</v>
      </c>
      <c r="E5" s="207" t="s">
        <v>84</v>
      </c>
      <c r="F5" s="207" t="s">
        <v>85</v>
      </c>
      <c r="G5" s="207" t="s">
        <v>86</v>
      </c>
      <c r="H5" s="202"/>
      <c r="I5" s="203"/>
      <c r="J5" s="207" t="s">
        <v>87</v>
      </c>
      <c r="K5" s="207" t="s">
        <v>88</v>
      </c>
      <c r="L5" s="3" t="s">
        <v>89</v>
      </c>
      <c r="M5" s="207" t="s">
        <v>90</v>
      </c>
      <c r="N5" s="203"/>
      <c r="O5" s="1"/>
      <c r="Q5" s="69" t="s">
        <v>31</v>
      </c>
      <c r="R5" s="69" t="s">
        <v>91</v>
      </c>
    </row>
    <row r="6" spans="1:18" ht="15" hidden="1" customHeight="1" x14ac:dyDescent="0.2">
      <c r="B6" s="206"/>
      <c r="C6" s="206"/>
      <c r="D6" s="206"/>
      <c r="E6" s="206"/>
      <c r="F6" s="206"/>
      <c r="G6" s="3" t="s">
        <v>8</v>
      </c>
      <c r="H6" s="3" t="s">
        <v>92</v>
      </c>
      <c r="I6" s="3" t="s">
        <v>93</v>
      </c>
      <c r="J6" s="206"/>
      <c r="K6" s="206"/>
      <c r="L6" s="3" t="s">
        <v>8</v>
      </c>
      <c r="M6" s="3" t="s">
        <v>92</v>
      </c>
      <c r="N6" s="3" t="s">
        <v>93</v>
      </c>
      <c r="O6" s="1"/>
    </row>
    <row r="7" spans="1:18" s="4" customFormat="1" ht="15" hidden="1" customHeight="1" x14ac:dyDescent="0.2">
      <c r="A7" s="4" t="str">
        <f>C7</f>
        <v>Жогорку Кенеш Кыргызской Республики</v>
      </c>
      <c r="B7" s="87" t="s">
        <v>94</v>
      </c>
      <c r="C7" s="88" t="s">
        <v>95</v>
      </c>
      <c r="D7" s="87"/>
      <c r="E7" s="87"/>
      <c r="F7" s="87"/>
      <c r="G7" s="89"/>
      <c r="H7" s="89"/>
      <c r="I7" s="89"/>
      <c r="J7" s="89"/>
      <c r="K7" s="89"/>
      <c r="L7" s="89"/>
      <c r="M7" s="89"/>
      <c r="N7" s="89"/>
      <c r="Q7" s="4" t="s">
        <v>43</v>
      </c>
    </row>
    <row r="8" spans="1:18" ht="36" hidden="1" customHeight="1" x14ac:dyDescent="0.2">
      <c r="B8" s="93" t="s">
        <v>94</v>
      </c>
      <c r="C8" s="93" t="s">
        <v>96</v>
      </c>
      <c r="D8" s="94"/>
      <c r="E8" s="94"/>
      <c r="F8" s="95" t="s">
        <v>97</v>
      </c>
      <c r="G8" s="96">
        <v>1047143.9</v>
      </c>
      <c r="H8" s="96">
        <v>1069070</v>
      </c>
      <c r="I8" s="96">
        <v>1091434.7</v>
      </c>
      <c r="J8" s="97" t="s">
        <v>98</v>
      </c>
      <c r="K8" s="97" t="s">
        <v>99</v>
      </c>
      <c r="L8" s="97">
        <v>25</v>
      </c>
      <c r="M8" s="97">
        <v>25</v>
      </c>
      <c r="N8" s="97">
        <v>25</v>
      </c>
      <c r="O8" s="1"/>
      <c r="Q8" s="71" t="s">
        <v>40</v>
      </c>
    </row>
    <row r="9" spans="1:18" ht="36" hidden="1" customHeight="1" x14ac:dyDescent="0.2">
      <c r="B9" s="181" t="s">
        <v>100</v>
      </c>
      <c r="C9" s="181" t="s">
        <v>100</v>
      </c>
      <c r="D9" s="181" t="s">
        <v>100</v>
      </c>
      <c r="E9" s="181"/>
      <c r="F9" s="181" t="s">
        <v>101</v>
      </c>
      <c r="G9" s="182">
        <v>1047143.9</v>
      </c>
      <c r="H9" s="182">
        <v>1069070</v>
      </c>
      <c r="I9" s="182">
        <v>1091434.7</v>
      </c>
      <c r="J9" s="3" t="s">
        <v>102</v>
      </c>
      <c r="K9" s="3" t="s">
        <v>103</v>
      </c>
      <c r="L9" s="3">
        <v>90</v>
      </c>
      <c r="M9" s="3">
        <v>90</v>
      </c>
      <c r="N9" s="3">
        <v>90</v>
      </c>
      <c r="O9" s="1"/>
      <c r="Q9" s="72" t="s">
        <v>34</v>
      </c>
    </row>
    <row r="10" spans="1:18" ht="24" hidden="1" customHeight="1" x14ac:dyDescent="0.2">
      <c r="B10" s="76"/>
      <c r="C10" s="76"/>
      <c r="D10" s="76"/>
      <c r="E10" s="76"/>
      <c r="F10" s="76"/>
      <c r="G10" s="76"/>
      <c r="H10" s="76"/>
      <c r="I10" s="76"/>
      <c r="J10" s="3" t="s">
        <v>104</v>
      </c>
      <c r="K10" s="3" t="s">
        <v>105</v>
      </c>
      <c r="L10" s="3">
        <v>2</v>
      </c>
      <c r="M10" s="3">
        <v>2</v>
      </c>
      <c r="N10" s="3">
        <v>2</v>
      </c>
      <c r="O10" s="1"/>
      <c r="Q10" s="73" t="s">
        <v>37</v>
      </c>
    </row>
    <row r="11" spans="1:18" ht="24" hidden="1" customHeight="1" x14ac:dyDescent="0.2">
      <c r="B11" s="76"/>
      <c r="C11" s="76"/>
      <c r="D11" s="76"/>
      <c r="E11" s="76"/>
      <c r="F11" s="76"/>
      <c r="G11" s="76"/>
      <c r="H11" s="76"/>
      <c r="I11" s="76"/>
      <c r="J11" s="3" t="s">
        <v>106</v>
      </c>
      <c r="K11" s="3" t="s">
        <v>105</v>
      </c>
      <c r="L11" s="3">
        <v>10</v>
      </c>
      <c r="M11" s="3">
        <v>10</v>
      </c>
      <c r="N11" s="3">
        <v>10</v>
      </c>
      <c r="O11" s="1"/>
      <c r="Q11" s="73" t="s">
        <v>37</v>
      </c>
    </row>
    <row r="12" spans="1:18" ht="24" hidden="1" customHeight="1" x14ac:dyDescent="0.2">
      <c r="B12" s="77"/>
      <c r="C12" s="77"/>
      <c r="D12" s="77"/>
      <c r="E12" s="77"/>
      <c r="F12" s="77"/>
      <c r="G12" s="77"/>
      <c r="H12" s="77"/>
      <c r="I12" s="77"/>
      <c r="J12" s="3" t="s">
        <v>107</v>
      </c>
      <c r="K12" s="3" t="s">
        <v>105</v>
      </c>
      <c r="L12" s="3">
        <v>5</v>
      </c>
      <c r="M12" s="3">
        <v>5</v>
      </c>
      <c r="N12" s="3">
        <v>5</v>
      </c>
      <c r="O12" s="1"/>
      <c r="Q12" s="73" t="s">
        <v>37</v>
      </c>
    </row>
    <row r="13" spans="1:18" ht="29.25" hidden="1" customHeight="1" x14ac:dyDescent="0.2">
      <c r="B13" s="93" t="s">
        <v>94</v>
      </c>
      <c r="C13" s="93" t="s">
        <v>108</v>
      </c>
      <c r="D13" s="94"/>
      <c r="E13" s="94"/>
      <c r="F13" s="95" t="s">
        <v>109</v>
      </c>
      <c r="G13" s="96">
        <v>80163</v>
      </c>
      <c r="H13" s="96">
        <v>80163</v>
      </c>
      <c r="I13" s="96">
        <v>80163</v>
      </c>
      <c r="J13" s="97" t="s">
        <v>110</v>
      </c>
      <c r="K13" s="97" t="s">
        <v>105</v>
      </c>
      <c r="L13" s="97">
        <v>400</v>
      </c>
      <c r="M13" s="97">
        <v>400</v>
      </c>
      <c r="N13" s="97">
        <v>400</v>
      </c>
      <c r="O13" s="1"/>
      <c r="Q13" s="71" t="s">
        <v>40</v>
      </c>
    </row>
    <row r="14" spans="1:18" ht="29.25" hidden="1" customHeight="1" x14ac:dyDescent="0.2">
      <c r="B14" s="183" t="s">
        <v>100</v>
      </c>
      <c r="C14" s="183" t="s">
        <v>100</v>
      </c>
      <c r="D14" s="183" t="s">
        <v>100</v>
      </c>
      <c r="E14" s="183"/>
      <c r="F14" s="184" t="s">
        <v>111</v>
      </c>
      <c r="G14" s="185">
        <v>80163</v>
      </c>
      <c r="H14" s="185">
        <v>80163</v>
      </c>
      <c r="I14" s="185">
        <v>80163</v>
      </c>
      <c r="J14" s="3" t="s">
        <v>110</v>
      </c>
      <c r="K14" s="3" t="s">
        <v>105</v>
      </c>
      <c r="L14" s="3">
        <v>400</v>
      </c>
      <c r="M14" s="3">
        <v>400</v>
      </c>
      <c r="N14" s="3">
        <v>400</v>
      </c>
      <c r="O14" s="1"/>
      <c r="Q14" s="72" t="s">
        <v>34</v>
      </c>
    </row>
    <row r="15" spans="1:18" ht="15" hidden="1" customHeight="1" x14ac:dyDescent="0.2">
      <c r="B15" s="174" t="s">
        <v>112</v>
      </c>
      <c r="C15" s="175"/>
      <c r="D15" s="176"/>
      <c r="E15" s="176"/>
      <c r="F15" s="177"/>
      <c r="G15" s="178">
        <v>1127306.8999999999</v>
      </c>
      <c r="H15" s="178">
        <v>1149233</v>
      </c>
      <c r="I15" s="178">
        <v>1171597.7</v>
      </c>
      <c r="J15" s="179"/>
      <c r="K15" s="176"/>
      <c r="L15" s="176"/>
      <c r="M15" s="176"/>
      <c r="N15" s="177"/>
      <c r="O15" s="1"/>
      <c r="Q15" s="74" t="s">
        <v>46</v>
      </c>
    </row>
    <row r="16" spans="1:18" ht="15" hidden="1" customHeight="1" x14ac:dyDescent="0.2">
      <c r="A16" s="4" t="str">
        <f>C16</f>
        <v>Администрация Президента Кыргызской Республики</v>
      </c>
      <c r="B16" s="87" t="s">
        <v>113</v>
      </c>
      <c r="C16" s="88" t="s">
        <v>114</v>
      </c>
      <c r="D16" s="90"/>
      <c r="E16" s="90"/>
      <c r="F16" s="90"/>
      <c r="G16" s="90"/>
      <c r="H16" s="90"/>
      <c r="I16" s="90"/>
      <c r="J16" s="90"/>
      <c r="K16" s="90"/>
      <c r="L16" s="90"/>
      <c r="M16" s="90"/>
      <c r="N16" s="91"/>
      <c r="O16" s="1"/>
      <c r="Q16" s="70" t="s">
        <v>43</v>
      </c>
    </row>
    <row r="17" spans="1:18" ht="24" hidden="1" customHeight="1" x14ac:dyDescent="0.2">
      <c r="B17" s="93" t="s">
        <v>113</v>
      </c>
      <c r="C17" s="93" t="s">
        <v>115</v>
      </c>
      <c r="D17" s="94"/>
      <c r="E17" s="94"/>
      <c r="F17" s="95" t="s">
        <v>116</v>
      </c>
      <c r="G17" s="96">
        <v>669719.19999999995</v>
      </c>
      <c r="H17" s="96">
        <v>683113.60000000009</v>
      </c>
      <c r="I17" s="96">
        <v>696775.9</v>
      </c>
      <c r="J17" s="97" t="s">
        <v>117</v>
      </c>
      <c r="K17" s="97" t="s">
        <v>99</v>
      </c>
      <c r="L17" s="97">
        <v>0.14000000000000001</v>
      </c>
      <c r="M17" s="97">
        <v>0.14000000000000001</v>
      </c>
      <c r="N17" s="97">
        <v>0.14000000000000001</v>
      </c>
      <c r="O17" s="1"/>
      <c r="Q17" s="71" t="s">
        <v>40</v>
      </c>
      <c r="R17" s="75" t="s">
        <v>118</v>
      </c>
    </row>
    <row r="18" spans="1:18" ht="36" hidden="1" customHeight="1" x14ac:dyDescent="0.2">
      <c r="B18" s="183" t="s">
        <v>100</v>
      </c>
      <c r="C18" s="183" t="s">
        <v>100</v>
      </c>
      <c r="D18" s="183" t="s">
        <v>100</v>
      </c>
      <c r="E18" s="183"/>
      <c r="F18" s="184" t="s">
        <v>119</v>
      </c>
      <c r="G18" s="185">
        <v>644791.19999999995</v>
      </c>
      <c r="H18" s="185">
        <v>657687</v>
      </c>
      <c r="I18" s="185">
        <v>670840.80000000005</v>
      </c>
      <c r="J18" s="3" t="s">
        <v>117</v>
      </c>
      <c r="K18" s="3" t="s">
        <v>99</v>
      </c>
      <c r="L18" s="3">
        <v>0.14000000000000001</v>
      </c>
      <c r="M18" s="3">
        <v>0.14000000000000001</v>
      </c>
      <c r="N18" s="3">
        <v>0.14000000000000001</v>
      </c>
      <c r="O18" s="1"/>
      <c r="Q18" s="72" t="s">
        <v>34</v>
      </c>
      <c r="R18" s="75" t="s">
        <v>118</v>
      </c>
    </row>
    <row r="19" spans="1:18" ht="48" hidden="1" customHeight="1" x14ac:dyDescent="0.2">
      <c r="B19" s="183"/>
      <c r="C19" s="183"/>
      <c r="D19" s="183" t="s">
        <v>120</v>
      </c>
      <c r="E19" s="183"/>
      <c r="F19" s="184" t="s">
        <v>121</v>
      </c>
      <c r="G19" s="185">
        <v>17340</v>
      </c>
      <c r="H19" s="185">
        <v>17686.8</v>
      </c>
      <c r="I19" s="185">
        <v>18040.5</v>
      </c>
      <c r="J19" s="14" t="s">
        <v>122</v>
      </c>
      <c r="K19" s="15" t="s">
        <v>99</v>
      </c>
      <c r="L19" s="14">
        <v>100</v>
      </c>
      <c r="M19" s="14">
        <v>100</v>
      </c>
      <c r="N19" s="14">
        <v>100</v>
      </c>
      <c r="O19" s="1"/>
      <c r="Q19" s="72" t="s">
        <v>34</v>
      </c>
      <c r="R19" s="75" t="s">
        <v>123</v>
      </c>
    </row>
    <row r="20" spans="1:18" ht="24" hidden="1" customHeight="1" x14ac:dyDescent="0.2">
      <c r="B20" s="183" t="s">
        <v>124</v>
      </c>
      <c r="C20" s="183" t="s">
        <v>124</v>
      </c>
      <c r="D20" s="183" t="s">
        <v>124</v>
      </c>
      <c r="E20" s="183"/>
      <c r="F20" s="184" t="s">
        <v>125</v>
      </c>
      <c r="G20" s="185">
        <v>7588</v>
      </c>
      <c r="H20" s="185">
        <v>7739.8</v>
      </c>
      <c r="I20" s="185">
        <v>7894.6</v>
      </c>
      <c r="J20" s="3" t="s">
        <v>126</v>
      </c>
      <c r="K20" s="3" t="s">
        <v>105</v>
      </c>
      <c r="L20" s="3">
        <v>32</v>
      </c>
      <c r="M20" s="3">
        <v>32</v>
      </c>
      <c r="N20" s="3">
        <v>32</v>
      </c>
      <c r="O20" s="1"/>
      <c r="Q20" s="72" t="s">
        <v>34</v>
      </c>
    </row>
    <row r="21" spans="1:18" ht="15" hidden="1" customHeight="1" x14ac:dyDescent="0.2">
      <c r="B21" s="174" t="s">
        <v>112</v>
      </c>
      <c r="C21" s="175"/>
      <c r="D21" s="176"/>
      <c r="E21" s="176"/>
      <c r="F21" s="177"/>
      <c r="G21" s="178">
        <v>669719.19999999995</v>
      </c>
      <c r="H21" s="178">
        <v>683113.60000000009</v>
      </c>
      <c r="I21" s="178">
        <v>696775.9</v>
      </c>
      <c r="J21" s="179"/>
      <c r="K21" s="176"/>
      <c r="L21" s="176"/>
      <c r="M21" s="176"/>
      <c r="N21" s="177"/>
      <c r="O21" s="1"/>
      <c r="Q21" s="74" t="s">
        <v>46</v>
      </c>
    </row>
    <row r="22" spans="1:18" ht="15" hidden="1" customHeight="1" x14ac:dyDescent="0.2">
      <c r="A22" s="4" t="str">
        <f>C22</f>
        <v>Архив Президента Кыргызской Республики</v>
      </c>
      <c r="B22" s="87" t="s">
        <v>127</v>
      </c>
      <c r="C22" s="88" t="s">
        <v>128</v>
      </c>
      <c r="D22" s="90"/>
      <c r="E22" s="90"/>
      <c r="F22" s="90"/>
      <c r="G22" s="90"/>
      <c r="H22" s="90"/>
      <c r="I22" s="90"/>
      <c r="J22" s="90"/>
      <c r="K22" s="90"/>
      <c r="L22" s="90"/>
      <c r="M22" s="90"/>
      <c r="N22" s="91"/>
      <c r="O22" s="1"/>
      <c r="Q22" s="70" t="s">
        <v>43</v>
      </c>
    </row>
    <row r="23" spans="1:18" ht="36" hidden="1" customHeight="1" x14ac:dyDescent="0.2">
      <c r="B23" s="93" t="s">
        <v>127</v>
      </c>
      <c r="C23" s="93" t="s">
        <v>96</v>
      </c>
      <c r="D23" s="94"/>
      <c r="E23" s="94"/>
      <c r="F23" s="95" t="s">
        <v>97</v>
      </c>
      <c r="G23" s="96">
        <v>18086.2</v>
      </c>
      <c r="H23" s="96">
        <v>18447.900000000001</v>
      </c>
      <c r="I23" s="96">
        <v>18816.900000000001</v>
      </c>
      <c r="J23" s="93" t="s">
        <v>129</v>
      </c>
      <c r="K23" s="93" t="s">
        <v>99</v>
      </c>
      <c r="L23" s="93">
        <v>40</v>
      </c>
      <c r="M23" s="93">
        <v>40</v>
      </c>
      <c r="N23" s="93">
        <v>40</v>
      </c>
      <c r="O23" s="1"/>
      <c r="Q23" s="71" t="s">
        <v>40</v>
      </c>
    </row>
    <row r="24" spans="1:18" ht="36" hidden="1" customHeight="1" x14ac:dyDescent="0.2">
      <c r="B24" s="181" t="s">
        <v>100</v>
      </c>
      <c r="C24" s="181" t="s">
        <v>100</v>
      </c>
      <c r="D24" s="181" t="s">
        <v>100</v>
      </c>
      <c r="E24" s="181"/>
      <c r="F24" s="181" t="s">
        <v>101</v>
      </c>
      <c r="G24" s="182">
        <v>18086.2</v>
      </c>
      <c r="H24" s="182">
        <v>18447.900000000001</v>
      </c>
      <c r="I24" s="182">
        <v>18816.900000000001</v>
      </c>
      <c r="J24" s="3" t="s">
        <v>130</v>
      </c>
      <c r="K24" s="3" t="s">
        <v>99</v>
      </c>
      <c r="L24" s="3">
        <v>40</v>
      </c>
      <c r="M24" s="3">
        <v>40</v>
      </c>
      <c r="N24" s="3">
        <v>40</v>
      </c>
      <c r="O24" s="1"/>
      <c r="Q24" s="72" t="s">
        <v>34</v>
      </c>
    </row>
    <row r="25" spans="1:18" ht="24" hidden="1" customHeight="1" x14ac:dyDescent="0.2">
      <c r="B25" s="76"/>
      <c r="C25" s="76"/>
      <c r="D25" s="76"/>
      <c r="E25" s="76"/>
      <c r="F25" s="76"/>
      <c r="G25" s="76"/>
      <c r="H25" s="76"/>
      <c r="I25" s="76"/>
      <c r="J25" s="3" t="s">
        <v>131</v>
      </c>
      <c r="K25" s="3" t="s">
        <v>99</v>
      </c>
      <c r="L25" s="3">
        <v>15</v>
      </c>
      <c r="M25" s="3">
        <v>15</v>
      </c>
      <c r="N25" s="3">
        <v>15</v>
      </c>
      <c r="O25" s="1"/>
      <c r="Q25" s="73" t="s">
        <v>37</v>
      </c>
    </row>
    <row r="26" spans="1:18" ht="24" hidden="1" customHeight="1" x14ac:dyDescent="0.2">
      <c r="B26" s="76"/>
      <c r="C26" s="76"/>
      <c r="D26" s="76"/>
      <c r="E26" s="76"/>
      <c r="F26" s="76"/>
      <c r="G26" s="76"/>
      <c r="H26" s="76"/>
      <c r="I26" s="76"/>
      <c r="J26" s="3" t="s">
        <v>132</v>
      </c>
      <c r="K26" s="3" t="s">
        <v>99</v>
      </c>
      <c r="L26" s="3">
        <v>40</v>
      </c>
      <c r="M26" s="3">
        <v>40</v>
      </c>
      <c r="N26" s="3">
        <v>40</v>
      </c>
      <c r="O26" s="1"/>
      <c r="Q26" s="73" t="s">
        <v>37</v>
      </c>
    </row>
    <row r="27" spans="1:18" ht="24" hidden="1" customHeight="1" x14ac:dyDescent="0.2">
      <c r="B27" s="77"/>
      <c r="C27" s="77"/>
      <c r="D27" s="77"/>
      <c r="E27" s="77"/>
      <c r="F27" s="77"/>
      <c r="G27" s="77"/>
      <c r="H27" s="77"/>
      <c r="I27" s="77"/>
      <c r="J27" s="3" t="s">
        <v>133</v>
      </c>
      <c r="K27" s="3" t="s">
        <v>99</v>
      </c>
      <c r="L27" s="3">
        <v>30</v>
      </c>
      <c r="M27" s="3">
        <v>30</v>
      </c>
      <c r="N27" s="3">
        <v>30</v>
      </c>
      <c r="O27" s="1"/>
      <c r="Q27" s="73" t="s">
        <v>37</v>
      </c>
    </row>
    <row r="28" spans="1:18" ht="15" hidden="1" customHeight="1" x14ac:dyDescent="0.2">
      <c r="B28" s="174" t="s">
        <v>112</v>
      </c>
      <c r="C28" s="175"/>
      <c r="D28" s="176"/>
      <c r="E28" s="176"/>
      <c r="F28" s="177"/>
      <c r="G28" s="178">
        <v>18086.2</v>
      </c>
      <c r="H28" s="178">
        <v>18447.900000000001</v>
      </c>
      <c r="I28" s="178">
        <v>18816.900000000001</v>
      </c>
      <c r="J28" s="179"/>
      <c r="K28" s="176"/>
      <c r="L28" s="176"/>
      <c r="M28" s="176"/>
      <c r="N28" s="177"/>
      <c r="O28" s="1"/>
      <c r="Q28" s="74" t="s">
        <v>46</v>
      </c>
    </row>
    <row r="29" spans="1:18" ht="15" hidden="1" customHeight="1" x14ac:dyDescent="0.2">
      <c r="A29" s="4" t="str">
        <f>C29</f>
        <v>Фонды Президента и Кабинета Министров Кыргызской Республики</v>
      </c>
      <c r="B29" s="87" t="s">
        <v>134</v>
      </c>
      <c r="C29" s="88" t="s">
        <v>135</v>
      </c>
      <c r="D29" s="90"/>
      <c r="E29" s="90"/>
      <c r="F29" s="90"/>
      <c r="G29" s="90"/>
      <c r="H29" s="90"/>
      <c r="I29" s="90"/>
      <c r="J29" s="90"/>
      <c r="K29" s="90"/>
      <c r="L29" s="90"/>
      <c r="M29" s="90"/>
      <c r="N29" s="91"/>
      <c r="O29" s="1"/>
      <c r="Q29" s="70" t="s">
        <v>43</v>
      </c>
    </row>
    <row r="30" spans="1:18" hidden="1" x14ac:dyDescent="0.2">
      <c r="B30" s="93" t="s">
        <v>134</v>
      </c>
      <c r="C30" s="93" t="s">
        <v>136</v>
      </c>
      <c r="D30" s="94"/>
      <c r="E30" s="94"/>
      <c r="F30" s="95" t="s">
        <v>137</v>
      </c>
      <c r="G30" s="96">
        <v>2030000</v>
      </c>
      <c r="H30" s="96">
        <v>2030000</v>
      </c>
      <c r="I30" s="96">
        <v>2030000</v>
      </c>
      <c r="J30" s="93" t="s">
        <v>138</v>
      </c>
      <c r="K30" s="93" t="s">
        <v>105</v>
      </c>
      <c r="L30" s="93">
        <v>112</v>
      </c>
      <c r="M30" s="93">
        <v>112</v>
      </c>
      <c r="N30" s="93">
        <v>112</v>
      </c>
      <c r="O30" s="1"/>
      <c r="Q30" s="71" t="s">
        <v>40</v>
      </c>
    </row>
    <row r="31" spans="1:18" ht="30" hidden="1" customHeight="1" x14ac:dyDescent="0.2">
      <c r="B31" s="181" t="s">
        <v>100</v>
      </c>
      <c r="C31" s="181" t="s">
        <v>100</v>
      </c>
      <c r="D31" s="181" t="s">
        <v>100</v>
      </c>
      <c r="E31" s="181"/>
      <c r="F31" s="181" t="s">
        <v>139</v>
      </c>
      <c r="G31" s="182">
        <v>2000000</v>
      </c>
      <c r="H31" s="182">
        <v>2000000</v>
      </c>
      <c r="I31" s="182">
        <v>2000000</v>
      </c>
      <c r="J31" s="3" t="s">
        <v>140</v>
      </c>
      <c r="K31" s="3" t="s">
        <v>105</v>
      </c>
      <c r="L31" s="3">
        <v>60</v>
      </c>
      <c r="M31" s="3">
        <v>60</v>
      </c>
      <c r="N31" s="3">
        <v>60</v>
      </c>
      <c r="O31" s="1"/>
      <c r="Q31" s="72" t="s">
        <v>34</v>
      </c>
    </row>
    <row r="32" spans="1:18" ht="33.75" hidden="1" customHeight="1" x14ac:dyDescent="0.2">
      <c r="B32" s="77"/>
      <c r="C32" s="77"/>
      <c r="D32" s="77"/>
      <c r="E32" s="77"/>
      <c r="F32" s="77"/>
      <c r="G32" s="77"/>
      <c r="H32" s="77"/>
      <c r="I32" s="77"/>
      <c r="J32" s="3" t="s">
        <v>140</v>
      </c>
      <c r="K32" s="3" t="s">
        <v>105</v>
      </c>
      <c r="L32" s="3">
        <v>60</v>
      </c>
      <c r="M32" s="3">
        <v>60</v>
      </c>
      <c r="N32" s="3">
        <v>60</v>
      </c>
      <c r="O32" s="1"/>
      <c r="Q32" s="73" t="s">
        <v>37</v>
      </c>
    </row>
    <row r="33" spans="1:18" ht="48" hidden="1" customHeight="1" x14ac:dyDescent="0.2">
      <c r="B33" s="183" t="s">
        <v>120</v>
      </c>
      <c r="C33" s="183" t="s">
        <v>120</v>
      </c>
      <c r="D33" s="183" t="s">
        <v>120</v>
      </c>
      <c r="E33" s="183"/>
      <c r="F33" s="184" t="s">
        <v>141</v>
      </c>
      <c r="G33" s="185">
        <v>30000</v>
      </c>
      <c r="H33" s="185">
        <v>30000</v>
      </c>
      <c r="I33" s="185">
        <v>30000</v>
      </c>
      <c r="J33" s="3" t="s">
        <v>140</v>
      </c>
      <c r="K33" s="3" t="s">
        <v>105</v>
      </c>
      <c r="L33" s="3">
        <v>52</v>
      </c>
      <c r="M33" s="3">
        <v>52</v>
      </c>
      <c r="N33" s="3">
        <v>52</v>
      </c>
      <c r="O33" s="1"/>
      <c r="Q33" s="72" t="s">
        <v>34</v>
      </c>
    </row>
    <row r="34" spans="1:18" ht="15" hidden="1" customHeight="1" x14ac:dyDescent="0.2">
      <c r="B34" s="174" t="s">
        <v>112</v>
      </c>
      <c r="C34" s="175"/>
      <c r="D34" s="176"/>
      <c r="E34" s="176"/>
      <c r="F34" s="177"/>
      <c r="G34" s="178">
        <v>2030000</v>
      </c>
      <c r="H34" s="178">
        <v>2030000</v>
      </c>
      <c r="I34" s="178">
        <v>2030000</v>
      </c>
      <c r="J34" s="179"/>
      <c r="K34" s="176"/>
      <c r="L34" s="176"/>
      <c r="M34" s="176"/>
      <c r="N34" s="177"/>
      <c r="O34" s="1"/>
      <c r="Q34" s="74" t="s">
        <v>46</v>
      </c>
    </row>
    <row r="35" spans="1:18" ht="15" hidden="1" customHeight="1" x14ac:dyDescent="0.2">
      <c r="A35" s="4" t="str">
        <f>C35</f>
        <v xml:space="preserve">Управление делами Президента Кыргызской Республики </v>
      </c>
      <c r="B35" s="87" t="s">
        <v>142</v>
      </c>
      <c r="C35" s="88" t="s">
        <v>143</v>
      </c>
      <c r="D35" s="90"/>
      <c r="E35" s="90"/>
      <c r="F35" s="90"/>
      <c r="G35" s="90"/>
      <c r="H35" s="90"/>
      <c r="I35" s="90"/>
      <c r="J35" s="90"/>
      <c r="K35" s="90"/>
      <c r="L35" s="90"/>
      <c r="M35" s="90"/>
      <c r="N35" s="91"/>
      <c r="O35" s="1"/>
      <c r="Q35" s="70" t="s">
        <v>43</v>
      </c>
    </row>
    <row r="36" spans="1:18" ht="24" hidden="1" customHeight="1" x14ac:dyDescent="0.2">
      <c r="B36" s="93" t="s">
        <v>142</v>
      </c>
      <c r="C36" s="93" t="s">
        <v>144</v>
      </c>
      <c r="D36" s="94"/>
      <c r="E36" s="94"/>
      <c r="F36" s="95" t="s">
        <v>145</v>
      </c>
      <c r="G36" s="96">
        <v>2837368.8</v>
      </c>
      <c r="H36" s="96">
        <v>2571414.9</v>
      </c>
      <c r="I36" s="96">
        <v>2606379.1</v>
      </c>
      <c r="J36" s="93" t="s">
        <v>146</v>
      </c>
      <c r="K36" s="93" t="s">
        <v>99</v>
      </c>
      <c r="L36" s="93">
        <v>100</v>
      </c>
      <c r="M36" s="93">
        <v>100</v>
      </c>
      <c r="N36" s="93">
        <v>100</v>
      </c>
      <c r="O36" s="1"/>
      <c r="Q36" s="71" t="s">
        <v>40</v>
      </c>
    </row>
    <row r="37" spans="1:18" ht="24" hidden="1" customHeight="1" x14ac:dyDescent="0.2">
      <c r="B37" s="183" t="s">
        <v>100</v>
      </c>
      <c r="C37" s="183" t="s">
        <v>100</v>
      </c>
      <c r="D37" s="183" t="s">
        <v>100</v>
      </c>
      <c r="E37" s="183"/>
      <c r="F37" s="184" t="s">
        <v>147</v>
      </c>
      <c r="G37" s="185">
        <v>395954.1</v>
      </c>
      <c r="H37" s="185">
        <v>403873.4</v>
      </c>
      <c r="I37" s="185">
        <v>411950.9</v>
      </c>
      <c r="J37" s="14" t="s">
        <v>148</v>
      </c>
      <c r="K37" s="14" t="s">
        <v>105</v>
      </c>
      <c r="L37" s="17">
        <v>49</v>
      </c>
      <c r="M37" s="17">
        <v>49</v>
      </c>
      <c r="N37" s="17">
        <v>49</v>
      </c>
      <c r="O37" s="1"/>
      <c r="Q37" s="72" t="s">
        <v>34</v>
      </c>
      <c r="R37" s="75" t="s">
        <v>149</v>
      </c>
    </row>
    <row r="38" spans="1:18" ht="36" hidden="1" customHeight="1" x14ac:dyDescent="0.2">
      <c r="B38" s="183" t="s">
        <v>150</v>
      </c>
      <c r="C38" s="183" t="s">
        <v>150</v>
      </c>
      <c r="D38" s="183" t="s">
        <v>150</v>
      </c>
      <c r="E38" s="183"/>
      <c r="F38" s="184" t="s">
        <v>151</v>
      </c>
      <c r="G38" s="185">
        <v>3220</v>
      </c>
      <c r="H38" s="185">
        <v>3284.4</v>
      </c>
      <c r="I38" s="185">
        <v>3350</v>
      </c>
      <c r="J38" s="3" t="s">
        <v>152</v>
      </c>
      <c r="K38" s="3" t="s">
        <v>105</v>
      </c>
      <c r="L38" s="3">
        <v>67</v>
      </c>
      <c r="M38" s="3">
        <v>67</v>
      </c>
      <c r="N38" s="3">
        <v>67</v>
      </c>
      <c r="O38" s="1"/>
      <c r="Q38" s="72" t="s">
        <v>34</v>
      </c>
    </row>
    <row r="39" spans="1:18" ht="60" hidden="1" customHeight="1" x14ac:dyDescent="0.2">
      <c r="B39" s="183" t="s">
        <v>124</v>
      </c>
      <c r="C39" s="183" t="s">
        <v>124</v>
      </c>
      <c r="D39" s="183" t="s">
        <v>124</v>
      </c>
      <c r="E39" s="183"/>
      <c r="F39" s="184" t="s">
        <v>153</v>
      </c>
      <c r="G39" s="185">
        <v>24285</v>
      </c>
      <c r="H39" s="185">
        <v>24285</v>
      </c>
      <c r="I39" s="185">
        <v>24285</v>
      </c>
      <c r="J39" s="3" t="s">
        <v>154</v>
      </c>
      <c r="K39" s="3" t="s">
        <v>155</v>
      </c>
      <c r="L39" s="3">
        <v>2310</v>
      </c>
      <c r="M39" s="3">
        <v>2310</v>
      </c>
      <c r="N39" s="3">
        <v>2310</v>
      </c>
      <c r="O39" s="1"/>
      <c r="Q39" s="72" t="s">
        <v>34</v>
      </c>
    </row>
    <row r="40" spans="1:18" ht="24" hidden="1" customHeight="1" x14ac:dyDescent="0.2">
      <c r="B40" s="183" t="s">
        <v>156</v>
      </c>
      <c r="C40" s="183" t="s">
        <v>156</v>
      </c>
      <c r="D40" s="183" t="s">
        <v>156</v>
      </c>
      <c r="E40" s="183"/>
      <c r="F40" s="184" t="s">
        <v>157</v>
      </c>
      <c r="G40" s="185">
        <v>374</v>
      </c>
      <c r="H40" s="185">
        <v>381.5</v>
      </c>
      <c r="I40" s="185">
        <v>389.1</v>
      </c>
      <c r="J40" s="3" t="s">
        <v>158</v>
      </c>
      <c r="K40" s="3" t="s">
        <v>159</v>
      </c>
      <c r="L40" s="3">
        <v>2</v>
      </c>
      <c r="M40" s="3">
        <v>2</v>
      </c>
      <c r="N40" s="3">
        <v>2</v>
      </c>
      <c r="O40" s="1"/>
      <c r="Q40" s="72" t="s">
        <v>34</v>
      </c>
    </row>
    <row r="41" spans="1:18" ht="24" hidden="1" customHeight="1" x14ac:dyDescent="0.2">
      <c r="B41" s="183" t="s">
        <v>160</v>
      </c>
      <c r="C41" s="183" t="s">
        <v>160</v>
      </c>
      <c r="D41" s="183" t="s">
        <v>160</v>
      </c>
      <c r="E41" s="183"/>
      <c r="F41" s="184" t="s">
        <v>161</v>
      </c>
      <c r="G41" s="185">
        <v>15619.3</v>
      </c>
      <c r="H41" s="185">
        <v>16417.400000000001</v>
      </c>
      <c r="I41" s="185">
        <v>17231.400000000001</v>
      </c>
      <c r="J41" s="3" t="s">
        <v>162</v>
      </c>
      <c r="K41" s="3" t="s">
        <v>105</v>
      </c>
      <c r="L41" s="3">
        <v>23</v>
      </c>
      <c r="M41" s="3">
        <v>23</v>
      </c>
      <c r="N41" s="3">
        <v>23</v>
      </c>
      <c r="O41" s="1"/>
      <c r="Q41" s="72" t="s">
        <v>34</v>
      </c>
    </row>
    <row r="42" spans="1:18" ht="24" hidden="1" customHeight="1" x14ac:dyDescent="0.2">
      <c r="B42" s="183" t="s">
        <v>163</v>
      </c>
      <c r="C42" s="183" t="s">
        <v>163</v>
      </c>
      <c r="D42" s="183" t="s">
        <v>163</v>
      </c>
      <c r="E42" s="183"/>
      <c r="F42" s="184" t="s">
        <v>164</v>
      </c>
      <c r="G42" s="185">
        <v>239481.8</v>
      </c>
      <c r="H42" s="185">
        <v>233086</v>
      </c>
      <c r="I42" s="185">
        <v>234602.5</v>
      </c>
      <c r="J42" s="3" t="s">
        <v>165</v>
      </c>
      <c r="K42" s="3" t="s">
        <v>99</v>
      </c>
      <c r="L42" s="3">
        <v>100</v>
      </c>
      <c r="M42" s="3">
        <v>100</v>
      </c>
      <c r="N42" s="3">
        <v>100</v>
      </c>
      <c r="O42" s="1"/>
      <c r="Q42" s="72" t="s">
        <v>34</v>
      </c>
      <c r="R42" s="75" t="s">
        <v>118</v>
      </c>
    </row>
    <row r="43" spans="1:18" ht="24" hidden="1" customHeight="1" x14ac:dyDescent="0.2">
      <c r="B43" s="183" t="s">
        <v>166</v>
      </c>
      <c r="C43" s="183" t="s">
        <v>166</v>
      </c>
      <c r="D43" s="183" t="s">
        <v>166</v>
      </c>
      <c r="E43" s="183"/>
      <c r="F43" s="184" t="s">
        <v>167</v>
      </c>
      <c r="G43" s="185">
        <v>1193358</v>
      </c>
      <c r="H43" s="185">
        <v>916485.9</v>
      </c>
      <c r="I43" s="185">
        <v>929865.4</v>
      </c>
      <c r="J43" s="3" t="s">
        <v>168</v>
      </c>
      <c r="K43" s="3" t="s">
        <v>99</v>
      </c>
      <c r="L43" s="3">
        <v>44</v>
      </c>
      <c r="M43" s="3">
        <v>44</v>
      </c>
      <c r="N43" s="3">
        <v>44</v>
      </c>
      <c r="O43" s="1"/>
      <c r="Q43" s="72" t="s">
        <v>34</v>
      </c>
      <c r="R43" s="75" t="s">
        <v>169</v>
      </c>
    </row>
    <row r="44" spans="1:18" ht="24" hidden="1" customHeight="1" x14ac:dyDescent="0.2">
      <c r="B44" s="181" t="s">
        <v>170</v>
      </c>
      <c r="C44" s="181" t="s">
        <v>170</v>
      </c>
      <c r="D44" s="181" t="s">
        <v>170</v>
      </c>
      <c r="E44" s="181"/>
      <c r="F44" s="181" t="s">
        <v>171</v>
      </c>
      <c r="G44" s="182">
        <v>267975.8</v>
      </c>
      <c r="H44" s="182">
        <v>271542</v>
      </c>
      <c r="I44" s="182">
        <v>276749.3</v>
      </c>
      <c r="J44" s="3" t="s">
        <v>172</v>
      </c>
      <c r="K44" s="3" t="s">
        <v>105</v>
      </c>
      <c r="L44" s="3">
        <v>180</v>
      </c>
      <c r="M44" s="3">
        <v>180</v>
      </c>
      <c r="N44" s="3">
        <v>180</v>
      </c>
      <c r="O44" s="1"/>
      <c r="Q44" s="72" t="s">
        <v>34</v>
      </c>
      <c r="R44" s="75" t="s">
        <v>169</v>
      </c>
    </row>
    <row r="45" spans="1:18" ht="24" hidden="1" customHeight="1" x14ac:dyDescent="0.2">
      <c r="B45" s="77"/>
      <c r="C45" s="77"/>
      <c r="D45" s="77"/>
      <c r="E45" s="77"/>
      <c r="F45" s="77"/>
      <c r="G45" s="77"/>
      <c r="H45" s="77"/>
      <c r="I45" s="77"/>
      <c r="J45" s="3" t="s">
        <v>173</v>
      </c>
      <c r="K45" s="3" t="s">
        <v>105</v>
      </c>
      <c r="L45" s="3">
        <v>35</v>
      </c>
      <c r="M45" s="3">
        <v>35</v>
      </c>
      <c r="N45" s="3">
        <v>35</v>
      </c>
      <c r="O45" s="1"/>
      <c r="Q45" s="73" t="s">
        <v>37</v>
      </c>
    </row>
    <row r="46" spans="1:18" hidden="1" x14ac:dyDescent="0.2">
      <c r="B46" s="183" t="s">
        <v>113</v>
      </c>
      <c r="C46" s="183" t="s">
        <v>113</v>
      </c>
      <c r="D46" s="183" t="s">
        <v>113</v>
      </c>
      <c r="E46" s="183"/>
      <c r="F46" s="184" t="s">
        <v>174</v>
      </c>
      <c r="G46" s="185">
        <v>697100.80000000005</v>
      </c>
      <c r="H46" s="185">
        <v>702059.3</v>
      </c>
      <c r="I46" s="185">
        <v>707955.5</v>
      </c>
      <c r="J46" s="3" t="s">
        <v>175</v>
      </c>
      <c r="K46" s="3" t="s">
        <v>105</v>
      </c>
      <c r="L46" s="3">
        <v>29</v>
      </c>
      <c r="M46" s="3">
        <v>29</v>
      </c>
      <c r="N46" s="3">
        <v>29</v>
      </c>
      <c r="O46" s="1"/>
      <c r="Q46" s="72" t="s">
        <v>34</v>
      </c>
      <c r="R46" s="75" t="s">
        <v>123</v>
      </c>
    </row>
    <row r="47" spans="1:18" hidden="1" x14ac:dyDescent="0.2">
      <c r="B47" s="93" t="s">
        <v>142</v>
      </c>
      <c r="C47" s="93" t="s">
        <v>176</v>
      </c>
      <c r="D47" s="94"/>
      <c r="E47" s="94"/>
      <c r="F47" s="95" t="s">
        <v>177</v>
      </c>
      <c r="G47" s="96">
        <v>805338.5</v>
      </c>
      <c r="H47" s="96">
        <v>819431.39999999991</v>
      </c>
      <c r="I47" s="96">
        <v>835633.9</v>
      </c>
      <c r="J47" s="98" t="s">
        <v>146</v>
      </c>
      <c r="K47" s="98" t="s">
        <v>99</v>
      </c>
      <c r="L47" s="97">
        <v>100</v>
      </c>
      <c r="M47" s="97">
        <v>100</v>
      </c>
      <c r="N47" s="97">
        <v>100</v>
      </c>
      <c r="O47" s="1"/>
      <c r="Q47" s="71" t="s">
        <v>40</v>
      </c>
      <c r="R47" s="75" t="s">
        <v>169</v>
      </c>
    </row>
    <row r="48" spans="1:18" ht="36" hidden="1" customHeight="1" x14ac:dyDescent="0.2">
      <c r="B48" s="183" t="s">
        <v>150</v>
      </c>
      <c r="C48" s="183" t="s">
        <v>150</v>
      </c>
      <c r="D48" s="183" t="s">
        <v>150</v>
      </c>
      <c r="E48" s="183"/>
      <c r="F48" s="184" t="s">
        <v>178</v>
      </c>
      <c r="G48" s="185">
        <v>20150.8</v>
      </c>
      <c r="H48" s="185">
        <v>20553.8</v>
      </c>
      <c r="I48" s="185">
        <v>20964.900000000001</v>
      </c>
      <c r="J48" s="3" t="s">
        <v>179</v>
      </c>
      <c r="K48" s="3" t="s">
        <v>105</v>
      </c>
      <c r="L48" s="3">
        <v>2</v>
      </c>
      <c r="M48" s="3">
        <v>2</v>
      </c>
      <c r="N48" s="3">
        <v>2</v>
      </c>
      <c r="O48" s="1"/>
      <c r="Q48" s="72" t="s">
        <v>34</v>
      </c>
      <c r="R48" s="75" t="s">
        <v>169</v>
      </c>
    </row>
    <row r="49" spans="1:18" hidden="1" x14ac:dyDescent="0.2">
      <c r="B49" s="183" t="s">
        <v>124</v>
      </c>
      <c r="C49" s="183" t="s">
        <v>124</v>
      </c>
      <c r="D49" s="183" t="s">
        <v>124</v>
      </c>
      <c r="E49" s="183"/>
      <c r="F49" s="184" t="s">
        <v>180</v>
      </c>
      <c r="G49" s="185">
        <v>105986.6</v>
      </c>
      <c r="H49" s="185">
        <v>106611.9</v>
      </c>
      <c r="I49" s="185">
        <v>108557.9</v>
      </c>
      <c r="J49" s="3" t="s">
        <v>181</v>
      </c>
      <c r="K49" s="3" t="s">
        <v>99</v>
      </c>
      <c r="L49" s="3">
        <v>100</v>
      </c>
      <c r="M49" s="3">
        <v>100</v>
      </c>
      <c r="N49" s="3">
        <v>100</v>
      </c>
      <c r="O49" s="1"/>
      <c r="Q49" s="72" t="s">
        <v>34</v>
      </c>
    </row>
    <row r="50" spans="1:18" ht="24" hidden="1" customHeight="1" x14ac:dyDescent="0.2">
      <c r="B50" s="183" t="s">
        <v>156</v>
      </c>
      <c r="C50" s="183" t="s">
        <v>156</v>
      </c>
      <c r="D50" s="183" t="s">
        <v>156</v>
      </c>
      <c r="E50" s="183"/>
      <c r="F50" s="184" t="s">
        <v>182</v>
      </c>
      <c r="G50" s="185">
        <v>247599.1</v>
      </c>
      <c r="H50" s="185">
        <v>252551.1</v>
      </c>
      <c r="I50" s="185">
        <v>257602.2</v>
      </c>
      <c r="J50" s="3" t="s">
        <v>183</v>
      </c>
      <c r="K50" s="3" t="s">
        <v>99</v>
      </c>
      <c r="L50" s="3">
        <v>100</v>
      </c>
      <c r="M50" s="3">
        <v>100</v>
      </c>
      <c r="N50" s="3">
        <v>100</v>
      </c>
      <c r="O50" s="1"/>
      <c r="Q50" s="72" t="s">
        <v>34</v>
      </c>
      <c r="R50" s="75" t="s">
        <v>169</v>
      </c>
    </row>
    <row r="51" spans="1:18" ht="36" hidden="1" customHeight="1" x14ac:dyDescent="0.2">
      <c r="B51" s="183" t="s">
        <v>163</v>
      </c>
      <c r="C51" s="183" t="s">
        <v>163</v>
      </c>
      <c r="D51" s="183" t="s">
        <v>163</v>
      </c>
      <c r="E51" s="183"/>
      <c r="F51" s="184" t="s">
        <v>184</v>
      </c>
      <c r="G51" s="185">
        <v>431602</v>
      </c>
      <c r="H51" s="185">
        <v>439714.6</v>
      </c>
      <c r="I51" s="185">
        <v>448508.9</v>
      </c>
      <c r="J51" s="3" t="s">
        <v>185</v>
      </c>
      <c r="K51" s="3" t="s">
        <v>186</v>
      </c>
      <c r="L51" s="3">
        <v>6291.6</v>
      </c>
      <c r="M51" s="3">
        <v>6409.8</v>
      </c>
      <c r="N51" s="3">
        <v>6538</v>
      </c>
      <c r="O51" s="1"/>
      <c r="Q51" s="72" t="s">
        <v>34</v>
      </c>
      <c r="R51" s="75" t="s">
        <v>123</v>
      </c>
    </row>
    <row r="52" spans="1:18" ht="24" hidden="1" customHeight="1" x14ac:dyDescent="0.2">
      <c r="B52" s="93" t="s">
        <v>142</v>
      </c>
      <c r="C52" s="93" t="s">
        <v>187</v>
      </c>
      <c r="D52" s="94"/>
      <c r="E52" s="94"/>
      <c r="F52" s="95" t="s">
        <v>188</v>
      </c>
      <c r="G52" s="96">
        <v>116882.7</v>
      </c>
      <c r="H52" s="96">
        <v>119819.9</v>
      </c>
      <c r="I52" s="96">
        <v>121610</v>
      </c>
      <c r="J52" s="98" t="s">
        <v>146</v>
      </c>
      <c r="K52" s="98" t="s">
        <v>99</v>
      </c>
      <c r="L52" s="98">
        <v>100</v>
      </c>
      <c r="M52" s="98">
        <v>100</v>
      </c>
      <c r="N52" s="98">
        <v>100</v>
      </c>
      <c r="O52" s="1"/>
      <c r="Q52" s="71" t="s">
        <v>40</v>
      </c>
    </row>
    <row r="53" spans="1:18" ht="24" hidden="1" customHeight="1" x14ac:dyDescent="0.2">
      <c r="B53" s="183" t="s">
        <v>100</v>
      </c>
      <c r="C53" s="183" t="s">
        <v>100</v>
      </c>
      <c r="D53" s="183" t="s">
        <v>100</v>
      </c>
      <c r="E53" s="183"/>
      <c r="F53" s="184" t="s">
        <v>189</v>
      </c>
      <c r="G53" s="185">
        <v>116882.7</v>
      </c>
      <c r="H53" s="185">
        <v>119819.9</v>
      </c>
      <c r="I53" s="185">
        <v>121610</v>
      </c>
      <c r="J53" s="3" t="s">
        <v>190</v>
      </c>
      <c r="K53" s="3" t="s">
        <v>159</v>
      </c>
      <c r="L53" s="3">
        <v>557</v>
      </c>
      <c r="M53" s="3">
        <v>557</v>
      </c>
      <c r="N53" s="3">
        <v>557</v>
      </c>
      <c r="O53" s="1"/>
      <c r="Q53" s="72" t="s">
        <v>34</v>
      </c>
    </row>
    <row r="54" spans="1:18" ht="72" hidden="1" customHeight="1" x14ac:dyDescent="0.2">
      <c r="B54" s="93" t="s">
        <v>142</v>
      </c>
      <c r="C54" s="93" t="s">
        <v>191</v>
      </c>
      <c r="D54" s="94"/>
      <c r="E54" s="94"/>
      <c r="F54" s="95" t="s">
        <v>192</v>
      </c>
      <c r="G54" s="96">
        <v>3297739.7</v>
      </c>
      <c r="H54" s="96">
        <v>3303809</v>
      </c>
      <c r="I54" s="96">
        <v>3310932.8</v>
      </c>
      <c r="J54" s="98" t="s">
        <v>146</v>
      </c>
      <c r="K54" s="98" t="s">
        <v>99</v>
      </c>
      <c r="L54" s="98">
        <v>100</v>
      </c>
      <c r="M54" s="98">
        <v>100</v>
      </c>
      <c r="N54" s="98">
        <v>100</v>
      </c>
      <c r="O54" s="1"/>
      <c r="Q54" s="71" t="s">
        <v>40</v>
      </c>
    </row>
    <row r="55" spans="1:18" ht="24" hidden="1" customHeight="1" x14ac:dyDescent="0.2">
      <c r="B55" s="183" t="s">
        <v>100</v>
      </c>
      <c r="C55" s="183" t="s">
        <v>100</v>
      </c>
      <c r="D55" s="183" t="s">
        <v>100</v>
      </c>
      <c r="E55" s="183"/>
      <c r="F55" s="184" t="s">
        <v>193</v>
      </c>
      <c r="G55" s="185">
        <v>29988.7</v>
      </c>
      <c r="H55" s="185">
        <v>29533.599999999999</v>
      </c>
      <c r="I55" s="185">
        <v>30002.5</v>
      </c>
      <c r="J55" s="3" t="s">
        <v>194</v>
      </c>
      <c r="K55" s="3" t="s">
        <v>105</v>
      </c>
      <c r="L55" s="3">
        <v>36</v>
      </c>
      <c r="M55" s="3">
        <v>36</v>
      </c>
      <c r="N55" s="3">
        <v>36</v>
      </c>
      <c r="O55" s="1"/>
      <c r="Q55" s="72" t="s">
        <v>34</v>
      </c>
    </row>
    <row r="56" spans="1:18" ht="24" hidden="1" customHeight="1" x14ac:dyDescent="0.2">
      <c r="B56" s="183" t="s">
        <v>120</v>
      </c>
      <c r="C56" s="183" t="s">
        <v>120</v>
      </c>
      <c r="D56" s="183" t="s">
        <v>120</v>
      </c>
      <c r="E56" s="183"/>
      <c r="F56" s="184" t="s">
        <v>195</v>
      </c>
      <c r="G56" s="185">
        <v>2385292.09</v>
      </c>
      <c r="H56" s="185">
        <v>2391816.4900000002</v>
      </c>
      <c r="I56" s="185">
        <v>2398471.39</v>
      </c>
      <c r="J56" s="3" t="s">
        <v>196</v>
      </c>
      <c r="K56" s="3" t="s">
        <v>105</v>
      </c>
      <c r="L56" s="3">
        <v>245</v>
      </c>
      <c r="M56" s="3">
        <v>245</v>
      </c>
      <c r="N56" s="3">
        <v>245</v>
      </c>
      <c r="O56" s="1"/>
      <c r="Q56" s="72" t="s">
        <v>34</v>
      </c>
    </row>
    <row r="57" spans="1:18" ht="22.5" hidden="1" customHeight="1" x14ac:dyDescent="0.2">
      <c r="B57" s="183" t="s">
        <v>150</v>
      </c>
      <c r="C57" s="183" t="s">
        <v>150</v>
      </c>
      <c r="D57" s="183" t="s">
        <v>150</v>
      </c>
      <c r="E57" s="183"/>
      <c r="F57" s="184" t="s">
        <v>197</v>
      </c>
      <c r="G57" s="185">
        <v>882458.91</v>
      </c>
      <c r="H57" s="185">
        <v>882458.91</v>
      </c>
      <c r="I57" s="185">
        <v>882458.91</v>
      </c>
      <c r="J57" s="3" t="s">
        <v>198</v>
      </c>
      <c r="K57" s="3" t="s">
        <v>105</v>
      </c>
      <c r="L57" s="3">
        <v>149</v>
      </c>
      <c r="M57" s="3">
        <v>149</v>
      </c>
      <c r="N57" s="3">
        <v>149</v>
      </c>
      <c r="O57" s="1"/>
      <c r="Q57" s="72" t="s">
        <v>34</v>
      </c>
    </row>
    <row r="58" spans="1:18" ht="15" hidden="1" customHeight="1" x14ac:dyDescent="0.2">
      <c r="B58" s="174" t="s">
        <v>112</v>
      </c>
      <c r="C58" s="175"/>
      <c r="D58" s="176"/>
      <c r="E58" s="176"/>
      <c r="F58" s="177"/>
      <c r="G58" s="178">
        <v>7057329.7000000002</v>
      </c>
      <c r="H58" s="178">
        <v>6814475.2000000011</v>
      </c>
      <c r="I58" s="178">
        <v>6874555.8000000007</v>
      </c>
      <c r="J58" s="179"/>
      <c r="K58" s="176"/>
      <c r="L58" s="176"/>
      <c r="M58" s="176"/>
      <c r="N58" s="177"/>
      <c r="O58" s="1"/>
      <c r="Q58" s="74" t="s">
        <v>46</v>
      </c>
    </row>
    <row r="59" spans="1:18" ht="15" hidden="1" customHeight="1" x14ac:dyDescent="0.2">
      <c r="A59" s="4" t="str">
        <f>C59</f>
        <v>Верховный суд Кыргызской Республики</v>
      </c>
      <c r="B59" s="87" t="s">
        <v>199</v>
      </c>
      <c r="C59" s="88" t="s">
        <v>200</v>
      </c>
      <c r="D59" s="90"/>
      <c r="E59" s="90"/>
      <c r="F59" s="90"/>
      <c r="G59" s="90"/>
      <c r="H59" s="90"/>
      <c r="I59" s="90"/>
      <c r="J59" s="90"/>
      <c r="K59" s="90"/>
      <c r="L59" s="90"/>
      <c r="M59" s="90"/>
      <c r="N59" s="91"/>
      <c r="O59" s="1"/>
      <c r="Q59" s="70" t="s">
        <v>43</v>
      </c>
    </row>
    <row r="60" spans="1:18" hidden="1" x14ac:dyDescent="0.2">
      <c r="B60" s="93" t="s">
        <v>199</v>
      </c>
      <c r="C60" s="93" t="s">
        <v>96</v>
      </c>
      <c r="D60" s="94"/>
      <c r="E60" s="94"/>
      <c r="F60" s="95" t="s">
        <v>97</v>
      </c>
      <c r="G60" s="96">
        <v>406745.3</v>
      </c>
      <c r="H60" s="96">
        <v>409477.6</v>
      </c>
      <c r="I60" s="96">
        <v>411734.8</v>
      </c>
      <c r="J60" s="97" t="s">
        <v>201</v>
      </c>
      <c r="K60" s="97" t="s">
        <v>99</v>
      </c>
      <c r="L60" s="97">
        <v>100</v>
      </c>
      <c r="M60" s="97">
        <v>100</v>
      </c>
      <c r="N60" s="97">
        <v>100</v>
      </c>
      <c r="O60" s="1"/>
      <c r="Q60" s="71" t="s">
        <v>40</v>
      </c>
    </row>
    <row r="61" spans="1:18" ht="36" hidden="1" customHeight="1" x14ac:dyDescent="0.2">
      <c r="B61" s="183" t="s">
        <v>100</v>
      </c>
      <c r="C61" s="183" t="s">
        <v>100</v>
      </c>
      <c r="D61" s="183" t="s">
        <v>100</v>
      </c>
      <c r="E61" s="183"/>
      <c r="F61" s="184" t="s">
        <v>101</v>
      </c>
      <c r="G61" s="185">
        <v>191801.5</v>
      </c>
      <c r="H61" s="185">
        <v>192673.6</v>
      </c>
      <c r="I61" s="185">
        <v>194431.5</v>
      </c>
      <c r="J61" s="3" t="s">
        <v>202</v>
      </c>
      <c r="K61" s="3" t="s">
        <v>99</v>
      </c>
      <c r="L61" s="3">
        <v>100</v>
      </c>
      <c r="M61" s="3">
        <v>100</v>
      </c>
      <c r="N61" s="3">
        <v>100</v>
      </c>
      <c r="O61" s="1"/>
      <c r="Q61" s="72" t="s">
        <v>34</v>
      </c>
    </row>
    <row r="62" spans="1:18" ht="36" hidden="1" customHeight="1" x14ac:dyDescent="0.2">
      <c r="B62" s="183" t="s">
        <v>120</v>
      </c>
      <c r="C62" s="183" t="s">
        <v>120</v>
      </c>
      <c r="D62" s="183" t="s">
        <v>120</v>
      </c>
      <c r="E62" s="183"/>
      <c r="F62" s="184" t="s">
        <v>203</v>
      </c>
      <c r="G62" s="185">
        <v>214943.8</v>
      </c>
      <c r="H62" s="185">
        <v>216804</v>
      </c>
      <c r="I62" s="185">
        <v>217303.3</v>
      </c>
      <c r="J62" s="17" t="s">
        <v>204</v>
      </c>
      <c r="K62" s="17" t="s">
        <v>99</v>
      </c>
      <c r="L62" s="3">
        <v>100</v>
      </c>
      <c r="M62" s="3">
        <v>100</v>
      </c>
      <c r="N62" s="3">
        <v>100</v>
      </c>
      <c r="O62" s="1"/>
      <c r="Q62" s="72" t="s">
        <v>34</v>
      </c>
    </row>
    <row r="63" spans="1:18" ht="24" hidden="1" customHeight="1" x14ac:dyDescent="0.2">
      <c r="B63" s="93" t="s">
        <v>199</v>
      </c>
      <c r="C63" s="93" t="s">
        <v>205</v>
      </c>
      <c r="D63" s="94"/>
      <c r="E63" s="94"/>
      <c r="F63" s="95" t="s">
        <v>206</v>
      </c>
      <c r="G63" s="96">
        <v>290900.90000000002</v>
      </c>
      <c r="H63" s="96">
        <v>296718.90000000002</v>
      </c>
      <c r="I63" s="96">
        <v>302653.3</v>
      </c>
      <c r="J63" s="97" t="s">
        <v>207</v>
      </c>
      <c r="K63" s="97" t="s">
        <v>99</v>
      </c>
      <c r="L63" s="97">
        <v>0</v>
      </c>
      <c r="M63" s="97">
        <v>0</v>
      </c>
      <c r="N63" s="97">
        <v>0</v>
      </c>
      <c r="O63" s="1"/>
      <c r="Q63" s="71" t="s">
        <v>40</v>
      </c>
    </row>
    <row r="64" spans="1:18" ht="36" hidden="1" customHeight="1" x14ac:dyDescent="0.2">
      <c r="B64" s="183" t="s">
        <v>100</v>
      </c>
      <c r="C64" s="183" t="s">
        <v>100</v>
      </c>
      <c r="D64" s="183" t="s">
        <v>100</v>
      </c>
      <c r="E64" s="183"/>
      <c r="F64" s="184" t="s">
        <v>208</v>
      </c>
      <c r="G64" s="185">
        <v>290900.90000000002</v>
      </c>
      <c r="H64" s="185">
        <v>296718.90000000002</v>
      </c>
      <c r="I64" s="185">
        <v>302653.3</v>
      </c>
      <c r="J64" s="3" t="s">
        <v>209</v>
      </c>
      <c r="K64" s="3" t="s">
        <v>105</v>
      </c>
      <c r="L64" s="3">
        <v>640</v>
      </c>
      <c r="M64" s="3">
        <v>640</v>
      </c>
      <c r="N64" s="3">
        <v>640</v>
      </c>
      <c r="O64" s="1"/>
      <c r="Q64" s="72" t="s">
        <v>34</v>
      </c>
    </row>
    <row r="65" spans="1:18" ht="24" hidden="1" customHeight="1" x14ac:dyDescent="0.2">
      <c r="B65" s="93" t="s">
        <v>199</v>
      </c>
      <c r="C65" s="93" t="s">
        <v>210</v>
      </c>
      <c r="D65" s="94"/>
      <c r="E65" s="94"/>
      <c r="F65" s="95" t="s">
        <v>211</v>
      </c>
      <c r="G65" s="96">
        <v>3392.5</v>
      </c>
      <c r="H65" s="96">
        <v>3664.5</v>
      </c>
      <c r="I65" s="96">
        <v>3764.5</v>
      </c>
      <c r="J65" s="97" t="s">
        <v>212</v>
      </c>
      <c r="K65" s="97" t="s">
        <v>213</v>
      </c>
      <c r="L65" s="97">
        <v>2600</v>
      </c>
      <c r="M65" s="97">
        <v>2600</v>
      </c>
      <c r="N65" s="97">
        <v>2600</v>
      </c>
      <c r="O65" s="1"/>
      <c r="Q65" s="71" t="s">
        <v>40</v>
      </c>
    </row>
    <row r="66" spans="1:18" ht="24" hidden="1" customHeight="1" x14ac:dyDescent="0.2">
      <c r="B66" s="183" t="s">
        <v>100</v>
      </c>
      <c r="C66" s="183" t="s">
        <v>100</v>
      </c>
      <c r="D66" s="183" t="s">
        <v>100</v>
      </c>
      <c r="E66" s="183"/>
      <c r="F66" s="184" t="s">
        <v>214</v>
      </c>
      <c r="G66" s="185">
        <v>3392.5</v>
      </c>
      <c r="H66" s="185">
        <v>3664.5</v>
      </c>
      <c r="I66" s="185">
        <v>3764.5</v>
      </c>
      <c r="J66" s="3" t="s">
        <v>215</v>
      </c>
      <c r="K66" s="3" t="s">
        <v>105</v>
      </c>
      <c r="L66" s="3">
        <v>2600</v>
      </c>
      <c r="M66" s="3">
        <v>2600</v>
      </c>
      <c r="N66" s="3">
        <v>2600</v>
      </c>
      <c r="O66" s="1"/>
      <c r="Q66" s="72" t="s">
        <v>34</v>
      </c>
    </row>
    <row r="67" spans="1:18" ht="60" hidden="1" customHeight="1" x14ac:dyDescent="0.2">
      <c r="B67" s="93" t="s">
        <v>199</v>
      </c>
      <c r="C67" s="93" t="s">
        <v>216</v>
      </c>
      <c r="D67" s="94"/>
      <c r="E67" s="94"/>
      <c r="F67" s="95" t="s">
        <v>217</v>
      </c>
      <c r="G67" s="96">
        <v>3787470.5</v>
      </c>
      <c r="H67" s="96">
        <v>3053203.4</v>
      </c>
      <c r="I67" s="96">
        <v>3118312.9</v>
      </c>
      <c r="J67" s="97" t="s">
        <v>218</v>
      </c>
      <c r="K67" s="97" t="s">
        <v>219</v>
      </c>
      <c r="L67" s="97">
        <v>60</v>
      </c>
      <c r="M67" s="97">
        <v>60</v>
      </c>
      <c r="N67" s="97">
        <v>60</v>
      </c>
      <c r="O67" s="1"/>
      <c r="Q67" s="71" t="s">
        <v>40</v>
      </c>
    </row>
    <row r="68" spans="1:18" ht="24" hidden="1" customHeight="1" x14ac:dyDescent="0.2">
      <c r="B68" s="183" t="s">
        <v>100</v>
      </c>
      <c r="C68" s="183" t="s">
        <v>100</v>
      </c>
      <c r="D68" s="183" t="s">
        <v>100</v>
      </c>
      <c r="E68" s="183"/>
      <c r="F68" s="184" t="s">
        <v>220</v>
      </c>
      <c r="G68" s="185">
        <v>3938.5</v>
      </c>
      <c r="H68" s="185">
        <v>3938.5</v>
      </c>
      <c r="I68" s="185">
        <v>3938.5</v>
      </c>
      <c r="J68" s="17" t="s">
        <v>212</v>
      </c>
      <c r="K68" s="17" t="s">
        <v>99</v>
      </c>
      <c r="L68" s="3">
        <v>100</v>
      </c>
      <c r="M68" s="3">
        <v>100</v>
      </c>
      <c r="N68" s="3">
        <v>100</v>
      </c>
      <c r="O68" s="1"/>
      <c r="Q68" s="72" t="s">
        <v>34</v>
      </c>
      <c r="R68" s="75" t="s">
        <v>149</v>
      </c>
    </row>
    <row r="69" spans="1:18" ht="24" hidden="1" customHeight="1" x14ac:dyDescent="0.2">
      <c r="B69" s="183" t="s">
        <v>156</v>
      </c>
      <c r="C69" s="183" t="s">
        <v>156</v>
      </c>
      <c r="D69" s="183" t="s">
        <v>156</v>
      </c>
      <c r="E69" s="183"/>
      <c r="F69" s="184" t="s">
        <v>221</v>
      </c>
      <c r="G69" s="185">
        <v>34466.199999999997</v>
      </c>
      <c r="H69" s="185">
        <v>34466.199999999997</v>
      </c>
      <c r="I69" s="185">
        <v>32208.400000000001</v>
      </c>
      <c r="J69" s="17" t="s">
        <v>222</v>
      </c>
      <c r="K69" s="17" t="s">
        <v>223</v>
      </c>
      <c r="L69" s="3">
        <v>72</v>
      </c>
      <c r="M69" s="3">
        <v>72</v>
      </c>
      <c r="N69" s="3">
        <v>72</v>
      </c>
      <c r="O69" s="1"/>
      <c r="Q69" s="72" t="s">
        <v>34</v>
      </c>
    </row>
    <row r="70" spans="1:18" ht="60" hidden="1" customHeight="1" x14ac:dyDescent="0.2">
      <c r="B70" s="183" t="s">
        <v>166</v>
      </c>
      <c r="C70" s="183" t="s">
        <v>166</v>
      </c>
      <c r="D70" s="183" t="s">
        <v>166</v>
      </c>
      <c r="E70" s="183"/>
      <c r="F70" s="184" t="s">
        <v>224</v>
      </c>
      <c r="G70" s="185">
        <v>2249862.4</v>
      </c>
      <c r="H70" s="185">
        <v>1512995.3</v>
      </c>
      <c r="I70" s="185">
        <v>1580362.6</v>
      </c>
      <c r="J70" s="17" t="s">
        <v>225</v>
      </c>
      <c r="K70" s="17" t="s">
        <v>223</v>
      </c>
      <c r="L70" s="3">
        <v>65</v>
      </c>
      <c r="M70" s="3">
        <v>68</v>
      </c>
      <c r="N70" s="3">
        <v>68</v>
      </c>
      <c r="O70" s="1"/>
      <c r="Q70" s="72" t="s">
        <v>34</v>
      </c>
    </row>
    <row r="71" spans="1:18" ht="28.5" hidden="1" customHeight="1" x14ac:dyDescent="0.2">
      <c r="B71" s="183" t="s">
        <v>170</v>
      </c>
      <c r="C71" s="183" t="s">
        <v>170</v>
      </c>
      <c r="D71" s="183" t="s">
        <v>170</v>
      </c>
      <c r="E71" s="183"/>
      <c r="F71" s="184" t="s">
        <v>226</v>
      </c>
      <c r="G71" s="185">
        <v>18389</v>
      </c>
      <c r="H71" s="185">
        <v>18389</v>
      </c>
      <c r="I71" s="185">
        <v>18389</v>
      </c>
      <c r="J71" s="17" t="s">
        <v>212</v>
      </c>
      <c r="K71" s="17" t="s">
        <v>223</v>
      </c>
      <c r="L71" s="3">
        <v>2058</v>
      </c>
      <c r="M71" s="3">
        <v>2058</v>
      </c>
      <c r="N71" s="3">
        <v>2058</v>
      </c>
      <c r="O71" s="1"/>
      <c r="Q71" s="72" t="s">
        <v>34</v>
      </c>
    </row>
    <row r="72" spans="1:18" ht="24" hidden="1" customHeight="1" x14ac:dyDescent="0.2">
      <c r="B72" s="183" t="s">
        <v>227</v>
      </c>
      <c r="C72" s="183" t="s">
        <v>227</v>
      </c>
      <c r="D72" s="183" t="s">
        <v>227</v>
      </c>
      <c r="E72" s="183"/>
      <c r="F72" s="184" t="s">
        <v>228</v>
      </c>
      <c r="G72" s="185">
        <v>309258.59999999998</v>
      </c>
      <c r="H72" s="185">
        <v>309258.59999999998</v>
      </c>
      <c r="I72" s="185">
        <v>309258.59999999998</v>
      </c>
      <c r="J72" s="17" t="s">
        <v>229</v>
      </c>
      <c r="K72" s="17" t="s">
        <v>99</v>
      </c>
      <c r="L72" s="3">
        <v>100</v>
      </c>
      <c r="M72" s="3">
        <v>100</v>
      </c>
      <c r="N72" s="3">
        <v>100</v>
      </c>
      <c r="O72" s="1"/>
      <c r="Q72" s="72" t="s">
        <v>34</v>
      </c>
    </row>
    <row r="73" spans="1:18" ht="36" hidden="1" customHeight="1" x14ac:dyDescent="0.2">
      <c r="B73" s="183" t="s">
        <v>94</v>
      </c>
      <c r="C73" s="183" t="s">
        <v>94</v>
      </c>
      <c r="D73" s="183" t="s">
        <v>94</v>
      </c>
      <c r="E73" s="183"/>
      <c r="F73" s="184" t="s">
        <v>230</v>
      </c>
      <c r="G73" s="185">
        <v>306143.5</v>
      </c>
      <c r="H73" s="185">
        <v>306143.5</v>
      </c>
      <c r="I73" s="185">
        <v>306143.5</v>
      </c>
      <c r="J73" s="17" t="s">
        <v>231</v>
      </c>
      <c r="K73" s="17" t="s">
        <v>99</v>
      </c>
      <c r="L73" s="3">
        <v>53</v>
      </c>
      <c r="M73" s="3">
        <v>53</v>
      </c>
      <c r="N73" s="3">
        <v>53</v>
      </c>
      <c r="O73" s="1"/>
      <c r="Q73" s="72" t="s">
        <v>34</v>
      </c>
    </row>
    <row r="74" spans="1:18" ht="24" hidden="1" customHeight="1" x14ac:dyDescent="0.2">
      <c r="B74" s="183" t="s">
        <v>113</v>
      </c>
      <c r="C74" s="183" t="s">
        <v>113</v>
      </c>
      <c r="D74" s="183" t="s">
        <v>113</v>
      </c>
      <c r="E74" s="183"/>
      <c r="F74" s="184" t="s">
        <v>232</v>
      </c>
      <c r="G74" s="185">
        <v>865412.3</v>
      </c>
      <c r="H74" s="185">
        <v>868012.3</v>
      </c>
      <c r="I74" s="185">
        <v>868012.3</v>
      </c>
      <c r="J74" s="17" t="s">
        <v>233</v>
      </c>
      <c r="K74" s="17" t="s">
        <v>99</v>
      </c>
      <c r="L74" s="3">
        <v>2</v>
      </c>
      <c r="M74" s="3">
        <v>2</v>
      </c>
      <c r="N74" s="3">
        <v>2</v>
      </c>
      <c r="O74" s="1"/>
      <c r="Q74" s="72" t="s">
        <v>34</v>
      </c>
      <c r="R74" s="75" t="s">
        <v>169</v>
      </c>
    </row>
    <row r="75" spans="1:18" ht="15" hidden="1" customHeight="1" x14ac:dyDescent="0.2">
      <c r="B75" s="174" t="s">
        <v>112</v>
      </c>
      <c r="C75" s="175"/>
      <c r="D75" s="176"/>
      <c r="E75" s="176"/>
      <c r="F75" s="177"/>
      <c r="G75" s="178">
        <v>4488509.2</v>
      </c>
      <c r="H75" s="178">
        <v>3763064.4</v>
      </c>
      <c r="I75" s="178">
        <v>3836465.5</v>
      </c>
      <c r="J75" s="179"/>
      <c r="K75" s="176"/>
      <c r="L75" s="176"/>
      <c r="M75" s="176"/>
      <c r="N75" s="177"/>
      <c r="O75" s="1"/>
      <c r="Q75" s="74" t="s">
        <v>46</v>
      </c>
    </row>
    <row r="76" spans="1:18" ht="15" hidden="1" customHeight="1" x14ac:dyDescent="0.2">
      <c r="A76" s="4" t="str">
        <f>C76</f>
        <v>Счетная палата Кыргызской Республики</v>
      </c>
      <c r="B76" s="87" t="s">
        <v>234</v>
      </c>
      <c r="C76" s="88" t="s">
        <v>235</v>
      </c>
      <c r="D76" s="90"/>
      <c r="E76" s="90"/>
      <c r="F76" s="90"/>
      <c r="G76" s="90"/>
      <c r="H76" s="90"/>
      <c r="I76" s="90"/>
      <c r="J76" s="90"/>
      <c r="K76" s="90"/>
      <c r="L76" s="90"/>
      <c r="M76" s="90"/>
      <c r="N76" s="91"/>
      <c r="O76" s="1"/>
      <c r="Q76" s="70" t="s">
        <v>43</v>
      </c>
    </row>
    <row r="77" spans="1:18" ht="24" hidden="1" customHeight="1" x14ac:dyDescent="0.2">
      <c r="B77" s="93" t="s">
        <v>234</v>
      </c>
      <c r="C77" s="93" t="s">
        <v>96</v>
      </c>
      <c r="D77" s="94"/>
      <c r="E77" s="94"/>
      <c r="F77" s="95" t="s">
        <v>97</v>
      </c>
      <c r="G77" s="96">
        <v>165033.1</v>
      </c>
      <c r="H77" s="96">
        <v>168890.84</v>
      </c>
      <c r="I77" s="96">
        <v>173293.81</v>
      </c>
      <c r="J77" s="99" t="s">
        <v>236</v>
      </c>
      <c r="K77" s="99" t="s">
        <v>105</v>
      </c>
      <c r="L77" s="99">
        <v>1</v>
      </c>
      <c r="M77" s="99">
        <v>1</v>
      </c>
      <c r="N77" s="99">
        <v>1</v>
      </c>
      <c r="O77" s="1"/>
      <c r="Q77" s="71" t="s">
        <v>40</v>
      </c>
    </row>
    <row r="78" spans="1:18" hidden="1" x14ac:dyDescent="0.2">
      <c r="B78" s="181" t="s">
        <v>100</v>
      </c>
      <c r="C78" s="181" t="s">
        <v>100</v>
      </c>
      <c r="D78" s="181" t="s">
        <v>100</v>
      </c>
      <c r="E78" s="181"/>
      <c r="F78" s="181" t="s">
        <v>101</v>
      </c>
      <c r="G78" s="182">
        <v>147639</v>
      </c>
      <c r="H78" s="182">
        <v>150685.5</v>
      </c>
      <c r="I78" s="182">
        <v>154238</v>
      </c>
      <c r="J78" s="3" t="s">
        <v>237</v>
      </c>
      <c r="K78" s="3" t="s">
        <v>99</v>
      </c>
      <c r="L78" s="3">
        <v>100</v>
      </c>
      <c r="M78" s="3">
        <v>100</v>
      </c>
      <c r="N78" s="3">
        <v>100</v>
      </c>
      <c r="O78" s="1"/>
      <c r="Q78" s="72" t="s">
        <v>34</v>
      </c>
    </row>
    <row r="79" spans="1:18" hidden="1" x14ac:dyDescent="0.2">
      <c r="B79" s="76"/>
      <c r="C79" s="76"/>
      <c r="D79" s="76"/>
      <c r="E79" s="76"/>
      <c r="F79" s="76"/>
      <c r="G79" s="76"/>
      <c r="H79" s="76"/>
      <c r="I79" s="76"/>
      <c r="J79" s="3" t="s">
        <v>238</v>
      </c>
      <c r="K79" s="3" t="s">
        <v>99</v>
      </c>
      <c r="L79" s="3">
        <v>100</v>
      </c>
      <c r="M79" s="3">
        <v>100</v>
      </c>
      <c r="N79" s="3">
        <v>100</v>
      </c>
      <c r="O79" s="1"/>
      <c r="Q79" s="73" t="s">
        <v>37</v>
      </c>
    </row>
    <row r="80" spans="1:18" ht="24" hidden="1" customHeight="1" x14ac:dyDescent="0.2">
      <c r="B80" s="76"/>
      <c r="C80" s="76"/>
      <c r="D80" s="76"/>
      <c r="E80" s="76"/>
      <c r="F80" s="76"/>
      <c r="G80" s="76"/>
      <c r="H80" s="76"/>
      <c r="I80" s="76"/>
      <c r="J80" s="3" t="s">
        <v>239</v>
      </c>
      <c r="K80" s="3" t="s">
        <v>99</v>
      </c>
      <c r="L80" s="3">
        <v>70</v>
      </c>
      <c r="M80" s="3">
        <v>70</v>
      </c>
      <c r="N80" s="3">
        <v>70</v>
      </c>
      <c r="O80" s="1"/>
      <c r="Q80" s="73" t="s">
        <v>37</v>
      </c>
    </row>
    <row r="81" spans="1:18" ht="36" hidden="1" customHeight="1" x14ac:dyDescent="0.2">
      <c r="B81" s="76"/>
      <c r="C81" s="76"/>
      <c r="D81" s="76"/>
      <c r="E81" s="76"/>
      <c r="F81" s="76"/>
      <c r="G81" s="76"/>
      <c r="H81" s="76"/>
      <c r="I81" s="76"/>
      <c r="J81" s="3" t="s">
        <v>240</v>
      </c>
      <c r="K81" s="3" t="s">
        <v>105</v>
      </c>
      <c r="L81" s="3">
        <v>22</v>
      </c>
      <c r="M81" s="3">
        <v>25</v>
      </c>
      <c r="N81" s="3">
        <v>25</v>
      </c>
      <c r="O81" s="1"/>
      <c r="Q81" s="73" t="s">
        <v>37</v>
      </c>
    </row>
    <row r="82" spans="1:18" ht="27" hidden="1" customHeight="1" x14ac:dyDescent="0.2">
      <c r="B82" s="77"/>
      <c r="C82" s="77"/>
      <c r="D82" s="77"/>
      <c r="E82" s="77"/>
      <c r="F82" s="77"/>
      <c r="G82" s="77"/>
      <c r="H82" s="77"/>
      <c r="I82" s="77"/>
      <c r="J82" s="3" t="s">
        <v>241</v>
      </c>
      <c r="K82" s="3" t="s">
        <v>105</v>
      </c>
      <c r="L82" s="3">
        <v>74</v>
      </c>
      <c r="M82" s="3">
        <v>78</v>
      </c>
      <c r="N82" s="3">
        <v>79</v>
      </c>
      <c r="O82" s="1"/>
      <c r="Q82" s="73" t="s">
        <v>37</v>
      </c>
    </row>
    <row r="83" spans="1:18" ht="24" hidden="1" customHeight="1" x14ac:dyDescent="0.2">
      <c r="B83" s="183" t="s">
        <v>120</v>
      </c>
      <c r="C83" s="183" t="s">
        <v>120</v>
      </c>
      <c r="D83" s="183" t="s">
        <v>120</v>
      </c>
      <c r="E83" s="183"/>
      <c r="F83" s="184" t="s">
        <v>203</v>
      </c>
      <c r="G83" s="185">
        <v>17394.099999999999</v>
      </c>
      <c r="H83" s="185">
        <v>18205.34</v>
      </c>
      <c r="I83" s="185">
        <v>19055.810000000001</v>
      </c>
      <c r="J83" s="3" t="s">
        <v>238</v>
      </c>
      <c r="K83" s="3" t="s">
        <v>99</v>
      </c>
      <c r="L83" s="3">
        <v>100</v>
      </c>
      <c r="M83" s="3">
        <v>100</v>
      </c>
      <c r="N83" s="3">
        <v>100</v>
      </c>
      <c r="O83" s="1"/>
      <c r="Q83" s="72" t="s">
        <v>34</v>
      </c>
    </row>
    <row r="84" spans="1:18" ht="24.75" hidden="1" customHeight="1" x14ac:dyDescent="0.2">
      <c r="B84" s="93" t="s">
        <v>234</v>
      </c>
      <c r="C84" s="93" t="s">
        <v>242</v>
      </c>
      <c r="D84" s="94"/>
      <c r="E84" s="94"/>
      <c r="F84" s="95" t="s">
        <v>243</v>
      </c>
      <c r="G84" s="96">
        <v>561208.69999999995</v>
      </c>
      <c r="H84" s="96">
        <v>572339.1</v>
      </c>
      <c r="I84" s="96">
        <v>583247.19999999995</v>
      </c>
      <c r="J84" s="99" t="s">
        <v>244</v>
      </c>
      <c r="K84" s="99" t="s">
        <v>105</v>
      </c>
      <c r="L84" s="99">
        <v>80</v>
      </c>
      <c r="M84" s="99">
        <v>80</v>
      </c>
      <c r="N84" s="99">
        <v>80</v>
      </c>
      <c r="O84" s="1"/>
      <c r="Q84" s="71" t="s">
        <v>40</v>
      </c>
    </row>
    <row r="85" spans="1:18" ht="72" hidden="1" customHeight="1" x14ac:dyDescent="0.2">
      <c r="B85" s="183" t="s">
        <v>100</v>
      </c>
      <c r="C85" s="183" t="s">
        <v>100</v>
      </c>
      <c r="D85" s="183" t="s">
        <v>100</v>
      </c>
      <c r="E85" s="183"/>
      <c r="F85" s="184" t="s">
        <v>245</v>
      </c>
      <c r="G85" s="185">
        <v>561208.69999999995</v>
      </c>
      <c r="H85" s="185">
        <v>572339.1</v>
      </c>
      <c r="I85" s="185">
        <v>583247.19999999995</v>
      </c>
      <c r="J85" s="3" t="s">
        <v>246</v>
      </c>
      <c r="K85" s="3" t="s">
        <v>99</v>
      </c>
      <c r="L85" s="3">
        <v>100</v>
      </c>
      <c r="M85" s="3">
        <v>100</v>
      </c>
      <c r="N85" s="3">
        <v>100</v>
      </c>
      <c r="O85" s="1"/>
      <c r="Q85" s="72" t="s">
        <v>34</v>
      </c>
      <c r="R85" s="75" t="s">
        <v>169</v>
      </c>
    </row>
    <row r="86" spans="1:18" ht="15" hidden="1" customHeight="1" x14ac:dyDescent="0.2">
      <c r="B86" s="174" t="s">
        <v>112</v>
      </c>
      <c r="C86" s="175"/>
      <c r="D86" s="176"/>
      <c r="E86" s="176"/>
      <c r="F86" s="177"/>
      <c r="G86" s="178">
        <v>726241.79999999993</v>
      </c>
      <c r="H86" s="178">
        <v>741229.94</v>
      </c>
      <c r="I86" s="178">
        <v>756541.01</v>
      </c>
      <c r="J86" s="179"/>
      <c r="K86" s="176"/>
      <c r="L86" s="176"/>
      <c r="M86" s="176"/>
      <c r="N86" s="177"/>
      <c r="O86" s="1"/>
      <c r="Q86" s="74" t="s">
        <v>46</v>
      </c>
    </row>
    <row r="87" spans="1:18" ht="15" hidden="1" customHeight="1" x14ac:dyDescent="0.2">
      <c r="A87" s="4" t="str">
        <f>C87</f>
        <v>Центральная комиссия по выборам и проведению референдумов Кыргызской Республики</v>
      </c>
      <c r="B87" s="87" t="s">
        <v>247</v>
      </c>
      <c r="C87" s="88" t="s">
        <v>248</v>
      </c>
      <c r="D87" s="90"/>
      <c r="E87" s="90"/>
      <c r="F87" s="90"/>
      <c r="G87" s="90"/>
      <c r="H87" s="90"/>
      <c r="I87" s="90"/>
      <c r="J87" s="90"/>
      <c r="K87" s="90"/>
      <c r="L87" s="90"/>
      <c r="M87" s="90"/>
      <c r="N87" s="91"/>
      <c r="O87" s="1"/>
      <c r="Q87" s="70" t="s">
        <v>43</v>
      </c>
    </row>
    <row r="88" spans="1:18" ht="41.25" hidden="1" customHeight="1" x14ac:dyDescent="0.2">
      <c r="B88" s="93" t="s">
        <v>247</v>
      </c>
      <c r="C88" s="93" t="s">
        <v>96</v>
      </c>
      <c r="D88" s="94"/>
      <c r="E88" s="94"/>
      <c r="F88" s="95" t="s">
        <v>97</v>
      </c>
      <c r="G88" s="96">
        <v>174569</v>
      </c>
      <c r="H88" s="96">
        <v>178060.4</v>
      </c>
      <c r="I88" s="96">
        <v>181621.6</v>
      </c>
      <c r="J88" s="97" t="s">
        <v>249</v>
      </c>
      <c r="K88" s="97" t="s">
        <v>99</v>
      </c>
      <c r="L88" s="97">
        <v>100</v>
      </c>
      <c r="M88" s="97">
        <v>100</v>
      </c>
      <c r="N88" s="97">
        <v>100</v>
      </c>
      <c r="O88" s="1"/>
      <c r="Q88" s="71" t="s">
        <v>40</v>
      </c>
    </row>
    <row r="89" spans="1:18" ht="40.5" hidden="1" customHeight="1" x14ac:dyDescent="0.2">
      <c r="B89" s="183" t="s">
        <v>100</v>
      </c>
      <c r="C89" s="183" t="s">
        <v>100</v>
      </c>
      <c r="D89" s="183" t="s">
        <v>100</v>
      </c>
      <c r="E89" s="183"/>
      <c r="F89" s="184" t="s">
        <v>101</v>
      </c>
      <c r="G89" s="185">
        <v>174569</v>
      </c>
      <c r="H89" s="185">
        <v>178060.4</v>
      </c>
      <c r="I89" s="185">
        <v>181621.6</v>
      </c>
      <c r="J89" s="3" t="s">
        <v>250</v>
      </c>
      <c r="K89" s="3" t="s">
        <v>99</v>
      </c>
      <c r="L89" s="3">
        <v>100</v>
      </c>
      <c r="M89" s="3">
        <v>100</v>
      </c>
      <c r="N89" s="3">
        <v>100</v>
      </c>
      <c r="O89" s="1"/>
      <c r="Q89" s="72" t="s">
        <v>34</v>
      </c>
    </row>
    <row r="90" spans="1:18" ht="27.75" hidden="1" customHeight="1" x14ac:dyDescent="0.2">
      <c r="B90" s="93" t="s">
        <v>247</v>
      </c>
      <c r="C90" s="93" t="s">
        <v>251</v>
      </c>
      <c r="D90" s="94"/>
      <c r="E90" s="94"/>
      <c r="F90" s="95" t="s">
        <v>252</v>
      </c>
      <c r="G90" s="96">
        <v>59137.4</v>
      </c>
      <c r="H90" s="96">
        <v>60620.1</v>
      </c>
      <c r="I90" s="96">
        <v>67132.539999999994</v>
      </c>
      <c r="J90" s="97" t="s">
        <v>253</v>
      </c>
      <c r="K90" s="97" t="s">
        <v>99</v>
      </c>
      <c r="L90" s="97">
        <v>100</v>
      </c>
      <c r="M90" s="97">
        <v>100</v>
      </c>
      <c r="N90" s="97">
        <v>100</v>
      </c>
      <c r="O90" s="1"/>
      <c r="Q90" s="71" t="s">
        <v>40</v>
      </c>
    </row>
    <row r="91" spans="1:18" ht="42.75" hidden="1" customHeight="1" x14ac:dyDescent="0.2">
      <c r="B91" s="183" t="s">
        <v>100</v>
      </c>
      <c r="C91" s="183" t="s">
        <v>100</v>
      </c>
      <c r="D91" s="183" t="s">
        <v>100</v>
      </c>
      <c r="E91" s="183"/>
      <c r="F91" s="184" t="s">
        <v>254</v>
      </c>
      <c r="G91" s="185">
        <v>59137.4</v>
      </c>
      <c r="H91" s="185">
        <v>60620.1</v>
      </c>
      <c r="I91" s="185">
        <v>67132.539999999994</v>
      </c>
      <c r="J91" s="3" t="s">
        <v>255</v>
      </c>
      <c r="K91" s="3" t="s">
        <v>99</v>
      </c>
      <c r="L91" s="3">
        <v>100</v>
      </c>
      <c r="M91" s="3">
        <v>100</v>
      </c>
      <c r="N91" s="3">
        <v>100</v>
      </c>
      <c r="O91" s="1"/>
      <c r="Q91" s="72" t="s">
        <v>34</v>
      </c>
      <c r="R91" s="75" t="s">
        <v>149</v>
      </c>
    </row>
    <row r="92" spans="1:18" ht="60" hidden="1" customHeight="1" x14ac:dyDescent="0.2">
      <c r="B92" s="93" t="s">
        <v>247</v>
      </c>
      <c r="C92" s="93" t="s">
        <v>256</v>
      </c>
      <c r="D92" s="94"/>
      <c r="E92" s="94"/>
      <c r="F92" s="95" t="s">
        <v>257</v>
      </c>
      <c r="G92" s="96">
        <v>15000</v>
      </c>
      <c r="H92" s="96">
        <v>15000</v>
      </c>
      <c r="I92" s="96">
        <v>10000</v>
      </c>
      <c r="J92" s="100" t="s">
        <v>258</v>
      </c>
      <c r="K92" s="100" t="s">
        <v>105</v>
      </c>
      <c r="L92" s="99">
        <v>1</v>
      </c>
      <c r="M92" s="99">
        <v>1</v>
      </c>
      <c r="N92" s="99">
        <v>1</v>
      </c>
      <c r="O92" s="1"/>
      <c r="Q92" s="71" t="s">
        <v>40</v>
      </c>
      <c r="R92" s="75" t="s">
        <v>169</v>
      </c>
    </row>
    <row r="93" spans="1:18" ht="51" hidden="1" customHeight="1" x14ac:dyDescent="0.2">
      <c r="B93" s="183" t="s">
        <v>120</v>
      </c>
      <c r="C93" s="183" t="s">
        <v>120</v>
      </c>
      <c r="D93" s="183" t="s">
        <v>120</v>
      </c>
      <c r="E93" s="183"/>
      <c r="F93" s="184" t="s">
        <v>259</v>
      </c>
      <c r="G93" s="185">
        <v>15000</v>
      </c>
      <c r="H93" s="185">
        <v>15000</v>
      </c>
      <c r="I93" s="185">
        <v>10000</v>
      </c>
      <c r="J93" s="3" t="s">
        <v>260</v>
      </c>
      <c r="K93" s="3" t="s">
        <v>99</v>
      </c>
      <c r="L93" s="3">
        <v>100</v>
      </c>
      <c r="M93" s="3">
        <v>100</v>
      </c>
      <c r="N93" s="3">
        <v>100</v>
      </c>
      <c r="O93" s="1"/>
      <c r="Q93" s="72" t="s">
        <v>34</v>
      </c>
    </row>
    <row r="94" spans="1:18" ht="15" hidden="1" customHeight="1" x14ac:dyDescent="0.2">
      <c r="B94" s="174" t="s">
        <v>112</v>
      </c>
      <c r="C94" s="175"/>
      <c r="D94" s="176"/>
      <c r="E94" s="176"/>
      <c r="F94" s="177"/>
      <c r="G94" s="178">
        <v>248706.4</v>
      </c>
      <c r="H94" s="178">
        <v>253680.5</v>
      </c>
      <c r="I94" s="178">
        <v>258754.14</v>
      </c>
      <c r="J94" s="179"/>
      <c r="K94" s="176"/>
      <c r="L94" s="176"/>
      <c r="M94" s="176"/>
      <c r="N94" s="177"/>
      <c r="O94" s="1"/>
      <c r="Q94" s="74" t="s">
        <v>46</v>
      </c>
    </row>
    <row r="95" spans="1:18" ht="15" hidden="1" customHeight="1" x14ac:dyDescent="0.2">
      <c r="A95" s="4" t="str">
        <f>C95</f>
        <v>Генеральная прокуратура Кыргызской Республики</v>
      </c>
      <c r="B95" s="87" t="s">
        <v>261</v>
      </c>
      <c r="C95" s="88" t="s">
        <v>262</v>
      </c>
      <c r="D95" s="90"/>
      <c r="E95" s="90"/>
      <c r="F95" s="90"/>
      <c r="G95" s="90"/>
      <c r="H95" s="90"/>
      <c r="I95" s="90"/>
      <c r="J95" s="90"/>
      <c r="K95" s="90"/>
      <c r="L95" s="90"/>
      <c r="M95" s="90"/>
      <c r="N95" s="91"/>
      <c r="O95" s="1"/>
      <c r="Q95" s="70" t="s">
        <v>43</v>
      </c>
    </row>
    <row r="96" spans="1:18" hidden="1" x14ac:dyDescent="0.2">
      <c r="B96" s="93" t="s">
        <v>261</v>
      </c>
      <c r="C96" s="93" t="s">
        <v>96</v>
      </c>
      <c r="D96" s="94"/>
      <c r="E96" s="94"/>
      <c r="F96" s="95" t="s">
        <v>97</v>
      </c>
      <c r="G96" s="96">
        <v>666610</v>
      </c>
      <c r="H96" s="96">
        <v>662126.57000000007</v>
      </c>
      <c r="I96" s="96">
        <v>675225</v>
      </c>
      <c r="J96" s="98" t="s">
        <v>263</v>
      </c>
      <c r="K96" s="98" t="s">
        <v>99</v>
      </c>
      <c r="L96" s="98">
        <v>100</v>
      </c>
      <c r="M96" s="98">
        <v>100</v>
      </c>
      <c r="N96" s="98">
        <v>100</v>
      </c>
      <c r="O96" s="1"/>
      <c r="Q96" s="71" t="s">
        <v>40</v>
      </c>
    </row>
    <row r="97" spans="2:18" ht="24" hidden="1" customHeight="1" x14ac:dyDescent="0.2">
      <c r="B97" s="183" t="s">
        <v>100</v>
      </c>
      <c r="C97" s="183" t="s">
        <v>100</v>
      </c>
      <c r="D97" s="183" t="s">
        <v>100</v>
      </c>
      <c r="E97" s="183"/>
      <c r="F97" s="184" t="s">
        <v>101</v>
      </c>
      <c r="G97" s="185">
        <v>136298.5</v>
      </c>
      <c r="H97" s="185">
        <v>130323.27</v>
      </c>
      <c r="I97" s="185">
        <v>131336.29999999999</v>
      </c>
      <c r="J97" s="3" t="s">
        <v>264</v>
      </c>
      <c r="K97" s="3" t="s">
        <v>99</v>
      </c>
      <c r="L97" s="3">
        <v>100</v>
      </c>
      <c r="M97" s="3">
        <v>100</v>
      </c>
      <c r="N97" s="3">
        <v>100</v>
      </c>
      <c r="O97" s="1"/>
      <c r="Q97" s="72" t="s">
        <v>34</v>
      </c>
    </row>
    <row r="98" spans="2:18" ht="36" hidden="1" customHeight="1" x14ac:dyDescent="0.2">
      <c r="B98" s="183" t="s">
        <v>120</v>
      </c>
      <c r="C98" s="183" t="s">
        <v>120</v>
      </c>
      <c r="D98" s="183" t="s">
        <v>120</v>
      </c>
      <c r="E98" s="183"/>
      <c r="F98" s="184" t="s">
        <v>203</v>
      </c>
      <c r="G98" s="185">
        <v>530311.5</v>
      </c>
      <c r="H98" s="185">
        <v>531803.30000000005</v>
      </c>
      <c r="I98" s="185">
        <v>543888.69999999995</v>
      </c>
      <c r="J98" s="3" t="s">
        <v>265</v>
      </c>
      <c r="K98" s="3" t="s">
        <v>99</v>
      </c>
      <c r="L98" s="3">
        <v>100</v>
      </c>
      <c r="M98" s="3">
        <v>100</v>
      </c>
      <c r="N98" s="3">
        <v>100</v>
      </c>
      <c r="O98" s="1"/>
      <c r="Q98" s="72" t="s">
        <v>34</v>
      </c>
    </row>
    <row r="99" spans="2:18" ht="24" hidden="1" customHeight="1" x14ac:dyDescent="0.2">
      <c r="B99" s="93" t="s">
        <v>261</v>
      </c>
      <c r="C99" s="93" t="s">
        <v>266</v>
      </c>
      <c r="D99" s="94"/>
      <c r="E99" s="94"/>
      <c r="F99" s="95" t="s">
        <v>267</v>
      </c>
      <c r="G99" s="96">
        <v>365908.9</v>
      </c>
      <c r="H99" s="96">
        <v>373227</v>
      </c>
      <c r="I99" s="96">
        <v>380691.6</v>
      </c>
      <c r="J99" s="99" t="s">
        <v>268</v>
      </c>
      <c r="K99" s="99" t="s">
        <v>269</v>
      </c>
      <c r="L99" s="99">
        <v>4691532.5999999996</v>
      </c>
      <c r="M99" s="99">
        <v>4785363.2</v>
      </c>
      <c r="N99" s="99">
        <v>4881070.5</v>
      </c>
      <c r="O99" s="1"/>
      <c r="Q99" s="71" t="s">
        <v>40</v>
      </c>
      <c r="R99" s="75" t="s">
        <v>169</v>
      </c>
    </row>
    <row r="100" spans="2:18" ht="15" hidden="1" customHeight="1" x14ac:dyDescent="0.2">
      <c r="B100" s="181" t="s">
        <v>100</v>
      </c>
      <c r="C100" s="181" t="s">
        <v>100</v>
      </c>
      <c r="D100" s="181" t="s">
        <v>100</v>
      </c>
      <c r="E100" s="181"/>
      <c r="F100" s="181" t="s">
        <v>270</v>
      </c>
      <c r="G100" s="182">
        <v>365908.9</v>
      </c>
      <c r="H100" s="182">
        <v>373227</v>
      </c>
      <c r="I100" s="182">
        <v>380691.6</v>
      </c>
      <c r="J100" s="3" t="s">
        <v>271</v>
      </c>
      <c r="K100" s="3" t="s">
        <v>223</v>
      </c>
      <c r="L100" s="3">
        <v>12501</v>
      </c>
      <c r="M100" s="3">
        <v>12751</v>
      </c>
      <c r="N100" s="3">
        <v>13006</v>
      </c>
      <c r="O100" s="1"/>
      <c r="Q100" s="72" t="s">
        <v>34</v>
      </c>
      <c r="R100" s="75" t="s">
        <v>169</v>
      </c>
    </row>
    <row r="101" spans="2:18" hidden="1" x14ac:dyDescent="0.2">
      <c r="B101" s="76"/>
      <c r="C101" s="76"/>
      <c r="D101" s="76"/>
      <c r="E101" s="76"/>
      <c r="F101" s="76"/>
      <c r="G101" s="76"/>
      <c r="H101" s="76"/>
      <c r="I101" s="76"/>
      <c r="J101" s="3" t="s">
        <v>272</v>
      </c>
      <c r="K101" s="3" t="s">
        <v>223</v>
      </c>
      <c r="L101" s="3">
        <v>3541</v>
      </c>
      <c r="M101" s="3">
        <v>3612</v>
      </c>
      <c r="N101" s="3">
        <v>3684</v>
      </c>
      <c r="O101" s="1"/>
      <c r="Q101" s="73" t="s">
        <v>37</v>
      </c>
    </row>
    <row r="102" spans="2:18" ht="18" hidden="1" customHeight="1" x14ac:dyDescent="0.2">
      <c r="B102" s="77"/>
      <c r="C102" s="77"/>
      <c r="D102" s="77"/>
      <c r="E102" s="77"/>
      <c r="F102" s="77"/>
      <c r="G102" s="77"/>
      <c r="H102" s="77"/>
      <c r="I102" s="77"/>
      <c r="J102" s="3" t="s">
        <v>273</v>
      </c>
      <c r="K102" s="3" t="s">
        <v>223</v>
      </c>
      <c r="L102" s="3">
        <v>2331</v>
      </c>
      <c r="M102" s="3">
        <v>2377</v>
      </c>
      <c r="N102" s="3">
        <v>2425</v>
      </c>
      <c r="O102" s="1"/>
      <c r="Q102" s="73" t="s">
        <v>37</v>
      </c>
    </row>
    <row r="103" spans="2:18" ht="24" hidden="1" customHeight="1" x14ac:dyDescent="0.2">
      <c r="B103" s="93" t="s">
        <v>261</v>
      </c>
      <c r="C103" s="93" t="s">
        <v>274</v>
      </c>
      <c r="D103" s="94"/>
      <c r="E103" s="94"/>
      <c r="F103" s="95" t="s">
        <v>275</v>
      </c>
      <c r="G103" s="96">
        <v>248904.5</v>
      </c>
      <c r="H103" s="96">
        <v>253882.6</v>
      </c>
      <c r="I103" s="96">
        <v>258960.3</v>
      </c>
      <c r="J103" s="99" t="s">
        <v>276</v>
      </c>
      <c r="K103" s="99" t="s">
        <v>223</v>
      </c>
      <c r="L103" s="99">
        <v>956</v>
      </c>
      <c r="M103" s="99">
        <v>975</v>
      </c>
      <c r="N103" s="99">
        <v>994</v>
      </c>
      <c r="O103" s="1"/>
      <c r="Q103" s="71" t="s">
        <v>40</v>
      </c>
      <c r="R103" s="75" t="s">
        <v>169</v>
      </c>
    </row>
    <row r="104" spans="2:18" ht="45" hidden="1" customHeight="1" x14ac:dyDescent="0.2">
      <c r="B104" s="181" t="s">
        <v>100</v>
      </c>
      <c r="C104" s="181" t="s">
        <v>100</v>
      </c>
      <c r="D104" s="181" t="s">
        <v>100</v>
      </c>
      <c r="E104" s="181"/>
      <c r="F104" s="181" t="s">
        <v>277</v>
      </c>
      <c r="G104" s="182">
        <v>248904.5</v>
      </c>
      <c r="H104" s="182">
        <v>253882.6</v>
      </c>
      <c r="I104" s="182">
        <v>258960.3</v>
      </c>
      <c r="J104" s="3" t="s">
        <v>278</v>
      </c>
      <c r="K104" s="3" t="s">
        <v>223</v>
      </c>
      <c r="L104" s="3">
        <v>139319</v>
      </c>
      <c r="M104" s="3">
        <v>142105</v>
      </c>
      <c r="N104" s="3">
        <v>144947</v>
      </c>
      <c r="O104" s="1"/>
      <c r="Q104" s="72" t="s">
        <v>34</v>
      </c>
      <c r="R104" s="75" t="s">
        <v>169</v>
      </c>
    </row>
    <row r="105" spans="2:18" ht="31.5" hidden="1" customHeight="1" x14ac:dyDescent="0.2">
      <c r="B105" s="76"/>
      <c r="C105" s="76"/>
      <c r="D105" s="76"/>
      <c r="E105" s="76"/>
      <c r="F105" s="76"/>
      <c r="G105" s="76"/>
      <c r="H105" s="76"/>
      <c r="I105" s="76"/>
      <c r="J105" s="3" t="s">
        <v>279</v>
      </c>
      <c r="K105" s="3" t="s">
        <v>223</v>
      </c>
      <c r="L105" s="3">
        <v>500</v>
      </c>
      <c r="M105" s="3">
        <v>510</v>
      </c>
      <c r="N105" s="3">
        <v>512</v>
      </c>
      <c r="O105" s="1"/>
      <c r="Q105" s="73" t="s">
        <v>37</v>
      </c>
    </row>
    <row r="106" spans="2:18" ht="16.5" hidden="1" customHeight="1" x14ac:dyDescent="0.2">
      <c r="B106" s="77"/>
      <c r="C106" s="77"/>
      <c r="D106" s="77"/>
      <c r="E106" s="77"/>
      <c r="F106" s="77"/>
      <c r="G106" s="77"/>
      <c r="H106" s="77"/>
      <c r="I106" s="77"/>
      <c r="J106" s="3" t="s">
        <v>280</v>
      </c>
      <c r="K106" s="3" t="s">
        <v>223</v>
      </c>
      <c r="L106" s="3">
        <v>988</v>
      </c>
      <c r="M106" s="3">
        <v>1008</v>
      </c>
      <c r="N106" s="3">
        <v>1028</v>
      </c>
      <c r="O106" s="1"/>
      <c r="Q106" s="73" t="s">
        <v>37</v>
      </c>
    </row>
    <row r="107" spans="2:18" ht="23.25" hidden="1" customHeight="1" x14ac:dyDescent="0.2">
      <c r="B107" s="93" t="s">
        <v>261</v>
      </c>
      <c r="C107" s="93" t="s">
        <v>281</v>
      </c>
      <c r="D107" s="94"/>
      <c r="E107" s="94"/>
      <c r="F107" s="95" t="s">
        <v>282</v>
      </c>
      <c r="G107" s="96">
        <v>68715.5</v>
      </c>
      <c r="H107" s="96">
        <v>70089.8</v>
      </c>
      <c r="I107" s="96">
        <v>71491.600000000006</v>
      </c>
      <c r="J107" s="99" t="s">
        <v>283</v>
      </c>
      <c r="K107" s="99" t="s">
        <v>223</v>
      </c>
      <c r="L107" s="99">
        <v>18059</v>
      </c>
      <c r="M107" s="99">
        <v>18420</v>
      </c>
      <c r="N107" s="99">
        <v>18789</v>
      </c>
      <c r="O107" s="1"/>
      <c r="Q107" s="71" t="s">
        <v>40</v>
      </c>
    </row>
    <row r="108" spans="2:18" ht="24" hidden="1" customHeight="1" x14ac:dyDescent="0.2">
      <c r="B108" s="181" t="s">
        <v>100</v>
      </c>
      <c r="C108" s="181" t="s">
        <v>100</v>
      </c>
      <c r="D108" s="181" t="s">
        <v>100</v>
      </c>
      <c r="E108" s="181"/>
      <c r="F108" s="181" t="s">
        <v>284</v>
      </c>
      <c r="G108" s="182">
        <v>21986.7</v>
      </c>
      <c r="H108" s="182">
        <v>22426.400000000001</v>
      </c>
      <c r="I108" s="182">
        <v>22874.9</v>
      </c>
      <c r="J108" s="3" t="s">
        <v>285</v>
      </c>
      <c r="K108" s="3" t="s">
        <v>223</v>
      </c>
      <c r="L108" s="3">
        <v>4863</v>
      </c>
      <c r="M108" s="3">
        <v>4961</v>
      </c>
      <c r="N108" s="3">
        <v>5060</v>
      </c>
      <c r="O108" s="1"/>
      <c r="Q108" s="72" t="s">
        <v>34</v>
      </c>
    </row>
    <row r="109" spans="2:18" ht="24" hidden="1" customHeight="1" x14ac:dyDescent="0.2">
      <c r="B109" s="76"/>
      <c r="C109" s="76"/>
      <c r="D109" s="76"/>
      <c r="E109" s="76"/>
      <c r="F109" s="76"/>
      <c r="G109" s="76"/>
      <c r="H109" s="76"/>
      <c r="I109" s="76"/>
      <c r="J109" s="3" t="s">
        <v>286</v>
      </c>
      <c r="K109" s="3" t="s">
        <v>223</v>
      </c>
      <c r="L109" s="3">
        <v>1393</v>
      </c>
      <c r="M109" s="3">
        <v>1421</v>
      </c>
      <c r="N109" s="3">
        <v>1450</v>
      </c>
      <c r="O109" s="1"/>
      <c r="Q109" s="73" t="s">
        <v>37</v>
      </c>
    </row>
    <row r="110" spans="2:18" hidden="1" x14ac:dyDescent="0.2">
      <c r="B110" s="77"/>
      <c r="C110" s="77"/>
      <c r="D110" s="77"/>
      <c r="E110" s="77"/>
      <c r="F110" s="77"/>
      <c r="G110" s="77"/>
      <c r="H110" s="77"/>
      <c r="I110" s="77"/>
      <c r="J110" s="3" t="s">
        <v>287</v>
      </c>
      <c r="K110" s="3" t="s">
        <v>186</v>
      </c>
      <c r="L110" s="3">
        <v>414</v>
      </c>
      <c r="M110" s="3">
        <v>422</v>
      </c>
      <c r="N110" s="3">
        <v>430</v>
      </c>
      <c r="O110" s="1"/>
      <c r="Q110" s="73" t="s">
        <v>37</v>
      </c>
    </row>
    <row r="111" spans="2:18" ht="24" hidden="1" customHeight="1" x14ac:dyDescent="0.2">
      <c r="B111" s="181" t="s">
        <v>120</v>
      </c>
      <c r="C111" s="181" t="s">
        <v>120</v>
      </c>
      <c r="D111" s="181" t="s">
        <v>120</v>
      </c>
      <c r="E111" s="181"/>
      <c r="F111" s="181" t="s">
        <v>288</v>
      </c>
      <c r="G111" s="182">
        <v>22708.5</v>
      </c>
      <c r="H111" s="182">
        <v>23162.7</v>
      </c>
      <c r="I111" s="182">
        <v>23625.9</v>
      </c>
      <c r="J111" s="3" t="s">
        <v>289</v>
      </c>
      <c r="K111" s="3" t="s">
        <v>223</v>
      </c>
      <c r="L111" s="3">
        <v>192</v>
      </c>
      <c r="M111" s="3">
        <v>196</v>
      </c>
      <c r="N111" s="3">
        <v>200</v>
      </c>
      <c r="O111" s="1"/>
      <c r="Q111" s="72" t="s">
        <v>34</v>
      </c>
    </row>
    <row r="112" spans="2:18" hidden="1" x14ac:dyDescent="0.2">
      <c r="B112" s="76"/>
      <c r="C112" s="76"/>
      <c r="D112" s="76"/>
      <c r="E112" s="76"/>
      <c r="F112" s="76"/>
      <c r="G112" s="76"/>
      <c r="H112" s="76"/>
      <c r="I112" s="76"/>
      <c r="J112" s="3" t="s">
        <v>290</v>
      </c>
      <c r="K112" s="3" t="s">
        <v>223</v>
      </c>
      <c r="L112" s="3">
        <v>52</v>
      </c>
      <c r="M112" s="3">
        <v>53</v>
      </c>
      <c r="N112" s="3">
        <v>54</v>
      </c>
      <c r="O112" s="1"/>
      <c r="Q112" s="73" t="s">
        <v>37</v>
      </c>
    </row>
    <row r="113" spans="1:18" hidden="1" x14ac:dyDescent="0.2">
      <c r="B113" s="77"/>
      <c r="C113" s="77"/>
      <c r="D113" s="77"/>
      <c r="E113" s="77"/>
      <c r="F113" s="77"/>
      <c r="G113" s="77"/>
      <c r="H113" s="77"/>
      <c r="I113" s="77"/>
      <c r="J113" s="3" t="s">
        <v>291</v>
      </c>
      <c r="K113" s="3" t="s">
        <v>223</v>
      </c>
      <c r="L113" s="3">
        <v>444</v>
      </c>
      <c r="M113" s="3">
        <v>453</v>
      </c>
      <c r="N113" s="3">
        <v>462</v>
      </c>
      <c r="O113" s="1"/>
      <c r="Q113" s="73" t="s">
        <v>37</v>
      </c>
    </row>
    <row r="114" spans="1:18" ht="48" hidden="1" customHeight="1" x14ac:dyDescent="0.2">
      <c r="B114" s="183" t="s">
        <v>150</v>
      </c>
      <c r="C114" s="183" t="s">
        <v>150</v>
      </c>
      <c r="D114" s="183" t="s">
        <v>150</v>
      </c>
      <c r="E114" s="183"/>
      <c r="F114" s="184" t="s">
        <v>292</v>
      </c>
      <c r="G114" s="185">
        <v>24020.3</v>
      </c>
      <c r="H114" s="185">
        <v>24500.7</v>
      </c>
      <c r="I114" s="185">
        <v>24990.799999999999</v>
      </c>
      <c r="J114" s="3" t="s">
        <v>293</v>
      </c>
      <c r="K114" s="3" t="s">
        <v>223</v>
      </c>
      <c r="L114" s="3">
        <v>139490</v>
      </c>
      <c r="M114" s="3">
        <v>142280</v>
      </c>
      <c r="N114" s="3">
        <v>145125</v>
      </c>
      <c r="O114" s="1"/>
      <c r="Q114" s="72" t="s">
        <v>34</v>
      </c>
      <c r="R114" s="75" t="s">
        <v>123</v>
      </c>
    </row>
    <row r="115" spans="1:18" ht="15" hidden="1" customHeight="1" x14ac:dyDescent="0.2">
      <c r="B115" s="174" t="s">
        <v>112</v>
      </c>
      <c r="C115" s="175"/>
      <c r="D115" s="176"/>
      <c r="E115" s="176"/>
      <c r="F115" s="177"/>
      <c r="G115" s="178">
        <v>1350138.9</v>
      </c>
      <c r="H115" s="178">
        <v>1359325.97</v>
      </c>
      <c r="I115" s="178">
        <v>1386368.5</v>
      </c>
      <c r="J115" s="179"/>
      <c r="K115" s="176"/>
      <c r="L115" s="176"/>
      <c r="M115" s="176"/>
      <c r="N115" s="177"/>
      <c r="O115" s="1"/>
      <c r="Q115" s="74" t="s">
        <v>46</v>
      </c>
    </row>
    <row r="116" spans="1:18" ht="15" hidden="1" customHeight="1" x14ac:dyDescent="0.2">
      <c r="A116" s="4" t="str">
        <f>C116</f>
        <v>Военная прокуратура Кыргызской Республики</v>
      </c>
      <c r="B116" s="87" t="s">
        <v>294</v>
      </c>
      <c r="C116" s="88" t="s">
        <v>295</v>
      </c>
      <c r="D116" s="90"/>
      <c r="E116" s="90"/>
      <c r="F116" s="90"/>
      <c r="G116" s="90"/>
      <c r="H116" s="90"/>
      <c r="I116" s="90"/>
      <c r="J116" s="90"/>
      <c r="K116" s="90"/>
      <c r="L116" s="90"/>
      <c r="M116" s="90"/>
      <c r="N116" s="91"/>
      <c r="O116" s="1"/>
      <c r="Q116" s="70" t="s">
        <v>43</v>
      </c>
    </row>
    <row r="117" spans="1:18" ht="40.5" hidden="1" customHeight="1" x14ac:dyDescent="0.2">
      <c r="B117" s="93" t="s">
        <v>294</v>
      </c>
      <c r="C117" s="93" t="s">
        <v>96</v>
      </c>
      <c r="D117" s="94"/>
      <c r="E117" s="94"/>
      <c r="F117" s="95" t="s">
        <v>97</v>
      </c>
      <c r="G117" s="96">
        <v>152559.6</v>
      </c>
      <c r="H117" s="96">
        <v>136463.5</v>
      </c>
      <c r="I117" s="96">
        <v>139192.70000000001</v>
      </c>
      <c r="J117" s="97" t="s">
        <v>296</v>
      </c>
      <c r="K117" s="97" t="s">
        <v>99</v>
      </c>
      <c r="L117" s="97">
        <v>100</v>
      </c>
      <c r="M117" s="97">
        <v>100</v>
      </c>
      <c r="N117" s="97">
        <v>100</v>
      </c>
      <c r="O117" s="1"/>
      <c r="Q117" s="71" t="s">
        <v>40</v>
      </c>
    </row>
    <row r="118" spans="1:18" ht="42.75" hidden="1" customHeight="1" x14ac:dyDescent="0.2">
      <c r="B118" s="183" t="s">
        <v>100</v>
      </c>
      <c r="C118" s="183" t="s">
        <v>100</v>
      </c>
      <c r="D118" s="183" t="s">
        <v>100</v>
      </c>
      <c r="E118" s="183"/>
      <c r="F118" s="184" t="s">
        <v>101</v>
      </c>
      <c r="G118" s="185">
        <v>93672.9</v>
      </c>
      <c r="H118" s="185">
        <v>93745.4</v>
      </c>
      <c r="I118" s="185">
        <v>95575.5</v>
      </c>
      <c r="J118" s="3" t="s">
        <v>297</v>
      </c>
      <c r="K118" s="3" t="s">
        <v>99</v>
      </c>
      <c r="L118" s="3">
        <v>100</v>
      </c>
      <c r="M118" s="3">
        <v>100</v>
      </c>
      <c r="N118" s="3">
        <v>100</v>
      </c>
      <c r="O118" s="1"/>
      <c r="Q118" s="72" t="s">
        <v>34</v>
      </c>
    </row>
    <row r="119" spans="1:18" ht="41.25" hidden="1" customHeight="1" x14ac:dyDescent="0.2">
      <c r="B119" s="183" t="s">
        <v>120</v>
      </c>
      <c r="C119" s="183" t="s">
        <v>120</v>
      </c>
      <c r="D119" s="183" t="s">
        <v>120</v>
      </c>
      <c r="E119" s="183"/>
      <c r="F119" s="184" t="s">
        <v>203</v>
      </c>
      <c r="G119" s="185">
        <v>58886.7</v>
      </c>
      <c r="H119" s="185">
        <v>42718.1</v>
      </c>
      <c r="I119" s="185">
        <v>43617.2</v>
      </c>
      <c r="J119" s="3" t="s">
        <v>298</v>
      </c>
      <c r="K119" s="3" t="s">
        <v>99</v>
      </c>
      <c r="L119" s="3">
        <v>100</v>
      </c>
      <c r="M119" s="3">
        <v>100</v>
      </c>
      <c r="N119" s="3">
        <v>100</v>
      </c>
      <c r="O119" s="1"/>
      <c r="Q119" s="72" t="s">
        <v>34</v>
      </c>
    </row>
    <row r="120" spans="1:18" ht="15" hidden="1" customHeight="1" x14ac:dyDescent="0.2">
      <c r="B120" s="174" t="s">
        <v>112</v>
      </c>
      <c r="C120" s="175"/>
      <c r="D120" s="176"/>
      <c r="E120" s="176"/>
      <c r="F120" s="177"/>
      <c r="G120" s="178">
        <v>152559.6</v>
      </c>
      <c r="H120" s="178">
        <v>136463.5</v>
      </c>
      <c r="I120" s="178">
        <v>139192.70000000001</v>
      </c>
      <c r="J120" s="179"/>
      <c r="K120" s="176"/>
      <c r="L120" s="176"/>
      <c r="M120" s="176"/>
      <c r="N120" s="177"/>
      <c r="O120" s="1"/>
      <c r="Q120" s="74" t="s">
        <v>46</v>
      </c>
    </row>
    <row r="121" spans="1:18" ht="15" hidden="1" customHeight="1" x14ac:dyDescent="0.2">
      <c r="A121" s="4" t="str">
        <f>C121</f>
        <v xml:space="preserve"> Омбудсмен (Акыйкатчы)  Кыргызской Республики</v>
      </c>
      <c r="B121" s="87" t="s">
        <v>299</v>
      </c>
      <c r="C121" s="88" t="s">
        <v>300</v>
      </c>
      <c r="D121" s="90"/>
      <c r="E121" s="90"/>
      <c r="F121" s="90"/>
      <c r="G121" s="90"/>
      <c r="H121" s="90"/>
      <c r="I121" s="90"/>
      <c r="J121" s="90"/>
      <c r="K121" s="90"/>
      <c r="L121" s="90"/>
      <c r="M121" s="90"/>
      <c r="N121" s="91"/>
      <c r="O121" s="1"/>
      <c r="Q121" s="70" t="s">
        <v>43</v>
      </c>
    </row>
    <row r="122" spans="1:18" ht="28.5" hidden="1" customHeight="1" x14ac:dyDescent="0.2">
      <c r="B122" s="93" t="s">
        <v>299</v>
      </c>
      <c r="C122" s="93" t="s">
        <v>96</v>
      </c>
      <c r="D122" s="94"/>
      <c r="E122" s="94"/>
      <c r="F122" s="95" t="s">
        <v>97</v>
      </c>
      <c r="G122" s="96">
        <v>115861.1</v>
      </c>
      <c r="H122" s="96">
        <v>114914.3</v>
      </c>
      <c r="I122" s="96">
        <v>117212.6</v>
      </c>
      <c r="J122" s="99" t="s">
        <v>301</v>
      </c>
      <c r="K122" s="99" t="s">
        <v>99</v>
      </c>
      <c r="L122" s="99">
        <v>95</v>
      </c>
      <c r="M122" s="99">
        <v>96</v>
      </c>
      <c r="N122" s="99">
        <v>96</v>
      </c>
      <c r="O122" s="1"/>
      <c r="Q122" s="71" t="s">
        <v>40</v>
      </c>
    </row>
    <row r="123" spans="1:18" ht="28.5" hidden="1" customHeight="1" x14ac:dyDescent="0.2">
      <c r="B123" s="183" t="s">
        <v>100</v>
      </c>
      <c r="C123" s="183" t="s">
        <v>100</v>
      </c>
      <c r="D123" s="183" t="s">
        <v>100</v>
      </c>
      <c r="E123" s="183"/>
      <c r="F123" s="184" t="s">
        <v>101</v>
      </c>
      <c r="G123" s="185">
        <v>115861.1</v>
      </c>
      <c r="H123" s="185">
        <v>114914.3</v>
      </c>
      <c r="I123" s="185">
        <v>117212.6</v>
      </c>
      <c r="J123" s="3" t="s">
        <v>301</v>
      </c>
      <c r="K123" s="3" t="s">
        <v>99</v>
      </c>
      <c r="L123" s="3">
        <v>95</v>
      </c>
      <c r="M123" s="3">
        <v>96</v>
      </c>
      <c r="N123" s="3">
        <v>96</v>
      </c>
      <c r="O123" s="1"/>
      <c r="Q123" s="72" t="s">
        <v>34</v>
      </c>
    </row>
    <row r="124" spans="1:18" ht="15" hidden="1" customHeight="1" x14ac:dyDescent="0.2">
      <c r="B124" s="174" t="s">
        <v>112</v>
      </c>
      <c r="C124" s="175"/>
      <c r="D124" s="176"/>
      <c r="E124" s="176"/>
      <c r="F124" s="177"/>
      <c r="G124" s="178">
        <v>115861.1</v>
      </c>
      <c r="H124" s="178">
        <v>114914.3</v>
      </c>
      <c r="I124" s="178">
        <v>117212.6</v>
      </c>
      <c r="J124" s="179"/>
      <c r="K124" s="176"/>
      <c r="L124" s="176"/>
      <c r="M124" s="176"/>
      <c r="N124" s="177"/>
      <c r="O124" s="1"/>
      <c r="Q124" s="74" t="s">
        <v>46</v>
      </c>
    </row>
    <row r="125" spans="1:18" ht="15" hidden="1" customHeight="1" x14ac:dyDescent="0.2">
      <c r="A125" s="4" t="str">
        <f>C125</f>
        <v>Министерство юстиции Кыргызской Республики</v>
      </c>
      <c r="B125" s="87" t="s">
        <v>302</v>
      </c>
      <c r="C125" s="88" t="s">
        <v>303</v>
      </c>
      <c r="D125" s="90"/>
      <c r="E125" s="90"/>
      <c r="F125" s="90"/>
      <c r="G125" s="90"/>
      <c r="H125" s="90"/>
      <c r="I125" s="90"/>
      <c r="J125" s="90"/>
      <c r="K125" s="90"/>
      <c r="L125" s="90"/>
      <c r="M125" s="90"/>
      <c r="N125" s="91"/>
      <c r="O125" s="1"/>
      <c r="Q125" s="70" t="s">
        <v>43</v>
      </c>
    </row>
    <row r="126" spans="1:18" hidden="1" x14ac:dyDescent="0.2">
      <c r="B126" s="93" t="s">
        <v>302</v>
      </c>
      <c r="C126" s="93" t="s">
        <v>96</v>
      </c>
      <c r="D126" s="94"/>
      <c r="E126" s="94"/>
      <c r="F126" s="95" t="s">
        <v>97</v>
      </c>
      <c r="G126" s="96">
        <v>282746</v>
      </c>
      <c r="H126" s="96">
        <v>266500.3</v>
      </c>
      <c r="I126" s="96">
        <v>290891.5</v>
      </c>
      <c r="J126" s="99" t="s">
        <v>304</v>
      </c>
      <c r="K126" s="99" t="s">
        <v>103</v>
      </c>
      <c r="L126" s="99">
        <v>45</v>
      </c>
      <c r="M126" s="99">
        <v>50</v>
      </c>
      <c r="N126" s="99">
        <v>55</v>
      </c>
      <c r="O126" s="1"/>
      <c r="Q126" s="71" t="s">
        <v>40</v>
      </c>
    </row>
    <row r="127" spans="1:18" ht="61.5" hidden="1" customHeight="1" x14ac:dyDescent="0.2">
      <c r="B127" s="183" t="s">
        <v>100</v>
      </c>
      <c r="C127" s="183" t="s">
        <v>100</v>
      </c>
      <c r="D127" s="183" t="s">
        <v>100</v>
      </c>
      <c r="E127" s="183"/>
      <c r="F127" s="184" t="s">
        <v>101</v>
      </c>
      <c r="G127" s="185">
        <v>282746</v>
      </c>
      <c r="H127" s="185">
        <v>266500.3</v>
      </c>
      <c r="I127" s="185">
        <v>290891.5</v>
      </c>
      <c r="J127" s="17" t="s">
        <v>305</v>
      </c>
      <c r="K127" s="17" t="s">
        <v>99</v>
      </c>
      <c r="L127" s="17">
        <v>100</v>
      </c>
      <c r="M127" s="17">
        <v>100</v>
      </c>
      <c r="N127" s="17">
        <v>100</v>
      </c>
      <c r="O127" s="1"/>
      <c r="Q127" s="72" t="s">
        <v>34</v>
      </c>
    </row>
    <row r="128" spans="1:18" ht="73.5" hidden="1" customHeight="1" x14ac:dyDescent="0.2">
      <c r="B128" s="93" t="s">
        <v>302</v>
      </c>
      <c r="C128" s="93" t="s">
        <v>306</v>
      </c>
      <c r="D128" s="94"/>
      <c r="E128" s="94"/>
      <c r="F128" s="95" t="s">
        <v>307</v>
      </c>
      <c r="G128" s="96">
        <v>176690.64</v>
      </c>
      <c r="H128" s="96">
        <v>199769.7</v>
      </c>
      <c r="I128" s="96">
        <v>183251.5</v>
      </c>
      <c r="J128" s="93" t="s">
        <v>308</v>
      </c>
      <c r="K128" s="93" t="s">
        <v>223</v>
      </c>
      <c r="L128" s="93">
        <v>494537</v>
      </c>
      <c r="M128" s="93">
        <v>504439</v>
      </c>
      <c r="N128" s="93">
        <v>514538</v>
      </c>
      <c r="O128" s="1"/>
      <c r="Q128" s="71" t="s">
        <v>40</v>
      </c>
    </row>
    <row r="129" spans="1:18" ht="15" hidden="1" customHeight="1" x14ac:dyDescent="0.2">
      <c r="B129" s="181" t="s">
        <v>100</v>
      </c>
      <c r="C129" s="181" t="s">
        <v>100</v>
      </c>
      <c r="D129" s="181" t="s">
        <v>100</v>
      </c>
      <c r="E129" s="181"/>
      <c r="F129" s="181" t="s">
        <v>309</v>
      </c>
      <c r="G129" s="182">
        <v>176690.64</v>
      </c>
      <c r="H129" s="182">
        <v>199769.7</v>
      </c>
      <c r="I129" s="182">
        <v>183251.5</v>
      </c>
      <c r="J129" s="20" t="s">
        <v>310</v>
      </c>
      <c r="K129" s="20" t="s">
        <v>223</v>
      </c>
      <c r="L129" s="20">
        <v>6817</v>
      </c>
      <c r="M129" s="20">
        <v>6953</v>
      </c>
      <c r="N129" s="20">
        <v>7000</v>
      </c>
      <c r="O129" s="1"/>
      <c r="Q129" s="72" t="s">
        <v>34</v>
      </c>
    </row>
    <row r="130" spans="1:18" hidden="1" x14ac:dyDescent="0.2">
      <c r="B130" s="76"/>
      <c r="C130" s="76"/>
      <c r="D130" s="76"/>
      <c r="E130" s="76"/>
      <c r="F130" s="76"/>
      <c r="G130" s="76"/>
      <c r="H130" s="76"/>
      <c r="I130" s="76"/>
      <c r="J130" s="20" t="s">
        <v>311</v>
      </c>
      <c r="K130" s="20" t="s">
        <v>223</v>
      </c>
      <c r="L130" s="20">
        <v>4400</v>
      </c>
      <c r="M130" s="20">
        <v>4500</v>
      </c>
      <c r="N130" s="20">
        <v>4600</v>
      </c>
      <c r="O130" s="1"/>
      <c r="Q130" s="73" t="s">
        <v>37</v>
      </c>
    </row>
    <row r="131" spans="1:18" hidden="1" x14ac:dyDescent="0.2">
      <c r="B131" s="76"/>
      <c r="C131" s="76"/>
      <c r="D131" s="76"/>
      <c r="E131" s="76"/>
      <c r="F131" s="76"/>
      <c r="G131" s="76"/>
      <c r="H131" s="76"/>
      <c r="I131" s="76"/>
      <c r="J131" s="20" t="s">
        <v>312</v>
      </c>
      <c r="K131" s="20" t="s">
        <v>223</v>
      </c>
      <c r="L131" s="20">
        <v>477477</v>
      </c>
      <c r="M131" s="20">
        <v>487026</v>
      </c>
      <c r="N131" s="20">
        <v>496575</v>
      </c>
      <c r="O131" s="1"/>
      <c r="Q131" s="73" t="s">
        <v>37</v>
      </c>
    </row>
    <row r="132" spans="1:18" ht="24" hidden="1" customHeight="1" x14ac:dyDescent="0.2">
      <c r="B132" s="77"/>
      <c r="C132" s="77"/>
      <c r="D132" s="77"/>
      <c r="E132" s="77"/>
      <c r="F132" s="77"/>
      <c r="G132" s="77"/>
      <c r="H132" s="77"/>
      <c r="I132" s="77"/>
      <c r="J132" s="20" t="s">
        <v>313</v>
      </c>
      <c r="K132" s="20" t="s">
        <v>223</v>
      </c>
      <c r="L132" s="20">
        <v>5843</v>
      </c>
      <c r="M132" s="20">
        <v>5960</v>
      </c>
      <c r="N132" s="20">
        <v>6000</v>
      </c>
      <c r="O132" s="1"/>
      <c r="Q132" s="73" t="s">
        <v>37</v>
      </c>
    </row>
    <row r="133" spans="1:18" ht="27" hidden="1" customHeight="1" x14ac:dyDescent="0.2">
      <c r="B133" s="93" t="s">
        <v>302</v>
      </c>
      <c r="C133" s="93" t="s">
        <v>314</v>
      </c>
      <c r="D133" s="94"/>
      <c r="E133" s="94"/>
      <c r="F133" s="95" t="s">
        <v>315</v>
      </c>
      <c r="G133" s="96">
        <v>191314.8</v>
      </c>
      <c r="H133" s="96">
        <v>195752.1</v>
      </c>
      <c r="I133" s="96">
        <v>199667</v>
      </c>
      <c r="J133" s="93" t="s">
        <v>316</v>
      </c>
      <c r="K133" s="93" t="s">
        <v>99</v>
      </c>
      <c r="L133" s="93">
        <v>70</v>
      </c>
      <c r="M133" s="93">
        <v>75</v>
      </c>
      <c r="N133" s="93">
        <v>80</v>
      </c>
      <c r="O133" s="1"/>
      <c r="Q133" s="71" t="s">
        <v>40</v>
      </c>
    </row>
    <row r="134" spans="1:18" ht="28.5" hidden="1" customHeight="1" x14ac:dyDescent="0.2">
      <c r="B134" s="183" t="s">
        <v>100</v>
      </c>
      <c r="C134" s="183" t="s">
        <v>100</v>
      </c>
      <c r="D134" s="183" t="s">
        <v>100</v>
      </c>
      <c r="E134" s="183"/>
      <c r="F134" s="184" t="s">
        <v>317</v>
      </c>
      <c r="G134" s="185">
        <v>191314.8</v>
      </c>
      <c r="H134" s="185">
        <v>195752.1</v>
      </c>
      <c r="I134" s="185">
        <v>199667</v>
      </c>
      <c r="J134" s="20" t="s">
        <v>318</v>
      </c>
      <c r="K134" s="20" t="s">
        <v>223</v>
      </c>
      <c r="L134" s="20">
        <v>18119</v>
      </c>
      <c r="M134" s="20">
        <v>18663</v>
      </c>
      <c r="N134" s="20">
        <v>19207</v>
      </c>
      <c r="O134" s="1"/>
      <c r="Q134" s="72" t="s">
        <v>34</v>
      </c>
    </row>
    <row r="135" spans="1:18" ht="97.5" hidden="1" customHeight="1" x14ac:dyDescent="0.2">
      <c r="B135" s="93" t="s">
        <v>302</v>
      </c>
      <c r="C135" s="93" t="s">
        <v>319</v>
      </c>
      <c r="D135" s="94"/>
      <c r="E135" s="94"/>
      <c r="F135" s="95" t="s">
        <v>320</v>
      </c>
      <c r="G135" s="96">
        <v>272664</v>
      </c>
      <c r="H135" s="96">
        <v>277496.3</v>
      </c>
      <c r="I135" s="96">
        <v>282803.7</v>
      </c>
      <c r="J135" s="93" t="s">
        <v>321</v>
      </c>
      <c r="K135" s="93" t="s">
        <v>159</v>
      </c>
      <c r="L135" s="93">
        <v>2000</v>
      </c>
      <c r="M135" s="93">
        <v>2000</v>
      </c>
      <c r="N135" s="93">
        <v>2000</v>
      </c>
      <c r="O135" s="1"/>
      <c r="Q135" s="71" t="s">
        <v>40</v>
      </c>
    </row>
    <row r="136" spans="1:18" ht="55.5" hidden="1" customHeight="1" x14ac:dyDescent="0.2">
      <c r="B136" s="183" t="s">
        <v>100</v>
      </c>
      <c r="C136" s="183" t="s">
        <v>100</v>
      </c>
      <c r="D136" s="183" t="s">
        <v>100</v>
      </c>
      <c r="E136" s="183"/>
      <c r="F136" s="184" t="s">
        <v>322</v>
      </c>
      <c r="G136" s="185">
        <v>272664</v>
      </c>
      <c r="H136" s="185">
        <v>277496.3</v>
      </c>
      <c r="I136" s="185">
        <v>282803.7</v>
      </c>
      <c r="J136" s="20" t="s">
        <v>321</v>
      </c>
      <c r="K136" s="20" t="s">
        <v>159</v>
      </c>
      <c r="L136" s="20">
        <v>2000</v>
      </c>
      <c r="M136" s="20">
        <v>2000</v>
      </c>
      <c r="N136" s="20">
        <v>2000</v>
      </c>
      <c r="O136" s="1"/>
      <c r="Q136" s="72" t="s">
        <v>34</v>
      </c>
    </row>
    <row r="137" spans="1:18" ht="23.25" hidden="1" customHeight="1" x14ac:dyDescent="0.2">
      <c r="B137" s="93" t="s">
        <v>302</v>
      </c>
      <c r="C137" s="93" t="s">
        <v>323</v>
      </c>
      <c r="D137" s="94"/>
      <c r="E137" s="94"/>
      <c r="F137" s="95" t="s">
        <v>324</v>
      </c>
      <c r="G137" s="96">
        <v>181071.6</v>
      </c>
      <c r="H137" s="96">
        <v>165221.1</v>
      </c>
      <c r="I137" s="96">
        <v>168561.6</v>
      </c>
      <c r="J137" s="98" t="s">
        <v>325</v>
      </c>
      <c r="K137" s="98" t="s">
        <v>105</v>
      </c>
      <c r="L137" s="98">
        <v>8000</v>
      </c>
      <c r="M137" s="98">
        <v>8200</v>
      </c>
      <c r="N137" s="98">
        <v>8200</v>
      </c>
      <c r="O137" s="1"/>
      <c r="Q137" s="71" t="s">
        <v>40</v>
      </c>
    </row>
    <row r="138" spans="1:18" ht="23.25" hidden="1" customHeight="1" x14ac:dyDescent="0.2">
      <c r="B138" s="183" t="s">
        <v>100</v>
      </c>
      <c r="C138" s="183" t="s">
        <v>100</v>
      </c>
      <c r="D138" s="183" t="s">
        <v>100</v>
      </c>
      <c r="E138" s="183"/>
      <c r="F138" s="184" t="s">
        <v>325</v>
      </c>
      <c r="G138" s="185">
        <v>181071.6</v>
      </c>
      <c r="H138" s="185">
        <v>165221.1</v>
      </c>
      <c r="I138" s="185">
        <v>168561.6</v>
      </c>
      <c r="J138" s="20" t="s">
        <v>326</v>
      </c>
      <c r="K138" s="20" t="s">
        <v>105</v>
      </c>
      <c r="L138" s="20">
        <v>8000</v>
      </c>
      <c r="M138" s="20">
        <v>8200</v>
      </c>
      <c r="N138" s="20">
        <v>8200</v>
      </c>
      <c r="O138" s="1"/>
      <c r="Q138" s="72" t="s">
        <v>34</v>
      </c>
    </row>
    <row r="139" spans="1:18" ht="36" hidden="1" customHeight="1" x14ac:dyDescent="0.2">
      <c r="B139" s="93" t="s">
        <v>302</v>
      </c>
      <c r="C139" s="93" t="s">
        <v>327</v>
      </c>
      <c r="D139" s="94"/>
      <c r="E139" s="94"/>
      <c r="F139" s="95" t="s">
        <v>328</v>
      </c>
      <c r="G139" s="96">
        <v>245999.5</v>
      </c>
      <c r="H139" s="96">
        <v>250919.5</v>
      </c>
      <c r="I139" s="96">
        <v>255937.9</v>
      </c>
      <c r="J139" s="97" t="s">
        <v>329</v>
      </c>
      <c r="K139" s="97" t="s">
        <v>99</v>
      </c>
      <c r="L139" s="97">
        <v>60</v>
      </c>
      <c r="M139" s="97">
        <v>60</v>
      </c>
      <c r="N139" s="97">
        <v>60</v>
      </c>
      <c r="O139" s="1"/>
      <c r="Q139" s="71" t="s">
        <v>40</v>
      </c>
      <c r="R139" s="75" t="s">
        <v>149</v>
      </c>
    </row>
    <row r="140" spans="1:18" ht="36" hidden="1" customHeight="1" x14ac:dyDescent="0.2">
      <c r="B140" s="183" t="s">
        <v>120</v>
      </c>
      <c r="C140" s="183" t="s">
        <v>120</v>
      </c>
      <c r="D140" s="183" t="s">
        <v>120</v>
      </c>
      <c r="E140" s="183"/>
      <c r="F140" s="184" t="s">
        <v>330</v>
      </c>
      <c r="G140" s="185">
        <v>237214.4</v>
      </c>
      <c r="H140" s="185">
        <v>241958.7</v>
      </c>
      <c r="I140" s="185">
        <v>246797.9</v>
      </c>
      <c r="J140" s="14" t="s">
        <v>331</v>
      </c>
      <c r="K140" s="14" t="s">
        <v>99</v>
      </c>
      <c r="L140" s="14">
        <v>60</v>
      </c>
      <c r="M140" s="14">
        <v>60</v>
      </c>
      <c r="N140" s="14">
        <v>60</v>
      </c>
      <c r="O140" s="1"/>
      <c r="Q140" s="72" t="s">
        <v>34</v>
      </c>
      <c r="R140" s="75" t="s">
        <v>149</v>
      </c>
    </row>
    <row r="141" spans="1:18" ht="18" hidden="1" customHeight="1" x14ac:dyDescent="0.2">
      <c r="B141" s="183" t="s">
        <v>150</v>
      </c>
      <c r="C141" s="183" t="s">
        <v>150</v>
      </c>
      <c r="D141" s="183" t="s">
        <v>150</v>
      </c>
      <c r="E141" s="183"/>
      <c r="F141" s="184" t="s">
        <v>332</v>
      </c>
      <c r="G141" s="185">
        <v>8785.1</v>
      </c>
      <c r="H141" s="185">
        <v>8960.7999999999993</v>
      </c>
      <c r="I141" s="185">
        <v>9140</v>
      </c>
      <c r="J141" s="20" t="s">
        <v>333</v>
      </c>
      <c r="K141" s="20" t="s">
        <v>223</v>
      </c>
      <c r="L141" s="20">
        <v>24</v>
      </c>
      <c r="M141" s="20">
        <v>26</v>
      </c>
      <c r="N141" s="20">
        <v>28</v>
      </c>
      <c r="O141" s="1"/>
      <c r="Q141" s="72" t="s">
        <v>34</v>
      </c>
    </row>
    <row r="142" spans="1:18" ht="15" hidden="1" customHeight="1" x14ac:dyDescent="0.2">
      <c r="B142" s="174" t="s">
        <v>112</v>
      </c>
      <c r="C142" s="175"/>
      <c r="D142" s="176"/>
      <c r="E142" s="176"/>
      <c r="F142" s="177"/>
      <c r="G142" s="178">
        <v>1350486.54</v>
      </c>
      <c r="H142" s="178">
        <v>1355659</v>
      </c>
      <c r="I142" s="178">
        <v>1381113.2</v>
      </c>
      <c r="J142" s="179"/>
      <c r="K142" s="176"/>
      <c r="L142" s="176"/>
      <c r="M142" s="176"/>
      <c r="N142" s="177"/>
      <c r="O142" s="1"/>
      <c r="Q142" s="74" t="s">
        <v>46</v>
      </c>
    </row>
    <row r="143" spans="1:18" ht="15" hidden="1" customHeight="1" x14ac:dyDescent="0.2">
      <c r="A143" s="4" t="str">
        <f>C143</f>
        <v>Министерство иностранных дел Кыргызской Республики</v>
      </c>
      <c r="B143" s="87" t="s">
        <v>334</v>
      </c>
      <c r="C143" s="88" t="s">
        <v>335</v>
      </c>
      <c r="D143" s="90"/>
      <c r="E143" s="90"/>
      <c r="F143" s="90"/>
      <c r="G143" s="90"/>
      <c r="H143" s="90"/>
      <c r="I143" s="90"/>
      <c r="J143" s="90"/>
      <c r="K143" s="90"/>
      <c r="L143" s="90"/>
      <c r="M143" s="90"/>
      <c r="N143" s="91"/>
      <c r="O143" s="1"/>
      <c r="Q143" s="70" t="s">
        <v>43</v>
      </c>
    </row>
    <row r="144" spans="1:18" hidden="1" x14ac:dyDescent="0.2">
      <c r="B144" s="93" t="s">
        <v>334</v>
      </c>
      <c r="C144" s="93" t="s">
        <v>96</v>
      </c>
      <c r="D144" s="94"/>
      <c r="E144" s="94"/>
      <c r="F144" s="95" t="s">
        <v>97</v>
      </c>
      <c r="G144" s="96">
        <v>2287244.9</v>
      </c>
      <c r="H144" s="96">
        <v>2331345.1</v>
      </c>
      <c r="I144" s="96">
        <v>2378310.6</v>
      </c>
      <c r="J144" s="99" t="s">
        <v>304</v>
      </c>
      <c r="K144" s="99" t="s">
        <v>99</v>
      </c>
      <c r="L144" s="99">
        <v>35</v>
      </c>
      <c r="M144" s="99">
        <v>35</v>
      </c>
      <c r="N144" s="99">
        <v>35</v>
      </c>
      <c r="O144" s="1"/>
      <c r="Q144" s="71" t="s">
        <v>40</v>
      </c>
    </row>
    <row r="145" spans="1:18" ht="24" hidden="1" customHeight="1" x14ac:dyDescent="0.2">
      <c r="B145" s="183" t="s">
        <v>100</v>
      </c>
      <c r="C145" s="183" t="s">
        <v>100</v>
      </c>
      <c r="D145" s="183" t="s">
        <v>100</v>
      </c>
      <c r="E145" s="183"/>
      <c r="F145" s="184" t="s">
        <v>101</v>
      </c>
      <c r="G145" s="185">
        <v>2260153.5</v>
      </c>
      <c r="H145" s="185">
        <v>2305356.6</v>
      </c>
      <c r="I145" s="185">
        <v>2351463.7000000002</v>
      </c>
      <c r="J145" s="3" t="s">
        <v>304</v>
      </c>
      <c r="K145" s="3" t="s">
        <v>99</v>
      </c>
      <c r="L145" s="3">
        <v>35</v>
      </c>
      <c r="M145" s="3">
        <v>35</v>
      </c>
      <c r="N145" s="3">
        <v>35</v>
      </c>
      <c r="O145" s="1"/>
      <c r="Q145" s="72" t="s">
        <v>34</v>
      </c>
    </row>
    <row r="146" spans="1:18" ht="24" hidden="1" customHeight="1" x14ac:dyDescent="0.2">
      <c r="B146" s="183" t="s">
        <v>120</v>
      </c>
      <c r="C146" s="183" t="s">
        <v>120</v>
      </c>
      <c r="D146" s="183" t="s">
        <v>120</v>
      </c>
      <c r="E146" s="183"/>
      <c r="F146" s="184" t="s">
        <v>203</v>
      </c>
      <c r="G146" s="185">
        <v>27091.4</v>
      </c>
      <c r="H146" s="185">
        <v>25988.5</v>
      </c>
      <c r="I146" s="185">
        <v>26846.9</v>
      </c>
      <c r="J146" s="3" t="s">
        <v>304</v>
      </c>
      <c r="K146" s="3" t="s">
        <v>99</v>
      </c>
      <c r="L146" s="3">
        <v>35</v>
      </c>
      <c r="M146" s="3">
        <v>35</v>
      </c>
      <c r="N146" s="3">
        <v>35</v>
      </c>
      <c r="O146" s="1"/>
      <c r="Q146" s="72" t="s">
        <v>34</v>
      </c>
    </row>
    <row r="147" spans="1:18" ht="32.25" hidden="1" customHeight="1" x14ac:dyDescent="0.2">
      <c r="B147" s="93" t="s">
        <v>334</v>
      </c>
      <c r="C147" s="93" t="s">
        <v>336</v>
      </c>
      <c r="D147" s="94"/>
      <c r="E147" s="94"/>
      <c r="F147" s="95" t="s">
        <v>337</v>
      </c>
      <c r="G147" s="96">
        <v>2408549.4</v>
      </c>
      <c r="H147" s="96">
        <v>2450711.7999999998</v>
      </c>
      <c r="I147" s="96">
        <v>2493717.4</v>
      </c>
      <c r="J147" s="97" t="s">
        <v>253</v>
      </c>
      <c r="K147" s="97" t="s">
        <v>99</v>
      </c>
      <c r="L147" s="97">
        <v>100</v>
      </c>
      <c r="M147" s="97">
        <v>100</v>
      </c>
      <c r="N147" s="97">
        <v>100</v>
      </c>
      <c r="O147" s="1"/>
      <c r="Q147" s="71" t="s">
        <v>40</v>
      </c>
      <c r="R147" s="75" t="s">
        <v>149</v>
      </c>
    </row>
    <row r="148" spans="1:18" ht="36" hidden="1" customHeight="1" x14ac:dyDescent="0.2">
      <c r="B148" s="183" t="s">
        <v>100</v>
      </c>
      <c r="C148" s="183" t="s">
        <v>100</v>
      </c>
      <c r="D148" s="183" t="s">
        <v>100</v>
      </c>
      <c r="E148" s="183"/>
      <c r="F148" s="184" t="s">
        <v>338</v>
      </c>
      <c r="G148" s="185">
        <v>2408549.4</v>
      </c>
      <c r="H148" s="185">
        <v>2450711.7999999998</v>
      </c>
      <c r="I148" s="185">
        <v>2493717.4</v>
      </c>
      <c r="J148" s="3" t="s">
        <v>339</v>
      </c>
      <c r="K148" s="3" t="s">
        <v>155</v>
      </c>
      <c r="L148" s="3">
        <v>40</v>
      </c>
      <c r="M148" s="3">
        <v>40</v>
      </c>
      <c r="N148" s="3">
        <v>40</v>
      </c>
      <c r="O148" s="1"/>
      <c r="Q148" s="72" t="s">
        <v>34</v>
      </c>
      <c r="R148" s="75" t="s">
        <v>169</v>
      </c>
    </row>
    <row r="149" spans="1:18" ht="30.75" hidden="1" customHeight="1" x14ac:dyDescent="0.2">
      <c r="B149" s="93" t="s">
        <v>334</v>
      </c>
      <c r="C149" s="93" t="s">
        <v>340</v>
      </c>
      <c r="D149" s="94"/>
      <c r="E149" s="94"/>
      <c r="F149" s="95" t="s">
        <v>341</v>
      </c>
      <c r="G149" s="96">
        <v>44684.45</v>
      </c>
      <c r="H149" s="96">
        <v>45702.400000000001</v>
      </c>
      <c r="I149" s="96">
        <v>45763.75</v>
      </c>
      <c r="J149" s="97" t="s">
        <v>201</v>
      </c>
      <c r="K149" s="97" t="s">
        <v>99</v>
      </c>
      <c r="L149" s="97">
        <v>100</v>
      </c>
      <c r="M149" s="97">
        <v>100</v>
      </c>
      <c r="N149" s="97">
        <v>100</v>
      </c>
      <c r="O149" s="1"/>
      <c r="Q149" s="71" t="s">
        <v>40</v>
      </c>
    </row>
    <row r="150" spans="1:18" ht="43.5" hidden="1" customHeight="1" x14ac:dyDescent="0.2">
      <c r="B150" s="183" t="s">
        <v>100</v>
      </c>
      <c r="C150" s="183" t="s">
        <v>100</v>
      </c>
      <c r="D150" s="183" t="s">
        <v>100</v>
      </c>
      <c r="E150" s="183"/>
      <c r="F150" s="184" t="s">
        <v>342</v>
      </c>
      <c r="G150" s="185">
        <v>44684.45</v>
      </c>
      <c r="H150" s="185">
        <v>45702.400000000001</v>
      </c>
      <c r="I150" s="185">
        <v>45763.75</v>
      </c>
      <c r="J150" s="3" t="s">
        <v>343</v>
      </c>
      <c r="K150" s="3" t="s">
        <v>99</v>
      </c>
      <c r="L150" s="3">
        <v>90</v>
      </c>
      <c r="M150" s="3">
        <v>90</v>
      </c>
      <c r="N150" s="3">
        <v>90</v>
      </c>
      <c r="O150" s="1"/>
      <c r="Q150" s="72" t="s">
        <v>34</v>
      </c>
    </row>
    <row r="151" spans="1:18" ht="15" hidden="1" customHeight="1" x14ac:dyDescent="0.2">
      <c r="B151" s="174" t="s">
        <v>112</v>
      </c>
      <c r="C151" s="175"/>
      <c r="D151" s="176"/>
      <c r="E151" s="176"/>
      <c r="F151" s="177"/>
      <c r="G151" s="178">
        <v>4740478.75</v>
      </c>
      <c r="H151" s="178">
        <v>4827759.3</v>
      </c>
      <c r="I151" s="178">
        <v>4917791.75</v>
      </c>
      <c r="J151" s="179"/>
      <c r="K151" s="176"/>
      <c r="L151" s="176"/>
      <c r="M151" s="176"/>
      <c r="N151" s="177"/>
      <c r="O151" s="1"/>
      <c r="Q151" s="74" t="s">
        <v>46</v>
      </c>
    </row>
    <row r="152" spans="1:18" ht="15" hidden="1" customHeight="1" x14ac:dyDescent="0.2">
      <c r="A152" s="4" t="str">
        <f>C152</f>
        <v>Резервные и другие фонды территорий</v>
      </c>
      <c r="B152" s="87" t="s">
        <v>344</v>
      </c>
      <c r="C152" s="88" t="s">
        <v>345</v>
      </c>
      <c r="D152" s="90"/>
      <c r="E152" s="90"/>
      <c r="F152" s="90"/>
      <c r="G152" s="90"/>
      <c r="H152" s="90"/>
      <c r="I152" s="90"/>
      <c r="J152" s="90"/>
      <c r="K152" s="90"/>
      <c r="L152" s="90"/>
      <c r="M152" s="90"/>
      <c r="N152" s="91"/>
      <c r="O152" s="1"/>
      <c r="Q152" s="70" t="s">
        <v>43</v>
      </c>
    </row>
    <row r="153" spans="1:18" hidden="1" x14ac:dyDescent="0.2">
      <c r="B153" s="93" t="s">
        <v>344</v>
      </c>
      <c r="C153" s="93" t="s">
        <v>346</v>
      </c>
      <c r="D153" s="94"/>
      <c r="E153" s="94"/>
      <c r="F153" s="95" t="s">
        <v>345</v>
      </c>
      <c r="G153" s="96">
        <v>5159304.8000000007</v>
      </c>
      <c r="H153" s="96">
        <v>5198766.8000000007</v>
      </c>
      <c r="I153" s="96">
        <v>5198366.8</v>
      </c>
      <c r="J153" s="101" t="s">
        <v>347</v>
      </c>
      <c r="K153" s="101" t="s">
        <v>99</v>
      </c>
      <c r="L153" s="101">
        <v>100</v>
      </c>
      <c r="M153" s="101">
        <v>100</v>
      </c>
      <c r="N153" s="101">
        <v>100</v>
      </c>
      <c r="O153" s="1"/>
      <c r="Q153" s="71" t="s">
        <v>40</v>
      </c>
    </row>
    <row r="154" spans="1:18" hidden="1" x14ac:dyDescent="0.2">
      <c r="B154" s="183" t="s">
        <v>100</v>
      </c>
      <c r="C154" s="183" t="s">
        <v>100</v>
      </c>
      <c r="D154" s="183" t="s">
        <v>100</v>
      </c>
      <c r="E154" s="183"/>
      <c r="F154" s="184" t="s">
        <v>348</v>
      </c>
      <c r="G154" s="185">
        <v>1100000.7</v>
      </c>
      <c r="H154" s="185">
        <v>1100000.7</v>
      </c>
      <c r="I154" s="185">
        <v>1100000.7</v>
      </c>
      <c r="J154" s="3" t="s">
        <v>349</v>
      </c>
      <c r="K154" s="3" t="s">
        <v>99</v>
      </c>
      <c r="L154" s="3">
        <v>100</v>
      </c>
      <c r="M154" s="3">
        <v>100</v>
      </c>
      <c r="N154" s="3">
        <v>100</v>
      </c>
      <c r="O154" s="1"/>
      <c r="Q154" s="72" t="s">
        <v>34</v>
      </c>
    </row>
    <row r="155" spans="1:18" hidden="1" x14ac:dyDescent="0.2">
      <c r="B155" s="183" t="s">
        <v>120</v>
      </c>
      <c r="C155" s="183" t="s">
        <v>120</v>
      </c>
      <c r="D155" s="183" t="s">
        <v>120</v>
      </c>
      <c r="E155" s="183"/>
      <c r="F155" s="184" t="s">
        <v>350</v>
      </c>
      <c r="G155" s="185">
        <v>1942918</v>
      </c>
      <c r="H155" s="185">
        <v>1942918</v>
      </c>
      <c r="I155" s="185">
        <v>1939074.4</v>
      </c>
      <c r="J155" s="3" t="s">
        <v>351</v>
      </c>
      <c r="K155" s="3" t="s">
        <v>99</v>
      </c>
      <c r="L155" s="3">
        <v>95</v>
      </c>
      <c r="M155" s="3">
        <v>95</v>
      </c>
      <c r="N155" s="3">
        <v>95</v>
      </c>
      <c r="O155" s="1"/>
      <c r="Q155" s="72" t="s">
        <v>34</v>
      </c>
    </row>
    <row r="156" spans="1:18" hidden="1" x14ac:dyDescent="0.2">
      <c r="B156" s="183" t="s">
        <v>150</v>
      </c>
      <c r="C156" s="183" t="s">
        <v>150</v>
      </c>
      <c r="D156" s="183" t="s">
        <v>150</v>
      </c>
      <c r="E156" s="183"/>
      <c r="F156" s="184" t="s">
        <v>352</v>
      </c>
      <c r="G156" s="185">
        <v>1819986.1</v>
      </c>
      <c r="H156" s="185">
        <v>1859448.1</v>
      </c>
      <c r="I156" s="185">
        <v>1863291.7</v>
      </c>
      <c r="J156" s="3" t="s">
        <v>353</v>
      </c>
      <c r="K156" s="3" t="s">
        <v>99</v>
      </c>
      <c r="L156" s="3">
        <v>95</v>
      </c>
      <c r="M156" s="3">
        <v>95</v>
      </c>
      <c r="N156" s="3">
        <v>95</v>
      </c>
      <c r="O156" s="1"/>
      <c r="Q156" s="72" t="s">
        <v>34</v>
      </c>
    </row>
    <row r="157" spans="1:18" ht="27" hidden="1" customHeight="1" x14ac:dyDescent="0.2">
      <c r="B157" s="183" t="s">
        <v>124</v>
      </c>
      <c r="C157" s="183" t="s">
        <v>124</v>
      </c>
      <c r="D157" s="183" t="s">
        <v>124</v>
      </c>
      <c r="E157" s="183"/>
      <c r="F157" s="184" t="s">
        <v>354</v>
      </c>
      <c r="G157" s="185">
        <v>30000</v>
      </c>
      <c r="H157" s="185">
        <v>30000</v>
      </c>
      <c r="I157" s="185">
        <v>30000</v>
      </c>
      <c r="J157" s="3" t="s">
        <v>355</v>
      </c>
      <c r="K157" s="3" t="s">
        <v>99</v>
      </c>
      <c r="L157" s="3">
        <v>95</v>
      </c>
      <c r="M157" s="3">
        <v>95</v>
      </c>
      <c r="N157" s="3">
        <v>95</v>
      </c>
      <c r="O157" s="1"/>
      <c r="Q157" s="72" t="s">
        <v>34</v>
      </c>
    </row>
    <row r="158" spans="1:18" ht="24" hidden="1" customHeight="1" x14ac:dyDescent="0.2">
      <c r="B158" s="183" t="s">
        <v>156</v>
      </c>
      <c r="C158" s="183" t="s">
        <v>156</v>
      </c>
      <c r="D158" s="183" t="s">
        <v>156</v>
      </c>
      <c r="E158" s="183"/>
      <c r="F158" s="184" t="s">
        <v>356</v>
      </c>
      <c r="G158" s="185">
        <v>30000</v>
      </c>
      <c r="H158" s="185">
        <v>30000</v>
      </c>
      <c r="I158" s="185">
        <v>30000</v>
      </c>
      <c r="J158" s="3" t="s">
        <v>357</v>
      </c>
      <c r="K158" s="3" t="s">
        <v>99</v>
      </c>
      <c r="L158" s="3">
        <v>90</v>
      </c>
      <c r="M158" s="3">
        <v>90</v>
      </c>
      <c r="N158" s="3">
        <v>90</v>
      </c>
      <c r="O158" s="1"/>
      <c r="Q158" s="72" t="s">
        <v>34</v>
      </c>
    </row>
    <row r="159" spans="1:18" ht="27.75" hidden="1" customHeight="1" x14ac:dyDescent="0.2">
      <c r="B159" s="183" t="s">
        <v>160</v>
      </c>
      <c r="C159" s="183" t="s">
        <v>160</v>
      </c>
      <c r="D159" s="183" t="s">
        <v>160</v>
      </c>
      <c r="E159" s="183"/>
      <c r="F159" s="184" t="s">
        <v>358</v>
      </c>
      <c r="G159" s="185">
        <v>236400</v>
      </c>
      <c r="H159" s="185">
        <v>236400</v>
      </c>
      <c r="I159" s="185">
        <v>236000</v>
      </c>
      <c r="J159" s="3" t="s">
        <v>359</v>
      </c>
      <c r="K159" s="3" t="s">
        <v>99</v>
      </c>
      <c r="L159" s="3">
        <v>100</v>
      </c>
      <c r="M159" s="3">
        <v>100</v>
      </c>
      <c r="N159" s="3">
        <v>100</v>
      </c>
      <c r="O159" s="1"/>
      <c r="Q159" s="72" t="s">
        <v>34</v>
      </c>
    </row>
    <row r="160" spans="1:18" ht="15" hidden="1" customHeight="1" x14ac:dyDescent="0.2">
      <c r="B160" s="174" t="s">
        <v>112</v>
      </c>
      <c r="C160" s="175"/>
      <c r="D160" s="176"/>
      <c r="E160" s="176"/>
      <c r="F160" s="177"/>
      <c r="G160" s="178">
        <v>5159304.8000000007</v>
      </c>
      <c r="H160" s="178">
        <v>5198766.8000000007</v>
      </c>
      <c r="I160" s="178">
        <v>5198366.8</v>
      </c>
      <c r="J160" s="179"/>
      <c r="K160" s="176"/>
      <c r="L160" s="176"/>
      <c r="M160" s="176"/>
      <c r="N160" s="177"/>
      <c r="O160" s="1"/>
      <c r="Q160" s="74" t="s">
        <v>46</v>
      </c>
    </row>
    <row r="161" spans="1:18" ht="15" hidden="1" customHeight="1" x14ac:dyDescent="0.2">
      <c r="A161" s="4" t="str">
        <f>C161</f>
        <v>Министерство финансов Кыргызской Республики</v>
      </c>
      <c r="B161" s="87" t="s">
        <v>360</v>
      </c>
      <c r="C161" s="88" t="s">
        <v>361</v>
      </c>
      <c r="D161" s="90"/>
      <c r="E161" s="90"/>
      <c r="F161" s="90"/>
      <c r="G161" s="90"/>
      <c r="H161" s="90"/>
      <c r="I161" s="90"/>
      <c r="J161" s="90"/>
      <c r="K161" s="90"/>
      <c r="L161" s="90"/>
      <c r="M161" s="90"/>
      <c r="N161" s="91"/>
      <c r="O161" s="1"/>
      <c r="Q161" s="70" t="s">
        <v>43</v>
      </c>
    </row>
    <row r="162" spans="1:18" hidden="1" x14ac:dyDescent="0.2">
      <c r="B162" s="93" t="s">
        <v>360</v>
      </c>
      <c r="C162" s="93" t="s">
        <v>96</v>
      </c>
      <c r="D162" s="94"/>
      <c r="E162" s="94"/>
      <c r="F162" s="95" t="s">
        <v>97</v>
      </c>
      <c r="G162" s="96">
        <v>2077532.3</v>
      </c>
      <c r="H162" s="96">
        <v>2100402.2400000002</v>
      </c>
      <c r="I162" s="96">
        <v>2115956.2999999998</v>
      </c>
      <c r="J162" s="99" t="s">
        <v>304</v>
      </c>
      <c r="K162" s="99" t="s">
        <v>103</v>
      </c>
      <c r="L162" s="99">
        <v>32</v>
      </c>
      <c r="M162" s="99">
        <v>33</v>
      </c>
      <c r="N162" s="99">
        <v>33</v>
      </c>
      <c r="O162" s="1"/>
      <c r="Q162" s="71" t="s">
        <v>40</v>
      </c>
    </row>
    <row r="163" spans="1:18" ht="24" hidden="1" customHeight="1" x14ac:dyDescent="0.2">
      <c r="B163" s="183" t="s">
        <v>100</v>
      </c>
      <c r="C163" s="183" t="s">
        <v>100</v>
      </c>
      <c r="D163" s="183" t="s">
        <v>100</v>
      </c>
      <c r="E163" s="183"/>
      <c r="F163" s="184" t="s">
        <v>101</v>
      </c>
      <c r="G163" s="185">
        <v>1614854.3</v>
      </c>
      <c r="H163" s="185">
        <v>1628470.8</v>
      </c>
      <c r="I163" s="185">
        <v>1634716.2</v>
      </c>
      <c r="J163" s="3" t="s">
        <v>304</v>
      </c>
      <c r="K163" s="3" t="s">
        <v>103</v>
      </c>
      <c r="L163" s="3">
        <v>32</v>
      </c>
      <c r="M163" s="3">
        <v>33</v>
      </c>
      <c r="N163" s="3">
        <v>33</v>
      </c>
      <c r="O163" s="1"/>
      <c r="Q163" s="72" t="s">
        <v>34</v>
      </c>
    </row>
    <row r="164" spans="1:18" ht="29.25" hidden="1" customHeight="1" x14ac:dyDescent="0.2">
      <c r="B164" s="183" t="s">
        <v>120</v>
      </c>
      <c r="C164" s="183" t="s">
        <v>120</v>
      </c>
      <c r="D164" s="183" t="s">
        <v>120</v>
      </c>
      <c r="E164" s="183"/>
      <c r="F164" s="184" t="s">
        <v>203</v>
      </c>
      <c r="G164" s="185">
        <v>462678</v>
      </c>
      <c r="H164" s="185">
        <v>471931.44</v>
      </c>
      <c r="I164" s="185">
        <v>481240.1</v>
      </c>
      <c r="J164" s="3" t="s">
        <v>304</v>
      </c>
      <c r="K164" s="3" t="s">
        <v>103</v>
      </c>
      <c r="L164" s="3">
        <v>32</v>
      </c>
      <c r="M164" s="3">
        <v>33</v>
      </c>
      <c r="N164" s="3">
        <v>33</v>
      </c>
      <c r="O164" s="1"/>
      <c r="Q164" s="72" t="s">
        <v>34</v>
      </c>
    </row>
    <row r="165" spans="1:18" ht="28.5" hidden="1" customHeight="1" x14ac:dyDescent="0.2">
      <c r="B165" s="93" t="s">
        <v>360</v>
      </c>
      <c r="C165" s="93" t="s">
        <v>362</v>
      </c>
      <c r="D165" s="94"/>
      <c r="E165" s="94"/>
      <c r="F165" s="95" t="s">
        <v>363</v>
      </c>
      <c r="G165" s="96">
        <v>332704.90000000002</v>
      </c>
      <c r="H165" s="96">
        <v>336444.9</v>
      </c>
      <c r="I165" s="96">
        <v>340076.7</v>
      </c>
      <c r="J165" s="97" t="s">
        <v>364</v>
      </c>
      <c r="K165" s="97" t="s">
        <v>99</v>
      </c>
      <c r="L165" s="97">
        <v>100</v>
      </c>
      <c r="M165" s="97">
        <v>100</v>
      </c>
      <c r="N165" s="97">
        <v>100</v>
      </c>
      <c r="O165" s="1"/>
      <c r="Q165" s="71" t="s">
        <v>40</v>
      </c>
    </row>
    <row r="166" spans="1:18" ht="36" hidden="1" customHeight="1" x14ac:dyDescent="0.2">
      <c r="B166" s="183" t="s">
        <v>100</v>
      </c>
      <c r="C166" s="183" t="s">
        <v>100</v>
      </c>
      <c r="D166" s="183" t="s">
        <v>100</v>
      </c>
      <c r="E166" s="183"/>
      <c r="F166" s="184" t="s">
        <v>365</v>
      </c>
      <c r="G166" s="185">
        <v>27771.200000000001</v>
      </c>
      <c r="H166" s="185">
        <v>28046.6</v>
      </c>
      <c r="I166" s="185">
        <v>28225.5</v>
      </c>
      <c r="J166" s="3" t="s">
        <v>366</v>
      </c>
      <c r="K166" s="3" t="s">
        <v>159</v>
      </c>
      <c r="L166" s="3">
        <v>5200</v>
      </c>
      <c r="M166" s="3">
        <v>5200</v>
      </c>
      <c r="N166" s="3">
        <v>5200</v>
      </c>
      <c r="O166" s="1"/>
      <c r="Q166" s="72" t="s">
        <v>34</v>
      </c>
    </row>
    <row r="167" spans="1:18" ht="34.5" hidden="1" customHeight="1" x14ac:dyDescent="0.2">
      <c r="B167" s="181" t="s">
        <v>120</v>
      </c>
      <c r="C167" s="181" t="s">
        <v>120</v>
      </c>
      <c r="D167" s="181" t="s">
        <v>120</v>
      </c>
      <c r="E167" s="181"/>
      <c r="F167" s="181" t="s">
        <v>367</v>
      </c>
      <c r="G167" s="182">
        <v>45181.9</v>
      </c>
      <c r="H167" s="182">
        <v>46085.5</v>
      </c>
      <c r="I167" s="182">
        <v>47007.199999999997</v>
      </c>
      <c r="J167" s="3" t="s">
        <v>368</v>
      </c>
      <c r="K167" s="3" t="s">
        <v>369</v>
      </c>
      <c r="L167" s="3">
        <v>5</v>
      </c>
      <c r="M167" s="3">
        <v>5</v>
      </c>
      <c r="N167" s="3">
        <v>5</v>
      </c>
      <c r="O167" s="1"/>
      <c r="Q167" s="72" t="s">
        <v>34</v>
      </c>
      <c r="R167" s="75" t="s">
        <v>169</v>
      </c>
    </row>
    <row r="168" spans="1:18" ht="48" hidden="1" customHeight="1" x14ac:dyDescent="0.2">
      <c r="B168" s="76"/>
      <c r="C168" s="76"/>
      <c r="D168" s="76"/>
      <c r="E168" s="76"/>
      <c r="F168" s="76"/>
      <c r="G168" s="76"/>
      <c r="H168" s="76"/>
      <c r="I168" s="76"/>
      <c r="J168" s="3" t="s">
        <v>370</v>
      </c>
      <c r="K168" s="3" t="s">
        <v>371</v>
      </c>
      <c r="L168" s="3">
        <v>100</v>
      </c>
      <c r="M168" s="3">
        <v>100</v>
      </c>
      <c r="N168" s="3">
        <v>100</v>
      </c>
      <c r="O168" s="1"/>
      <c r="Q168" s="73" t="s">
        <v>37</v>
      </c>
    </row>
    <row r="169" spans="1:18" ht="46.5" hidden="1" customHeight="1" x14ac:dyDescent="0.2">
      <c r="B169" s="76"/>
      <c r="C169" s="76"/>
      <c r="D169" s="76"/>
      <c r="E169" s="76"/>
      <c r="F169" s="76"/>
      <c r="G169" s="76"/>
      <c r="H169" s="76"/>
      <c r="I169" s="76"/>
      <c r="J169" s="3" t="s">
        <v>372</v>
      </c>
      <c r="K169" s="3" t="s">
        <v>371</v>
      </c>
      <c r="L169" s="3">
        <v>7</v>
      </c>
      <c r="M169" s="3">
        <v>7</v>
      </c>
      <c r="N169" s="3">
        <v>7</v>
      </c>
      <c r="O169" s="1"/>
      <c r="Q169" s="73" t="s">
        <v>37</v>
      </c>
    </row>
    <row r="170" spans="1:18" ht="30" hidden="1" customHeight="1" x14ac:dyDescent="0.2">
      <c r="B170" s="76"/>
      <c r="C170" s="76"/>
      <c r="D170" s="76"/>
      <c r="E170" s="76"/>
      <c r="F170" s="76"/>
      <c r="G170" s="76"/>
      <c r="H170" s="76"/>
      <c r="I170" s="76"/>
      <c r="J170" s="3" t="s">
        <v>373</v>
      </c>
      <c r="K170" s="3" t="s">
        <v>99</v>
      </c>
      <c r="L170" s="3">
        <v>100</v>
      </c>
      <c r="M170" s="3">
        <v>100</v>
      </c>
      <c r="N170" s="3">
        <v>100</v>
      </c>
      <c r="O170" s="1"/>
      <c r="Q170" s="73" t="s">
        <v>37</v>
      </c>
    </row>
    <row r="171" spans="1:18" ht="22.5" hidden="1" customHeight="1" x14ac:dyDescent="0.2">
      <c r="B171" s="77"/>
      <c r="C171" s="77"/>
      <c r="D171" s="77"/>
      <c r="E171" s="77"/>
      <c r="F171" s="77"/>
      <c r="G171" s="77"/>
      <c r="H171" s="77"/>
      <c r="I171" s="77"/>
      <c r="J171" s="3" t="s">
        <v>374</v>
      </c>
      <c r="K171" s="3" t="s">
        <v>369</v>
      </c>
      <c r="L171" s="3">
        <v>5</v>
      </c>
      <c r="M171" s="3">
        <v>5</v>
      </c>
      <c r="N171" s="3">
        <v>5</v>
      </c>
      <c r="O171" s="1"/>
      <c r="Q171" s="73" t="s">
        <v>37</v>
      </c>
    </row>
    <row r="172" spans="1:18" ht="40.5" hidden="1" customHeight="1" x14ac:dyDescent="0.2">
      <c r="B172" s="183" t="s">
        <v>150</v>
      </c>
      <c r="C172" s="183" t="s">
        <v>150</v>
      </c>
      <c r="D172" s="183" t="s">
        <v>150</v>
      </c>
      <c r="E172" s="183"/>
      <c r="F172" s="184" t="s">
        <v>375</v>
      </c>
      <c r="G172" s="185">
        <v>48732.6</v>
      </c>
      <c r="H172" s="185">
        <v>49595.3</v>
      </c>
      <c r="I172" s="185">
        <v>50394.2</v>
      </c>
      <c r="J172" s="3" t="s">
        <v>376</v>
      </c>
      <c r="K172" s="3" t="s">
        <v>99</v>
      </c>
      <c r="L172" s="3">
        <v>100</v>
      </c>
      <c r="M172" s="3">
        <v>100</v>
      </c>
      <c r="N172" s="3">
        <v>100</v>
      </c>
      <c r="O172" s="1"/>
      <c r="Q172" s="72" t="s">
        <v>34</v>
      </c>
      <c r="R172" s="75" t="s">
        <v>149</v>
      </c>
    </row>
    <row r="173" spans="1:18" ht="30" hidden="1" customHeight="1" x14ac:dyDescent="0.2">
      <c r="B173" s="183" t="s">
        <v>124</v>
      </c>
      <c r="C173" s="183" t="s">
        <v>124</v>
      </c>
      <c r="D173" s="183" t="s">
        <v>124</v>
      </c>
      <c r="E173" s="183"/>
      <c r="F173" s="184" t="s">
        <v>377</v>
      </c>
      <c r="G173" s="185">
        <v>126104.5</v>
      </c>
      <c r="H173" s="185">
        <v>126104.5</v>
      </c>
      <c r="I173" s="185">
        <v>126104.5</v>
      </c>
      <c r="J173" s="3" t="s">
        <v>378</v>
      </c>
      <c r="K173" s="3" t="s">
        <v>379</v>
      </c>
      <c r="L173" s="3">
        <v>29729.599999999999</v>
      </c>
      <c r="M173" s="3">
        <v>8674.6</v>
      </c>
      <c r="N173" s="3">
        <v>6729.6</v>
      </c>
      <c r="O173" s="1"/>
      <c r="Q173" s="72" t="s">
        <v>34</v>
      </c>
      <c r="R173" s="75" t="s">
        <v>169</v>
      </c>
    </row>
    <row r="174" spans="1:18" ht="57" hidden="1" customHeight="1" x14ac:dyDescent="0.2">
      <c r="B174" s="183" t="s">
        <v>156</v>
      </c>
      <c r="C174" s="183" t="s">
        <v>156</v>
      </c>
      <c r="D174" s="183" t="s">
        <v>156</v>
      </c>
      <c r="E174" s="183"/>
      <c r="F174" s="184" t="s">
        <v>380</v>
      </c>
      <c r="G174" s="185">
        <v>61872.7</v>
      </c>
      <c r="H174" s="185">
        <v>63110.2</v>
      </c>
      <c r="I174" s="185">
        <v>64372.4</v>
      </c>
      <c r="J174" s="3" t="s">
        <v>381</v>
      </c>
      <c r="K174" s="3" t="s">
        <v>99</v>
      </c>
      <c r="L174" s="3">
        <v>100</v>
      </c>
      <c r="M174" s="3">
        <v>100</v>
      </c>
      <c r="N174" s="3">
        <v>100</v>
      </c>
      <c r="O174" s="1"/>
      <c r="Q174" s="72" t="s">
        <v>34</v>
      </c>
    </row>
    <row r="175" spans="1:18" ht="30" hidden="1" customHeight="1" x14ac:dyDescent="0.2">
      <c r="B175" s="183" t="s">
        <v>160</v>
      </c>
      <c r="C175" s="183" t="s">
        <v>160</v>
      </c>
      <c r="D175" s="183" t="s">
        <v>160</v>
      </c>
      <c r="E175" s="183"/>
      <c r="F175" s="184" t="s">
        <v>382</v>
      </c>
      <c r="G175" s="185">
        <v>23042</v>
      </c>
      <c r="H175" s="185">
        <v>23502.799999999999</v>
      </c>
      <c r="I175" s="185">
        <v>23972.9</v>
      </c>
      <c r="J175" s="3" t="s">
        <v>383</v>
      </c>
      <c r="K175" s="3" t="s">
        <v>223</v>
      </c>
      <c r="L175" s="3">
        <v>55</v>
      </c>
      <c r="M175" s="3">
        <v>60</v>
      </c>
      <c r="N175" s="3">
        <v>65</v>
      </c>
      <c r="O175" s="1"/>
      <c r="Q175" s="72" t="s">
        <v>34</v>
      </c>
    </row>
    <row r="176" spans="1:18" ht="30" hidden="1" customHeight="1" x14ac:dyDescent="0.2">
      <c r="B176" s="102" t="s">
        <v>360</v>
      </c>
      <c r="C176" s="102" t="s">
        <v>384</v>
      </c>
      <c r="D176" s="103"/>
      <c r="E176" s="103"/>
      <c r="F176" s="102" t="s">
        <v>385</v>
      </c>
      <c r="G176" s="104">
        <v>10614609.5</v>
      </c>
      <c r="H176" s="104">
        <v>9479566.7999999989</v>
      </c>
      <c r="I176" s="104">
        <v>9668371</v>
      </c>
      <c r="J176" s="97" t="s">
        <v>386</v>
      </c>
      <c r="K176" s="97" t="s">
        <v>99</v>
      </c>
      <c r="L176" s="97">
        <v>100</v>
      </c>
      <c r="M176" s="97">
        <v>100</v>
      </c>
      <c r="N176" s="97">
        <v>100</v>
      </c>
      <c r="O176" s="1"/>
      <c r="Q176" s="71" t="s">
        <v>40</v>
      </c>
    </row>
    <row r="177" spans="1:18" ht="36" hidden="1" customHeight="1" x14ac:dyDescent="0.2">
      <c r="B177" s="77"/>
      <c r="C177" s="77"/>
      <c r="D177" s="77"/>
      <c r="E177" s="77"/>
      <c r="F177" s="77"/>
      <c r="G177" s="77"/>
      <c r="H177" s="77"/>
      <c r="I177" s="77"/>
      <c r="J177" s="9" t="s">
        <v>387</v>
      </c>
      <c r="K177" s="9" t="s">
        <v>99</v>
      </c>
      <c r="L177" s="9">
        <v>100</v>
      </c>
      <c r="M177" s="9">
        <v>100</v>
      </c>
      <c r="N177" s="9">
        <v>100</v>
      </c>
      <c r="O177" s="1"/>
      <c r="Q177" s="73" t="s">
        <v>37</v>
      </c>
    </row>
    <row r="178" spans="1:18" ht="30" hidden="1" customHeight="1" x14ac:dyDescent="0.2">
      <c r="B178" s="183" t="s">
        <v>100</v>
      </c>
      <c r="C178" s="183" t="s">
        <v>100</v>
      </c>
      <c r="D178" s="183" t="s">
        <v>100</v>
      </c>
      <c r="E178" s="183"/>
      <c r="F178" s="184" t="s">
        <v>388</v>
      </c>
      <c r="G178" s="185">
        <v>1831785.7</v>
      </c>
      <c r="H178" s="185">
        <v>933081.4</v>
      </c>
      <c r="I178" s="185">
        <v>951743</v>
      </c>
      <c r="J178" s="3" t="s">
        <v>389</v>
      </c>
      <c r="K178" s="3" t="s">
        <v>99</v>
      </c>
      <c r="L178" s="3">
        <v>100</v>
      </c>
      <c r="M178" s="3">
        <v>100</v>
      </c>
      <c r="N178" s="3">
        <v>100</v>
      </c>
      <c r="O178" s="1"/>
      <c r="Q178" s="72" t="s">
        <v>34</v>
      </c>
    </row>
    <row r="179" spans="1:18" ht="41.25" hidden="1" customHeight="1" x14ac:dyDescent="0.2">
      <c r="B179" s="183" t="s">
        <v>120</v>
      </c>
      <c r="C179" s="183" t="s">
        <v>120</v>
      </c>
      <c r="D179" s="183" t="s">
        <v>120</v>
      </c>
      <c r="E179" s="183"/>
      <c r="F179" s="184" t="s">
        <v>390</v>
      </c>
      <c r="G179" s="185">
        <v>5113087</v>
      </c>
      <c r="H179" s="185">
        <v>5145840.7</v>
      </c>
      <c r="I179" s="185">
        <v>5248757.5999999996</v>
      </c>
      <c r="J179" s="3" t="s">
        <v>391</v>
      </c>
      <c r="K179" s="3" t="s">
        <v>269</v>
      </c>
      <c r="L179" s="3">
        <v>0.03</v>
      </c>
      <c r="M179" s="3">
        <v>0.03</v>
      </c>
      <c r="N179" s="3">
        <v>0.03</v>
      </c>
      <c r="O179" s="1"/>
      <c r="Q179" s="72" t="s">
        <v>34</v>
      </c>
    </row>
    <row r="180" spans="1:18" ht="39" hidden="1" customHeight="1" x14ac:dyDescent="0.2">
      <c r="B180" s="183" t="s">
        <v>150</v>
      </c>
      <c r="C180" s="183" t="s">
        <v>150</v>
      </c>
      <c r="D180" s="183" t="s">
        <v>150</v>
      </c>
      <c r="E180" s="183"/>
      <c r="F180" s="184" t="s">
        <v>392</v>
      </c>
      <c r="G180" s="185">
        <v>412393.2</v>
      </c>
      <c r="H180" s="185">
        <v>420629.1</v>
      </c>
      <c r="I180" s="185">
        <v>429029.6</v>
      </c>
      <c r="J180" s="3" t="s">
        <v>393</v>
      </c>
      <c r="K180" s="3" t="s">
        <v>99</v>
      </c>
      <c r="L180" s="3">
        <v>100</v>
      </c>
      <c r="M180" s="3">
        <v>100</v>
      </c>
      <c r="N180" s="3">
        <v>100</v>
      </c>
      <c r="O180" s="1"/>
      <c r="Q180" s="72" t="s">
        <v>34</v>
      </c>
    </row>
    <row r="181" spans="1:18" ht="54" hidden="1" customHeight="1" x14ac:dyDescent="0.2">
      <c r="B181" s="183" t="s">
        <v>124</v>
      </c>
      <c r="C181" s="183" t="s">
        <v>124</v>
      </c>
      <c r="D181" s="183" t="s">
        <v>124</v>
      </c>
      <c r="E181" s="183"/>
      <c r="F181" s="184" t="s">
        <v>394</v>
      </c>
      <c r="G181" s="185">
        <v>2559078.2000000002</v>
      </c>
      <c r="H181" s="185">
        <v>2268504.9</v>
      </c>
      <c r="I181" s="185">
        <v>2313819.9</v>
      </c>
      <c r="J181" s="3" t="s">
        <v>395</v>
      </c>
      <c r="K181" s="3" t="s">
        <v>269</v>
      </c>
      <c r="L181" s="3">
        <v>0.02</v>
      </c>
      <c r="M181" s="3">
        <v>0.02</v>
      </c>
      <c r="N181" s="3">
        <v>0.02</v>
      </c>
      <c r="O181" s="1"/>
      <c r="Q181" s="72" t="s">
        <v>34</v>
      </c>
    </row>
    <row r="182" spans="1:18" ht="27" hidden="1" customHeight="1" x14ac:dyDescent="0.2">
      <c r="B182" s="183" t="s">
        <v>156</v>
      </c>
      <c r="C182" s="183" t="s">
        <v>156</v>
      </c>
      <c r="D182" s="183" t="s">
        <v>156</v>
      </c>
      <c r="E182" s="183"/>
      <c r="F182" s="184" t="s">
        <v>396</v>
      </c>
      <c r="G182" s="185">
        <v>698265.4</v>
      </c>
      <c r="H182" s="185">
        <v>711510.7</v>
      </c>
      <c r="I182" s="185">
        <v>725020.9</v>
      </c>
      <c r="J182" s="3" t="s">
        <v>397</v>
      </c>
      <c r="K182" s="3" t="s">
        <v>99</v>
      </c>
      <c r="L182" s="3">
        <v>100</v>
      </c>
      <c r="M182" s="3">
        <v>100</v>
      </c>
      <c r="N182" s="3">
        <v>100</v>
      </c>
      <c r="O182" s="1"/>
      <c r="Q182" s="72" t="s">
        <v>34</v>
      </c>
      <c r="R182" s="75" t="s">
        <v>123</v>
      </c>
    </row>
    <row r="183" spans="1:18" ht="42" hidden="1" customHeight="1" x14ac:dyDescent="0.2">
      <c r="B183" s="93" t="s">
        <v>360</v>
      </c>
      <c r="C183" s="93" t="s">
        <v>398</v>
      </c>
      <c r="D183" s="94"/>
      <c r="E183" s="94"/>
      <c r="F183" s="95" t="s">
        <v>399</v>
      </c>
      <c r="G183" s="96">
        <v>104267.8</v>
      </c>
      <c r="H183" s="96">
        <v>106329.2</v>
      </c>
      <c r="I183" s="96">
        <v>108427.7</v>
      </c>
      <c r="J183" s="99" t="s">
        <v>400</v>
      </c>
      <c r="K183" s="99" t="s">
        <v>155</v>
      </c>
      <c r="L183" s="99">
        <v>93</v>
      </c>
      <c r="M183" s="99">
        <v>94</v>
      </c>
      <c r="N183" s="99">
        <v>94</v>
      </c>
      <c r="O183" s="1"/>
      <c r="Q183" s="71" t="s">
        <v>40</v>
      </c>
    </row>
    <row r="184" spans="1:18" ht="48.75" hidden="1" customHeight="1" x14ac:dyDescent="0.2">
      <c r="B184" s="183" t="s">
        <v>100</v>
      </c>
      <c r="C184" s="183" t="s">
        <v>100</v>
      </c>
      <c r="D184" s="183" t="s">
        <v>100</v>
      </c>
      <c r="E184" s="183"/>
      <c r="F184" s="184" t="s">
        <v>401</v>
      </c>
      <c r="G184" s="185">
        <v>46594.6</v>
      </c>
      <c r="H184" s="185">
        <v>57165.3</v>
      </c>
      <c r="I184" s="185">
        <v>58477.599999999999</v>
      </c>
      <c r="J184" s="3" t="s">
        <v>400</v>
      </c>
      <c r="K184" s="3" t="s">
        <v>155</v>
      </c>
      <c r="L184" s="3">
        <v>93</v>
      </c>
      <c r="M184" s="3">
        <v>94</v>
      </c>
      <c r="N184" s="3">
        <v>94</v>
      </c>
      <c r="O184" s="1"/>
      <c r="Q184" s="72" t="s">
        <v>34</v>
      </c>
    </row>
    <row r="185" spans="1:18" ht="40.5" hidden="1" customHeight="1" x14ac:dyDescent="0.2">
      <c r="B185" s="181" t="s">
        <v>120</v>
      </c>
      <c r="C185" s="181" t="s">
        <v>120</v>
      </c>
      <c r="D185" s="181" t="s">
        <v>120</v>
      </c>
      <c r="E185" s="181"/>
      <c r="F185" s="181" t="s">
        <v>402</v>
      </c>
      <c r="G185" s="182">
        <v>42937.4</v>
      </c>
      <c r="H185" s="182">
        <v>34157.4</v>
      </c>
      <c r="I185" s="182">
        <v>34671.5</v>
      </c>
      <c r="J185" s="3" t="s">
        <v>403</v>
      </c>
      <c r="K185" s="3" t="s">
        <v>155</v>
      </c>
      <c r="L185" s="3">
        <v>315</v>
      </c>
      <c r="M185" s="3">
        <v>320</v>
      </c>
      <c r="N185" s="3">
        <v>320</v>
      </c>
      <c r="O185" s="1"/>
      <c r="Q185" s="72" t="s">
        <v>34</v>
      </c>
    </row>
    <row r="186" spans="1:18" hidden="1" x14ac:dyDescent="0.2">
      <c r="B186" s="77"/>
      <c r="C186" s="77"/>
      <c r="D186" s="77"/>
      <c r="E186" s="77"/>
      <c r="F186" s="77"/>
      <c r="G186" s="77"/>
      <c r="H186" s="77"/>
      <c r="I186" s="77"/>
      <c r="J186" s="3" t="s">
        <v>404</v>
      </c>
      <c r="K186" s="3" t="s">
        <v>405</v>
      </c>
      <c r="L186" s="3">
        <v>500</v>
      </c>
      <c r="M186" s="3">
        <v>500</v>
      </c>
      <c r="N186" s="3">
        <v>550</v>
      </c>
      <c r="O186" s="1"/>
      <c r="Q186" s="73" t="s">
        <v>37</v>
      </c>
    </row>
    <row r="187" spans="1:18" ht="54.75" hidden="1" customHeight="1" x14ac:dyDescent="0.2">
      <c r="B187" s="186"/>
      <c r="C187" s="186"/>
      <c r="D187" s="187" t="s">
        <v>150</v>
      </c>
      <c r="E187" s="186"/>
      <c r="F187" s="188" t="s">
        <v>406</v>
      </c>
      <c r="G187" s="189">
        <v>14735.8</v>
      </c>
      <c r="H187" s="189">
        <v>15006.5</v>
      </c>
      <c r="I187" s="189">
        <v>15278.6</v>
      </c>
      <c r="J187" s="17" t="s">
        <v>407</v>
      </c>
      <c r="K187" s="17" t="s">
        <v>159</v>
      </c>
      <c r="L187" s="17">
        <v>1300</v>
      </c>
      <c r="M187" s="17">
        <v>1300</v>
      </c>
      <c r="N187" s="17">
        <v>1300</v>
      </c>
      <c r="O187" s="1"/>
      <c r="Q187" s="72" t="s">
        <v>34</v>
      </c>
      <c r="R187" s="75" t="s">
        <v>149</v>
      </c>
    </row>
    <row r="188" spans="1:18" x14ac:dyDescent="0.2">
      <c r="B188" s="93" t="s">
        <v>360</v>
      </c>
      <c r="C188" s="93" t="s">
        <v>408</v>
      </c>
      <c r="D188" s="93" t="s">
        <v>100</v>
      </c>
      <c r="E188" s="93"/>
      <c r="F188" s="95" t="s">
        <v>409</v>
      </c>
      <c r="G188" s="96">
        <v>2418048.5</v>
      </c>
      <c r="H188" s="96">
        <v>2322126.7999999998</v>
      </c>
      <c r="I188" s="96">
        <v>1249038.7</v>
      </c>
      <c r="J188" s="100" t="s">
        <v>347</v>
      </c>
      <c r="K188" s="100" t="s">
        <v>99</v>
      </c>
      <c r="L188" s="100">
        <v>100</v>
      </c>
      <c r="M188" s="100">
        <v>100</v>
      </c>
      <c r="N188" s="100">
        <v>100</v>
      </c>
      <c r="O188" s="1"/>
      <c r="Q188" s="118" t="s">
        <v>40</v>
      </c>
    </row>
    <row r="189" spans="1:18" ht="15" hidden="1" customHeight="1" x14ac:dyDescent="0.2">
      <c r="B189" s="174" t="s">
        <v>112</v>
      </c>
      <c r="C189" s="175"/>
      <c r="D189" s="176"/>
      <c r="E189" s="176"/>
      <c r="F189" s="177"/>
      <c r="G189" s="178">
        <v>15547163</v>
      </c>
      <c r="H189" s="178">
        <v>14344869.939999999</v>
      </c>
      <c r="I189" s="178">
        <v>13481870.4</v>
      </c>
      <c r="J189" s="179"/>
      <c r="K189" s="176"/>
      <c r="L189" s="176"/>
      <c r="M189" s="176"/>
      <c r="N189" s="177"/>
      <c r="O189" s="1"/>
      <c r="Q189" s="74" t="s">
        <v>46</v>
      </c>
    </row>
    <row r="190" spans="1:18" ht="15" hidden="1" customHeight="1" x14ac:dyDescent="0.2">
      <c r="A190" s="4" t="str">
        <f>C190</f>
        <v xml:space="preserve">Министерство финансов Кыргызской Республики (Общегосударственные программы, мероприятия и выплаты) </v>
      </c>
      <c r="B190" s="87" t="s">
        <v>410</v>
      </c>
      <c r="C190" s="88" t="s">
        <v>411</v>
      </c>
      <c r="D190" s="90"/>
      <c r="E190" s="90"/>
      <c r="F190" s="90"/>
      <c r="G190" s="90"/>
      <c r="H190" s="90"/>
      <c r="I190" s="90"/>
      <c r="J190" s="90"/>
      <c r="K190" s="90"/>
      <c r="L190" s="90"/>
      <c r="M190" s="90"/>
      <c r="N190" s="91"/>
      <c r="O190" s="1"/>
      <c r="Q190" s="70" t="s">
        <v>43</v>
      </c>
    </row>
    <row r="191" spans="1:18" ht="27.75" hidden="1" customHeight="1" x14ac:dyDescent="0.2">
      <c r="B191" s="93" t="s">
        <v>410</v>
      </c>
      <c r="C191" s="93" t="s">
        <v>412</v>
      </c>
      <c r="D191" s="94"/>
      <c r="E191" s="94"/>
      <c r="F191" s="95" t="s">
        <v>413</v>
      </c>
      <c r="G191" s="96">
        <v>46670347.299999997</v>
      </c>
      <c r="H191" s="96">
        <v>46670347.299999997</v>
      </c>
      <c r="I191" s="96">
        <v>46670347.299999997</v>
      </c>
      <c r="J191" s="105" t="s">
        <v>414</v>
      </c>
      <c r="K191" s="105" t="s">
        <v>155</v>
      </c>
      <c r="L191" s="105">
        <v>0</v>
      </c>
      <c r="M191" s="105">
        <v>0</v>
      </c>
      <c r="N191" s="105">
        <v>0</v>
      </c>
      <c r="O191" s="1"/>
      <c r="Q191" s="71" t="s">
        <v>40</v>
      </c>
    </row>
    <row r="192" spans="1:18" ht="28.5" hidden="1" customHeight="1" x14ac:dyDescent="0.2">
      <c r="B192" s="183" t="s">
        <v>100</v>
      </c>
      <c r="C192" s="183" t="s">
        <v>100</v>
      </c>
      <c r="D192" s="183" t="s">
        <v>100</v>
      </c>
      <c r="E192" s="183"/>
      <c r="F192" s="184" t="s">
        <v>415</v>
      </c>
      <c r="G192" s="185">
        <v>33574380.799999997</v>
      </c>
      <c r="H192" s="185">
        <v>33574380.799999997</v>
      </c>
      <c r="I192" s="185">
        <v>33574380.799999997</v>
      </c>
      <c r="J192" s="17" t="s">
        <v>416</v>
      </c>
      <c r="K192" s="17" t="s">
        <v>155</v>
      </c>
      <c r="L192" s="17">
        <v>0</v>
      </c>
      <c r="M192" s="17">
        <v>0</v>
      </c>
      <c r="N192" s="17">
        <v>0</v>
      </c>
      <c r="O192" s="1"/>
      <c r="Q192" s="72" t="s">
        <v>34</v>
      </c>
    </row>
    <row r="193" spans="2:18" ht="36" hidden="1" customHeight="1" x14ac:dyDescent="0.2">
      <c r="B193" s="183" t="s">
        <v>150</v>
      </c>
      <c r="C193" s="183" t="s">
        <v>150</v>
      </c>
      <c r="D193" s="183" t="s">
        <v>150</v>
      </c>
      <c r="E193" s="183"/>
      <c r="F193" s="184" t="s">
        <v>417</v>
      </c>
      <c r="G193" s="185">
        <v>5862840</v>
      </c>
      <c r="H193" s="185">
        <v>5862840</v>
      </c>
      <c r="I193" s="185">
        <v>5862840</v>
      </c>
      <c r="J193" s="17" t="s">
        <v>416</v>
      </c>
      <c r="K193" s="17" t="s">
        <v>155</v>
      </c>
      <c r="L193" s="17">
        <v>0</v>
      </c>
      <c r="M193" s="17">
        <v>0</v>
      </c>
      <c r="N193" s="17">
        <v>0</v>
      </c>
      <c r="O193" s="1"/>
      <c r="Q193" s="72" t="s">
        <v>34</v>
      </c>
    </row>
    <row r="194" spans="2:18" ht="30.75" hidden="1" customHeight="1" x14ac:dyDescent="0.2">
      <c r="B194" s="183" t="s">
        <v>124</v>
      </c>
      <c r="C194" s="183" t="s">
        <v>124</v>
      </c>
      <c r="D194" s="183" t="s">
        <v>124</v>
      </c>
      <c r="E194" s="183"/>
      <c r="F194" s="184" t="s">
        <v>418</v>
      </c>
      <c r="G194" s="185">
        <v>7233126.5</v>
      </c>
      <c r="H194" s="185">
        <v>7233126.5</v>
      </c>
      <c r="I194" s="185">
        <v>7233126.5</v>
      </c>
      <c r="J194" s="17" t="s">
        <v>414</v>
      </c>
      <c r="K194" s="17" t="s">
        <v>155</v>
      </c>
      <c r="L194" s="17">
        <v>0</v>
      </c>
      <c r="M194" s="17">
        <v>0</v>
      </c>
      <c r="N194" s="17">
        <v>0</v>
      </c>
      <c r="O194" s="1"/>
      <c r="Q194" s="72" t="s">
        <v>34</v>
      </c>
    </row>
    <row r="195" spans="2:18" ht="30.75" hidden="1" customHeight="1" x14ac:dyDescent="0.2">
      <c r="B195" s="93" t="s">
        <v>410</v>
      </c>
      <c r="C195" s="93" t="s">
        <v>419</v>
      </c>
      <c r="D195" s="94"/>
      <c r="E195" s="94"/>
      <c r="F195" s="95" t="s">
        <v>420</v>
      </c>
      <c r="G195" s="96">
        <v>164663857.22</v>
      </c>
      <c r="H195" s="96">
        <v>112194631.15000001</v>
      </c>
      <c r="I195" s="96">
        <v>134586734.03</v>
      </c>
      <c r="J195" s="105" t="s">
        <v>421</v>
      </c>
      <c r="K195" s="105" t="s">
        <v>186</v>
      </c>
      <c r="L195" s="106">
        <v>164663857.22</v>
      </c>
      <c r="M195" s="106">
        <v>112194631.15000001</v>
      </c>
      <c r="N195" s="106">
        <v>134586734.03</v>
      </c>
      <c r="O195" s="1"/>
      <c r="Q195" s="71" t="s">
        <v>40</v>
      </c>
    </row>
    <row r="196" spans="2:18" ht="55.5" hidden="1" customHeight="1" x14ac:dyDescent="0.2">
      <c r="B196" s="183" t="s">
        <v>150</v>
      </c>
      <c r="C196" s="183" t="s">
        <v>150</v>
      </c>
      <c r="D196" s="183" t="s">
        <v>150</v>
      </c>
      <c r="E196" s="183"/>
      <c r="F196" s="190" t="s">
        <v>422</v>
      </c>
      <c r="G196" s="191">
        <v>150000</v>
      </c>
      <c r="H196" s="191">
        <v>150000</v>
      </c>
      <c r="I196" s="191">
        <v>0</v>
      </c>
      <c r="J196" s="56" t="s">
        <v>423</v>
      </c>
      <c r="K196" s="163" t="s">
        <v>186</v>
      </c>
      <c r="L196" s="164">
        <f>G196</f>
        <v>150000</v>
      </c>
      <c r="M196" s="164">
        <f>H196</f>
        <v>150000</v>
      </c>
      <c r="N196" s="17"/>
      <c r="O196" s="1"/>
      <c r="Q196" s="72" t="s">
        <v>34</v>
      </c>
      <c r="R196" s="75" t="s">
        <v>149</v>
      </c>
    </row>
    <row r="197" spans="2:18" ht="24" hidden="1" customHeight="1" x14ac:dyDescent="0.2">
      <c r="B197" s="183" t="s">
        <v>124</v>
      </c>
      <c r="C197" s="183" t="s">
        <v>124</v>
      </c>
      <c r="D197" s="183" t="s">
        <v>124</v>
      </c>
      <c r="E197" s="183"/>
      <c r="F197" s="190" t="s">
        <v>424</v>
      </c>
      <c r="G197" s="191">
        <v>800000</v>
      </c>
      <c r="H197" s="191">
        <v>900000</v>
      </c>
      <c r="I197" s="191">
        <v>1000000</v>
      </c>
      <c r="J197" s="56" t="s">
        <v>425</v>
      </c>
      <c r="K197" s="163" t="s">
        <v>186</v>
      </c>
      <c r="L197" s="164">
        <f>G197</f>
        <v>800000</v>
      </c>
      <c r="M197" s="164">
        <f>H197</f>
        <v>900000</v>
      </c>
      <c r="N197" s="54">
        <f>I197</f>
        <v>1000000</v>
      </c>
      <c r="O197" s="1"/>
      <c r="Q197" s="72" t="s">
        <v>34</v>
      </c>
    </row>
    <row r="198" spans="2:18" ht="56.25" hidden="1" customHeight="1" x14ac:dyDescent="0.2">
      <c r="B198" s="183" t="s">
        <v>160</v>
      </c>
      <c r="C198" s="183" t="s">
        <v>160</v>
      </c>
      <c r="D198" s="183" t="s">
        <v>160</v>
      </c>
      <c r="E198" s="183"/>
      <c r="F198" s="190" t="s">
        <v>426</v>
      </c>
      <c r="G198" s="191">
        <v>1000000</v>
      </c>
      <c r="H198" s="191">
        <v>1000000</v>
      </c>
      <c r="I198" s="191">
        <v>1000000</v>
      </c>
      <c r="J198" s="56" t="s">
        <v>427</v>
      </c>
      <c r="K198" s="163" t="s">
        <v>186</v>
      </c>
      <c r="L198" s="164">
        <f>G198</f>
        <v>1000000</v>
      </c>
      <c r="M198" s="164">
        <f>H198</f>
        <v>1000000</v>
      </c>
      <c r="N198" s="54">
        <f>I198</f>
        <v>1000000</v>
      </c>
      <c r="O198" s="1"/>
      <c r="Q198" s="72" t="s">
        <v>34</v>
      </c>
      <c r="R198" s="75" t="s">
        <v>123</v>
      </c>
    </row>
    <row r="199" spans="2:18" ht="30" hidden="1" customHeight="1" x14ac:dyDescent="0.2">
      <c r="B199" s="183" t="s">
        <v>163</v>
      </c>
      <c r="C199" s="183" t="s">
        <v>163</v>
      </c>
      <c r="D199" s="183" t="s">
        <v>163</v>
      </c>
      <c r="E199" s="183"/>
      <c r="F199" s="190" t="s">
        <v>428</v>
      </c>
      <c r="G199" s="191">
        <v>3107142.63</v>
      </c>
      <c r="H199" s="191">
        <v>3558200</v>
      </c>
      <c r="I199" s="191">
        <v>1350200</v>
      </c>
      <c r="J199" s="56" t="s">
        <v>429</v>
      </c>
      <c r="K199" s="163" t="s">
        <v>186</v>
      </c>
      <c r="L199" s="164">
        <f>G199</f>
        <v>3107142.63</v>
      </c>
      <c r="M199" s="164">
        <f>H199</f>
        <v>3558200</v>
      </c>
      <c r="N199" s="54">
        <f>I199</f>
        <v>1350200</v>
      </c>
      <c r="O199" s="1"/>
      <c r="Q199" s="72" t="s">
        <v>34</v>
      </c>
    </row>
    <row r="200" spans="2:18" ht="30" hidden="1" customHeight="1" x14ac:dyDescent="0.2">
      <c r="B200" s="183" t="s">
        <v>166</v>
      </c>
      <c r="C200" s="183" t="s">
        <v>166</v>
      </c>
      <c r="D200" s="183" t="s">
        <v>166</v>
      </c>
      <c r="E200" s="183"/>
      <c r="F200" s="190" t="s">
        <v>430</v>
      </c>
      <c r="G200" s="191">
        <v>37999512.479999989</v>
      </c>
      <c r="H200" s="191">
        <v>42240122.49000001</v>
      </c>
      <c r="I200" s="191">
        <v>42121779.38000001</v>
      </c>
      <c r="J200" s="56" t="s">
        <v>431</v>
      </c>
      <c r="K200" s="163" t="s">
        <v>186</v>
      </c>
      <c r="L200" s="164">
        <f>G200</f>
        <v>37999512.479999989</v>
      </c>
      <c r="M200" s="164">
        <f>H200</f>
        <v>42240122.49000001</v>
      </c>
      <c r="N200" s="54">
        <f>I200</f>
        <v>42121779.38000001</v>
      </c>
      <c r="O200" s="1"/>
      <c r="Q200" s="72" t="s">
        <v>34</v>
      </c>
    </row>
    <row r="201" spans="2:18" ht="26.25" hidden="1" customHeight="1" x14ac:dyDescent="0.2">
      <c r="B201" s="183" t="s">
        <v>170</v>
      </c>
      <c r="C201" s="183" t="s">
        <v>170</v>
      </c>
      <c r="D201" s="183" t="s">
        <v>170</v>
      </c>
      <c r="E201" s="183"/>
      <c r="F201" s="190" t="s">
        <v>432</v>
      </c>
      <c r="G201" s="191">
        <v>1500000</v>
      </c>
      <c r="H201" s="191">
        <v>1500000</v>
      </c>
      <c r="I201" s="191">
        <v>1500000</v>
      </c>
      <c r="J201" s="56" t="s">
        <v>433</v>
      </c>
      <c r="K201" s="163" t="s">
        <v>186</v>
      </c>
      <c r="L201" s="164">
        <f>G201</f>
        <v>1500000</v>
      </c>
      <c r="M201" s="164">
        <f>H201</f>
        <v>1500000</v>
      </c>
      <c r="N201" s="54">
        <f>I201</f>
        <v>1500000</v>
      </c>
      <c r="O201" s="1"/>
      <c r="Q201" s="72" t="s">
        <v>34</v>
      </c>
    </row>
    <row r="202" spans="2:18" ht="27.75" hidden="1" customHeight="1" x14ac:dyDescent="0.2">
      <c r="B202" s="183" t="s">
        <v>227</v>
      </c>
      <c r="C202" s="183" t="s">
        <v>227</v>
      </c>
      <c r="D202" s="183" t="s">
        <v>227</v>
      </c>
      <c r="E202" s="183"/>
      <c r="F202" s="190" t="s">
        <v>434</v>
      </c>
      <c r="G202" s="191">
        <v>30300</v>
      </c>
      <c r="H202" s="191">
        <v>30300</v>
      </c>
      <c r="I202" s="191">
        <v>30300</v>
      </c>
      <c r="J202" s="56" t="s">
        <v>435</v>
      </c>
      <c r="K202" s="163" t="s">
        <v>186</v>
      </c>
      <c r="L202" s="164">
        <f>G202</f>
        <v>30300</v>
      </c>
      <c r="M202" s="164">
        <f>H202</f>
        <v>30300</v>
      </c>
      <c r="N202" s="54">
        <f>I202</f>
        <v>30300</v>
      </c>
      <c r="O202" s="1"/>
      <c r="Q202" s="72" t="s">
        <v>34</v>
      </c>
    </row>
    <row r="203" spans="2:18" ht="20.25" hidden="1" customHeight="1" x14ac:dyDescent="0.2">
      <c r="B203" s="183" t="s">
        <v>94</v>
      </c>
      <c r="C203" s="183" t="s">
        <v>94</v>
      </c>
      <c r="D203" s="183" t="s">
        <v>94</v>
      </c>
      <c r="E203" s="183"/>
      <c r="F203" s="190" t="s">
        <v>436</v>
      </c>
      <c r="G203" s="191">
        <v>45000</v>
      </c>
      <c r="H203" s="191">
        <v>45000</v>
      </c>
      <c r="I203" s="191">
        <v>45000</v>
      </c>
      <c r="J203" s="165" t="s">
        <v>437</v>
      </c>
      <c r="K203" s="165" t="s">
        <v>99</v>
      </c>
      <c r="L203" s="165">
        <v>100</v>
      </c>
      <c r="M203" s="165">
        <v>100</v>
      </c>
      <c r="N203" s="17">
        <v>100</v>
      </c>
      <c r="O203" s="1"/>
      <c r="Q203" s="72" t="s">
        <v>34</v>
      </c>
    </row>
    <row r="204" spans="2:18" ht="25.5" hidden="1" customHeight="1" x14ac:dyDescent="0.2">
      <c r="B204" s="183" t="s">
        <v>127</v>
      </c>
      <c r="C204" s="183" t="s">
        <v>127</v>
      </c>
      <c r="D204" s="183" t="s">
        <v>127</v>
      </c>
      <c r="E204" s="183"/>
      <c r="F204" s="190" t="s">
        <v>438</v>
      </c>
      <c r="G204" s="191">
        <v>5361.8</v>
      </c>
      <c r="H204" s="191">
        <v>0</v>
      </c>
      <c r="I204" s="191">
        <v>0</v>
      </c>
      <c r="J204" s="56" t="s">
        <v>439</v>
      </c>
      <c r="K204" s="163" t="s">
        <v>186</v>
      </c>
      <c r="L204" s="164">
        <f>G204</f>
        <v>5361.8</v>
      </c>
      <c r="M204" s="164"/>
      <c r="N204" s="54"/>
      <c r="O204" s="1"/>
      <c r="Q204" s="72" t="s">
        <v>34</v>
      </c>
    </row>
    <row r="205" spans="2:18" ht="28.5" hidden="1" customHeight="1" x14ac:dyDescent="0.2">
      <c r="B205" s="183" t="s">
        <v>134</v>
      </c>
      <c r="C205" s="183" t="s">
        <v>134</v>
      </c>
      <c r="D205" s="183" t="s">
        <v>134</v>
      </c>
      <c r="E205" s="183"/>
      <c r="F205" s="190" t="s">
        <v>440</v>
      </c>
      <c r="G205" s="191">
        <v>0</v>
      </c>
      <c r="H205" s="191">
        <v>0</v>
      </c>
      <c r="I205" s="191">
        <v>0</v>
      </c>
      <c r="J205" s="165" t="s">
        <v>441</v>
      </c>
      <c r="K205" s="165" t="s">
        <v>99</v>
      </c>
      <c r="L205" s="165"/>
      <c r="M205" s="165"/>
      <c r="N205" s="17"/>
      <c r="O205" s="1"/>
      <c r="Q205" s="72" t="s">
        <v>34</v>
      </c>
    </row>
    <row r="206" spans="2:18" ht="32.25" hidden="1" customHeight="1" x14ac:dyDescent="0.2">
      <c r="B206" s="183" t="s">
        <v>142</v>
      </c>
      <c r="C206" s="183" t="s">
        <v>142</v>
      </c>
      <c r="D206" s="183" t="s">
        <v>142</v>
      </c>
      <c r="E206" s="183"/>
      <c r="F206" s="190" t="s">
        <v>442</v>
      </c>
      <c r="G206" s="191">
        <v>709432.35</v>
      </c>
      <c r="H206" s="191">
        <v>708717.3</v>
      </c>
      <c r="I206" s="191">
        <v>642966.19999999995</v>
      </c>
      <c r="J206" s="56" t="s">
        <v>443</v>
      </c>
      <c r="K206" s="165" t="s">
        <v>99</v>
      </c>
      <c r="L206" s="165">
        <v>100</v>
      </c>
      <c r="M206" s="165">
        <v>100</v>
      </c>
      <c r="N206" s="17">
        <v>100</v>
      </c>
      <c r="O206" s="1"/>
      <c r="Q206" s="72" t="s">
        <v>34</v>
      </c>
      <c r="R206" s="75" t="s">
        <v>123</v>
      </c>
    </row>
    <row r="207" spans="2:18" ht="24.75" hidden="1" customHeight="1" x14ac:dyDescent="0.2">
      <c r="B207" s="183" t="s">
        <v>234</v>
      </c>
      <c r="C207" s="183" t="s">
        <v>234</v>
      </c>
      <c r="D207" s="183" t="s">
        <v>234</v>
      </c>
      <c r="E207" s="183"/>
      <c r="F207" s="190" t="s">
        <v>444</v>
      </c>
      <c r="G207" s="191">
        <v>0</v>
      </c>
      <c r="H207" s="191">
        <v>1895399.5</v>
      </c>
      <c r="I207" s="191">
        <v>1933307.5</v>
      </c>
      <c r="J207" s="165" t="s">
        <v>445</v>
      </c>
      <c r="K207" s="165" t="s">
        <v>99</v>
      </c>
      <c r="L207" s="165">
        <v>0</v>
      </c>
      <c r="M207" s="165">
        <v>100</v>
      </c>
      <c r="N207" s="17">
        <v>100</v>
      </c>
      <c r="O207" s="1"/>
      <c r="Q207" s="72" t="s">
        <v>34</v>
      </c>
    </row>
    <row r="208" spans="2:18" ht="44.25" hidden="1" customHeight="1" x14ac:dyDescent="0.2">
      <c r="B208" s="183" t="s">
        <v>261</v>
      </c>
      <c r="C208" s="183" t="s">
        <v>261</v>
      </c>
      <c r="D208" s="183" t="s">
        <v>261</v>
      </c>
      <c r="E208" s="183"/>
      <c r="F208" s="190" t="s">
        <v>446</v>
      </c>
      <c r="G208" s="191">
        <v>24355498</v>
      </c>
      <c r="H208" s="191">
        <v>30932052.5</v>
      </c>
      <c r="I208" s="191">
        <v>67382805.599999994</v>
      </c>
      <c r="J208" s="165" t="s">
        <v>447</v>
      </c>
      <c r="K208" s="163" t="s">
        <v>186</v>
      </c>
      <c r="L208" s="164">
        <f>G208</f>
        <v>24355498</v>
      </c>
      <c r="M208" s="164">
        <f>H208</f>
        <v>30932052.5</v>
      </c>
      <c r="N208" s="54">
        <f>I208</f>
        <v>67382805.599999994</v>
      </c>
      <c r="O208" s="1"/>
      <c r="Q208" s="72" t="s">
        <v>34</v>
      </c>
    </row>
    <row r="209" spans="2:18" ht="21" hidden="1" customHeight="1" x14ac:dyDescent="0.2">
      <c r="B209" s="183" t="s">
        <v>344</v>
      </c>
      <c r="C209" s="183" t="s">
        <v>344</v>
      </c>
      <c r="D209" s="183" t="s">
        <v>344</v>
      </c>
      <c r="E209" s="183"/>
      <c r="F209" s="190" t="s">
        <v>448</v>
      </c>
      <c r="G209" s="191">
        <v>411441</v>
      </c>
      <c r="H209" s="191">
        <v>216031.7</v>
      </c>
      <c r="I209" s="191">
        <v>1380.4</v>
      </c>
      <c r="J209" s="56" t="s">
        <v>449</v>
      </c>
      <c r="K209" s="165" t="s">
        <v>99</v>
      </c>
      <c r="L209" s="165">
        <v>100</v>
      </c>
      <c r="M209" s="165">
        <v>100</v>
      </c>
      <c r="N209" s="17">
        <v>100</v>
      </c>
      <c r="O209" s="1"/>
      <c r="P209" s="31"/>
      <c r="Q209" s="72" t="s">
        <v>34</v>
      </c>
      <c r="R209" s="75" t="s">
        <v>123</v>
      </c>
    </row>
    <row r="210" spans="2:18" ht="44.25" hidden="1" customHeight="1" x14ac:dyDescent="0.2">
      <c r="B210" s="183" t="s">
        <v>450</v>
      </c>
      <c r="C210" s="183" t="s">
        <v>450</v>
      </c>
      <c r="D210" s="183" t="s">
        <v>450</v>
      </c>
      <c r="E210" s="183"/>
      <c r="F210" s="190" t="s">
        <v>451</v>
      </c>
      <c r="G210" s="191">
        <v>500000</v>
      </c>
      <c r="H210" s="191">
        <v>500000</v>
      </c>
      <c r="I210" s="191">
        <v>500000</v>
      </c>
      <c r="J210" s="56" t="s">
        <v>452</v>
      </c>
      <c r="K210" s="163" t="s">
        <v>186</v>
      </c>
      <c r="L210" s="164">
        <f>G210</f>
        <v>500000</v>
      </c>
      <c r="M210" s="164">
        <f>H210</f>
        <v>500000</v>
      </c>
      <c r="N210" s="54">
        <f>I210</f>
        <v>500000</v>
      </c>
      <c r="O210" s="1"/>
      <c r="P210" s="31"/>
      <c r="Q210" s="72" t="s">
        <v>34</v>
      </c>
    </row>
    <row r="211" spans="2:18" ht="25.5" hidden="1" customHeight="1" x14ac:dyDescent="0.2">
      <c r="B211" s="183" t="s">
        <v>453</v>
      </c>
      <c r="C211" s="183" t="s">
        <v>453</v>
      </c>
      <c r="D211" s="183" t="s">
        <v>453</v>
      </c>
      <c r="E211" s="183"/>
      <c r="F211" s="190" t="s">
        <v>454</v>
      </c>
      <c r="G211" s="191">
        <v>404940</v>
      </c>
      <c r="H211" s="191">
        <v>212100</v>
      </c>
      <c r="I211" s="191">
        <v>0</v>
      </c>
      <c r="J211" s="56" t="s">
        <v>455</v>
      </c>
      <c r="K211" s="165" t="s">
        <v>99</v>
      </c>
      <c r="L211" s="165">
        <v>100</v>
      </c>
      <c r="M211" s="165">
        <v>100</v>
      </c>
      <c r="N211" s="17">
        <v>0</v>
      </c>
      <c r="O211" s="1"/>
      <c r="P211" s="31"/>
      <c r="Q211" s="72" t="s">
        <v>34</v>
      </c>
      <c r="R211" s="75" t="s">
        <v>123</v>
      </c>
    </row>
    <row r="212" spans="2:18" ht="30" hidden="1" customHeight="1" x14ac:dyDescent="0.2">
      <c r="B212" s="183" t="s">
        <v>456</v>
      </c>
      <c r="C212" s="183" t="s">
        <v>456</v>
      </c>
      <c r="D212" s="183" t="s">
        <v>456</v>
      </c>
      <c r="E212" s="183"/>
      <c r="F212" s="190" t="s">
        <v>457</v>
      </c>
      <c r="G212" s="191">
        <v>20000</v>
      </c>
      <c r="H212" s="191">
        <v>10150</v>
      </c>
      <c r="I212" s="191">
        <v>6150</v>
      </c>
      <c r="J212" s="165" t="s">
        <v>458</v>
      </c>
      <c r="K212" s="165" t="s">
        <v>99</v>
      </c>
      <c r="L212" s="165">
        <v>100</v>
      </c>
      <c r="M212" s="165">
        <v>100</v>
      </c>
      <c r="N212" s="17">
        <v>100</v>
      </c>
      <c r="O212" s="1"/>
      <c r="P212" s="33"/>
      <c r="Q212" s="72" t="s">
        <v>34</v>
      </c>
    </row>
    <row r="213" spans="2:18" ht="24" hidden="1" customHeight="1" x14ac:dyDescent="0.2">
      <c r="B213" s="183" t="s">
        <v>459</v>
      </c>
      <c r="C213" s="183" t="s">
        <v>459</v>
      </c>
      <c r="D213" s="183" t="s">
        <v>459</v>
      </c>
      <c r="E213" s="183"/>
      <c r="F213" s="190" t="s">
        <v>460</v>
      </c>
      <c r="G213" s="191">
        <v>50000000</v>
      </c>
      <c r="H213" s="191">
        <v>10000000</v>
      </c>
      <c r="I213" s="191">
        <v>10000000</v>
      </c>
      <c r="J213" s="165" t="s">
        <v>461</v>
      </c>
      <c r="K213" s="165" t="s">
        <v>99</v>
      </c>
      <c r="L213" s="165">
        <v>100</v>
      </c>
      <c r="M213" s="165">
        <v>100</v>
      </c>
      <c r="N213" s="17">
        <v>100</v>
      </c>
      <c r="O213" s="1"/>
      <c r="Q213" s="72" t="s">
        <v>34</v>
      </c>
      <c r="R213" s="75" t="s">
        <v>149</v>
      </c>
    </row>
    <row r="214" spans="2:18" ht="28.5" hidden="1" customHeight="1" x14ac:dyDescent="0.2">
      <c r="B214" s="183"/>
      <c r="C214" s="183"/>
      <c r="D214" s="183">
        <v>42</v>
      </c>
      <c r="E214" s="183"/>
      <c r="F214" s="190" t="s">
        <v>462</v>
      </c>
      <c r="G214" s="191">
        <v>12811205</v>
      </c>
      <c r="H214" s="191">
        <v>4000000</v>
      </c>
      <c r="I214" s="191">
        <v>0</v>
      </c>
      <c r="J214" s="165" t="s">
        <v>463</v>
      </c>
      <c r="K214" s="165" t="s">
        <v>99</v>
      </c>
      <c r="L214" s="165">
        <v>100</v>
      </c>
      <c r="M214" s="165">
        <v>100</v>
      </c>
      <c r="N214" s="17">
        <v>0</v>
      </c>
      <c r="O214" s="1"/>
      <c r="Q214" s="72" t="s">
        <v>34</v>
      </c>
      <c r="R214" s="75" t="s">
        <v>123</v>
      </c>
    </row>
    <row r="215" spans="2:18" ht="25.5" hidden="1" customHeight="1" x14ac:dyDescent="0.2">
      <c r="B215" s="183" t="s">
        <v>464</v>
      </c>
      <c r="C215" s="183" t="s">
        <v>464</v>
      </c>
      <c r="D215" s="183" t="s">
        <v>464</v>
      </c>
      <c r="E215" s="183"/>
      <c r="F215" s="190" t="s">
        <v>465</v>
      </c>
      <c r="G215" s="191">
        <v>76156.5</v>
      </c>
      <c r="H215" s="191">
        <v>0</v>
      </c>
      <c r="I215" s="191">
        <v>0</v>
      </c>
      <c r="J215" s="165" t="s">
        <v>458</v>
      </c>
      <c r="K215" s="165" t="s">
        <v>99</v>
      </c>
      <c r="L215" s="165">
        <v>100</v>
      </c>
      <c r="M215" s="165">
        <v>0</v>
      </c>
      <c r="N215" s="17">
        <v>0</v>
      </c>
      <c r="O215" s="1"/>
      <c r="Q215" s="72" t="s">
        <v>34</v>
      </c>
    </row>
    <row r="216" spans="2:18" ht="30" hidden="1" customHeight="1" x14ac:dyDescent="0.2">
      <c r="B216" s="183" t="s">
        <v>466</v>
      </c>
      <c r="C216" s="183" t="s">
        <v>466</v>
      </c>
      <c r="D216" s="183" t="s">
        <v>466</v>
      </c>
      <c r="E216" s="183"/>
      <c r="F216" s="190" t="s">
        <v>467</v>
      </c>
      <c r="G216" s="191">
        <v>2146396.1</v>
      </c>
      <c r="H216" s="191">
        <v>0</v>
      </c>
      <c r="I216" s="191">
        <v>0</v>
      </c>
      <c r="J216" s="165" t="s">
        <v>468</v>
      </c>
      <c r="K216" s="165" t="s">
        <v>99</v>
      </c>
      <c r="L216" s="165">
        <v>100</v>
      </c>
      <c r="M216" s="165">
        <v>0</v>
      </c>
      <c r="N216" s="17">
        <v>0</v>
      </c>
      <c r="O216" s="1"/>
      <c r="Q216" s="72" t="s">
        <v>34</v>
      </c>
      <c r="R216" s="75" t="s">
        <v>123</v>
      </c>
    </row>
    <row r="217" spans="2:18" ht="24" hidden="1" customHeight="1" x14ac:dyDescent="0.2">
      <c r="B217" s="183" t="s">
        <v>469</v>
      </c>
      <c r="C217" s="183" t="s">
        <v>469</v>
      </c>
      <c r="D217" s="183" t="s">
        <v>469</v>
      </c>
      <c r="E217" s="183"/>
      <c r="F217" s="190" t="s">
        <v>470</v>
      </c>
      <c r="G217" s="191">
        <v>10200</v>
      </c>
      <c r="H217" s="191">
        <v>0</v>
      </c>
      <c r="I217" s="191">
        <v>0</v>
      </c>
      <c r="J217" s="165" t="s">
        <v>458</v>
      </c>
      <c r="K217" s="165" t="s">
        <v>99</v>
      </c>
      <c r="L217" s="165">
        <v>100</v>
      </c>
      <c r="M217" s="165">
        <v>0</v>
      </c>
      <c r="N217" s="17">
        <v>0</v>
      </c>
      <c r="O217" s="1"/>
      <c r="Q217" s="72" t="s">
        <v>34</v>
      </c>
    </row>
    <row r="218" spans="2:18" ht="31.5" hidden="1" customHeight="1" x14ac:dyDescent="0.2">
      <c r="B218" s="183" t="s">
        <v>471</v>
      </c>
      <c r="C218" s="183" t="s">
        <v>471</v>
      </c>
      <c r="D218" s="183" t="s">
        <v>471</v>
      </c>
      <c r="E218" s="183"/>
      <c r="F218" s="190" t="s">
        <v>472</v>
      </c>
      <c r="G218" s="191">
        <v>12811205</v>
      </c>
      <c r="H218" s="191">
        <v>1000000</v>
      </c>
      <c r="I218" s="191">
        <v>0</v>
      </c>
      <c r="J218" s="56" t="s">
        <v>473</v>
      </c>
      <c r="K218" s="165" t="s">
        <v>99</v>
      </c>
      <c r="L218" s="165">
        <v>100</v>
      </c>
      <c r="M218" s="165">
        <v>100</v>
      </c>
      <c r="N218" s="17">
        <v>0</v>
      </c>
      <c r="O218" s="1"/>
      <c r="Q218" s="72" t="s">
        <v>34</v>
      </c>
      <c r="R218" s="75" t="s">
        <v>123</v>
      </c>
    </row>
    <row r="219" spans="2:18" ht="27" hidden="1" customHeight="1" x14ac:dyDescent="0.2">
      <c r="B219" s="183" t="s">
        <v>474</v>
      </c>
      <c r="C219" s="183" t="s">
        <v>474</v>
      </c>
      <c r="D219" s="183" t="s">
        <v>474</v>
      </c>
      <c r="E219" s="183"/>
      <c r="F219" s="190" t="s">
        <v>475</v>
      </c>
      <c r="G219" s="191">
        <v>25840</v>
      </c>
      <c r="H219" s="191">
        <v>0</v>
      </c>
      <c r="I219" s="191">
        <v>0</v>
      </c>
      <c r="J219" s="165" t="s">
        <v>458</v>
      </c>
      <c r="K219" s="165" t="s">
        <v>99</v>
      </c>
      <c r="L219" s="165">
        <v>100</v>
      </c>
      <c r="M219" s="165">
        <v>0</v>
      </c>
      <c r="N219" s="17">
        <v>0</v>
      </c>
      <c r="O219" s="1"/>
      <c r="Q219" s="72" t="s">
        <v>34</v>
      </c>
    </row>
    <row r="220" spans="2:18" ht="32.25" hidden="1" customHeight="1" x14ac:dyDescent="0.2">
      <c r="B220" s="183" t="s">
        <v>476</v>
      </c>
      <c r="C220" s="183" t="s">
        <v>476</v>
      </c>
      <c r="D220" s="183" t="s">
        <v>476</v>
      </c>
      <c r="E220" s="183"/>
      <c r="F220" s="190" t="s">
        <v>477</v>
      </c>
      <c r="G220" s="191">
        <v>2500000</v>
      </c>
      <c r="H220" s="191">
        <v>1150000</v>
      </c>
      <c r="I220" s="191">
        <v>0</v>
      </c>
      <c r="J220" s="165" t="s">
        <v>478</v>
      </c>
      <c r="K220" s="165" t="s">
        <v>99</v>
      </c>
      <c r="L220" s="165">
        <v>100</v>
      </c>
      <c r="M220" s="165">
        <v>100</v>
      </c>
      <c r="N220" s="17">
        <v>0</v>
      </c>
      <c r="O220" s="1"/>
      <c r="Q220" s="72" t="s">
        <v>34</v>
      </c>
      <c r="R220" s="75" t="s">
        <v>123</v>
      </c>
    </row>
    <row r="221" spans="2:18" ht="33.75" hidden="1" customHeight="1" x14ac:dyDescent="0.2">
      <c r="B221" s="183" t="s">
        <v>479</v>
      </c>
      <c r="C221" s="183" t="s">
        <v>479</v>
      </c>
      <c r="D221" s="183" t="s">
        <v>479</v>
      </c>
      <c r="E221" s="183"/>
      <c r="F221" s="190" t="s">
        <v>480</v>
      </c>
      <c r="G221" s="191">
        <v>42833.33</v>
      </c>
      <c r="H221" s="191">
        <v>0</v>
      </c>
      <c r="I221" s="191">
        <v>0</v>
      </c>
      <c r="J221" s="165" t="s">
        <v>481</v>
      </c>
      <c r="K221" s="165" t="s">
        <v>99</v>
      </c>
      <c r="L221" s="165">
        <v>100</v>
      </c>
      <c r="M221" s="165">
        <v>0</v>
      </c>
      <c r="N221" s="17">
        <v>0</v>
      </c>
      <c r="O221" s="1"/>
      <c r="Q221" s="72" t="s">
        <v>34</v>
      </c>
      <c r="R221" s="75" t="s">
        <v>123</v>
      </c>
    </row>
    <row r="222" spans="2:18" ht="21.75" hidden="1" customHeight="1" x14ac:dyDescent="0.2">
      <c r="B222" s="183" t="s">
        <v>482</v>
      </c>
      <c r="C222" s="183" t="s">
        <v>482</v>
      </c>
      <c r="D222" s="183" t="s">
        <v>482</v>
      </c>
      <c r="E222" s="183"/>
      <c r="F222" s="190" t="s">
        <v>483</v>
      </c>
      <c r="G222" s="191">
        <v>3432282.63</v>
      </c>
      <c r="H222" s="191">
        <v>430979.81</v>
      </c>
      <c r="I222" s="191">
        <v>0</v>
      </c>
      <c r="J222" s="56" t="s">
        <v>484</v>
      </c>
      <c r="K222" s="165" t="s">
        <v>99</v>
      </c>
      <c r="L222" s="165">
        <v>100</v>
      </c>
      <c r="M222" s="165">
        <v>100</v>
      </c>
      <c r="N222" s="17">
        <v>0</v>
      </c>
      <c r="O222" s="1"/>
      <c r="Q222" s="72" t="s">
        <v>34</v>
      </c>
      <c r="R222" s="75" t="s">
        <v>123</v>
      </c>
    </row>
    <row r="223" spans="2:18" ht="36.75" hidden="1" customHeight="1" x14ac:dyDescent="0.2">
      <c r="B223" s="183" t="s">
        <v>485</v>
      </c>
      <c r="C223" s="183" t="s">
        <v>485</v>
      </c>
      <c r="D223" s="183" t="s">
        <v>485</v>
      </c>
      <c r="E223" s="183"/>
      <c r="F223" s="190" t="s">
        <v>486</v>
      </c>
      <c r="G223" s="191">
        <v>1576370.4</v>
      </c>
      <c r="H223" s="191">
        <v>0</v>
      </c>
      <c r="I223" s="191">
        <v>0</v>
      </c>
      <c r="J223" s="165" t="s">
        <v>487</v>
      </c>
      <c r="K223" s="165" t="s">
        <v>99</v>
      </c>
      <c r="L223" s="165">
        <v>100</v>
      </c>
      <c r="M223" s="165">
        <v>0</v>
      </c>
      <c r="N223" s="17">
        <v>0</v>
      </c>
      <c r="O223" s="1"/>
      <c r="Q223" s="72" t="s">
        <v>34</v>
      </c>
      <c r="R223" s="75" t="s">
        <v>123</v>
      </c>
    </row>
    <row r="224" spans="2:18" ht="34.5" hidden="1" customHeight="1" x14ac:dyDescent="0.2">
      <c r="B224" s="183" t="s">
        <v>488</v>
      </c>
      <c r="C224" s="183" t="s">
        <v>488</v>
      </c>
      <c r="D224" s="183" t="s">
        <v>488</v>
      </c>
      <c r="E224" s="183"/>
      <c r="F224" s="190" t="s">
        <v>489</v>
      </c>
      <c r="G224" s="191">
        <v>10000</v>
      </c>
      <c r="H224" s="191">
        <v>527.85</v>
      </c>
      <c r="I224" s="191">
        <v>184.95</v>
      </c>
      <c r="J224" s="165" t="s">
        <v>490</v>
      </c>
      <c r="K224" s="165" t="s">
        <v>99</v>
      </c>
      <c r="L224" s="165">
        <v>100</v>
      </c>
      <c r="M224" s="165">
        <v>100</v>
      </c>
      <c r="N224" s="17">
        <v>100</v>
      </c>
      <c r="O224" s="1"/>
      <c r="Q224" s="72" t="s">
        <v>34</v>
      </c>
      <c r="R224" s="75" t="s">
        <v>123</v>
      </c>
    </row>
    <row r="225" spans="2:18" ht="62.25" hidden="1" customHeight="1" x14ac:dyDescent="0.2">
      <c r="B225" s="183" t="s">
        <v>491</v>
      </c>
      <c r="C225" s="183" t="s">
        <v>491</v>
      </c>
      <c r="D225" s="183" t="s">
        <v>491</v>
      </c>
      <c r="E225" s="183"/>
      <c r="F225" s="190" t="s">
        <v>492</v>
      </c>
      <c r="G225" s="191">
        <v>4420000</v>
      </c>
      <c r="H225" s="191">
        <v>8581730</v>
      </c>
      <c r="I225" s="191">
        <v>3991700</v>
      </c>
      <c r="J225" s="56" t="s">
        <v>493</v>
      </c>
      <c r="K225" s="165" t="s">
        <v>99</v>
      </c>
      <c r="L225" s="165">
        <v>100</v>
      </c>
      <c r="M225" s="165">
        <v>100</v>
      </c>
      <c r="N225" s="17">
        <v>100</v>
      </c>
      <c r="O225" s="1"/>
      <c r="Q225" s="72" t="s">
        <v>34</v>
      </c>
    </row>
    <row r="226" spans="2:18" ht="32.25" hidden="1" customHeight="1" x14ac:dyDescent="0.2">
      <c r="B226" s="183" t="s">
        <v>494</v>
      </c>
      <c r="C226" s="183" t="s">
        <v>494</v>
      </c>
      <c r="D226" s="183" t="s">
        <v>494</v>
      </c>
      <c r="E226" s="183"/>
      <c r="F226" s="190" t="s">
        <v>495</v>
      </c>
      <c r="G226" s="191">
        <v>100000</v>
      </c>
      <c r="H226" s="191">
        <v>0</v>
      </c>
      <c r="I226" s="191">
        <v>0</v>
      </c>
      <c r="J226" s="165" t="s">
        <v>496</v>
      </c>
      <c r="K226" s="165" t="s">
        <v>99</v>
      </c>
      <c r="L226" s="165">
        <v>100</v>
      </c>
      <c r="M226" s="165">
        <v>0</v>
      </c>
      <c r="N226" s="17">
        <v>0</v>
      </c>
      <c r="O226" s="1"/>
      <c r="Q226" s="72" t="s">
        <v>34</v>
      </c>
    </row>
    <row r="227" spans="2:18" ht="33" hidden="1" customHeight="1" x14ac:dyDescent="0.2">
      <c r="B227" s="183" t="s">
        <v>497</v>
      </c>
      <c r="C227" s="183" t="s">
        <v>497</v>
      </c>
      <c r="D227" s="183" t="s">
        <v>497</v>
      </c>
      <c r="E227" s="183"/>
      <c r="F227" s="190" t="s">
        <v>498</v>
      </c>
      <c r="G227" s="191">
        <v>162740</v>
      </c>
      <c r="H227" s="191">
        <v>133320</v>
      </c>
      <c r="I227" s="191">
        <v>80960</v>
      </c>
      <c r="J227" s="165" t="s">
        <v>499</v>
      </c>
      <c r="K227" s="165" t="s">
        <v>99</v>
      </c>
      <c r="L227" s="165">
        <v>100</v>
      </c>
      <c r="M227" s="165">
        <v>100</v>
      </c>
      <c r="N227" s="17">
        <v>100</v>
      </c>
      <c r="O227" s="1"/>
      <c r="Q227" s="72" t="s">
        <v>34</v>
      </c>
      <c r="R227" s="75" t="s">
        <v>123</v>
      </c>
    </row>
    <row r="228" spans="2:18" ht="36.75" hidden="1" customHeight="1" x14ac:dyDescent="0.2">
      <c r="B228" s="183" t="s">
        <v>500</v>
      </c>
      <c r="C228" s="183" t="s">
        <v>500</v>
      </c>
      <c r="D228" s="183" t="s">
        <v>500</v>
      </c>
      <c r="E228" s="183"/>
      <c r="F228" s="190" t="s">
        <v>501</v>
      </c>
      <c r="G228" s="191">
        <v>3500000</v>
      </c>
      <c r="H228" s="191">
        <v>3000000</v>
      </c>
      <c r="I228" s="191">
        <v>3000000</v>
      </c>
      <c r="J228" s="165" t="s">
        <v>502</v>
      </c>
      <c r="K228" s="165" t="s">
        <v>99</v>
      </c>
      <c r="L228" s="165">
        <v>100</v>
      </c>
      <c r="M228" s="165">
        <v>100</v>
      </c>
      <c r="N228" s="17">
        <v>100</v>
      </c>
      <c r="O228" s="1"/>
      <c r="Q228" s="72" t="s">
        <v>34</v>
      </c>
      <c r="R228" s="75" t="s">
        <v>123</v>
      </c>
    </row>
    <row r="229" spans="2:18" ht="36" hidden="1" customHeight="1" x14ac:dyDescent="0.2">
      <c r="B229" s="93" t="s">
        <v>410</v>
      </c>
      <c r="C229" s="93" t="s">
        <v>503</v>
      </c>
      <c r="D229" s="94"/>
      <c r="E229" s="94"/>
      <c r="F229" s="95" t="s">
        <v>504</v>
      </c>
      <c r="G229" s="96">
        <v>118757161.33</v>
      </c>
      <c r="H229" s="96">
        <v>131802316.2</v>
      </c>
      <c r="I229" s="96">
        <v>132133762.23</v>
      </c>
      <c r="J229" s="107" t="s">
        <v>505</v>
      </c>
      <c r="K229" s="105" t="s">
        <v>186</v>
      </c>
      <c r="L229" s="108">
        <v>118757161.33</v>
      </c>
      <c r="M229" s="108">
        <v>131802316.2</v>
      </c>
      <c r="N229" s="108">
        <v>132133762.23</v>
      </c>
      <c r="O229" s="1"/>
      <c r="Q229" s="71" t="s">
        <v>40</v>
      </c>
    </row>
    <row r="230" spans="2:18" ht="32.25" hidden="1" customHeight="1" x14ac:dyDescent="0.2">
      <c r="B230" s="183" t="s">
        <v>100</v>
      </c>
      <c r="C230" s="183" t="s">
        <v>100</v>
      </c>
      <c r="D230" s="183" t="s">
        <v>100</v>
      </c>
      <c r="E230" s="183"/>
      <c r="F230" s="190" t="s">
        <v>506</v>
      </c>
      <c r="G230" s="191">
        <v>27680000</v>
      </c>
      <c r="H230" s="191">
        <v>27860000</v>
      </c>
      <c r="I230" s="191">
        <v>27900000</v>
      </c>
      <c r="J230" s="56" t="s">
        <v>507</v>
      </c>
      <c r="K230" s="165" t="s">
        <v>186</v>
      </c>
      <c r="L230" s="164">
        <f>G230</f>
        <v>27680000</v>
      </c>
      <c r="M230" s="164">
        <f>H230</f>
        <v>27860000</v>
      </c>
      <c r="N230" s="54">
        <f>I230</f>
        <v>27900000</v>
      </c>
      <c r="O230" s="1"/>
      <c r="Q230" s="72" t="s">
        <v>34</v>
      </c>
    </row>
    <row r="231" spans="2:18" ht="30" hidden="1" customHeight="1" x14ac:dyDescent="0.2">
      <c r="B231" s="183" t="s">
        <v>150</v>
      </c>
      <c r="C231" s="183" t="s">
        <v>150</v>
      </c>
      <c r="D231" s="183" t="s">
        <v>150</v>
      </c>
      <c r="E231" s="183"/>
      <c r="F231" s="190" t="s">
        <v>508</v>
      </c>
      <c r="G231" s="191">
        <v>76517019.429999992</v>
      </c>
      <c r="H231" s="191">
        <v>88847680.420000002</v>
      </c>
      <c r="I231" s="191">
        <v>87848971.519999996</v>
      </c>
      <c r="J231" s="165" t="s">
        <v>509</v>
      </c>
      <c r="K231" s="165" t="s">
        <v>186</v>
      </c>
      <c r="L231" s="164">
        <v>76517019.429999992</v>
      </c>
      <c r="M231" s="164">
        <v>88847680.420000002</v>
      </c>
      <c r="N231" s="54">
        <v>87848971.519999996</v>
      </c>
      <c r="O231" s="1"/>
      <c r="Q231" s="72" t="s">
        <v>34</v>
      </c>
    </row>
    <row r="232" spans="2:18" ht="27" hidden="1" customHeight="1" x14ac:dyDescent="0.2">
      <c r="B232" s="183" t="s">
        <v>124</v>
      </c>
      <c r="C232" s="183" t="s">
        <v>124</v>
      </c>
      <c r="D232" s="183" t="s">
        <v>124</v>
      </c>
      <c r="E232" s="183"/>
      <c r="F232" s="190" t="s">
        <v>510</v>
      </c>
      <c r="G232" s="191">
        <v>1870838.8</v>
      </c>
      <c r="H232" s="191">
        <v>1870838.8</v>
      </c>
      <c r="I232" s="191">
        <v>1870838.8</v>
      </c>
      <c r="J232" s="165" t="s">
        <v>511</v>
      </c>
      <c r="K232" s="165" t="s">
        <v>99</v>
      </c>
      <c r="L232" s="165">
        <v>100</v>
      </c>
      <c r="M232" s="165">
        <v>100</v>
      </c>
      <c r="N232" s="17">
        <v>100</v>
      </c>
      <c r="O232" s="1"/>
      <c r="Q232" s="72" t="s">
        <v>34</v>
      </c>
    </row>
    <row r="233" spans="2:18" ht="33.75" hidden="1" customHeight="1" x14ac:dyDescent="0.2">
      <c r="B233" s="183" t="s">
        <v>156</v>
      </c>
      <c r="C233" s="183" t="s">
        <v>156</v>
      </c>
      <c r="D233" s="183" t="s">
        <v>156</v>
      </c>
      <c r="E233" s="183"/>
      <c r="F233" s="190" t="s">
        <v>512</v>
      </c>
      <c r="G233" s="191">
        <v>7032817.2999999998</v>
      </c>
      <c r="H233" s="191">
        <v>1130400</v>
      </c>
      <c r="I233" s="191">
        <v>1130400</v>
      </c>
      <c r="J233" s="56" t="s">
        <v>513</v>
      </c>
      <c r="K233" s="165" t="s">
        <v>186</v>
      </c>
      <c r="L233" s="164">
        <f>G233</f>
        <v>7032817.2999999998</v>
      </c>
      <c r="M233" s="164">
        <f>H233</f>
        <v>1130400</v>
      </c>
      <c r="N233" s="54">
        <f>I233</f>
        <v>1130400</v>
      </c>
      <c r="O233" s="1"/>
      <c r="Q233" s="72" t="s">
        <v>34</v>
      </c>
    </row>
    <row r="234" spans="2:18" ht="32.25" hidden="1" customHeight="1" x14ac:dyDescent="0.2">
      <c r="B234" s="183" t="s">
        <v>160</v>
      </c>
      <c r="C234" s="183" t="s">
        <v>160</v>
      </c>
      <c r="D234" s="183" t="s">
        <v>160</v>
      </c>
      <c r="E234" s="183"/>
      <c r="F234" s="190" t="s">
        <v>514</v>
      </c>
      <c r="G234" s="191">
        <v>1500000</v>
      </c>
      <c r="H234" s="191">
        <v>1500000</v>
      </c>
      <c r="I234" s="191">
        <v>1500000</v>
      </c>
      <c r="J234" s="56" t="s">
        <v>515</v>
      </c>
      <c r="K234" s="165" t="s">
        <v>186</v>
      </c>
      <c r="L234" s="164">
        <f>G234</f>
        <v>1500000</v>
      </c>
      <c r="M234" s="164">
        <f>H234</f>
        <v>1500000</v>
      </c>
      <c r="N234" s="54">
        <f>I234</f>
        <v>1500000</v>
      </c>
      <c r="O234" s="1"/>
      <c r="Q234" s="72" t="s">
        <v>34</v>
      </c>
    </row>
    <row r="235" spans="2:18" ht="44.25" hidden="1" customHeight="1" x14ac:dyDescent="0.2">
      <c r="B235" s="183" t="s">
        <v>163</v>
      </c>
      <c r="C235" s="183" t="s">
        <v>163</v>
      </c>
      <c r="D235" s="183" t="s">
        <v>163</v>
      </c>
      <c r="E235" s="183"/>
      <c r="F235" s="190" t="s">
        <v>516</v>
      </c>
      <c r="G235" s="191">
        <v>499414.4</v>
      </c>
      <c r="H235" s="191">
        <v>509335.4</v>
      </c>
      <c r="I235" s="191">
        <v>519397.4</v>
      </c>
      <c r="J235" s="56" t="s">
        <v>517</v>
      </c>
      <c r="K235" s="165" t="s">
        <v>186</v>
      </c>
      <c r="L235" s="164">
        <f>G235</f>
        <v>499414.4</v>
      </c>
      <c r="M235" s="164">
        <f>H235</f>
        <v>509335.4</v>
      </c>
      <c r="N235" s="54">
        <f>I235</f>
        <v>519397.4</v>
      </c>
      <c r="O235" s="1"/>
      <c r="Q235" s="72" t="s">
        <v>34</v>
      </c>
    </row>
    <row r="236" spans="2:18" ht="48" hidden="1" customHeight="1" x14ac:dyDescent="0.2">
      <c r="B236" s="183" t="s">
        <v>166</v>
      </c>
      <c r="C236" s="183" t="s">
        <v>166</v>
      </c>
      <c r="D236" s="183" t="s">
        <v>166</v>
      </c>
      <c r="E236" s="183"/>
      <c r="F236" s="190" t="s">
        <v>518</v>
      </c>
      <c r="G236" s="191">
        <v>2074642.4</v>
      </c>
      <c r="H236" s="191">
        <v>2066877.8</v>
      </c>
      <c r="I236" s="191">
        <v>2085761.5</v>
      </c>
      <c r="J236" s="56" t="s">
        <v>519</v>
      </c>
      <c r="K236" s="165" t="s">
        <v>186</v>
      </c>
      <c r="L236" s="164">
        <f>G236</f>
        <v>2074642.4</v>
      </c>
      <c r="M236" s="164">
        <f>H236</f>
        <v>2066877.8</v>
      </c>
      <c r="N236" s="54">
        <f>I236</f>
        <v>2085761.5</v>
      </c>
      <c r="O236" s="1"/>
      <c r="Q236" s="72" t="s">
        <v>34</v>
      </c>
    </row>
    <row r="237" spans="2:18" ht="34.5" hidden="1" customHeight="1" x14ac:dyDescent="0.2">
      <c r="B237" s="183" t="s">
        <v>170</v>
      </c>
      <c r="C237" s="183" t="s">
        <v>170</v>
      </c>
      <c r="D237" s="183" t="s">
        <v>170</v>
      </c>
      <c r="E237" s="183"/>
      <c r="F237" s="190" t="s">
        <v>520</v>
      </c>
      <c r="G237" s="191">
        <v>1000000</v>
      </c>
      <c r="H237" s="191">
        <v>7441753.2000000002</v>
      </c>
      <c r="I237" s="191">
        <v>8709298</v>
      </c>
      <c r="J237" s="56" t="s">
        <v>521</v>
      </c>
      <c r="K237" s="165" t="s">
        <v>186</v>
      </c>
      <c r="L237" s="164">
        <f>G237</f>
        <v>1000000</v>
      </c>
      <c r="M237" s="164">
        <f>H237</f>
        <v>7441753.2000000002</v>
      </c>
      <c r="N237" s="54">
        <f>I237</f>
        <v>8709298</v>
      </c>
      <c r="O237" s="1"/>
      <c r="Q237" s="72" t="s">
        <v>34</v>
      </c>
    </row>
    <row r="238" spans="2:18" ht="24.75" hidden="1" customHeight="1" x14ac:dyDescent="0.2">
      <c r="B238" s="183" t="s">
        <v>113</v>
      </c>
      <c r="C238" s="183" t="s">
        <v>113</v>
      </c>
      <c r="D238" s="183" t="s">
        <v>113</v>
      </c>
      <c r="E238" s="183"/>
      <c r="F238" s="190" t="s">
        <v>522</v>
      </c>
      <c r="G238" s="191">
        <v>300000</v>
      </c>
      <c r="H238" s="191">
        <v>350000</v>
      </c>
      <c r="I238" s="191">
        <v>400000</v>
      </c>
      <c r="J238" s="56" t="s">
        <v>523</v>
      </c>
      <c r="K238" s="165" t="s">
        <v>186</v>
      </c>
      <c r="L238" s="164">
        <f>G238</f>
        <v>300000</v>
      </c>
      <c r="M238" s="164">
        <f>H238</f>
        <v>350000</v>
      </c>
      <c r="N238" s="54">
        <f>I238</f>
        <v>400000</v>
      </c>
      <c r="O238" s="1"/>
      <c r="Q238" s="72" t="s">
        <v>34</v>
      </c>
      <c r="R238" s="75" t="s">
        <v>149</v>
      </c>
    </row>
    <row r="239" spans="2:18" ht="39.75" hidden="1" customHeight="1" x14ac:dyDescent="0.2">
      <c r="B239" s="183" t="s">
        <v>142</v>
      </c>
      <c r="C239" s="183" t="s">
        <v>142</v>
      </c>
      <c r="D239" s="183" t="s">
        <v>142</v>
      </c>
      <c r="E239" s="183"/>
      <c r="F239" s="190" t="s">
        <v>524</v>
      </c>
      <c r="G239" s="191">
        <v>8250</v>
      </c>
      <c r="H239" s="191">
        <v>2440</v>
      </c>
      <c r="I239" s="191">
        <v>0</v>
      </c>
      <c r="J239" s="165" t="s">
        <v>525</v>
      </c>
      <c r="K239" s="165" t="s">
        <v>99</v>
      </c>
      <c r="L239" s="165">
        <v>100</v>
      </c>
      <c r="M239" s="165">
        <v>100</v>
      </c>
      <c r="N239" s="17">
        <v>0</v>
      </c>
      <c r="O239" s="1"/>
      <c r="Q239" s="72" t="s">
        <v>34</v>
      </c>
    </row>
    <row r="240" spans="2:18" ht="40.5" hidden="1" customHeight="1" x14ac:dyDescent="0.2">
      <c r="B240" s="183" t="s">
        <v>199</v>
      </c>
      <c r="C240" s="183" t="s">
        <v>199</v>
      </c>
      <c r="D240" s="183" t="s">
        <v>199</v>
      </c>
      <c r="E240" s="183"/>
      <c r="F240" s="190" t="s">
        <v>526</v>
      </c>
      <c r="G240" s="191">
        <v>150000</v>
      </c>
      <c r="H240" s="191">
        <v>93958.080000000002</v>
      </c>
      <c r="I240" s="191">
        <v>56966.71</v>
      </c>
      <c r="J240" s="165" t="s">
        <v>527</v>
      </c>
      <c r="K240" s="165" t="s">
        <v>99</v>
      </c>
      <c r="L240" s="165">
        <v>100</v>
      </c>
      <c r="M240" s="165">
        <v>100</v>
      </c>
      <c r="N240" s="17">
        <v>100</v>
      </c>
      <c r="O240" s="1"/>
      <c r="Q240" s="72" t="s">
        <v>34</v>
      </c>
    </row>
    <row r="241" spans="1:18" ht="40.5" hidden="1" customHeight="1" x14ac:dyDescent="0.2">
      <c r="B241" s="183"/>
      <c r="C241" s="183"/>
      <c r="D241" s="183">
        <v>19</v>
      </c>
      <c r="E241" s="183"/>
      <c r="F241" s="190" t="s">
        <v>528</v>
      </c>
      <c r="G241" s="191">
        <v>124179</v>
      </c>
      <c r="H241" s="191">
        <v>129032.5</v>
      </c>
      <c r="I241" s="191">
        <v>112128.3</v>
      </c>
      <c r="J241" s="165" t="s">
        <v>529</v>
      </c>
      <c r="K241" s="165" t="s">
        <v>99</v>
      </c>
      <c r="L241" s="165">
        <v>100</v>
      </c>
      <c r="M241" s="165">
        <v>100</v>
      </c>
      <c r="N241" s="17">
        <v>100</v>
      </c>
      <c r="O241" s="1"/>
      <c r="Q241" s="72" t="s">
        <v>34</v>
      </c>
    </row>
    <row r="242" spans="1:18" ht="36" hidden="1" customHeight="1" x14ac:dyDescent="0.2">
      <c r="B242" s="102" t="s">
        <v>410</v>
      </c>
      <c r="C242" s="102" t="s">
        <v>530</v>
      </c>
      <c r="D242" s="103"/>
      <c r="E242" s="103"/>
      <c r="F242" s="102" t="s">
        <v>531</v>
      </c>
      <c r="G242" s="104">
        <v>2057870.4</v>
      </c>
      <c r="H242" s="104">
        <v>2057870.4</v>
      </c>
      <c r="I242" s="104">
        <v>2057870.4</v>
      </c>
      <c r="J242" s="100" t="s">
        <v>532</v>
      </c>
      <c r="K242" s="100" t="s">
        <v>99</v>
      </c>
      <c r="L242" s="100">
        <v>42</v>
      </c>
      <c r="M242" s="100">
        <v>43.5</v>
      </c>
      <c r="N242" s="100">
        <v>45</v>
      </c>
      <c r="O242" s="1"/>
      <c r="Q242" s="71" t="s">
        <v>40</v>
      </c>
      <c r="R242" s="75" t="s">
        <v>149</v>
      </c>
    </row>
    <row r="243" spans="1:18" ht="31.5" hidden="1" customHeight="1" x14ac:dyDescent="0.2">
      <c r="B243" s="76"/>
      <c r="C243" s="76"/>
      <c r="D243" s="76"/>
      <c r="E243" s="76"/>
      <c r="F243" s="76"/>
      <c r="G243" s="76"/>
      <c r="H243" s="76"/>
      <c r="I243" s="76"/>
      <c r="J243" s="19" t="s">
        <v>533</v>
      </c>
      <c r="K243" s="19" t="s">
        <v>105</v>
      </c>
      <c r="L243" s="19">
        <v>2.5</v>
      </c>
      <c r="M243" s="19">
        <v>2.5</v>
      </c>
      <c r="N243" s="19">
        <v>2.5</v>
      </c>
      <c r="O243" s="1"/>
      <c r="Q243" s="73" t="s">
        <v>37</v>
      </c>
    </row>
    <row r="244" spans="1:18" ht="35.25" hidden="1" customHeight="1" x14ac:dyDescent="0.2">
      <c r="B244" s="77"/>
      <c r="C244" s="77"/>
      <c r="D244" s="77"/>
      <c r="E244" s="77"/>
      <c r="F244" s="77"/>
      <c r="G244" s="77"/>
      <c r="H244" s="77"/>
      <c r="I244" s="77"/>
      <c r="J244" s="19" t="s">
        <v>534</v>
      </c>
      <c r="K244" s="19" t="s">
        <v>99</v>
      </c>
      <c r="L244" s="19">
        <v>82</v>
      </c>
      <c r="M244" s="19">
        <v>83</v>
      </c>
      <c r="N244" s="19">
        <v>84</v>
      </c>
      <c r="O244" s="1"/>
      <c r="Q244" s="73" t="s">
        <v>37</v>
      </c>
    </row>
    <row r="245" spans="1:18" ht="48" hidden="1" customHeight="1" x14ac:dyDescent="0.2">
      <c r="B245" s="183" t="s">
        <v>100</v>
      </c>
      <c r="C245" s="183" t="s">
        <v>100</v>
      </c>
      <c r="D245" s="183" t="s">
        <v>100</v>
      </c>
      <c r="E245" s="183"/>
      <c r="F245" s="184" t="s">
        <v>535</v>
      </c>
      <c r="G245" s="185">
        <v>2057870.4</v>
      </c>
      <c r="H245" s="185">
        <v>2057870.4</v>
      </c>
      <c r="I245" s="185">
        <v>2057870.4</v>
      </c>
      <c r="J245" s="17" t="s">
        <v>536</v>
      </c>
      <c r="K245" s="17" t="s">
        <v>99</v>
      </c>
      <c r="L245" s="17">
        <v>100</v>
      </c>
      <c r="M245" s="17">
        <v>100</v>
      </c>
      <c r="N245" s="17">
        <v>100</v>
      </c>
      <c r="O245" s="1"/>
      <c r="Q245" s="72" t="s">
        <v>34</v>
      </c>
    </row>
    <row r="246" spans="1:18" ht="15" hidden="1" customHeight="1" x14ac:dyDescent="0.2">
      <c r="B246" s="174" t="s">
        <v>112</v>
      </c>
      <c r="C246" s="175"/>
      <c r="D246" s="176"/>
      <c r="E246" s="176"/>
      <c r="F246" s="177"/>
      <c r="G246" s="178">
        <v>332149236.14999998</v>
      </c>
      <c r="H246" s="178">
        <v>292725164.94999999</v>
      </c>
      <c r="I246" s="178">
        <v>315448713.95999998</v>
      </c>
      <c r="J246" s="179"/>
      <c r="K246" s="176"/>
      <c r="L246" s="176"/>
      <c r="M246" s="176"/>
      <c r="N246" s="177"/>
      <c r="O246" s="1"/>
      <c r="Q246" s="74" t="s">
        <v>46</v>
      </c>
    </row>
    <row r="247" spans="1:18" ht="20.25" hidden="1" customHeight="1" x14ac:dyDescent="0.2">
      <c r="A247" s="4" t="str">
        <f>C247</f>
        <v>Конституционный суд Кыргызской Республики</v>
      </c>
      <c r="B247" s="87" t="s">
        <v>450</v>
      </c>
      <c r="C247" s="88" t="s">
        <v>537</v>
      </c>
      <c r="D247" s="90"/>
      <c r="E247" s="90"/>
      <c r="F247" s="90"/>
      <c r="G247" s="90"/>
      <c r="H247" s="90"/>
      <c r="I247" s="90"/>
      <c r="J247" s="90"/>
      <c r="K247" s="90"/>
      <c r="L247" s="90"/>
      <c r="M247" s="90"/>
      <c r="N247" s="91"/>
      <c r="O247" s="1"/>
      <c r="Q247" s="70" t="s">
        <v>43</v>
      </c>
    </row>
    <row r="248" spans="1:18" ht="31.5" hidden="1" customHeight="1" x14ac:dyDescent="0.2">
      <c r="B248" s="93" t="s">
        <v>450</v>
      </c>
      <c r="C248" s="93" t="s">
        <v>538</v>
      </c>
      <c r="D248" s="94"/>
      <c r="E248" s="94"/>
      <c r="F248" s="95" t="s">
        <v>539</v>
      </c>
      <c r="G248" s="96">
        <v>81635.399999999994</v>
      </c>
      <c r="H248" s="96">
        <v>83268.11</v>
      </c>
      <c r="I248" s="96">
        <v>84933.5</v>
      </c>
      <c r="J248" s="99" t="s">
        <v>540</v>
      </c>
      <c r="K248" s="99" t="s">
        <v>155</v>
      </c>
      <c r="L248" s="99">
        <v>85</v>
      </c>
      <c r="M248" s="99">
        <v>85</v>
      </c>
      <c r="N248" s="99">
        <v>85</v>
      </c>
      <c r="O248" s="1"/>
      <c r="Q248" s="71" t="s">
        <v>40</v>
      </c>
    </row>
    <row r="249" spans="1:18" ht="33" hidden="1" customHeight="1" x14ac:dyDescent="0.2">
      <c r="B249" s="183" t="s">
        <v>100</v>
      </c>
      <c r="C249" s="183" t="s">
        <v>100</v>
      </c>
      <c r="D249" s="183" t="s">
        <v>100</v>
      </c>
      <c r="E249" s="183"/>
      <c r="F249" s="184" t="s">
        <v>541</v>
      </c>
      <c r="G249" s="185">
        <v>81635.399999999994</v>
      </c>
      <c r="H249" s="185">
        <v>83268.11</v>
      </c>
      <c r="I249" s="185">
        <v>84933.5</v>
      </c>
      <c r="J249" s="3" t="s">
        <v>540</v>
      </c>
      <c r="K249" s="3" t="s">
        <v>155</v>
      </c>
      <c r="L249" s="3">
        <v>85</v>
      </c>
      <c r="M249" s="3">
        <v>85</v>
      </c>
      <c r="N249" s="3">
        <v>85</v>
      </c>
      <c r="O249" s="1"/>
      <c r="Q249" s="72" t="s">
        <v>34</v>
      </c>
    </row>
    <row r="250" spans="1:18" ht="15" hidden="1" customHeight="1" x14ac:dyDescent="0.2">
      <c r="B250" s="174" t="s">
        <v>112</v>
      </c>
      <c r="C250" s="175"/>
      <c r="D250" s="176"/>
      <c r="E250" s="176"/>
      <c r="F250" s="177"/>
      <c r="G250" s="178">
        <v>81635.399999999994</v>
      </c>
      <c r="H250" s="178">
        <v>83268.11</v>
      </c>
      <c r="I250" s="178">
        <v>84933.5</v>
      </c>
      <c r="J250" s="179"/>
      <c r="K250" s="176"/>
      <c r="L250" s="176"/>
      <c r="M250" s="176"/>
      <c r="N250" s="177"/>
      <c r="O250" s="1"/>
      <c r="Q250" s="74" t="s">
        <v>46</v>
      </c>
    </row>
    <row r="251" spans="1:18" ht="21" hidden="1" customHeight="1" x14ac:dyDescent="0.2">
      <c r="A251" s="4" t="str">
        <f>C251</f>
        <v>Министерство экономики и коммерции Кыргызской Республики</v>
      </c>
      <c r="B251" s="87" t="s">
        <v>16</v>
      </c>
      <c r="C251" s="88" t="s">
        <v>542</v>
      </c>
      <c r="D251" s="90"/>
      <c r="E251" s="90"/>
      <c r="F251" s="90"/>
      <c r="G251" s="90"/>
      <c r="H251" s="90"/>
      <c r="I251" s="90"/>
      <c r="J251" s="90"/>
      <c r="K251" s="90"/>
      <c r="L251" s="90"/>
      <c r="M251" s="90"/>
      <c r="N251" s="91"/>
      <c r="O251" s="1"/>
      <c r="Q251" s="70" t="s">
        <v>43</v>
      </c>
    </row>
    <row r="252" spans="1:18" ht="33" hidden="1" customHeight="1" x14ac:dyDescent="0.2">
      <c r="B252" s="93" t="s">
        <v>16</v>
      </c>
      <c r="C252" s="93" t="s">
        <v>96</v>
      </c>
      <c r="D252" s="94"/>
      <c r="E252" s="94"/>
      <c r="F252" s="95" t="s">
        <v>97</v>
      </c>
      <c r="G252" s="96">
        <v>269739.3</v>
      </c>
      <c r="H252" s="96">
        <v>269739.3</v>
      </c>
      <c r="I252" s="96">
        <v>269739.3</v>
      </c>
      <c r="J252" s="93" t="s">
        <v>253</v>
      </c>
      <c r="K252" s="93" t="s">
        <v>99</v>
      </c>
      <c r="L252" s="93">
        <v>100</v>
      </c>
      <c r="M252" s="93">
        <v>100</v>
      </c>
      <c r="N252" s="93">
        <v>100</v>
      </c>
      <c r="O252" s="1"/>
      <c r="Q252" s="71" t="s">
        <v>40</v>
      </c>
    </row>
    <row r="253" spans="1:18" ht="27" hidden="1" customHeight="1" x14ac:dyDescent="0.2">
      <c r="B253" s="192"/>
      <c r="C253" s="192"/>
      <c r="D253" s="181" t="s">
        <v>100</v>
      </c>
      <c r="E253" s="192"/>
      <c r="F253" s="181" t="s">
        <v>101</v>
      </c>
      <c r="G253" s="182">
        <v>269739.3</v>
      </c>
      <c r="H253" s="182">
        <v>269739.3</v>
      </c>
      <c r="I253" s="182">
        <v>269739.3</v>
      </c>
      <c r="J253" s="34" t="s">
        <v>304</v>
      </c>
      <c r="K253" s="34" t="s">
        <v>99</v>
      </c>
      <c r="L253" s="34">
        <v>36</v>
      </c>
      <c r="M253" s="34">
        <v>37</v>
      </c>
      <c r="N253" s="34">
        <v>38</v>
      </c>
      <c r="O253" s="1"/>
      <c r="Q253" s="72" t="s">
        <v>34</v>
      </c>
    </row>
    <row r="254" spans="1:18" ht="37.5" hidden="1" customHeight="1" x14ac:dyDescent="0.2">
      <c r="B254" s="76"/>
      <c r="C254" s="76"/>
      <c r="D254" s="76"/>
      <c r="E254" s="76"/>
      <c r="F254" s="76"/>
      <c r="G254" s="76"/>
      <c r="H254" s="76"/>
      <c r="I254" s="76"/>
      <c r="J254" s="34" t="s">
        <v>543</v>
      </c>
      <c r="K254" s="34" t="s">
        <v>99</v>
      </c>
      <c r="L254" s="34">
        <v>100</v>
      </c>
      <c r="M254" s="34">
        <v>100</v>
      </c>
      <c r="N254" s="34">
        <v>100</v>
      </c>
      <c r="O254" s="1"/>
      <c r="Q254" s="73" t="s">
        <v>37</v>
      </c>
    </row>
    <row r="255" spans="1:18" ht="30.75" hidden="1" customHeight="1" x14ac:dyDescent="0.2">
      <c r="B255" s="76"/>
      <c r="C255" s="76"/>
      <c r="D255" s="76"/>
      <c r="E255" s="76"/>
      <c r="F255" s="76"/>
      <c r="G255" s="76"/>
      <c r="H255" s="76"/>
      <c r="I255" s="76"/>
      <c r="J255" s="34" t="s">
        <v>544</v>
      </c>
      <c r="K255" s="34" t="s">
        <v>99</v>
      </c>
      <c r="L255" s="34">
        <v>100</v>
      </c>
      <c r="M255" s="34">
        <v>100</v>
      </c>
      <c r="N255" s="34">
        <v>100</v>
      </c>
      <c r="O255" s="1"/>
      <c r="Q255" s="73" t="s">
        <v>37</v>
      </c>
    </row>
    <row r="256" spans="1:18" ht="33" hidden="1" customHeight="1" x14ac:dyDescent="0.2">
      <c r="B256" s="76"/>
      <c r="C256" s="76"/>
      <c r="D256" s="76"/>
      <c r="E256" s="76"/>
      <c r="F256" s="76"/>
      <c r="G256" s="76"/>
      <c r="H256" s="76"/>
      <c r="I256" s="76"/>
      <c r="J256" s="34" t="s">
        <v>545</v>
      </c>
      <c r="K256" s="34" t="s">
        <v>99</v>
      </c>
      <c r="L256" s="34">
        <v>40</v>
      </c>
      <c r="M256" s="34">
        <v>40</v>
      </c>
      <c r="N256" s="34">
        <v>40</v>
      </c>
      <c r="O256" s="1"/>
      <c r="Q256" s="73" t="s">
        <v>37</v>
      </c>
    </row>
    <row r="257" spans="2:18" ht="29.25" hidden="1" customHeight="1" x14ac:dyDescent="0.2">
      <c r="B257" s="76"/>
      <c r="C257" s="76"/>
      <c r="D257" s="76"/>
      <c r="E257" s="76"/>
      <c r="F257" s="76"/>
      <c r="G257" s="76"/>
      <c r="H257" s="76"/>
      <c r="I257" s="76"/>
      <c r="J257" s="34" t="s">
        <v>546</v>
      </c>
      <c r="K257" s="34" t="s">
        <v>105</v>
      </c>
      <c r="L257" s="34">
        <v>5</v>
      </c>
      <c r="M257" s="34">
        <v>5</v>
      </c>
      <c r="N257" s="34">
        <v>5</v>
      </c>
      <c r="O257" s="1"/>
      <c r="Q257" s="73" t="s">
        <v>37</v>
      </c>
    </row>
    <row r="258" spans="2:18" ht="36" hidden="1" customHeight="1" x14ac:dyDescent="0.2">
      <c r="B258" s="77"/>
      <c r="C258" s="77"/>
      <c r="D258" s="77"/>
      <c r="E258" s="77"/>
      <c r="F258" s="77"/>
      <c r="G258" s="77"/>
      <c r="H258" s="77"/>
      <c r="I258" s="77"/>
      <c r="J258" s="34" t="s">
        <v>547</v>
      </c>
      <c r="K258" s="34" t="s">
        <v>99</v>
      </c>
      <c r="L258" s="34">
        <v>30</v>
      </c>
      <c r="M258" s="34">
        <v>30</v>
      </c>
      <c r="N258" s="34">
        <v>30</v>
      </c>
      <c r="O258" s="1"/>
      <c r="Q258" s="73" t="s">
        <v>37</v>
      </c>
    </row>
    <row r="259" spans="2:18" ht="43.5" hidden="1" customHeight="1" x14ac:dyDescent="0.2">
      <c r="B259" s="93" t="s">
        <v>16</v>
      </c>
      <c r="C259" s="93" t="s">
        <v>548</v>
      </c>
      <c r="D259" s="94"/>
      <c r="E259" s="94"/>
      <c r="F259" s="95" t="s">
        <v>549</v>
      </c>
      <c r="G259" s="96">
        <v>240842.6</v>
      </c>
      <c r="H259" s="96">
        <v>245180.7</v>
      </c>
      <c r="I259" s="96">
        <v>250588.1</v>
      </c>
      <c r="J259" s="93" t="s">
        <v>253</v>
      </c>
      <c r="K259" s="93" t="s">
        <v>99</v>
      </c>
      <c r="L259" s="93">
        <v>100</v>
      </c>
      <c r="M259" s="93">
        <v>100</v>
      </c>
      <c r="N259" s="93">
        <v>100</v>
      </c>
      <c r="O259" s="1"/>
      <c r="Q259" s="71" t="s">
        <v>40</v>
      </c>
    </row>
    <row r="260" spans="2:18" ht="37.5" hidden="1" customHeight="1" x14ac:dyDescent="0.2">
      <c r="B260" s="183" t="s">
        <v>100</v>
      </c>
      <c r="C260" s="183" t="s">
        <v>100</v>
      </c>
      <c r="D260" s="183" t="s">
        <v>100</v>
      </c>
      <c r="E260" s="183"/>
      <c r="F260" s="184" t="s">
        <v>550</v>
      </c>
      <c r="G260" s="185">
        <v>23936.5</v>
      </c>
      <c r="H260" s="185">
        <v>23936.5</v>
      </c>
      <c r="I260" s="185">
        <v>24919</v>
      </c>
      <c r="J260" s="3" t="s">
        <v>551</v>
      </c>
      <c r="K260" s="3" t="s">
        <v>552</v>
      </c>
      <c r="L260" s="3">
        <v>176</v>
      </c>
      <c r="M260" s="3">
        <v>185</v>
      </c>
      <c r="N260" s="3">
        <v>195</v>
      </c>
      <c r="O260" s="1"/>
      <c r="Q260" s="72" t="s">
        <v>34</v>
      </c>
    </row>
    <row r="261" spans="2:18" ht="39.75" hidden="1" customHeight="1" x14ac:dyDescent="0.2">
      <c r="B261" s="183" t="s">
        <v>120</v>
      </c>
      <c r="C261" s="183" t="s">
        <v>120</v>
      </c>
      <c r="D261" s="183" t="s">
        <v>120</v>
      </c>
      <c r="E261" s="183"/>
      <c r="F261" s="184" t="s">
        <v>553</v>
      </c>
      <c r="G261" s="185">
        <v>38342.5</v>
      </c>
      <c r="H261" s="185">
        <v>39109.4</v>
      </c>
      <c r="I261" s="185">
        <v>39891.5</v>
      </c>
      <c r="J261" s="3" t="s">
        <v>554</v>
      </c>
      <c r="K261" s="3" t="s">
        <v>105</v>
      </c>
      <c r="L261" s="3">
        <v>126048.3</v>
      </c>
      <c r="M261" s="3">
        <v>132351</v>
      </c>
      <c r="N261" s="3">
        <v>138969</v>
      </c>
      <c r="O261" s="1"/>
      <c r="Q261" s="72" t="s">
        <v>34</v>
      </c>
    </row>
    <row r="262" spans="2:18" ht="45.75" hidden="1" customHeight="1" x14ac:dyDescent="0.2">
      <c r="B262" s="183" t="s">
        <v>160</v>
      </c>
      <c r="C262" s="183" t="s">
        <v>160</v>
      </c>
      <c r="D262" s="183" t="s">
        <v>160</v>
      </c>
      <c r="E262" s="183"/>
      <c r="F262" s="184" t="s">
        <v>555</v>
      </c>
      <c r="G262" s="185">
        <v>18089</v>
      </c>
      <c r="H262" s="185">
        <v>18450.8</v>
      </c>
      <c r="I262" s="185">
        <v>18819.8</v>
      </c>
      <c r="J262" s="3" t="s">
        <v>556</v>
      </c>
      <c r="K262" s="3" t="s">
        <v>155</v>
      </c>
      <c r="L262" s="3">
        <v>13</v>
      </c>
      <c r="M262" s="3">
        <v>13</v>
      </c>
      <c r="N262" s="3">
        <v>12</v>
      </c>
      <c r="O262" s="1"/>
      <c r="Q262" s="72" t="s">
        <v>34</v>
      </c>
      <c r="R262" s="75" t="s">
        <v>169</v>
      </c>
    </row>
    <row r="263" spans="2:18" ht="91.5" hidden="1" customHeight="1" x14ac:dyDescent="0.2">
      <c r="B263" s="183" t="s">
        <v>170</v>
      </c>
      <c r="C263" s="183" t="s">
        <v>170</v>
      </c>
      <c r="D263" s="183" t="s">
        <v>170</v>
      </c>
      <c r="E263" s="183"/>
      <c r="F263" s="184" t="s">
        <v>557</v>
      </c>
      <c r="G263" s="185">
        <v>47895.5</v>
      </c>
      <c r="H263" s="185">
        <v>48853.4</v>
      </c>
      <c r="I263" s="185">
        <v>49830.5</v>
      </c>
      <c r="J263" s="3" t="s">
        <v>558</v>
      </c>
      <c r="K263" s="3" t="s">
        <v>379</v>
      </c>
      <c r="L263" s="3">
        <v>976.3</v>
      </c>
      <c r="M263" s="3">
        <v>1254.0999999999999</v>
      </c>
      <c r="N263" s="3">
        <v>1425.1</v>
      </c>
      <c r="O263" s="1"/>
      <c r="Q263" s="72" t="s">
        <v>34</v>
      </c>
    </row>
    <row r="264" spans="2:18" ht="50.25" hidden="1" customHeight="1" x14ac:dyDescent="0.2">
      <c r="B264" s="181" t="s">
        <v>227</v>
      </c>
      <c r="C264" s="181" t="s">
        <v>227</v>
      </c>
      <c r="D264" s="181" t="s">
        <v>227</v>
      </c>
      <c r="E264" s="181"/>
      <c r="F264" s="181" t="s">
        <v>559</v>
      </c>
      <c r="G264" s="182">
        <v>84302.6</v>
      </c>
      <c r="H264" s="182">
        <v>83262.5</v>
      </c>
      <c r="I264" s="182">
        <v>87708.4</v>
      </c>
      <c r="J264" s="3" t="s">
        <v>560</v>
      </c>
      <c r="K264" s="3" t="s">
        <v>105</v>
      </c>
      <c r="L264" s="3">
        <v>17</v>
      </c>
      <c r="M264" s="3">
        <v>16</v>
      </c>
      <c r="N264" s="3">
        <v>18</v>
      </c>
      <c r="O264" s="1"/>
      <c r="Q264" s="72" t="s">
        <v>34</v>
      </c>
    </row>
    <row r="265" spans="2:18" ht="62.25" hidden="1" customHeight="1" x14ac:dyDescent="0.2">
      <c r="B265" s="76"/>
      <c r="C265" s="76"/>
      <c r="D265" s="76"/>
      <c r="E265" s="76"/>
      <c r="F265" s="76"/>
      <c r="G265" s="76"/>
      <c r="H265" s="76"/>
      <c r="I265" s="76"/>
      <c r="J265" s="3" t="s">
        <v>561</v>
      </c>
      <c r="K265" s="3" t="s">
        <v>105</v>
      </c>
      <c r="L265" s="3">
        <v>5</v>
      </c>
      <c r="M265" s="3">
        <v>4</v>
      </c>
      <c r="N265" s="3">
        <v>4</v>
      </c>
      <c r="O265" s="1"/>
      <c r="Q265" s="73" t="s">
        <v>37</v>
      </c>
    </row>
    <row r="266" spans="2:18" ht="52.5" hidden="1" customHeight="1" x14ac:dyDescent="0.2">
      <c r="B266" s="76"/>
      <c r="C266" s="76"/>
      <c r="D266" s="76"/>
      <c r="E266" s="76"/>
      <c r="F266" s="76"/>
      <c r="G266" s="76"/>
      <c r="H266" s="76"/>
      <c r="I266" s="76"/>
      <c r="J266" s="3" t="s">
        <v>562</v>
      </c>
      <c r="K266" s="3" t="s">
        <v>99</v>
      </c>
      <c r="L266" s="3">
        <v>80</v>
      </c>
      <c r="M266" s="3">
        <v>81</v>
      </c>
      <c r="N266" s="3">
        <v>82</v>
      </c>
      <c r="O266" s="1"/>
      <c r="Q266" s="73" t="s">
        <v>37</v>
      </c>
    </row>
    <row r="267" spans="2:18" ht="49.5" hidden="1" customHeight="1" x14ac:dyDescent="0.2">
      <c r="B267" s="76"/>
      <c r="C267" s="76"/>
      <c r="D267" s="76"/>
      <c r="E267" s="76"/>
      <c r="F267" s="76"/>
      <c r="G267" s="76"/>
      <c r="H267" s="76"/>
      <c r="I267" s="76"/>
      <c r="J267" s="3" t="s">
        <v>563</v>
      </c>
      <c r="K267" s="3" t="s">
        <v>99</v>
      </c>
      <c r="L267" s="3">
        <v>39</v>
      </c>
      <c r="M267" s="3">
        <v>41</v>
      </c>
      <c r="N267" s="3">
        <v>42</v>
      </c>
      <c r="O267" s="1"/>
      <c r="Q267" s="73" t="s">
        <v>37</v>
      </c>
    </row>
    <row r="268" spans="2:18" ht="39.75" hidden="1" customHeight="1" x14ac:dyDescent="0.2">
      <c r="B268" s="77"/>
      <c r="C268" s="77"/>
      <c r="D268" s="77"/>
      <c r="E268" s="77"/>
      <c r="F268" s="77"/>
      <c r="G268" s="77"/>
      <c r="H268" s="77"/>
      <c r="I268" s="77"/>
      <c r="J268" s="3" t="s">
        <v>564</v>
      </c>
      <c r="K268" s="3" t="s">
        <v>105</v>
      </c>
      <c r="L268" s="3">
        <v>24</v>
      </c>
      <c r="M268" s="3">
        <v>21</v>
      </c>
      <c r="N268" s="3">
        <v>17</v>
      </c>
      <c r="O268" s="1"/>
      <c r="Q268" s="73" t="s">
        <v>37</v>
      </c>
    </row>
    <row r="269" spans="2:18" ht="42" hidden="1" customHeight="1" x14ac:dyDescent="0.2">
      <c r="B269" s="181" t="s">
        <v>113</v>
      </c>
      <c r="C269" s="181" t="s">
        <v>113</v>
      </c>
      <c r="D269" s="181" t="s">
        <v>113</v>
      </c>
      <c r="E269" s="181"/>
      <c r="F269" s="181" t="s">
        <v>565</v>
      </c>
      <c r="G269" s="182">
        <v>28276.5</v>
      </c>
      <c r="H269" s="182">
        <v>31568.1</v>
      </c>
      <c r="I269" s="182">
        <v>29418.9</v>
      </c>
      <c r="J269" s="3" t="s">
        <v>566</v>
      </c>
      <c r="K269" s="3" t="s">
        <v>105</v>
      </c>
      <c r="L269" s="3">
        <v>36</v>
      </c>
      <c r="M269" s="3">
        <v>45</v>
      </c>
      <c r="N269" s="3">
        <v>47</v>
      </c>
      <c r="O269" s="1"/>
      <c r="Q269" s="72" t="s">
        <v>34</v>
      </c>
    </row>
    <row r="270" spans="2:18" ht="32.25" hidden="1" customHeight="1" x14ac:dyDescent="0.2">
      <c r="B270" s="77"/>
      <c r="C270" s="77"/>
      <c r="D270" s="77"/>
      <c r="E270" s="77"/>
      <c r="F270" s="77"/>
      <c r="G270" s="77"/>
      <c r="H270" s="77"/>
      <c r="I270" s="77"/>
      <c r="J270" s="3" t="s">
        <v>567</v>
      </c>
      <c r="K270" s="3" t="s">
        <v>105</v>
      </c>
      <c r="L270" s="3">
        <v>814</v>
      </c>
      <c r="M270" s="3">
        <v>1009</v>
      </c>
      <c r="N270" s="3">
        <v>1052</v>
      </c>
      <c r="O270" s="1"/>
      <c r="Q270" s="73" t="s">
        <v>37</v>
      </c>
    </row>
    <row r="271" spans="2:18" ht="44.25" hidden="1" customHeight="1" x14ac:dyDescent="0.2">
      <c r="B271" s="93" t="s">
        <v>16</v>
      </c>
      <c r="C271" s="93" t="s">
        <v>568</v>
      </c>
      <c r="D271" s="94"/>
      <c r="E271" s="94"/>
      <c r="F271" s="95" t="s">
        <v>569</v>
      </c>
      <c r="G271" s="96">
        <v>107895.4</v>
      </c>
      <c r="H271" s="96">
        <v>115448.1</v>
      </c>
      <c r="I271" s="96">
        <v>123151.8</v>
      </c>
      <c r="J271" s="93" t="s">
        <v>253</v>
      </c>
      <c r="K271" s="93" t="s">
        <v>99</v>
      </c>
      <c r="L271" s="93">
        <v>100</v>
      </c>
      <c r="M271" s="93">
        <v>100</v>
      </c>
      <c r="N271" s="93">
        <v>100</v>
      </c>
      <c r="O271" s="1"/>
      <c r="Q271" s="71" t="s">
        <v>40</v>
      </c>
    </row>
    <row r="272" spans="2:18" ht="33" hidden="1" customHeight="1" x14ac:dyDescent="0.2">
      <c r="B272" s="181" t="s">
        <v>156</v>
      </c>
      <c r="C272" s="181" t="s">
        <v>156</v>
      </c>
      <c r="D272" s="181" t="s">
        <v>156</v>
      </c>
      <c r="E272" s="181"/>
      <c r="F272" s="181" t="s">
        <v>570</v>
      </c>
      <c r="G272" s="182">
        <v>107895.4</v>
      </c>
      <c r="H272" s="182">
        <v>115448.1</v>
      </c>
      <c r="I272" s="182">
        <v>123151.8</v>
      </c>
      <c r="J272" s="34" t="s">
        <v>571</v>
      </c>
      <c r="K272" s="3" t="s">
        <v>99</v>
      </c>
      <c r="L272" s="3" t="s">
        <v>572</v>
      </c>
      <c r="M272" s="3" t="s">
        <v>572</v>
      </c>
      <c r="N272" s="3" t="s">
        <v>572</v>
      </c>
      <c r="O272" s="1"/>
      <c r="Q272" s="72" t="s">
        <v>34</v>
      </c>
    </row>
    <row r="273" spans="2:18" ht="32.25" hidden="1" customHeight="1" x14ac:dyDescent="0.2">
      <c r="B273" s="76"/>
      <c r="C273" s="76"/>
      <c r="D273" s="76"/>
      <c r="E273" s="76"/>
      <c r="F273" s="76"/>
      <c r="G273" s="76"/>
      <c r="H273" s="76"/>
      <c r="I273" s="76"/>
      <c r="J273" s="34" t="s">
        <v>573</v>
      </c>
      <c r="K273" s="3" t="s">
        <v>99</v>
      </c>
      <c r="L273" s="3">
        <v>114.5</v>
      </c>
      <c r="M273" s="3">
        <v>107.5</v>
      </c>
      <c r="N273" s="3">
        <v>111.3</v>
      </c>
      <c r="O273" s="1"/>
      <c r="Q273" s="73" t="s">
        <v>37</v>
      </c>
    </row>
    <row r="274" spans="2:18" ht="36" hidden="1" customHeight="1" x14ac:dyDescent="0.2">
      <c r="B274" s="76"/>
      <c r="C274" s="76"/>
      <c r="D274" s="76"/>
      <c r="E274" s="76"/>
      <c r="F274" s="76"/>
      <c r="G274" s="76"/>
      <c r="H274" s="76"/>
      <c r="I274" s="76"/>
      <c r="J274" s="34" t="s">
        <v>574</v>
      </c>
      <c r="K274" s="3" t="s">
        <v>99</v>
      </c>
      <c r="L274" s="3">
        <v>100</v>
      </c>
      <c r="M274" s="3">
        <v>100</v>
      </c>
      <c r="N274" s="3">
        <v>100</v>
      </c>
      <c r="O274" s="1"/>
      <c r="Q274" s="73" t="s">
        <v>37</v>
      </c>
    </row>
    <row r="275" spans="2:18" ht="32.25" hidden="1" customHeight="1" x14ac:dyDescent="0.2">
      <c r="B275" s="76"/>
      <c r="C275" s="76"/>
      <c r="D275" s="76"/>
      <c r="E275" s="76"/>
      <c r="F275" s="76"/>
      <c r="G275" s="76"/>
      <c r="H275" s="76"/>
      <c r="I275" s="76"/>
      <c r="J275" s="34" t="s">
        <v>575</v>
      </c>
      <c r="K275" s="3" t="s">
        <v>99</v>
      </c>
      <c r="L275" s="3">
        <v>103.5</v>
      </c>
      <c r="M275" s="3">
        <v>103.5</v>
      </c>
      <c r="N275" s="3">
        <v>103.5</v>
      </c>
      <c r="O275" s="1"/>
      <c r="Q275" s="73" t="s">
        <v>37</v>
      </c>
    </row>
    <row r="276" spans="2:18" ht="29.25" hidden="1" customHeight="1" x14ac:dyDescent="0.2">
      <c r="B276" s="76"/>
      <c r="C276" s="76"/>
      <c r="D276" s="76"/>
      <c r="E276" s="76"/>
      <c r="F276" s="76"/>
      <c r="G276" s="76"/>
      <c r="H276" s="76"/>
      <c r="I276" s="76"/>
      <c r="J276" s="34" t="s">
        <v>576</v>
      </c>
      <c r="K276" s="3" t="s">
        <v>105</v>
      </c>
      <c r="L276" s="3">
        <v>6</v>
      </c>
      <c r="M276" s="3">
        <v>8</v>
      </c>
      <c r="N276" s="3">
        <v>8</v>
      </c>
      <c r="O276" s="1"/>
      <c r="Q276" s="73" t="s">
        <v>37</v>
      </c>
    </row>
    <row r="277" spans="2:18" ht="33" hidden="1" customHeight="1" x14ac:dyDescent="0.2">
      <c r="B277" s="76"/>
      <c r="C277" s="76"/>
      <c r="D277" s="76"/>
      <c r="E277" s="76"/>
      <c r="F277" s="76"/>
      <c r="G277" s="76"/>
      <c r="H277" s="76"/>
      <c r="I277" s="76"/>
      <c r="J277" s="34" t="s">
        <v>577</v>
      </c>
      <c r="K277" s="3" t="s">
        <v>105</v>
      </c>
      <c r="L277" s="3">
        <v>1</v>
      </c>
      <c r="M277" s="3">
        <v>1</v>
      </c>
      <c r="N277" s="3">
        <v>1</v>
      </c>
      <c r="O277" s="1"/>
      <c r="Q277" s="73" t="s">
        <v>37</v>
      </c>
    </row>
    <row r="278" spans="2:18" ht="45" hidden="1" customHeight="1" x14ac:dyDescent="0.2">
      <c r="B278" s="76"/>
      <c r="C278" s="76"/>
      <c r="D278" s="76"/>
      <c r="E278" s="76"/>
      <c r="F278" s="76"/>
      <c r="G278" s="76"/>
      <c r="H278" s="76"/>
      <c r="I278" s="76"/>
      <c r="J278" s="34" t="s">
        <v>578</v>
      </c>
      <c r="K278" s="3" t="s">
        <v>105</v>
      </c>
      <c r="L278" s="3" t="s">
        <v>579</v>
      </c>
      <c r="M278" s="3" t="s">
        <v>579</v>
      </c>
      <c r="N278" s="3" t="s">
        <v>579</v>
      </c>
      <c r="O278" s="1"/>
      <c r="Q278" s="73" t="s">
        <v>37</v>
      </c>
    </row>
    <row r="279" spans="2:18" ht="29.25" hidden="1" customHeight="1" x14ac:dyDescent="0.2">
      <c r="B279" s="76"/>
      <c r="C279" s="76"/>
      <c r="D279" s="76"/>
      <c r="E279" s="76"/>
      <c r="F279" s="76"/>
      <c r="G279" s="76"/>
      <c r="H279" s="76"/>
      <c r="I279" s="76"/>
      <c r="J279" s="34" t="s">
        <v>580</v>
      </c>
      <c r="K279" s="3" t="s">
        <v>105</v>
      </c>
      <c r="L279" s="3">
        <v>7</v>
      </c>
      <c r="M279" s="3">
        <v>8</v>
      </c>
      <c r="N279" s="3">
        <v>8</v>
      </c>
      <c r="O279" s="1"/>
      <c r="Q279" s="73" t="s">
        <v>37</v>
      </c>
    </row>
    <row r="280" spans="2:18" ht="39.75" hidden="1" customHeight="1" x14ac:dyDescent="0.2">
      <c r="B280" s="76"/>
      <c r="C280" s="76"/>
      <c r="D280" s="76"/>
      <c r="E280" s="76"/>
      <c r="F280" s="76"/>
      <c r="G280" s="76"/>
      <c r="H280" s="76"/>
      <c r="I280" s="76"/>
      <c r="J280" s="34" t="s">
        <v>581</v>
      </c>
      <c r="K280" s="3" t="s">
        <v>105</v>
      </c>
      <c r="L280" s="3">
        <v>4</v>
      </c>
      <c r="M280" s="3">
        <v>4</v>
      </c>
      <c r="N280" s="3">
        <v>4</v>
      </c>
      <c r="O280" s="1"/>
      <c r="Q280" s="73" t="s">
        <v>37</v>
      </c>
    </row>
    <row r="281" spans="2:18" ht="31.5" hidden="1" customHeight="1" x14ac:dyDescent="0.2">
      <c r="B281" s="76"/>
      <c r="C281" s="76"/>
      <c r="D281" s="76"/>
      <c r="E281" s="76"/>
      <c r="F281" s="76"/>
      <c r="G281" s="76"/>
      <c r="H281" s="76"/>
      <c r="I281" s="76"/>
      <c r="J281" s="34" t="s">
        <v>582</v>
      </c>
      <c r="K281" s="3" t="s">
        <v>379</v>
      </c>
      <c r="L281" s="3">
        <v>8000</v>
      </c>
      <c r="M281" s="3">
        <v>8000</v>
      </c>
      <c r="N281" s="3">
        <v>8000</v>
      </c>
      <c r="O281" s="1"/>
      <c r="Q281" s="73" t="s">
        <v>37</v>
      </c>
    </row>
    <row r="282" spans="2:18" ht="39" hidden="1" customHeight="1" x14ac:dyDescent="0.2">
      <c r="B282" s="76"/>
      <c r="C282" s="76"/>
      <c r="D282" s="76"/>
      <c r="E282" s="76"/>
      <c r="F282" s="76"/>
      <c r="G282" s="76"/>
      <c r="H282" s="76"/>
      <c r="I282" s="76"/>
      <c r="J282" s="34" t="s">
        <v>583</v>
      </c>
      <c r="K282" s="3" t="s">
        <v>105</v>
      </c>
      <c r="L282" s="3">
        <v>5</v>
      </c>
      <c r="M282" s="3">
        <v>5</v>
      </c>
      <c r="N282" s="3">
        <v>5</v>
      </c>
      <c r="O282" s="1"/>
      <c r="Q282" s="73" t="s">
        <v>37</v>
      </c>
    </row>
    <row r="283" spans="2:18" ht="30" hidden="1" customHeight="1" x14ac:dyDescent="0.2">
      <c r="B283" s="77"/>
      <c r="C283" s="77"/>
      <c r="D283" s="77"/>
      <c r="E283" s="77"/>
      <c r="F283" s="77"/>
      <c r="G283" s="77"/>
      <c r="H283" s="77"/>
      <c r="I283" s="77"/>
      <c r="J283" s="34" t="s">
        <v>584</v>
      </c>
      <c r="K283" s="3" t="s">
        <v>99</v>
      </c>
      <c r="L283" s="3">
        <v>100</v>
      </c>
      <c r="M283" s="3">
        <v>100</v>
      </c>
      <c r="N283" s="3">
        <v>100</v>
      </c>
      <c r="O283" s="1"/>
      <c r="Q283" s="73" t="s">
        <v>37</v>
      </c>
    </row>
    <row r="284" spans="2:18" ht="40.5" hidden="1" customHeight="1" x14ac:dyDescent="0.2">
      <c r="B284" s="93" t="s">
        <v>16</v>
      </c>
      <c r="C284" s="93" t="s">
        <v>585</v>
      </c>
      <c r="D284" s="94"/>
      <c r="E284" s="94"/>
      <c r="F284" s="95" t="s">
        <v>586</v>
      </c>
      <c r="G284" s="96">
        <v>213365.4</v>
      </c>
      <c r="H284" s="96">
        <v>200269.7</v>
      </c>
      <c r="I284" s="96">
        <v>204037</v>
      </c>
      <c r="J284" s="93" t="s">
        <v>253</v>
      </c>
      <c r="K284" s="93" t="s">
        <v>99</v>
      </c>
      <c r="L284" s="93">
        <v>100</v>
      </c>
      <c r="M284" s="93">
        <v>100</v>
      </c>
      <c r="N284" s="93">
        <v>100</v>
      </c>
      <c r="O284" s="1"/>
      <c r="Q284" s="71" t="s">
        <v>40</v>
      </c>
      <c r="R284" s="75" t="s">
        <v>169</v>
      </c>
    </row>
    <row r="285" spans="2:18" ht="60" hidden="1" customHeight="1" x14ac:dyDescent="0.2">
      <c r="B285" s="183" t="s">
        <v>150</v>
      </c>
      <c r="C285" s="183" t="s">
        <v>150</v>
      </c>
      <c r="D285" s="183" t="s">
        <v>150</v>
      </c>
      <c r="E285" s="183"/>
      <c r="F285" s="184" t="s">
        <v>587</v>
      </c>
      <c r="G285" s="185">
        <v>12595.4</v>
      </c>
      <c r="H285" s="185">
        <v>12847.3</v>
      </c>
      <c r="I285" s="185">
        <v>13104.3</v>
      </c>
      <c r="J285" s="3" t="s">
        <v>588</v>
      </c>
      <c r="K285" s="3" t="s">
        <v>105</v>
      </c>
      <c r="L285" s="3">
        <v>3</v>
      </c>
      <c r="M285" s="3">
        <v>3</v>
      </c>
      <c r="N285" s="3">
        <v>1</v>
      </c>
      <c r="O285" s="1"/>
      <c r="Q285" s="72" t="s">
        <v>34</v>
      </c>
    </row>
    <row r="286" spans="2:18" ht="39" hidden="1" customHeight="1" x14ac:dyDescent="0.2">
      <c r="B286" s="181" t="s">
        <v>124</v>
      </c>
      <c r="C286" s="181" t="s">
        <v>124</v>
      </c>
      <c r="D286" s="181" t="s">
        <v>124</v>
      </c>
      <c r="E286" s="181"/>
      <c r="F286" s="181" t="s">
        <v>589</v>
      </c>
      <c r="G286" s="182">
        <v>49889.599999999999</v>
      </c>
      <c r="H286" s="182">
        <v>50887.4</v>
      </c>
      <c r="I286" s="182">
        <v>51905.1</v>
      </c>
      <c r="J286" s="3" t="s">
        <v>590</v>
      </c>
      <c r="K286" s="3" t="s">
        <v>105</v>
      </c>
      <c r="L286" s="3">
        <v>200</v>
      </c>
      <c r="M286" s="3">
        <v>200</v>
      </c>
      <c r="N286" s="3">
        <v>200</v>
      </c>
      <c r="O286" s="1"/>
      <c r="Q286" s="72" t="s">
        <v>34</v>
      </c>
      <c r="R286" s="75" t="s">
        <v>149</v>
      </c>
    </row>
    <row r="287" spans="2:18" ht="54" hidden="1" customHeight="1" x14ac:dyDescent="0.2">
      <c r="B287" s="76"/>
      <c r="C287" s="76"/>
      <c r="D287" s="76"/>
      <c r="E287" s="76"/>
      <c r="F287" s="76"/>
      <c r="G287" s="76"/>
      <c r="H287" s="76"/>
      <c r="I287" s="76"/>
      <c r="J287" s="3" t="s">
        <v>591</v>
      </c>
      <c r="K287" s="3" t="s">
        <v>105</v>
      </c>
      <c r="L287" s="3">
        <v>36</v>
      </c>
      <c r="M287" s="3">
        <v>36</v>
      </c>
      <c r="N287" s="3">
        <v>36</v>
      </c>
      <c r="O287" s="1"/>
      <c r="Q287" s="73" t="s">
        <v>37</v>
      </c>
    </row>
    <row r="288" spans="2:18" ht="42.75" hidden="1" customHeight="1" x14ac:dyDescent="0.2">
      <c r="B288" s="76"/>
      <c r="C288" s="76"/>
      <c r="D288" s="76"/>
      <c r="E288" s="76"/>
      <c r="F288" s="76"/>
      <c r="G288" s="76"/>
      <c r="H288" s="76"/>
      <c r="I288" s="76"/>
      <c r="J288" s="3" t="s">
        <v>592</v>
      </c>
      <c r="K288" s="3" t="s">
        <v>105</v>
      </c>
      <c r="L288" s="3">
        <v>60</v>
      </c>
      <c r="M288" s="3">
        <v>60</v>
      </c>
      <c r="N288" s="3">
        <v>60</v>
      </c>
      <c r="O288" s="1"/>
      <c r="Q288" s="73" t="s">
        <v>37</v>
      </c>
    </row>
    <row r="289" spans="2:18" ht="47.25" hidden="1" customHeight="1" x14ac:dyDescent="0.2">
      <c r="B289" s="76"/>
      <c r="C289" s="76"/>
      <c r="D289" s="76"/>
      <c r="E289" s="76"/>
      <c r="F289" s="76"/>
      <c r="G289" s="76"/>
      <c r="H289" s="76"/>
      <c r="I289" s="76"/>
      <c r="J289" s="3" t="s">
        <v>593</v>
      </c>
      <c r="K289" s="3" t="s">
        <v>105</v>
      </c>
      <c r="L289" s="3">
        <v>6</v>
      </c>
      <c r="M289" s="3">
        <v>6</v>
      </c>
      <c r="N289" s="3">
        <v>6</v>
      </c>
      <c r="O289" s="1"/>
      <c r="Q289" s="73" t="s">
        <v>37</v>
      </c>
    </row>
    <row r="290" spans="2:18" ht="33.75" hidden="1" customHeight="1" x14ac:dyDescent="0.2">
      <c r="B290" s="77"/>
      <c r="C290" s="77"/>
      <c r="D290" s="77"/>
      <c r="E290" s="77"/>
      <c r="F290" s="77"/>
      <c r="G290" s="77"/>
      <c r="H290" s="77"/>
      <c r="I290" s="77"/>
      <c r="J290" s="3" t="s">
        <v>594</v>
      </c>
      <c r="K290" s="3" t="s">
        <v>105</v>
      </c>
      <c r="L290" s="3">
        <v>120</v>
      </c>
      <c r="M290" s="3">
        <v>120</v>
      </c>
      <c r="N290" s="3">
        <v>120</v>
      </c>
      <c r="O290" s="1"/>
      <c r="Q290" s="73" t="s">
        <v>37</v>
      </c>
    </row>
    <row r="291" spans="2:18" ht="36" hidden="1" customHeight="1" x14ac:dyDescent="0.2">
      <c r="B291" s="183" t="s">
        <v>156</v>
      </c>
      <c r="C291" s="183" t="s">
        <v>156</v>
      </c>
      <c r="D291" s="183" t="s">
        <v>156</v>
      </c>
      <c r="E291" s="183"/>
      <c r="F291" s="184" t="s">
        <v>595</v>
      </c>
      <c r="G291" s="185">
        <v>24358</v>
      </c>
      <c r="H291" s="185">
        <v>25261.9</v>
      </c>
      <c r="I291" s="185">
        <v>25391.4</v>
      </c>
      <c r="J291" s="3" t="s">
        <v>596</v>
      </c>
      <c r="K291" s="3" t="s">
        <v>552</v>
      </c>
      <c r="L291" s="3">
        <v>17729</v>
      </c>
      <c r="M291" s="3">
        <v>18840</v>
      </c>
      <c r="N291" s="3">
        <v>19840</v>
      </c>
      <c r="O291" s="1"/>
      <c r="Q291" s="72" t="s">
        <v>34</v>
      </c>
      <c r="R291" s="75" t="s">
        <v>118</v>
      </c>
    </row>
    <row r="292" spans="2:18" ht="24" hidden="1" customHeight="1" x14ac:dyDescent="0.2">
      <c r="B292" s="183" t="s">
        <v>160</v>
      </c>
      <c r="C292" s="183" t="s">
        <v>160</v>
      </c>
      <c r="D292" s="183" t="s">
        <v>160</v>
      </c>
      <c r="E292" s="183"/>
      <c r="F292" s="184" t="s">
        <v>597</v>
      </c>
      <c r="G292" s="185">
        <v>22534.2</v>
      </c>
      <c r="H292" s="185">
        <v>23438.1</v>
      </c>
      <c r="I292" s="185">
        <v>23416.6</v>
      </c>
      <c r="J292" s="3" t="s">
        <v>598</v>
      </c>
      <c r="K292" s="3" t="s">
        <v>552</v>
      </c>
      <c r="L292" s="3">
        <v>94.5</v>
      </c>
      <c r="M292" s="3">
        <v>100</v>
      </c>
      <c r="N292" s="3">
        <v>105</v>
      </c>
      <c r="O292" s="1"/>
      <c r="Q292" s="72" t="s">
        <v>34</v>
      </c>
    </row>
    <row r="293" spans="2:18" ht="36" hidden="1" customHeight="1" x14ac:dyDescent="0.2">
      <c r="B293" s="181" t="s">
        <v>163</v>
      </c>
      <c r="C293" s="181" t="s">
        <v>163</v>
      </c>
      <c r="D293" s="181" t="s">
        <v>163</v>
      </c>
      <c r="E293" s="181"/>
      <c r="F293" s="181" t="s">
        <v>599</v>
      </c>
      <c r="G293" s="182">
        <v>73548.2</v>
      </c>
      <c r="H293" s="182">
        <v>54451.4</v>
      </c>
      <c r="I293" s="182">
        <v>55724.3</v>
      </c>
      <c r="J293" s="3" t="s">
        <v>600</v>
      </c>
      <c r="K293" s="3" t="s">
        <v>155</v>
      </c>
      <c r="L293" s="3">
        <v>9</v>
      </c>
      <c r="M293" s="3">
        <v>9</v>
      </c>
      <c r="N293" s="3">
        <v>9</v>
      </c>
      <c r="O293" s="1"/>
      <c r="Q293" s="72" t="s">
        <v>34</v>
      </c>
    </row>
    <row r="294" spans="2:18" ht="36" hidden="1" customHeight="1" x14ac:dyDescent="0.2">
      <c r="B294" s="76"/>
      <c r="C294" s="76"/>
      <c r="D294" s="76"/>
      <c r="E294" s="76"/>
      <c r="F294" s="76"/>
      <c r="G294" s="76"/>
      <c r="H294" s="76"/>
      <c r="I294" s="76"/>
      <c r="J294" s="3" t="s">
        <v>601</v>
      </c>
      <c r="K294" s="3" t="s">
        <v>155</v>
      </c>
      <c r="L294" s="3">
        <v>6</v>
      </c>
      <c r="M294" s="3">
        <v>7</v>
      </c>
      <c r="N294" s="3">
        <v>7</v>
      </c>
      <c r="O294" s="1"/>
      <c r="Q294" s="73" t="s">
        <v>37</v>
      </c>
    </row>
    <row r="295" spans="2:18" ht="39.75" hidden="1" customHeight="1" x14ac:dyDescent="0.2">
      <c r="B295" s="76"/>
      <c r="C295" s="76"/>
      <c r="D295" s="76"/>
      <c r="E295" s="76"/>
      <c r="F295" s="76"/>
      <c r="G295" s="76"/>
      <c r="H295" s="76"/>
      <c r="I295" s="76"/>
      <c r="J295" s="3" t="s">
        <v>602</v>
      </c>
      <c r="K295" s="3" t="s">
        <v>155</v>
      </c>
      <c r="L295" s="3">
        <v>15</v>
      </c>
      <c r="M295" s="3">
        <v>15</v>
      </c>
      <c r="N295" s="3">
        <v>15</v>
      </c>
      <c r="O295" s="1"/>
      <c r="Q295" s="73" t="s">
        <v>37</v>
      </c>
    </row>
    <row r="296" spans="2:18" ht="36" hidden="1" customHeight="1" x14ac:dyDescent="0.2">
      <c r="B296" s="77"/>
      <c r="C296" s="77"/>
      <c r="D296" s="77"/>
      <c r="E296" s="77"/>
      <c r="F296" s="77"/>
      <c r="G296" s="77"/>
      <c r="H296" s="77"/>
      <c r="I296" s="77"/>
      <c r="J296" s="3" t="s">
        <v>603</v>
      </c>
      <c r="K296" s="3" t="s">
        <v>155</v>
      </c>
      <c r="L296" s="3">
        <v>15</v>
      </c>
      <c r="M296" s="3">
        <v>21</v>
      </c>
      <c r="N296" s="3">
        <v>21</v>
      </c>
      <c r="O296" s="1"/>
      <c r="Q296" s="73" t="s">
        <v>37</v>
      </c>
    </row>
    <row r="297" spans="2:18" ht="29.25" hidden="1" customHeight="1" x14ac:dyDescent="0.2">
      <c r="B297" s="183" t="s">
        <v>166</v>
      </c>
      <c r="C297" s="183" t="s">
        <v>166</v>
      </c>
      <c r="D297" s="183" t="s">
        <v>166</v>
      </c>
      <c r="E297" s="183"/>
      <c r="F297" s="184" t="s">
        <v>604</v>
      </c>
      <c r="G297" s="185">
        <v>30440</v>
      </c>
      <c r="H297" s="185">
        <v>33383.599999999999</v>
      </c>
      <c r="I297" s="185">
        <v>34495.300000000003</v>
      </c>
      <c r="J297" s="3" t="s">
        <v>605</v>
      </c>
      <c r="K297" s="3" t="s">
        <v>155</v>
      </c>
      <c r="L297" s="3">
        <v>167</v>
      </c>
      <c r="M297" s="3">
        <v>170</v>
      </c>
      <c r="N297" s="3">
        <v>175</v>
      </c>
      <c r="O297" s="1"/>
      <c r="Q297" s="72" t="s">
        <v>34</v>
      </c>
    </row>
    <row r="298" spans="2:18" ht="30.75" hidden="1" customHeight="1" x14ac:dyDescent="0.2">
      <c r="B298" s="93" t="s">
        <v>16</v>
      </c>
      <c r="C298" s="93" t="s">
        <v>606</v>
      </c>
      <c r="D298" s="94"/>
      <c r="E298" s="94"/>
      <c r="F298" s="95" t="s">
        <v>607</v>
      </c>
      <c r="G298" s="96">
        <v>53903</v>
      </c>
      <c r="H298" s="96">
        <v>54981.100000000013</v>
      </c>
      <c r="I298" s="96">
        <v>56080.7</v>
      </c>
      <c r="J298" s="93" t="s">
        <v>253</v>
      </c>
      <c r="K298" s="93" t="s">
        <v>99</v>
      </c>
      <c r="L298" s="93">
        <v>100</v>
      </c>
      <c r="M298" s="93">
        <v>100</v>
      </c>
      <c r="N298" s="93">
        <v>100</v>
      </c>
      <c r="O298" s="1"/>
      <c r="Q298" s="71" t="s">
        <v>40</v>
      </c>
    </row>
    <row r="299" spans="2:18" ht="21.75" hidden="1" customHeight="1" x14ac:dyDescent="0.2">
      <c r="B299" s="181" t="s">
        <v>100</v>
      </c>
      <c r="C299" s="181" t="s">
        <v>100</v>
      </c>
      <c r="D299" s="181" t="s">
        <v>100</v>
      </c>
      <c r="E299" s="181"/>
      <c r="F299" s="181" t="s">
        <v>608</v>
      </c>
      <c r="G299" s="182">
        <v>47272</v>
      </c>
      <c r="H299" s="182">
        <v>43006.400000000001</v>
      </c>
      <c r="I299" s="182">
        <v>43878.3</v>
      </c>
      <c r="J299" s="3" t="s">
        <v>609</v>
      </c>
      <c r="K299" s="3" t="s">
        <v>610</v>
      </c>
      <c r="L299" s="3">
        <v>244</v>
      </c>
      <c r="M299" s="3">
        <v>244.3</v>
      </c>
      <c r="N299" s="3">
        <v>244.6</v>
      </c>
      <c r="O299" s="1"/>
      <c r="Q299" s="72" t="s">
        <v>34</v>
      </c>
    </row>
    <row r="300" spans="2:18" ht="25.5" hidden="1" customHeight="1" x14ac:dyDescent="0.2">
      <c r="B300" s="76"/>
      <c r="C300" s="76"/>
      <c r="D300" s="76"/>
      <c r="E300" s="76"/>
      <c r="F300" s="76"/>
      <c r="G300" s="76"/>
      <c r="H300" s="76"/>
      <c r="I300" s="76"/>
      <c r="J300" s="3" t="s">
        <v>611</v>
      </c>
      <c r="K300" s="3" t="s">
        <v>610</v>
      </c>
      <c r="L300" s="3">
        <v>121.5</v>
      </c>
      <c r="M300" s="3">
        <v>121.6</v>
      </c>
      <c r="N300" s="3">
        <v>121.7</v>
      </c>
      <c r="O300" s="1"/>
      <c r="Q300" s="73" t="s">
        <v>37</v>
      </c>
    </row>
    <row r="301" spans="2:18" ht="27" hidden="1" customHeight="1" x14ac:dyDescent="0.2">
      <c r="B301" s="76"/>
      <c r="C301" s="76"/>
      <c r="D301" s="76"/>
      <c r="E301" s="76"/>
      <c r="F301" s="76"/>
      <c r="G301" s="76"/>
      <c r="H301" s="76"/>
      <c r="I301" s="76"/>
      <c r="J301" s="3" t="s">
        <v>612</v>
      </c>
      <c r="K301" s="3" t="s">
        <v>610</v>
      </c>
      <c r="L301" s="3">
        <v>4.3</v>
      </c>
      <c r="M301" s="3">
        <v>4.7</v>
      </c>
      <c r="N301" s="3">
        <v>4.9000000000000004</v>
      </c>
      <c r="O301" s="1"/>
      <c r="Q301" s="73" t="s">
        <v>37</v>
      </c>
    </row>
    <row r="302" spans="2:18" ht="24" hidden="1" customHeight="1" x14ac:dyDescent="0.2">
      <c r="B302" s="76"/>
      <c r="C302" s="76"/>
      <c r="D302" s="76"/>
      <c r="E302" s="76"/>
      <c r="F302" s="76"/>
      <c r="G302" s="76"/>
      <c r="H302" s="76"/>
      <c r="I302" s="76"/>
      <c r="J302" s="3" t="s">
        <v>613</v>
      </c>
      <c r="K302" s="3" t="s">
        <v>610</v>
      </c>
      <c r="L302" s="3">
        <v>294.39999999999998</v>
      </c>
      <c r="M302" s="3">
        <v>300.3</v>
      </c>
      <c r="N302" s="3">
        <v>306.3</v>
      </c>
      <c r="O302" s="1"/>
      <c r="Q302" s="73" t="s">
        <v>37</v>
      </c>
    </row>
    <row r="303" spans="2:18" ht="24" hidden="1" customHeight="1" x14ac:dyDescent="0.2">
      <c r="B303" s="77"/>
      <c r="C303" s="77"/>
      <c r="D303" s="77"/>
      <c r="E303" s="77"/>
      <c r="F303" s="77"/>
      <c r="G303" s="77"/>
      <c r="H303" s="77"/>
      <c r="I303" s="77"/>
      <c r="J303" s="3" t="s">
        <v>614</v>
      </c>
      <c r="K303" s="3" t="s">
        <v>105</v>
      </c>
      <c r="L303" s="3">
        <v>21</v>
      </c>
      <c r="M303" s="3">
        <v>22</v>
      </c>
      <c r="N303" s="3">
        <v>23</v>
      </c>
      <c r="O303" s="1"/>
      <c r="Q303" s="73" t="s">
        <v>37</v>
      </c>
    </row>
    <row r="304" spans="2:18" ht="15" hidden="1" customHeight="1" x14ac:dyDescent="0.2">
      <c r="B304" s="181" t="s">
        <v>120</v>
      </c>
      <c r="C304" s="181" t="s">
        <v>120</v>
      </c>
      <c r="D304" s="181" t="s">
        <v>120</v>
      </c>
      <c r="E304" s="181"/>
      <c r="F304" s="181" t="s">
        <v>615</v>
      </c>
      <c r="G304" s="182">
        <v>6631</v>
      </c>
      <c r="H304" s="182">
        <v>11974.7</v>
      </c>
      <c r="I304" s="182">
        <v>12202.4</v>
      </c>
      <c r="J304" s="3" t="s">
        <v>616</v>
      </c>
      <c r="K304" s="3" t="s">
        <v>610</v>
      </c>
      <c r="L304" s="3">
        <v>860</v>
      </c>
      <c r="M304" s="3">
        <v>870</v>
      </c>
      <c r="N304" s="3">
        <v>880</v>
      </c>
      <c r="O304" s="1"/>
      <c r="Q304" s="72" t="s">
        <v>34</v>
      </c>
      <c r="R304" s="75" t="s">
        <v>169</v>
      </c>
    </row>
    <row r="305" spans="1:18" hidden="1" x14ac:dyDescent="0.2">
      <c r="B305" s="77"/>
      <c r="C305" s="77"/>
      <c r="D305" s="77"/>
      <c r="E305" s="77"/>
      <c r="F305" s="77"/>
      <c r="G305" s="77"/>
      <c r="H305" s="77"/>
      <c r="I305" s="77"/>
      <c r="J305" s="3" t="s">
        <v>617</v>
      </c>
      <c r="K305" s="3" t="s">
        <v>105</v>
      </c>
      <c r="L305" s="3">
        <v>452</v>
      </c>
      <c r="M305" s="3">
        <v>455</v>
      </c>
      <c r="N305" s="3">
        <v>457</v>
      </c>
      <c r="O305" s="1"/>
      <c r="Q305" s="73" t="s">
        <v>37</v>
      </c>
    </row>
    <row r="306" spans="1:18" ht="24" hidden="1" customHeight="1" x14ac:dyDescent="0.2">
      <c r="B306" s="93" t="s">
        <v>16</v>
      </c>
      <c r="C306" s="93" t="s">
        <v>618</v>
      </c>
      <c r="D306" s="94"/>
      <c r="E306" s="94"/>
      <c r="F306" s="95" t="s">
        <v>619</v>
      </c>
      <c r="G306" s="96">
        <v>19561.8</v>
      </c>
      <c r="H306" s="96">
        <v>19561.8</v>
      </c>
      <c r="I306" s="96">
        <v>20315.3</v>
      </c>
      <c r="J306" s="93" t="s">
        <v>253</v>
      </c>
      <c r="K306" s="93" t="s">
        <v>99</v>
      </c>
      <c r="L306" s="93">
        <v>100</v>
      </c>
      <c r="M306" s="93">
        <v>100</v>
      </c>
      <c r="N306" s="93">
        <v>100</v>
      </c>
      <c r="O306" s="1"/>
      <c r="Q306" s="71" t="s">
        <v>40</v>
      </c>
    </row>
    <row r="307" spans="1:18" ht="24" hidden="1" customHeight="1" x14ac:dyDescent="0.2">
      <c r="B307" s="183" t="s">
        <v>100</v>
      </c>
      <c r="C307" s="183" t="s">
        <v>100</v>
      </c>
      <c r="D307" s="183" t="s">
        <v>100</v>
      </c>
      <c r="E307" s="183"/>
      <c r="F307" s="184" t="s">
        <v>620</v>
      </c>
      <c r="G307" s="185">
        <v>19561.8</v>
      </c>
      <c r="H307" s="185">
        <v>19561.8</v>
      </c>
      <c r="I307" s="185">
        <v>20315.3</v>
      </c>
      <c r="J307" s="3" t="s">
        <v>621</v>
      </c>
      <c r="K307" s="3" t="s">
        <v>552</v>
      </c>
      <c r="L307" s="3">
        <v>504</v>
      </c>
      <c r="M307" s="3">
        <v>605</v>
      </c>
      <c r="N307" s="3">
        <v>705</v>
      </c>
      <c r="O307" s="1"/>
      <c r="Q307" s="72" t="s">
        <v>34</v>
      </c>
    </row>
    <row r="308" spans="1:18" x14ac:dyDescent="0.2">
      <c r="B308" s="100">
        <v>28</v>
      </c>
      <c r="C308" s="100">
        <v>992</v>
      </c>
      <c r="D308" s="112" t="s">
        <v>100</v>
      </c>
      <c r="E308" s="113"/>
      <c r="F308" s="114" t="s">
        <v>409</v>
      </c>
      <c r="G308" s="115">
        <v>4345551.3</v>
      </c>
      <c r="H308" s="115">
        <v>3799801.6</v>
      </c>
      <c r="I308" s="115">
        <v>7481928.9000000004</v>
      </c>
      <c r="J308" s="116" t="s">
        <v>347</v>
      </c>
      <c r="K308" s="100" t="s">
        <v>99</v>
      </c>
      <c r="L308" s="100">
        <v>100</v>
      </c>
      <c r="M308" s="100">
        <v>100</v>
      </c>
      <c r="N308" s="100">
        <v>100</v>
      </c>
      <c r="O308" s="40"/>
      <c r="P308" s="41"/>
      <c r="Q308" s="118" t="s">
        <v>40</v>
      </c>
    </row>
    <row r="309" spans="1:18" ht="15" hidden="1" customHeight="1" x14ac:dyDescent="0.2">
      <c r="B309" s="174" t="s">
        <v>112</v>
      </c>
      <c r="C309" s="175"/>
      <c r="D309" s="176"/>
      <c r="E309" s="176"/>
      <c r="F309" s="177"/>
      <c r="G309" s="180">
        <v>5250858.8</v>
      </c>
      <c r="H309" s="180">
        <v>4704982.3</v>
      </c>
      <c r="I309" s="180">
        <v>8405841.0999999996</v>
      </c>
      <c r="J309" s="179"/>
      <c r="K309" s="176"/>
      <c r="L309" s="176"/>
      <c r="M309" s="176"/>
      <c r="N309" s="177"/>
      <c r="O309" s="1"/>
      <c r="Q309" s="74" t="s">
        <v>46</v>
      </c>
    </row>
    <row r="310" spans="1:18" ht="15" hidden="1" customHeight="1" x14ac:dyDescent="0.2">
      <c r="A310" s="4" t="str">
        <f>C310</f>
        <v>Министерство науки, высшего образования и инноваций Кыргызской Республики</v>
      </c>
      <c r="B310" s="87">
        <v>31</v>
      </c>
      <c r="C310" s="88" t="s">
        <v>623</v>
      </c>
      <c r="D310" s="90"/>
      <c r="E310" s="90"/>
      <c r="F310" s="90"/>
      <c r="G310" s="90"/>
      <c r="H310" s="90"/>
      <c r="I310" s="90"/>
      <c r="J310" s="90"/>
      <c r="K310" s="90"/>
      <c r="L310" s="90"/>
      <c r="M310" s="90"/>
      <c r="N310" s="91"/>
      <c r="O310" s="1"/>
      <c r="Q310" s="70" t="s">
        <v>43</v>
      </c>
    </row>
    <row r="311" spans="1:18" ht="24" hidden="1" customHeight="1" x14ac:dyDescent="0.2">
      <c r="B311" s="93" t="s">
        <v>622</v>
      </c>
      <c r="C311" s="93" t="s">
        <v>96</v>
      </c>
      <c r="D311" s="94"/>
      <c r="E311" s="94"/>
      <c r="F311" s="95" t="s">
        <v>97</v>
      </c>
      <c r="G311" s="96">
        <v>737759.3</v>
      </c>
      <c r="H311" s="96">
        <v>769728.88</v>
      </c>
      <c r="I311" s="96">
        <v>809344.9</v>
      </c>
      <c r="J311" s="93" t="s">
        <v>253</v>
      </c>
      <c r="K311" s="93" t="s">
        <v>99</v>
      </c>
      <c r="L311" s="93">
        <v>100</v>
      </c>
      <c r="M311" s="93">
        <v>100</v>
      </c>
      <c r="N311" s="93">
        <v>100</v>
      </c>
      <c r="O311" s="1"/>
      <c r="Q311" s="71" t="s">
        <v>40</v>
      </c>
    </row>
    <row r="312" spans="1:18" ht="24" hidden="1" customHeight="1" x14ac:dyDescent="0.2">
      <c r="B312" s="183" t="s">
        <v>100</v>
      </c>
      <c r="C312" s="183" t="s">
        <v>100</v>
      </c>
      <c r="D312" s="183" t="s">
        <v>100</v>
      </c>
      <c r="E312" s="183"/>
      <c r="F312" s="184" t="s">
        <v>101</v>
      </c>
      <c r="G312" s="185">
        <v>737759.3</v>
      </c>
      <c r="H312" s="185">
        <v>769728.88</v>
      </c>
      <c r="I312" s="185">
        <v>809344.9</v>
      </c>
      <c r="J312" s="3" t="s">
        <v>624</v>
      </c>
      <c r="K312" s="3" t="s">
        <v>99</v>
      </c>
      <c r="L312" s="3">
        <v>95.5</v>
      </c>
      <c r="M312" s="3">
        <v>96</v>
      </c>
      <c r="N312" s="3">
        <v>96.5</v>
      </c>
      <c r="O312" s="1"/>
      <c r="Q312" s="72" t="s">
        <v>34</v>
      </c>
    </row>
    <row r="313" spans="1:18" ht="24" hidden="1" customHeight="1" x14ac:dyDescent="0.2">
      <c r="B313" s="93" t="s">
        <v>622</v>
      </c>
      <c r="C313" s="93" t="s">
        <v>625</v>
      </c>
      <c r="D313" s="94"/>
      <c r="E313" s="94"/>
      <c r="F313" s="95" t="s">
        <v>626</v>
      </c>
      <c r="G313" s="96">
        <v>132692</v>
      </c>
      <c r="H313" s="96">
        <v>136834.62</v>
      </c>
      <c r="I313" s="96">
        <v>120394.5</v>
      </c>
      <c r="J313" s="93" t="s">
        <v>253</v>
      </c>
      <c r="K313" s="93" t="s">
        <v>99</v>
      </c>
      <c r="L313" s="93">
        <v>100</v>
      </c>
      <c r="M313" s="93">
        <v>100</v>
      </c>
      <c r="N313" s="93">
        <v>100</v>
      </c>
      <c r="O313" s="1"/>
      <c r="Q313" s="71" t="s">
        <v>40</v>
      </c>
    </row>
    <row r="314" spans="1:18" ht="42.75" hidden="1" customHeight="1" x14ac:dyDescent="0.2">
      <c r="B314" s="183" t="s">
        <v>100</v>
      </c>
      <c r="C314" s="183" t="s">
        <v>100</v>
      </c>
      <c r="D314" s="183" t="s">
        <v>100</v>
      </c>
      <c r="E314" s="183"/>
      <c r="F314" s="184" t="s">
        <v>627</v>
      </c>
      <c r="G314" s="185">
        <v>74111.399999999994</v>
      </c>
      <c r="H314" s="185">
        <v>78254.02</v>
      </c>
      <c r="I314" s="185">
        <v>79372.399999999994</v>
      </c>
      <c r="J314" s="3" t="s">
        <v>628</v>
      </c>
      <c r="K314" s="3" t="s">
        <v>105</v>
      </c>
      <c r="L314" s="3">
        <v>86842</v>
      </c>
      <c r="M314" s="3">
        <v>88741</v>
      </c>
      <c r="N314" s="3">
        <v>90621</v>
      </c>
      <c r="O314" s="1"/>
      <c r="Q314" s="72" t="s">
        <v>34</v>
      </c>
    </row>
    <row r="315" spans="1:18" ht="44.25" hidden="1" customHeight="1" x14ac:dyDescent="0.2">
      <c r="B315" s="183" t="s">
        <v>120</v>
      </c>
      <c r="C315" s="183" t="s">
        <v>120</v>
      </c>
      <c r="D315" s="183" t="s">
        <v>120</v>
      </c>
      <c r="E315" s="183"/>
      <c r="F315" s="184" t="s">
        <v>629</v>
      </c>
      <c r="G315" s="185">
        <v>58580.6</v>
      </c>
      <c r="H315" s="185">
        <v>58580.6</v>
      </c>
      <c r="I315" s="185">
        <v>41022.1</v>
      </c>
      <c r="J315" s="3" t="s">
        <v>630</v>
      </c>
      <c r="K315" s="3" t="s">
        <v>105</v>
      </c>
      <c r="L315" s="3">
        <v>20</v>
      </c>
      <c r="M315" s="3">
        <v>20</v>
      </c>
      <c r="N315" s="3">
        <v>20</v>
      </c>
      <c r="O315" s="1"/>
      <c r="Q315" s="72" t="s">
        <v>34</v>
      </c>
      <c r="R315" s="75" t="s">
        <v>169</v>
      </c>
    </row>
    <row r="316" spans="1:18" ht="42.75" hidden="1" customHeight="1" x14ac:dyDescent="0.2">
      <c r="B316" s="93" t="s">
        <v>622</v>
      </c>
      <c r="C316" s="93" t="s">
        <v>631</v>
      </c>
      <c r="D316" s="94"/>
      <c r="E316" s="94"/>
      <c r="F316" s="95" t="s">
        <v>632</v>
      </c>
      <c r="G316" s="96">
        <v>19428.599999999999</v>
      </c>
      <c r="H316" s="96">
        <v>19428.599999999999</v>
      </c>
      <c r="I316" s="96">
        <v>19428.599999999999</v>
      </c>
      <c r="J316" s="93" t="s">
        <v>253</v>
      </c>
      <c r="K316" s="93" t="s">
        <v>99</v>
      </c>
      <c r="L316" s="93">
        <v>100</v>
      </c>
      <c r="M316" s="93">
        <v>100</v>
      </c>
      <c r="N316" s="93">
        <v>100</v>
      </c>
      <c r="O316" s="1"/>
      <c r="Q316" s="71" t="s">
        <v>40</v>
      </c>
      <c r="R316" s="75" t="s">
        <v>169</v>
      </c>
    </row>
    <row r="317" spans="1:18" ht="44.25" hidden="1" customHeight="1" x14ac:dyDescent="0.2">
      <c r="B317" s="183" t="s">
        <v>100</v>
      </c>
      <c r="C317" s="183" t="s">
        <v>100</v>
      </c>
      <c r="D317" s="183" t="s">
        <v>100</v>
      </c>
      <c r="E317" s="183"/>
      <c r="F317" s="184" t="s">
        <v>633</v>
      </c>
      <c r="G317" s="185">
        <v>19428.599999999999</v>
      </c>
      <c r="H317" s="185">
        <v>19428.599999999999</v>
      </c>
      <c r="I317" s="185">
        <v>19428.599999999999</v>
      </c>
      <c r="J317" s="3" t="s">
        <v>634</v>
      </c>
      <c r="K317" s="3" t="s">
        <v>99</v>
      </c>
      <c r="L317" s="3">
        <v>100</v>
      </c>
      <c r="M317" s="3">
        <v>100</v>
      </c>
      <c r="N317" s="3">
        <v>100</v>
      </c>
      <c r="O317" s="1"/>
      <c r="Q317" s="72" t="s">
        <v>34</v>
      </c>
      <c r="R317" s="75" t="s">
        <v>169</v>
      </c>
    </row>
    <row r="318" spans="1:18" ht="33" hidden="1" customHeight="1" x14ac:dyDescent="0.2">
      <c r="B318" s="93" t="s">
        <v>622</v>
      </c>
      <c r="C318" s="93" t="s">
        <v>635</v>
      </c>
      <c r="D318" s="94"/>
      <c r="E318" s="94"/>
      <c r="F318" s="95" t="s">
        <v>636</v>
      </c>
      <c r="G318" s="96">
        <v>3669147.5</v>
      </c>
      <c r="H318" s="96">
        <v>3674725</v>
      </c>
      <c r="I318" s="96">
        <v>3699086.2</v>
      </c>
      <c r="J318" s="93" t="s">
        <v>253</v>
      </c>
      <c r="K318" s="93" t="s">
        <v>99</v>
      </c>
      <c r="L318" s="93">
        <v>100</v>
      </c>
      <c r="M318" s="93">
        <v>100</v>
      </c>
      <c r="N318" s="93">
        <v>100</v>
      </c>
      <c r="O318" s="1"/>
      <c r="Q318" s="71" t="s">
        <v>40</v>
      </c>
      <c r="R318" s="75" t="s">
        <v>169</v>
      </c>
    </row>
    <row r="319" spans="1:18" ht="42.75" hidden="1" customHeight="1" x14ac:dyDescent="0.2">
      <c r="B319" s="183" t="s">
        <v>100</v>
      </c>
      <c r="C319" s="183" t="s">
        <v>100</v>
      </c>
      <c r="D319" s="183" t="s">
        <v>100</v>
      </c>
      <c r="E319" s="183"/>
      <c r="F319" s="184" t="s">
        <v>637</v>
      </c>
      <c r="G319" s="185">
        <v>899410.2</v>
      </c>
      <c r="H319" s="185">
        <v>902009.8</v>
      </c>
      <c r="I319" s="185">
        <v>890072</v>
      </c>
      <c r="J319" s="3" t="s">
        <v>638</v>
      </c>
      <c r="K319" s="3" t="s">
        <v>99</v>
      </c>
      <c r="L319" s="3">
        <v>22.8</v>
      </c>
      <c r="M319" s="3">
        <v>22.8</v>
      </c>
      <c r="N319" s="3">
        <v>22.8</v>
      </c>
      <c r="O319" s="1"/>
      <c r="Q319" s="72" t="s">
        <v>34</v>
      </c>
    </row>
    <row r="320" spans="1:18" ht="30" hidden="1" customHeight="1" x14ac:dyDescent="0.2">
      <c r="B320" s="181" t="s">
        <v>120</v>
      </c>
      <c r="C320" s="181" t="s">
        <v>120</v>
      </c>
      <c r="D320" s="181" t="s">
        <v>120</v>
      </c>
      <c r="E320" s="181"/>
      <c r="F320" s="181" t="s">
        <v>639</v>
      </c>
      <c r="G320" s="182">
        <v>2769737.3</v>
      </c>
      <c r="H320" s="182">
        <v>2772715.2</v>
      </c>
      <c r="I320" s="182">
        <v>2809014.2</v>
      </c>
      <c r="J320" s="3" t="s">
        <v>640</v>
      </c>
      <c r="K320" s="3" t="s">
        <v>99</v>
      </c>
      <c r="L320" s="3">
        <v>11</v>
      </c>
      <c r="M320" s="3">
        <v>11</v>
      </c>
      <c r="N320" s="3">
        <v>11</v>
      </c>
      <c r="O320" s="1"/>
      <c r="Q320" s="72" t="s">
        <v>34</v>
      </c>
    </row>
    <row r="321" spans="1:18" ht="19.5" hidden="1" customHeight="1" x14ac:dyDescent="0.2">
      <c r="B321" s="77"/>
      <c r="C321" s="77"/>
      <c r="D321" s="77"/>
      <c r="E321" s="77"/>
      <c r="F321" s="77"/>
      <c r="G321" s="77"/>
      <c r="H321" s="77"/>
      <c r="I321" s="77"/>
      <c r="J321" s="3" t="s">
        <v>641</v>
      </c>
      <c r="K321" s="3" t="s">
        <v>99</v>
      </c>
      <c r="L321" s="3">
        <v>89</v>
      </c>
      <c r="M321" s="3">
        <v>89</v>
      </c>
      <c r="N321" s="3">
        <v>89</v>
      </c>
      <c r="O321" s="1"/>
      <c r="Q321" s="73" t="s">
        <v>37</v>
      </c>
    </row>
    <row r="322" spans="1:18" ht="34.5" hidden="1" customHeight="1" x14ac:dyDescent="0.2">
      <c r="B322" s="93" t="s">
        <v>622</v>
      </c>
      <c r="C322" s="93" t="s">
        <v>642</v>
      </c>
      <c r="D322" s="94"/>
      <c r="E322" s="94"/>
      <c r="F322" s="95" t="s">
        <v>643</v>
      </c>
      <c r="G322" s="96">
        <v>244173</v>
      </c>
      <c r="H322" s="96">
        <v>244196.9</v>
      </c>
      <c r="I322" s="96">
        <v>244221.09</v>
      </c>
      <c r="J322" s="93" t="s">
        <v>253</v>
      </c>
      <c r="K322" s="93" t="s">
        <v>99</v>
      </c>
      <c r="L322" s="93">
        <v>100</v>
      </c>
      <c r="M322" s="93">
        <v>100</v>
      </c>
      <c r="N322" s="93">
        <v>100</v>
      </c>
      <c r="O322" s="1"/>
      <c r="Q322" s="71" t="s">
        <v>40</v>
      </c>
      <c r="R322" s="75" t="s">
        <v>169</v>
      </c>
    </row>
    <row r="323" spans="1:18" ht="56.25" hidden="1" customHeight="1" x14ac:dyDescent="0.2">
      <c r="B323" s="183" t="s">
        <v>100</v>
      </c>
      <c r="C323" s="183" t="s">
        <v>100</v>
      </c>
      <c r="D323" s="183" t="s">
        <v>100</v>
      </c>
      <c r="E323" s="183"/>
      <c r="F323" s="184" t="s">
        <v>644</v>
      </c>
      <c r="G323" s="185">
        <v>241776</v>
      </c>
      <c r="H323" s="185">
        <v>241776</v>
      </c>
      <c r="I323" s="185">
        <v>242422.89</v>
      </c>
      <c r="J323" s="3" t="s">
        <v>645</v>
      </c>
      <c r="K323" s="3" t="s">
        <v>105</v>
      </c>
      <c r="L323" s="3">
        <v>25</v>
      </c>
      <c r="M323" s="3">
        <v>25</v>
      </c>
      <c r="N323" s="3">
        <v>25</v>
      </c>
      <c r="O323" s="1"/>
      <c r="Q323" s="72" t="s">
        <v>34</v>
      </c>
    </row>
    <row r="324" spans="1:18" ht="44.25" hidden="1" customHeight="1" x14ac:dyDescent="0.2">
      <c r="B324" s="183" t="s">
        <v>120</v>
      </c>
      <c r="C324" s="183" t="s">
        <v>120</v>
      </c>
      <c r="D324" s="183" t="s">
        <v>120</v>
      </c>
      <c r="E324" s="183"/>
      <c r="F324" s="184" t="s">
        <v>646</v>
      </c>
      <c r="G324" s="185">
        <v>2397</v>
      </c>
      <c r="H324" s="185">
        <v>2420.9</v>
      </c>
      <c r="I324" s="185">
        <v>1798.2</v>
      </c>
      <c r="J324" s="3" t="s">
        <v>647</v>
      </c>
      <c r="K324" s="3" t="s">
        <v>105</v>
      </c>
      <c r="L324" s="3">
        <v>25</v>
      </c>
      <c r="M324" s="3">
        <v>25</v>
      </c>
      <c r="N324" s="3">
        <v>25</v>
      </c>
      <c r="O324" s="1"/>
      <c r="Q324" s="72" t="s">
        <v>34</v>
      </c>
      <c r="R324" s="75" t="s">
        <v>169</v>
      </c>
    </row>
    <row r="325" spans="1:18" ht="15" hidden="1" customHeight="1" x14ac:dyDescent="0.2">
      <c r="B325" s="174" t="s">
        <v>112</v>
      </c>
      <c r="C325" s="175"/>
      <c r="D325" s="176"/>
      <c r="E325" s="176"/>
      <c r="F325" s="177"/>
      <c r="G325" s="178">
        <v>4803200.4000000004</v>
      </c>
      <c r="H325" s="178">
        <v>4844914</v>
      </c>
      <c r="I325" s="178">
        <v>4892475.29</v>
      </c>
      <c r="J325" s="179"/>
      <c r="K325" s="176"/>
      <c r="L325" s="176"/>
      <c r="M325" s="176"/>
      <c r="N325" s="177"/>
      <c r="O325" s="1"/>
      <c r="Q325" s="74" t="s">
        <v>46</v>
      </c>
    </row>
    <row r="326" spans="1:18" ht="15" hidden="1" customHeight="1" x14ac:dyDescent="0.2">
      <c r="A326" s="4" t="str">
        <f>C326</f>
        <v>Министерство просвещения Кыргызской Республики</v>
      </c>
      <c r="B326" s="87" t="s">
        <v>453</v>
      </c>
      <c r="C326" s="88" t="s">
        <v>648</v>
      </c>
      <c r="D326" s="90"/>
      <c r="E326" s="90"/>
      <c r="F326" s="90"/>
      <c r="G326" s="90"/>
      <c r="H326" s="90"/>
      <c r="I326" s="90"/>
      <c r="J326" s="90"/>
      <c r="K326" s="90"/>
      <c r="L326" s="90"/>
      <c r="M326" s="90"/>
      <c r="N326" s="91"/>
      <c r="O326" s="1"/>
      <c r="Q326" s="70" t="s">
        <v>43</v>
      </c>
    </row>
    <row r="327" spans="1:18" ht="24" hidden="1" customHeight="1" x14ac:dyDescent="0.2">
      <c r="B327" s="93" t="s">
        <v>453</v>
      </c>
      <c r="C327" s="93" t="s">
        <v>96</v>
      </c>
      <c r="D327" s="94"/>
      <c r="E327" s="94"/>
      <c r="F327" s="95" t="s">
        <v>97</v>
      </c>
      <c r="G327" s="96">
        <v>1962869.4</v>
      </c>
      <c r="H327" s="96">
        <v>1967522</v>
      </c>
      <c r="I327" s="96">
        <v>1967839.3</v>
      </c>
      <c r="J327" s="99" t="s">
        <v>304</v>
      </c>
      <c r="K327" s="99" t="s">
        <v>103</v>
      </c>
      <c r="L327" s="99">
        <v>42</v>
      </c>
      <c r="M327" s="99">
        <v>44</v>
      </c>
      <c r="N327" s="99">
        <v>43</v>
      </c>
      <c r="O327" s="1"/>
      <c r="Q327" s="71" t="s">
        <v>40</v>
      </c>
    </row>
    <row r="328" spans="1:18" ht="24" hidden="1" customHeight="1" x14ac:dyDescent="0.2">
      <c r="B328" s="183" t="s">
        <v>100</v>
      </c>
      <c r="C328" s="183" t="s">
        <v>100</v>
      </c>
      <c r="D328" s="183" t="s">
        <v>100</v>
      </c>
      <c r="E328" s="183"/>
      <c r="F328" s="184" t="s">
        <v>101</v>
      </c>
      <c r="G328" s="185">
        <v>1308711</v>
      </c>
      <c r="H328" s="185">
        <v>1313057.6000000001</v>
      </c>
      <c r="I328" s="185">
        <v>1313065.8</v>
      </c>
      <c r="J328" s="83" t="s">
        <v>304</v>
      </c>
      <c r="K328" s="83" t="s">
        <v>103</v>
      </c>
      <c r="L328" s="83">
        <v>42</v>
      </c>
      <c r="M328" s="83">
        <v>44</v>
      </c>
      <c r="N328" s="83">
        <v>43</v>
      </c>
      <c r="O328" s="1"/>
      <c r="Q328" s="72" t="s">
        <v>34</v>
      </c>
    </row>
    <row r="329" spans="1:18" ht="32.25" hidden="1" customHeight="1" x14ac:dyDescent="0.2">
      <c r="B329" s="183"/>
      <c r="C329" s="183"/>
      <c r="D329" s="183" t="s">
        <v>120</v>
      </c>
      <c r="E329" s="183"/>
      <c r="F329" s="184" t="s">
        <v>203</v>
      </c>
      <c r="G329" s="185">
        <v>654158.4</v>
      </c>
      <c r="H329" s="185">
        <v>654464.4</v>
      </c>
      <c r="I329" s="185">
        <v>654773.5</v>
      </c>
      <c r="J329" s="77"/>
      <c r="K329" s="77"/>
      <c r="L329" s="77"/>
      <c r="M329" s="77"/>
      <c r="N329" s="77"/>
      <c r="O329" s="1"/>
      <c r="Q329" s="72" t="s">
        <v>34</v>
      </c>
    </row>
    <row r="330" spans="1:18" ht="33" hidden="1" customHeight="1" x14ac:dyDescent="0.2">
      <c r="B330" s="93" t="s">
        <v>453</v>
      </c>
      <c r="C330" s="93" t="s">
        <v>649</v>
      </c>
      <c r="D330" s="94"/>
      <c r="E330" s="94"/>
      <c r="F330" s="95" t="s">
        <v>650</v>
      </c>
      <c r="G330" s="96">
        <v>8891657.4700000007</v>
      </c>
      <c r="H330" s="96">
        <v>8892351.4700000007</v>
      </c>
      <c r="I330" s="96">
        <v>8892351.4700000007</v>
      </c>
      <c r="J330" s="93" t="s">
        <v>651</v>
      </c>
      <c r="K330" s="93" t="s">
        <v>99</v>
      </c>
      <c r="L330" s="93">
        <v>28</v>
      </c>
      <c r="M330" s="93">
        <v>33</v>
      </c>
      <c r="N330" s="93">
        <v>35</v>
      </c>
      <c r="O330" s="1"/>
      <c r="Q330" s="71" t="s">
        <v>40</v>
      </c>
    </row>
    <row r="331" spans="1:18" ht="33.75" hidden="1" customHeight="1" x14ac:dyDescent="0.2">
      <c r="B331" s="181" t="s">
        <v>100</v>
      </c>
      <c r="C331" s="181" t="s">
        <v>100</v>
      </c>
      <c r="D331" s="181" t="s">
        <v>100</v>
      </c>
      <c r="E331" s="181"/>
      <c r="F331" s="181" t="s">
        <v>652</v>
      </c>
      <c r="G331" s="182">
        <v>8891657.4700000007</v>
      </c>
      <c r="H331" s="182">
        <v>8892351.4700000007</v>
      </c>
      <c r="I331" s="182">
        <v>8892351.4700000007</v>
      </c>
      <c r="J331" s="3" t="s">
        <v>653</v>
      </c>
      <c r="K331" s="3" t="s">
        <v>99</v>
      </c>
      <c r="L331" s="3">
        <v>8</v>
      </c>
      <c r="M331" s="3">
        <v>10</v>
      </c>
      <c r="N331" s="3">
        <v>11</v>
      </c>
      <c r="O331" s="1"/>
      <c r="Q331" s="72" t="s">
        <v>34</v>
      </c>
    </row>
    <row r="332" spans="1:18" ht="31.5" hidden="1" customHeight="1" x14ac:dyDescent="0.2">
      <c r="B332" s="77"/>
      <c r="C332" s="77"/>
      <c r="D332" s="77"/>
      <c r="E332" s="77"/>
      <c r="F332" s="77"/>
      <c r="G332" s="77"/>
      <c r="H332" s="77"/>
      <c r="I332" s="77"/>
      <c r="J332" s="3" t="s">
        <v>654</v>
      </c>
      <c r="K332" s="3" t="s">
        <v>99</v>
      </c>
      <c r="L332" s="3">
        <v>57</v>
      </c>
      <c r="M332" s="3">
        <v>60</v>
      </c>
      <c r="N332" s="3">
        <v>61</v>
      </c>
      <c r="O332" s="1"/>
      <c r="Q332" s="73" t="s">
        <v>37</v>
      </c>
    </row>
    <row r="333" spans="1:18" ht="36.75" hidden="1" customHeight="1" x14ac:dyDescent="0.2">
      <c r="B333" s="93" t="s">
        <v>453</v>
      </c>
      <c r="C333" s="93" t="s">
        <v>655</v>
      </c>
      <c r="D333" s="94"/>
      <c r="E333" s="94"/>
      <c r="F333" s="95" t="s">
        <v>656</v>
      </c>
      <c r="G333" s="96">
        <v>42380106.439999998</v>
      </c>
      <c r="H333" s="96">
        <v>43462341.140000001</v>
      </c>
      <c r="I333" s="96">
        <v>44571271.969999999</v>
      </c>
      <c r="J333" s="93" t="s">
        <v>657</v>
      </c>
      <c r="K333" s="93" t="s">
        <v>99</v>
      </c>
      <c r="L333" s="93">
        <v>98</v>
      </c>
      <c r="M333" s="93">
        <v>98</v>
      </c>
      <c r="N333" s="93">
        <v>98</v>
      </c>
      <c r="O333" s="1"/>
      <c r="Q333" s="71" t="s">
        <v>40</v>
      </c>
    </row>
    <row r="334" spans="1:18" ht="32.25" hidden="1" customHeight="1" x14ac:dyDescent="0.2">
      <c r="B334" s="181" t="s">
        <v>100</v>
      </c>
      <c r="C334" s="181" t="s">
        <v>100</v>
      </c>
      <c r="D334" s="181" t="s">
        <v>100</v>
      </c>
      <c r="E334" s="181"/>
      <c r="F334" s="181" t="s">
        <v>658</v>
      </c>
      <c r="G334" s="182">
        <v>42158805.539999999</v>
      </c>
      <c r="H334" s="182">
        <v>43241040.240000002</v>
      </c>
      <c r="I334" s="182">
        <v>44349971.07</v>
      </c>
      <c r="J334" s="3" t="s">
        <v>659</v>
      </c>
      <c r="K334" s="3" t="s">
        <v>99</v>
      </c>
      <c r="L334" s="3">
        <v>0.4</v>
      </c>
      <c r="M334" s="3">
        <v>0.4</v>
      </c>
      <c r="N334" s="3">
        <v>0.4</v>
      </c>
      <c r="O334" s="1"/>
      <c r="Q334" s="72" t="s">
        <v>34</v>
      </c>
      <c r="R334" s="75" t="s">
        <v>118</v>
      </c>
    </row>
    <row r="335" spans="1:18" ht="30.75" hidden="1" customHeight="1" x14ac:dyDescent="0.2">
      <c r="B335" s="76"/>
      <c r="C335" s="76"/>
      <c r="D335" s="76"/>
      <c r="E335" s="76"/>
      <c r="F335" s="76"/>
      <c r="G335" s="76"/>
      <c r="H335" s="76"/>
      <c r="I335" s="76"/>
      <c r="J335" s="3" t="s">
        <v>660</v>
      </c>
      <c r="K335" s="3" t="s">
        <v>99</v>
      </c>
      <c r="L335" s="3">
        <v>9</v>
      </c>
      <c r="M335" s="3">
        <v>9</v>
      </c>
      <c r="N335" s="3">
        <v>9</v>
      </c>
      <c r="O335" s="1"/>
      <c r="Q335" s="73" t="s">
        <v>37</v>
      </c>
    </row>
    <row r="336" spans="1:18" ht="21.75" hidden="1" customHeight="1" x14ac:dyDescent="0.2">
      <c r="B336" s="77"/>
      <c r="C336" s="77"/>
      <c r="D336" s="77"/>
      <c r="E336" s="77"/>
      <c r="F336" s="77"/>
      <c r="G336" s="77"/>
      <c r="H336" s="77"/>
      <c r="I336" s="77"/>
      <c r="J336" s="3" t="s">
        <v>661</v>
      </c>
      <c r="K336" s="3" t="s">
        <v>662</v>
      </c>
      <c r="L336" s="3">
        <v>127</v>
      </c>
      <c r="M336" s="3">
        <v>128</v>
      </c>
      <c r="N336" s="3">
        <v>129</v>
      </c>
      <c r="O336" s="1"/>
      <c r="Q336" s="73" t="s">
        <v>37</v>
      </c>
    </row>
    <row r="337" spans="1:18" ht="28.5" hidden="1" customHeight="1" x14ac:dyDescent="0.2">
      <c r="B337" s="183" t="s">
        <v>120</v>
      </c>
      <c r="C337" s="183" t="s">
        <v>120</v>
      </c>
      <c r="D337" s="183" t="s">
        <v>120</v>
      </c>
      <c r="E337" s="183"/>
      <c r="F337" s="184" t="s">
        <v>663</v>
      </c>
      <c r="G337" s="185">
        <v>221300.9</v>
      </c>
      <c r="H337" s="185">
        <v>221300.9</v>
      </c>
      <c r="I337" s="185">
        <v>221300.9</v>
      </c>
      <c r="J337" s="3" t="s">
        <v>664</v>
      </c>
      <c r="K337" s="3" t="s">
        <v>99</v>
      </c>
      <c r="L337" s="3">
        <v>41</v>
      </c>
      <c r="M337" s="3">
        <v>30</v>
      </c>
      <c r="N337" s="3">
        <v>30</v>
      </c>
      <c r="O337" s="1"/>
      <c r="Q337" s="72" t="s">
        <v>34</v>
      </c>
    </row>
    <row r="338" spans="1:18" ht="57" hidden="1" customHeight="1" x14ac:dyDescent="0.2">
      <c r="B338" s="93" t="s">
        <v>453</v>
      </c>
      <c r="C338" s="93" t="s">
        <v>665</v>
      </c>
      <c r="D338" s="94"/>
      <c r="E338" s="94"/>
      <c r="F338" s="95" t="s">
        <v>666</v>
      </c>
      <c r="G338" s="96">
        <v>2178080.7999999998</v>
      </c>
      <c r="H338" s="96">
        <v>2178083.4</v>
      </c>
      <c r="I338" s="96">
        <v>2178086</v>
      </c>
      <c r="J338" s="99" t="s">
        <v>667</v>
      </c>
      <c r="K338" s="99" t="s">
        <v>99</v>
      </c>
      <c r="L338" s="99">
        <v>78</v>
      </c>
      <c r="M338" s="99">
        <v>78</v>
      </c>
      <c r="N338" s="99">
        <v>78</v>
      </c>
      <c r="O338" s="1"/>
      <c r="Q338" s="71" t="s">
        <v>40</v>
      </c>
    </row>
    <row r="339" spans="1:18" ht="42" hidden="1" customHeight="1" x14ac:dyDescent="0.2">
      <c r="B339" s="181" t="s">
        <v>100</v>
      </c>
      <c r="C339" s="181" t="s">
        <v>100</v>
      </c>
      <c r="D339" s="181" t="s">
        <v>100</v>
      </c>
      <c r="E339" s="181"/>
      <c r="F339" s="181" t="s">
        <v>668</v>
      </c>
      <c r="G339" s="182">
        <v>2178080.7999999998</v>
      </c>
      <c r="H339" s="182">
        <v>2178083.4</v>
      </c>
      <c r="I339" s="182">
        <v>2178086</v>
      </c>
      <c r="J339" s="3" t="s">
        <v>669</v>
      </c>
      <c r="K339" s="3" t="s">
        <v>99</v>
      </c>
      <c r="L339" s="3">
        <v>5.25</v>
      </c>
      <c r="M339" s="3">
        <v>5.3</v>
      </c>
      <c r="N339" s="3">
        <v>5.35</v>
      </c>
      <c r="O339" s="1"/>
      <c r="Q339" s="72" t="s">
        <v>34</v>
      </c>
      <c r="R339" s="75" t="s">
        <v>169</v>
      </c>
    </row>
    <row r="340" spans="1:18" ht="52.5" hidden="1" customHeight="1" x14ac:dyDescent="0.2">
      <c r="B340" s="76"/>
      <c r="C340" s="76"/>
      <c r="D340" s="76"/>
      <c r="E340" s="76"/>
      <c r="F340" s="76"/>
      <c r="G340" s="76"/>
      <c r="H340" s="76"/>
      <c r="I340" s="76"/>
      <c r="J340" s="3" t="s">
        <v>670</v>
      </c>
      <c r="K340" s="3" t="s">
        <v>99</v>
      </c>
      <c r="L340" s="3">
        <v>16</v>
      </c>
      <c r="M340" s="3">
        <v>16</v>
      </c>
      <c r="N340" s="3">
        <v>16</v>
      </c>
      <c r="O340" s="1"/>
      <c r="Q340" s="73" t="s">
        <v>37</v>
      </c>
    </row>
    <row r="341" spans="1:18" ht="45.75" hidden="1" customHeight="1" x14ac:dyDescent="0.2">
      <c r="B341" s="77"/>
      <c r="C341" s="77"/>
      <c r="D341" s="77"/>
      <c r="E341" s="77"/>
      <c r="F341" s="77"/>
      <c r="G341" s="77"/>
      <c r="H341" s="77"/>
      <c r="I341" s="77"/>
      <c r="J341" s="3" t="s">
        <v>671</v>
      </c>
      <c r="K341" s="3" t="s">
        <v>99</v>
      </c>
      <c r="L341" s="3">
        <v>36.799999999999997</v>
      </c>
      <c r="M341" s="3">
        <v>36.799999999999997</v>
      </c>
      <c r="N341" s="3">
        <v>36.799999999999997</v>
      </c>
      <c r="O341" s="1"/>
      <c r="Q341" s="73" t="s">
        <v>37</v>
      </c>
    </row>
    <row r="342" spans="1:18" ht="27.75" customHeight="1" x14ac:dyDescent="0.2">
      <c r="B342" s="93" t="s">
        <v>453</v>
      </c>
      <c r="C342" s="93" t="s">
        <v>408</v>
      </c>
      <c r="D342" s="99" t="s">
        <v>100</v>
      </c>
      <c r="E342" s="99"/>
      <c r="F342" s="109" t="s">
        <v>409</v>
      </c>
      <c r="G342" s="110">
        <v>1012180</v>
      </c>
      <c r="H342" s="110">
        <v>1169830</v>
      </c>
      <c r="I342" s="110">
        <v>1615475</v>
      </c>
      <c r="J342" s="100" t="s">
        <v>347</v>
      </c>
      <c r="K342" s="100" t="s">
        <v>99</v>
      </c>
      <c r="L342" s="100">
        <v>100</v>
      </c>
      <c r="M342" s="100">
        <v>100</v>
      </c>
      <c r="N342" s="100">
        <v>100</v>
      </c>
      <c r="O342" s="1"/>
      <c r="Q342" s="118" t="s">
        <v>40</v>
      </c>
    </row>
    <row r="343" spans="1:18" ht="15" hidden="1" customHeight="1" x14ac:dyDescent="0.2">
      <c r="B343" s="174" t="s">
        <v>112</v>
      </c>
      <c r="C343" s="175"/>
      <c r="D343" s="176"/>
      <c r="E343" s="176"/>
      <c r="F343" s="177"/>
      <c r="G343" s="178">
        <v>56424894.109999999</v>
      </c>
      <c r="H343" s="178">
        <v>57670128.009999998</v>
      </c>
      <c r="I343" s="178">
        <v>59225023.739999987</v>
      </c>
      <c r="J343" s="179"/>
      <c r="K343" s="176"/>
      <c r="L343" s="176"/>
      <c r="M343" s="176"/>
      <c r="N343" s="177"/>
      <c r="O343" s="1"/>
      <c r="Q343" s="74" t="s">
        <v>46</v>
      </c>
    </row>
    <row r="344" spans="1:18" ht="18" hidden="1" customHeight="1" x14ac:dyDescent="0.2">
      <c r="A344" s="4" t="str">
        <f>C344</f>
        <v>Министерство здравоохранения Кыргызской Республики</v>
      </c>
      <c r="B344" s="87" t="s">
        <v>456</v>
      </c>
      <c r="C344" s="88" t="s">
        <v>672</v>
      </c>
      <c r="D344" s="90"/>
      <c r="E344" s="90"/>
      <c r="F344" s="90"/>
      <c r="G344" s="90"/>
      <c r="H344" s="90"/>
      <c r="I344" s="90"/>
      <c r="J344" s="90"/>
      <c r="K344" s="90"/>
      <c r="L344" s="90"/>
      <c r="M344" s="90"/>
      <c r="N344" s="91"/>
      <c r="O344" s="1"/>
      <c r="Q344" s="70" t="s">
        <v>43</v>
      </c>
    </row>
    <row r="345" spans="1:18" ht="31.5" hidden="1" customHeight="1" x14ac:dyDescent="0.2">
      <c r="B345" s="93" t="s">
        <v>456</v>
      </c>
      <c r="C345" s="93" t="s">
        <v>96</v>
      </c>
      <c r="D345" s="94"/>
      <c r="E345" s="94"/>
      <c r="F345" s="95" t="s">
        <v>97</v>
      </c>
      <c r="G345" s="96">
        <v>321933.8</v>
      </c>
      <c r="H345" s="96">
        <v>326433.8</v>
      </c>
      <c r="I345" s="96">
        <v>326433.8</v>
      </c>
      <c r="J345" s="119" t="s">
        <v>673</v>
      </c>
      <c r="K345" s="99" t="s">
        <v>219</v>
      </c>
      <c r="L345" s="99">
        <v>28</v>
      </c>
      <c r="M345" s="99">
        <v>28</v>
      </c>
      <c r="N345" s="99">
        <v>28</v>
      </c>
      <c r="O345" s="1"/>
      <c r="Q345" s="71" t="s">
        <v>40</v>
      </c>
    </row>
    <row r="346" spans="1:18" ht="48" hidden="1" customHeight="1" x14ac:dyDescent="0.2">
      <c r="B346" s="181" t="s">
        <v>100</v>
      </c>
      <c r="C346" s="181" t="s">
        <v>100</v>
      </c>
      <c r="D346" s="181" t="s">
        <v>100</v>
      </c>
      <c r="E346" s="181"/>
      <c r="F346" s="181" t="s">
        <v>101</v>
      </c>
      <c r="G346" s="182">
        <v>124299.9</v>
      </c>
      <c r="H346" s="182">
        <v>124299.9</v>
      </c>
      <c r="I346" s="182">
        <v>124299.9</v>
      </c>
      <c r="J346" s="3" t="s">
        <v>674</v>
      </c>
      <c r="K346" s="3" t="s">
        <v>675</v>
      </c>
      <c r="L346" s="3">
        <v>14</v>
      </c>
      <c r="M346" s="3">
        <v>14</v>
      </c>
      <c r="N346" s="3">
        <v>14</v>
      </c>
      <c r="O346" s="1"/>
      <c r="Q346" s="72" t="s">
        <v>34</v>
      </c>
    </row>
    <row r="347" spans="1:18" ht="54" hidden="1" customHeight="1" x14ac:dyDescent="0.2">
      <c r="B347" s="76"/>
      <c r="C347" s="76"/>
      <c r="D347" s="76"/>
      <c r="E347" s="76"/>
      <c r="F347" s="76"/>
      <c r="G347" s="76"/>
      <c r="H347" s="76"/>
      <c r="I347" s="76"/>
      <c r="J347" s="3" t="s">
        <v>676</v>
      </c>
      <c r="K347" s="3" t="s">
        <v>675</v>
      </c>
      <c r="L347" s="3">
        <v>16.600000000000001</v>
      </c>
      <c r="M347" s="3">
        <v>16.5</v>
      </c>
      <c r="N347" s="3">
        <v>16.5</v>
      </c>
      <c r="O347" s="1"/>
      <c r="Q347" s="73" t="s">
        <v>37</v>
      </c>
    </row>
    <row r="348" spans="1:18" ht="52.5" hidden="1" customHeight="1" x14ac:dyDescent="0.2">
      <c r="B348" s="76"/>
      <c r="C348" s="76"/>
      <c r="D348" s="76"/>
      <c r="E348" s="76"/>
      <c r="F348" s="76"/>
      <c r="G348" s="76"/>
      <c r="H348" s="76"/>
      <c r="I348" s="76"/>
      <c r="J348" s="3" t="s">
        <v>677</v>
      </c>
      <c r="K348" s="3" t="s">
        <v>675</v>
      </c>
      <c r="L348" s="3">
        <v>14</v>
      </c>
      <c r="M348" s="3">
        <v>14</v>
      </c>
      <c r="N348" s="3">
        <v>14</v>
      </c>
      <c r="O348" s="1"/>
      <c r="Q348" s="73" t="s">
        <v>37</v>
      </c>
    </row>
    <row r="349" spans="1:18" ht="30.75" hidden="1" customHeight="1" x14ac:dyDescent="0.2">
      <c r="B349" s="77"/>
      <c r="C349" s="77"/>
      <c r="D349" s="77"/>
      <c r="E349" s="77"/>
      <c r="F349" s="77"/>
      <c r="G349" s="77"/>
      <c r="H349" s="77"/>
      <c r="I349" s="77"/>
      <c r="J349" s="3" t="s">
        <v>678</v>
      </c>
      <c r="K349" s="3" t="s">
        <v>679</v>
      </c>
      <c r="L349" s="3">
        <v>317.8</v>
      </c>
      <c r="M349" s="3">
        <v>317.8</v>
      </c>
      <c r="N349" s="3">
        <v>317.8</v>
      </c>
      <c r="O349" s="1"/>
      <c r="Q349" s="73" t="s">
        <v>37</v>
      </c>
    </row>
    <row r="350" spans="1:18" ht="41.25" hidden="1" customHeight="1" x14ac:dyDescent="0.2">
      <c r="B350" s="181" t="s">
        <v>120</v>
      </c>
      <c r="C350" s="181" t="s">
        <v>120</v>
      </c>
      <c r="D350" s="181" t="s">
        <v>120</v>
      </c>
      <c r="E350" s="181"/>
      <c r="F350" s="181" t="s">
        <v>203</v>
      </c>
      <c r="G350" s="182">
        <v>197633.9</v>
      </c>
      <c r="H350" s="182">
        <v>202133.9</v>
      </c>
      <c r="I350" s="182">
        <v>202133.9</v>
      </c>
      <c r="J350" s="3" t="s">
        <v>680</v>
      </c>
      <c r="K350" s="3" t="s">
        <v>99</v>
      </c>
      <c r="L350" s="3">
        <v>100</v>
      </c>
      <c r="M350" s="3">
        <v>100</v>
      </c>
      <c r="N350" s="3">
        <v>100</v>
      </c>
      <c r="O350" s="1"/>
      <c r="Q350" s="72" t="s">
        <v>34</v>
      </c>
    </row>
    <row r="351" spans="1:18" ht="42" hidden="1" customHeight="1" x14ac:dyDescent="0.2">
      <c r="B351" s="77"/>
      <c r="C351" s="77"/>
      <c r="D351" s="77"/>
      <c r="E351" s="77"/>
      <c r="F351" s="77"/>
      <c r="G351" s="77"/>
      <c r="H351" s="77"/>
      <c r="I351" s="77"/>
      <c r="J351" s="3" t="s">
        <v>681</v>
      </c>
      <c r="K351" s="3" t="s">
        <v>99</v>
      </c>
      <c r="L351" s="3">
        <v>95</v>
      </c>
      <c r="M351" s="3">
        <v>95</v>
      </c>
      <c r="N351" s="3">
        <v>95</v>
      </c>
      <c r="O351" s="1"/>
      <c r="Q351" s="73" t="s">
        <v>37</v>
      </c>
    </row>
    <row r="352" spans="1:18" ht="33.75" hidden="1" customHeight="1" x14ac:dyDescent="0.2">
      <c r="B352" s="93" t="s">
        <v>456</v>
      </c>
      <c r="C352" s="93" t="s">
        <v>682</v>
      </c>
      <c r="D352" s="94"/>
      <c r="E352" s="94"/>
      <c r="F352" s="95" t="s">
        <v>683</v>
      </c>
      <c r="G352" s="96">
        <v>2170534.1</v>
      </c>
      <c r="H352" s="96">
        <v>2120832</v>
      </c>
      <c r="I352" s="96">
        <v>2151858.4</v>
      </c>
      <c r="J352" s="99" t="s">
        <v>684</v>
      </c>
      <c r="K352" s="99" t="s">
        <v>223</v>
      </c>
      <c r="L352" s="99">
        <v>21</v>
      </c>
      <c r="M352" s="99">
        <v>22</v>
      </c>
      <c r="N352" s="99">
        <v>23</v>
      </c>
      <c r="O352" s="1"/>
      <c r="Q352" s="71" t="s">
        <v>40</v>
      </c>
      <c r="R352" s="75" t="s">
        <v>123</v>
      </c>
    </row>
    <row r="353" spans="2:18" ht="61.5" hidden="1" customHeight="1" x14ac:dyDescent="0.2">
      <c r="B353" s="181" t="s">
        <v>100</v>
      </c>
      <c r="C353" s="181" t="s">
        <v>100</v>
      </c>
      <c r="D353" s="181" t="s">
        <v>100</v>
      </c>
      <c r="E353" s="181"/>
      <c r="F353" s="181" t="s">
        <v>685</v>
      </c>
      <c r="G353" s="182">
        <v>1311682.2</v>
      </c>
      <c r="H353" s="182">
        <v>1261530.3999999999</v>
      </c>
      <c r="I353" s="182">
        <v>1430160.2</v>
      </c>
      <c r="J353" s="3" t="s">
        <v>686</v>
      </c>
      <c r="K353" s="3" t="s">
        <v>99</v>
      </c>
      <c r="L353" s="3">
        <v>60</v>
      </c>
      <c r="M353" s="3">
        <v>80</v>
      </c>
      <c r="N353" s="3">
        <v>90</v>
      </c>
      <c r="O353" s="1"/>
      <c r="Q353" s="72" t="s">
        <v>34</v>
      </c>
      <c r="R353" s="75" t="s">
        <v>169</v>
      </c>
    </row>
    <row r="354" spans="2:18" ht="61.5" hidden="1" customHeight="1" x14ac:dyDescent="0.2">
      <c r="B354" s="76"/>
      <c r="C354" s="76"/>
      <c r="D354" s="76"/>
      <c r="E354" s="76"/>
      <c r="F354" s="76"/>
      <c r="G354" s="76"/>
      <c r="H354" s="76"/>
      <c r="I354" s="76"/>
      <c r="J354" s="3" t="s">
        <v>687</v>
      </c>
      <c r="K354" s="3" t="s">
        <v>99</v>
      </c>
      <c r="L354" s="3">
        <v>20</v>
      </c>
      <c r="M354" s="3">
        <v>22</v>
      </c>
      <c r="N354" s="3">
        <v>25</v>
      </c>
      <c r="O354" s="1"/>
      <c r="Q354" s="73" t="s">
        <v>37</v>
      </c>
    </row>
    <row r="355" spans="2:18" ht="30" hidden="1" customHeight="1" x14ac:dyDescent="0.2">
      <c r="B355" s="76"/>
      <c r="C355" s="76"/>
      <c r="D355" s="76"/>
      <c r="E355" s="76"/>
      <c r="F355" s="76"/>
      <c r="G355" s="76"/>
      <c r="H355" s="76"/>
      <c r="I355" s="76"/>
      <c r="J355" s="3" t="s">
        <v>688</v>
      </c>
      <c r="K355" s="3" t="s">
        <v>223</v>
      </c>
      <c r="L355" s="3">
        <v>100000</v>
      </c>
      <c r="M355" s="3">
        <v>120000</v>
      </c>
      <c r="N355" s="3">
        <v>150000</v>
      </c>
      <c r="O355" s="1"/>
      <c r="Q355" s="73" t="s">
        <v>37</v>
      </c>
    </row>
    <row r="356" spans="2:18" ht="41.25" hidden="1" customHeight="1" x14ac:dyDescent="0.2">
      <c r="B356" s="77"/>
      <c r="C356" s="77"/>
      <c r="D356" s="77"/>
      <c r="E356" s="77"/>
      <c r="F356" s="77"/>
      <c r="G356" s="77"/>
      <c r="H356" s="77"/>
      <c r="I356" s="77"/>
      <c r="J356" s="3" t="s">
        <v>689</v>
      </c>
      <c r="K356" s="3" t="s">
        <v>99</v>
      </c>
      <c r="L356" s="3">
        <v>35</v>
      </c>
      <c r="M356" s="3">
        <v>38</v>
      </c>
      <c r="N356" s="3">
        <v>40</v>
      </c>
      <c r="O356" s="1"/>
      <c r="Q356" s="73" t="s">
        <v>37</v>
      </c>
    </row>
    <row r="357" spans="2:18" ht="27" hidden="1" customHeight="1" x14ac:dyDescent="0.2">
      <c r="B357" s="181" t="s">
        <v>120</v>
      </c>
      <c r="C357" s="181" t="s">
        <v>120</v>
      </c>
      <c r="D357" s="181" t="s">
        <v>120</v>
      </c>
      <c r="E357" s="181"/>
      <c r="F357" s="181" t="s">
        <v>690</v>
      </c>
      <c r="G357" s="182">
        <v>185035.7</v>
      </c>
      <c r="H357" s="182">
        <v>199300.4</v>
      </c>
      <c r="I357" s="182">
        <v>185035.7</v>
      </c>
      <c r="J357" s="3" t="s">
        <v>691</v>
      </c>
      <c r="K357" s="3" t="s">
        <v>99</v>
      </c>
      <c r="L357" s="3">
        <v>95</v>
      </c>
      <c r="M357" s="3">
        <v>95</v>
      </c>
      <c r="N357" s="3">
        <v>95</v>
      </c>
      <c r="O357" s="1"/>
      <c r="Q357" s="72" t="s">
        <v>34</v>
      </c>
      <c r="R357" s="75" t="s">
        <v>169</v>
      </c>
    </row>
    <row r="358" spans="2:18" ht="60" hidden="1" customHeight="1" x14ac:dyDescent="0.2">
      <c r="B358" s="77"/>
      <c r="C358" s="77"/>
      <c r="D358" s="77"/>
      <c r="E358" s="77"/>
      <c r="F358" s="77"/>
      <c r="G358" s="77"/>
      <c r="H358" s="77"/>
      <c r="I358" s="77"/>
      <c r="J358" s="3" t="s">
        <v>692</v>
      </c>
      <c r="K358" s="3" t="s">
        <v>693</v>
      </c>
      <c r="L358" s="3">
        <v>90</v>
      </c>
      <c r="M358" s="3">
        <v>95</v>
      </c>
      <c r="N358" s="3">
        <v>95</v>
      </c>
      <c r="O358" s="1"/>
      <c r="Q358" s="73" t="s">
        <v>37</v>
      </c>
    </row>
    <row r="359" spans="2:18" ht="24" hidden="1" customHeight="1" x14ac:dyDescent="0.2">
      <c r="B359" s="181" t="s">
        <v>150</v>
      </c>
      <c r="C359" s="181" t="s">
        <v>150</v>
      </c>
      <c r="D359" s="181" t="s">
        <v>150</v>
      </c>
      <c r="E359" s="181"/>
      <c r="F359" s="181" t="s">
        <v>694</v>
      </c>
      <c r="G359" s="182">
        <v>87313.2</v>
      </c>
      <c r="H359" s="182">
        <v>86113.2</v>
      </c>
      <c r="I359" s="182">
        <v>87031.8</v>
      </c>
      <c r="J359" s="3" t="s">
        <v>695</v>
      </c>
      <c r="K359" s="3" t="s">
        <v>223</v>
      </c>
      <c r="L359" s="3">
        <v>8</v>
      </c>
      <c r="M359" s="3">
        <v>10</v>
      </c>
      <c r="N359" s="3">
        <v>11</v>
      </c>
      <c r="O359" s="1"/>
      <c r="Q359" s="72" t="s">
        <v>34</v>
      </c>
    </row>
    <row r="360" spans="2:18" ht="24" hidden="1" customHeight="1" x14ac:dyDescent="0.2">
      <c r="B360" s="77"/>
      <c r="C360" s="77"/>
      <c r="D360" s="77"/>
      <c r="E360" s="77"/>
      <c r="F360" s="77"/>
      <c r="G360" s="77"/>
      <c r="H360" s="77"/>
      <c r="I360" s="77"/>
      <c r="J360" s="3" t="s">
        <v>696</v>
      </c>
      <c r="K360" s="3" t="s">
        <v>223</v>
      </c>
      <c r="L360" s="3">
        <v>8</v>
      </c>
      <c r="M360" s="3">
        <v>8</v>
      </c>
      <c r="N360" s="3">
        <v>8</v>
      </c>
      <c r="O360" s="1"/>
      <c r="Q360" s="73" t="s">
        <v>37</v>
      </c>
    </row>
    <row r="361" spans="2:18" ht="34.5" hidden="1" customHeight="1" x14ac:dyDescent="0.2">
      <c r="B361" s="181" t="s">
        <v>124</v>
      </c>
      <c r="C361" s="181" t="s">
        <v>124</v>
      </c>
      <c r="D361" s="181" t="s">
        <v>124</v>
      </c>
      <c r="E361" s="181"/>
      <c r="F361" s="181" t="s">
        <v>697</v>
      </c>
      <c r="G361" s="182">
        <v>358227.7</v>
      </c>
      <c r="H361" s="182">
        <v>358227.7</v>
      </c>
      <c r="I361" s="182">
        <v>355219.7</v>
      </c>
      <c r="J361" s="3" t="s">
        <v>698</v>
      </c>
      <c r="K361" s="3" t="s">
        <v>99</v>
      </c>
      <c r="L361" s="3">
        <v>90</v>
      </c>
      <c r="M361" s="3">
        <v>92</v>
      </c>
      <c r="N361" s="3">
        <v>94</v>
      </c>
      <c r="O361" s="1"/>
      <c r="Q361" s="72" t="s">
        <v>34</v>
      </c>
    </row>
    <row r="362" spans="2:18" ht="33.75" hidden="1" customHeight="1" x14ac:dyDescent="0.2">
      <c r="B362" s="76"/>
      <c r="C362" s="76"/>
      <c r="D362" s="76"/>
      <c r="E362" s="76"/>
      <c r="F362" s="76"/>
      <c r="G362" s="76"/>
      <c r="H362" s="76"/>
      <c r="I362" s="76"/>
      <c r="J362" s="3" t="s">
        <v>699</v>
      </c>
      <c r="K362" s="3" t="s">
        <v>99</v>
      </c>
      <c r="L362" s="3">
        <v>79</v>
      </c>
      <c r="M362" s="3">
        <v>84</v>
      </c>
      <c r="N362" s="3">
        <v>86</v>
      </c>
      <c r="O362" s="1"/>
      <c r="Q362" s="73" t="s">
        <v>37</v>
      </c>
    </row>
    <row r="363" spans="2:18" ht="45" hidden="1" customHeight="1" x14ac:dyDescent="0.2">
      <c r="B363" s="77"/>
      <c r="C363" s="77"/>
      <c r="D363" s="77"/>
      <c r="E363" s="77"/>
      <c r="F363" s="77"/>
      <c r="G363" s="77"/>
      <c r="H363" s="77"/>
      <c r="I363" s="77"/>
      <c r="J363" s="3" t="s">
        <v>700</v>
      </c>
      <c r="K363" s="3" t="s">
        <v>99</v>
      </c>
      <c r="L363" s="3">
        <v>95</v>
      </c>
      <c r="M363" s="3">
        <v>95</v>
      </c>
      <c r="N363" s="3">
        <v>95</v>
      </c>
      <c r="O363" s="1"/>
      <c r="Q363" s="73" t="s">
        <v>37</v>
      </c>
    </row>
    <row r="364" spans="2:18" ht="28.5" hidden="1" customHeight="1" x14ac:dyDescent="0.2">
      <c r="B364" s="181" t="s">
        <v>160</v>
      </c>
      <c r="C364" s="181" t="s">
        <v>160</v>
      </c>
      <c r="D364" s="181" t="s">
        <v>160</v>
      </c>
      <c r="E364" s="181"/>
      <c r="F364" s="181" t="s">
        <v>701</v>
      </c>
      <c r="G364" s="182">
        <v>189268.2</v>
      </c>
      <c r="H364" s="182">
        <v>189268.2</v>
      </c>
      <c r="I364" s="182">
        <v>68018.899999999994</v>
      </c>
      <c r="J364" s="3" t="s">
        <v>702</v>
      </c>
      <c r="K364" s="3" t="s">
        <v>703</v>
      </c>
      <c r="L364" s="3">
        <v>450</v>
      </c>
      <c r="M364" s="3">
        <v>450</v>
      </c>
      <c r="N364" s="3">
        <v>450</v>
      </c>
      <c r="O364" s="1"/>
      <c r="Q364" s="72" t="s">
        <v>34</v>
      </c>
      <c r="R364" s="75" t="s">
        <v>169</v>
      </c>
    </row>
    <row r="365" spans="2:18" ht="30" hidden="1" customHeight="1" x14ac:dyDescent="0.2">
      <c r="B365" s="77"/>
      <c r="C365" s="77"/>
      <c r="D365" s="77"/>
      <c r="E365" s="77"/>
      <c r="F365" s="77"/>
      <c r="G365" s="77"/>
      <c r="H365" s="77"/>
      <c r="I365" s="77"/>
      <c r="J365" s="3" t="s">
        <v>704</v>
      </c>
      <c r="K365" s="3" t="s">
        <v>703</v>
      </c>
      <c r="L365" s="3">
        <v>120</v>
      </c>
      <c r="M365" s="3">
        <v>120</v>
      </c>
      <c r="N365" s="3">
        <v>120</v>
      </c>
      <c r="O365" s="1"/>
      <c r="Q365" s="73" t="s">
        <v>37</v>
      </c>
    </row>
    <row r="366" spans="2:18" ht="42.75" hidden="1" customHeight="1" x14ac:dyDescent="0.2">
      <c r="B366" s="181" t="s">
        <v>163</v>
      </c>
      <c r="C366" s="181" t="s">
        <v>163</v>
      </c>
      <c r="D366" s="181" t="s">
        <v>163</v>
      </c>
      <c r="E366" s="181"/>
      <c r="F366" s="181" t="s">
        <v>705</v>
      </c>
      <c r="G366" s="182">
        <v>39007.1</v>
      </c>
      <c r="H366" s="182">
        <v>26392.1</v>
      </c>
      <c r="I366" s="182">
        <v>26392.1</v>
      </c>
      <c r="J366" s="3" t="s">
        <v>706</v>
      </c>
      <c r="K366" s="3" t="s">
        <v>707</v>
      </c>
      <c r="L366" s="3" t="s">
        <v>708</v>
      </c>
      <c r="M366" s="3" t="s">
        <v>708</v>
      </c>
      <c r="N366" s="3" t="s">
        <v>708</v>
      </c>
      <c r="O366" s="1"/>
      <c r="Q366" s="72" t="s">
        <v>34</v>
      </c>
      <c r="R366" s="75" t="s">
        <v>169</v>
      </c>
    </row>
    <row r="367" spans="2:18" ht="42.75" hidden="1" customHeight="1" x14ac:dyDescent="0.2">
      <c r="B367" s="77"/>
      <c r="C367" s="77"/>
      <c r="D367" s="77"/>
      <c r="E367" s="77"/>
      <c r="F367" s="77"/>
      <c r="G367" s="77"/>
      <c r="H367" s="77"/>
      <c r="I367" s="77"/>
      <c r="J367" s="3" t="s">
        <v>709</v>
      </c>
      <c r="K367" s="3" t="s">
        <v>707</v>
      </c>
      <c r="L367" s="3" t="s">
        <v>708</v>
      </c>
      <c r="M367" s="3" t="s">
        <v>708</v>
      </c>
      <c r="N367" s="3" t="s">
        <v>708</v>
      </c>
      <c r="O367" s="1"/>
      <c r="Q367" s="73" t="s">
        <v>37</v>
      </c>
    </row>
    <row r="368" spans="2:18" ht="42.75" hidden="1" customHeight="1" x14ac:dyDescent="0.2">
      <c r="B368" s="93" t="s">
        <v>456</v>
      </c>
      <c r="C368" s="93" t="s">
        <v>710</v>
      </c>
      <c r="D368" s="94"/>
      <c r="E368" s="94"/>
      <c r="F368" s="95" t="s">
        <v>711</v>
      </c>
      <c r="G368" s="96">
        <v>6305318.7999999989</v>
      </c>
      <c r="H368" s="96">
        <v>7072644.6900000004</v>
      </c>
      <c r="I368" s="96">
        <v>7913424.419999999</v>
      </c>
      <c r="J368" s="99" t="s">
        <v>712</v>
      </c>
      <c r="K368" s="99" t="s">
        <v>99</v>
      </c>
      <c r="L368" s="99">
        <v>80</v>
      </c>
      <c r="M368" s="99">
        <v>90</v>
      </c>
      <c r="N368" s="99">
        <v>90</v>
      </c>
      <c r="O368" s="1"/>
      <c r="Q368" s="71" t="s">
        <v>40</v>
      </c>
      <c r="R368" s="75" t="s">
        <v>123</v>
      </c>
    </row>
    <row r="369" spans="2:18" ht="66" hidden="1" customHeight="1" x14ac:dyDescent="0.2">
      <c r="B369" s="181" t="s">
        <v>100</v>
      </c>
      <c r="C369" s="181" t="s">
        <v>100</v>
      </c>
      <c r="D369" s="181" t="s">
        <v>100</v>
      </c>
      <c r="E369" s="181"/>
      <c r="F369" s="181" t="s">
        <v>713</v>
      </c>
      <c r="G369" s="182">
        <v>287214.40000000002</v>
      </c>
      <c r="H369" s="182">
        <v>287214.40000000002</v>
      </c>
      <c r="I369" s="182">
        <v>283710.8</v>
      </c>
      <c r="J369" s="3" t="s">
        <v>714</v>
      </c>
      <c r="K369" s="3" t="s">
        <v>99</v>
      </c>
      <c r="L369" s="3">
        <v>80</v>
      </c>
      <c r="M369" s="3">
        <v>90</v>
      </c>
      <c r="N369" s="3">
        <v>100</v>
      </c>
      <c r="O369" s="1"/>
      <c r="Q369" s="72" t="s">
        <v>34</v>
      </c>
      <c r="R369" s="75" t="s">
        <v>169</v>
      </c>
    </row>
    <row r="370" spans="2:18" ht="27.75" hidden="1" customHeight="1" x14ac:dyDescent="0.2">
      <c r="B370" s="77"/>
      <c r="C370" s="77"/>
      <c r="D370" s="77"/>
      <c r="E370" s="77"/>
      <c r="F370" s="77"/>
      <c r="G370" s="77"/>
      <c r="H370" s="77"/>
      <c r="I370" s="77"/>
      <c r="J370" s="3" t="s">
        <v>715</v>
      </c>
      <c r="K370" s="3" t="s">
        <v>99</v>
      </c>
      <c r="L370" s="3">
        <v>80</v>
      </c>
      <c r="M370" s="3">
        <v>80</v>
      </c>
      <c r="N370" s="3">
        <v>80</v>
      </c>
      <c r="O370" s="1"/>
      <c r="Q370" s="73" t="s">
        <v>37</v>
      </c>
    </row>
    <row r="371" spans="2:18" hidden="1" x14ac:dyDescent="0.2">
      <c r="B371" s="181" t="s">
        <v>120</v>
      </c>
      <c r="C371" s="181" t="s">
        <v>120</v>
      </c>
      <c r="D371" s="181" t="s">
        <v>120</v>
      </c>
      <c r="E371" s="181"/>
      <c r="F371" s="181" t="s">
        <v>716</v>
      </c>
      <c r="G371" s="182">
        <v>37088.5</v>
      </c>
      <c r="H371" s="182">
        <v>37088.5</v>
      </c>
      <c r="I371" s="182">
        <v>37088.5</v>
      </c>
      <c r="J371" s="3" t="s">
        <v>717</v>
      </c>
      <c r="K371" s="3" t="s">
        <v>159</v>
      </c>
      <c r="L371" s="3"/>
      <c r="M371" s="3"/>
      <c r="N371" s="3"/>
      <c r="O371" s="1"/>
      <c r="Q371" s="72" t="s">
        <v>34</v>
      </c>
    </row>
    <row r="372" spans="2:18" hidden="1" x14ac:dyDescent="0.2">
      <c r="B372" s="77"/>
      <c r="C372" s="77"/>
      <c r="D372" s="77"/>
      <c r="E372" s="77"/>
      <c r="F372" s="77"/>
      <c r="G372" s="77"/>
      <c r="H372" s="77"/>
      <c r="I372" s="77"/>
      <c r="J372" s="3" t="s">
        <v>718</v>
      </c>
      <c r="K372" s="3" t="s">
        <v>159</v>
      </c>
      <c r="L372" s="3">
        <v>30000</v>
      </c>
      <c r="M372" s="3">
        <v>30000</v>
      </c>
      <c r="N372" s="3">
        <v>30000</v>
      </c>
      <c r="O372" s="1"/>
      <c r="Q372" s="73" t="s">
        <v>37</v>
      </c>
    </row>
    <row r="373" spans="2:18" ht="39.75" hidden="1" customHeight="1" x14ac:dyDescent="0.2">
      <c r="B373" s="183" t="s">
        <v>150</v>
      </c>
      <c r="C373" s="183" t="s">
        <v>150</v>
      </c>
      <c r="D373" s="183" t="s">
        <v>150</v>
      </c>
      <c r="E373" s="183"/>
      <c r="F373" s="184" t="s">
        <v>719</v>
      </c>
      <c r="G373" s="185">
        <v>254978.1</v>
      </c>
      <c r="H373" s="185">
        <v>254978.1</v>
      </c>
      <c r="I373" s="185">
        <v>284556.40000000002</v>
      </c>
      <c r="J373" s="20" t="s">
        <v>720</v>
      </c>
      <c r="K373" s="20" t="s">
        <v>99</v>
      </c>
      <c r="L373" s="20">
        <v>50</v>
      </c>
      <c r="M373" s="20">
        <v>70</v>
      </c>
      <c r="N373" s="20">
        <v>90</v>
      </c>
      <c r="O373" s="1"/>
      <c r="Q373" s="72" t="s">
        <v>34</v>
      </c>
    </row>
    <row r="374" spans="2:18" ht="27" hidden="1" customHeight="1" x14ac:dyDescent="0.2">
      <c r="B374" s="183" t="s">
        <v>124</v>
      </c>
      <c r="C374" s="183" t="s">
        <v>124</v>
      </c>
      <c r="D374" s="183" t="s">
        <v>124</v>
      </c>
      <c r="E374" s="183"/>
      <c r="F374" s="184" t="s">
        <v>721</v>
      </c>
      <c r="G374" s="185">
        <v>395471.6</v>
      </c>
      <c r="H374" s="185">
        <v>437623.4</v>
      </c>
      <c r="I374" s="185">
        <v>395471.6</v>
      </c>
      <c r="J374" s="3" t="s">
        <v>722</v>
      </c>
      <c r="K374" s="3" t="s">
        <v>723</v>
      </c>
      <c r="L374" s="3">
        <v>26000</v>
      </c>
      <c r="M374" s="3">
        <v>27000</v>
      </c>
      <c r="N374" s="3">
        <v>28000</v>
      </c>
      <c r="O374" s="1"/>
      <c r="Q374" s="72" t="s">
        <v>34</v>
      </c>
    </row>
    <row r="375" spans="2:18" ht="30" hidden="1" customHeight="1" x14ac:dyDescent="0.2">
      <c r="B375" s="181" t="s">
        <v>160</v>
      </c>
      <c r="C375" s="181" t="s">
        <v>160</v>
      </c>
      <c r="D375" s="181" t="s">
        <v>160</v>
      </c>
      <c r="E375" s="181"/>
      <c r="F375" s="181" t="s">
        <v>724</v>
      </c>
      <c r="G375" s="182">
        <v>53219.7</v>
      </c>
      <c r="H375" s="182">
        <v>52969.7</v>
      </c>
      <c r="I375" s="182">
        <v>67733.8</v>
      </c>
      <c r="J375" s="3" t="s">
        <v>725</v>
      </c>
      <c r="K375" s="3" t="s">
        <v>99</v>
      </c>
      <c r="L375" s="3">
        <v>47</v>
      </c>
      <c r="M375" s="3">
        <v>47</v>
      </c>
      <c r="N375" s="3">
        <v>47</v>
      </c>
      <c r="O375" s="1"/>
      <c r="Q375" s="72" t="s">
        <v>34</v>
      </c>
    </row>
    <row r="376" spans="2:18" ht="27.75" hidden="1" customHeight="1" x14ac:dyDescent="0.2">
      <c r="B376" s="76"/>
      <c r="C376" s="76"/>
      <c r="D376" s="76"/>
      <c r="E376" s="76"/>
      <c r="F376" s="76"/>
      <c r="G376" s="76"/>
      <c r="H376" s="76"/>
      <c r="I376" s="76"/>
      <c r="J376" s="3" t="s">
        <v>726</v>
      </c>
      <c r="K376" s="3" t="s">
        <v>99</v>
      </c>
      <c r="L376" s="3">
        <v>11</v>
      </c>
      <c r="M376" s="3">
        <v>11</v>
      </c>
      <c r="N376" s="3">
        <v>11</v>
      </c>
      <c r="O376" s="1"/>
      <c r="Q376" s="73" t="s">
        <v>37</v>
      </c>
    </row>
    <row r="377" spans="2:18" ht="32.25" hidden="1" customHeight="1" x14ac:dyDescent="0.2">
      <c r="B377" s="76"/>
      <c r="C377" s="76"/>
      <c r="D377" s="76"/>
      <c r="E377" s="76"/>
      <c r="F377" s="76"/>
      <c r="G377" s="76"/>
      <c r="H377" s="76"/>
      <c r="I377" s="76"/>
      <c r="J377" s="3" t="s">
        <v>727</v>
      </c>
      <c r="K377" s="3" t="s">
        <v>159</v>
      </c>
      <c r="L377" s="3">
        <v>12.1</v>
      </c>
      <c r="M377" s="3">
        <v>12.1</v>
      </c>
      <c r="N377" s="3">
        <v>12.1</v>
      </c>
      <c r="O377" s="1"/>
      <c r="Q377" s="73" t="s">
        <v>37</v>
      </c>
    </row>
    <row r="378" spans="2:18" ht="32.25" hidden="1" customHeight="1" x14ac:dyDescent="0.2">
      <c r="B378" s="76"/>
      <c r="C378" s="76"/>
      <c r="D378" s="76"/>
      <c r="E378" s="76"/>
      <c r="F378" s="76"/>
      <c r="G378" s="76"/>
      <c r="H378" s="76"/>
      <c r="I378" s="76"/>
      <c r="J378" s="3" t="s">
        <v>728</v>
      </c>
      <c r="K378" s="3" t="s">
        <v>99</v>
      </c>
      <c r="L378" s="3">
        <v>90</v>
      </c>
      <c r="M378" s="3">
        <v>90</v>
      </c>
      <c r="N378" s="3">
        <v>90</v>
      </c>
      <c r="O378" s="1"/>
      <c r="Q378" s="73" t="s">
        <v>37</v>
      </c>
    </row>
    <row r="379" spans="2:18" ht="39.75" hidden="1" customHeight="1" x14ac:dyDescent="0.2">
      <c r="B379" s="77"/>
      <c r="C379" s="77"/>
      <c r="D379" s="77"/>
      <c r="E379" s="77"/>
      <c r="F379" s="77"/>
      <c r="G379" s="77"/>
      <c r="H379" s="77"/>
      <c r="I379" s="77"/>
      <c r="J379" s="3" t="s">
        <v>729</v>
      </c>
      <c r="K379" s="3" t="s">
        <v>679</v>
      </c>
      <c r="L379" s="3">
        <v>837.8</v>
      </c>
      <c r="M379" s="3">
        <v>837.8</v>
      </c>
      <c r="N379" s="3">
        <v>837.8</v>
      </c>
      <c r="O379" s="1"/>
      <c r="Q379" s="73" t="s">
        <v>37</v>
      </c>
    </row>
    <row r="380" spans="2:18" ht="30" hidden="1" customHeight="1" x14ac:dyDescent="0.2">
      <c r="B380" s="183" t="s">
        <v>163</v>
      </c>
      <c r="C380" s="183" t="s">
        <v>163</v>
      </c>
      <c r="D380" s="183" t="s">
        <v>163</v>
      </c>
      <c r="E380" s="183"/>
      <c r="F380" s="184" t="s">
        <v>730</v>
      </c>
      <c r="G380" s="185">
        <v>711079.8</v>
      </c>
      <c r="H380" s="185">
        <v>711129.8</v>
      </c>
      <c r="I380" s="185">
        <v>712123.5</v>
      </c>
      <c r="J380" s="3" t="s">
        <v>731</v>
      </c>
      <c r="K380" s="3" t="s">
        <v>159</v>
      </c>
      <c r="L380" s="3">
        <v>17900</v>
      </c>
      <c r="M380" s="3">
        <v>17900</v>
      </c>
      <c r="N380" s="3">
        <v>17900</v>
      </c>
      <c r="O380" s="1"/>
      <c r="Q380" s="72" t="s">
        <v>34</v>
      </c>
    </row>
    <row r="381" spans="2:18" ht="60" hidden="1" customHeight="1" x14ac:dyDescent="0.2">
      <c r="B381" s="183" t="s">
        <v>166</v>
      </c>
      <c r="C381" s="183" t="s">
        <v>166</v>
      </c>
      <c r="D381" s="183" t="s">
        <v>166</v>
      </c>
      <c r="E381" s="183"/>
      <c r="F381" s="184" t="s">
        <v>732</v>
      </c>
      <c r="G381" s="185">
        <v>4287450.5999999996</v>
      </c>
      <c r="H381" s="185">
        <v>5012824.6900000004</v>
      </c>
      <c r="I381" s="185">
        <v>5853923.7199999997</v>
      </c>
      <c r="J381" s="3" t="s">
        <v>733</v>
      </c>
      <c r="K381" s="3" t="s">
        <v>159</v>
      </c>
      <c r="L381" s="3">
        <v>1500</v>
      </c>
      <c r="M381" s="3">
        <v>1500</v>
      </c>
      <c r="N381" s="3">
        <v>1500</v>
      </c>
      <c r="O381" s="1"/>
      <c r="Q381" s="72" t="s">
        <v>34</v>
      </c>
    </row>
    <row r="382" spans="2:18" ht="61.5" hidden="1" customHeight="1" x14ac:dyDescent="0.2">
      <c r="B382" s="181" t="s">
        <v>170</v>
      </c>
      <c r="C382" s="181" t="s">
        <v>170</v>
      </c>
      <c r="D382" s="181" t="s">
        <v>170</v>
      </c>
      <c r="E382" s="181"/>
      <c r="F382" s="181" t="s">
        <v>734</v>
      </c>
      <c r="G382" s="182">
        <v>278816.09999999998</v>
      </c>
      <c r="H382" s="182">
        <v>278816.09999999998</v>
      </c>
      <c r="I382" s="182">
        <v>278816.09999999998</v>
      </c>
      <c r="J382" s="3" t="s">
        <v>735</v>
      </c>
      <c r="K382" s="3" t="s">
        <v>99</v>
      </c>
      <c r="L382" s="3">
        <v>100</v>
      </c>
      <c r="M382" s="3">
        <v>100</v>
      </c>
      <c r="N382" s="3">
        <v>100</v>
      </c>
      <c r="O382" s="1"/>
      <c r="Q382" s="72" t="s">
        <v>34</v>
      </c>
    </row>
    <row r="383" spans="2:18" ht="45" hidden="1" customHeight="1" x14ac:dyDescent="0.2">
      <c r="B383" s="77"/>
      <c r="C383" s="77"/>
      <c r="D383" s="77"/>
      <c r="E383" s="77"/>
      <c r="F383" s="77"/>
      <c r="G383" s="77"/>
      <c r="H383" s="77"/>
      <c r="I383" s="77"/>
      <c r="J383" s="3" t="s">
        <v>736</v>
      </c>
      <c r="K383" s="3" t="s">
        <v>223</v>
      </c>
      <c r="L383" s="3">
        <v>18200</v>
      </c>
      <c r="M383" s="3">
        <v>18200</v>
      </c>
      <c r="N383" s="3">
        <v>18200</v>
      </c>
      <c r="O383" s="1"/>
      <c r="Q383" s="73" t="s">
        <v>37</v>
      </c>
    </row>
    <row r="384" spans="2:18" ht="45.75" hidden="1" customHeight="1" x14ac:dyDescent="0.2">
      <c r="B384" s="93" t="s">
        <v>456</v>
      </c>
      <c r="C384" s="93" t="s">
        <v>737</v>
      </c>
      <c r="D384" s="94"/>
      <c r="E384" s="94"/>
      <c r="F384" s="95" t="s">
        <v>738</v>
      </c>
      <c r="G384" s="96">
        <v>962011.60000000009</v>
      </c>
      <c r="H384" s="96">
        <v>976420.60000000009</v>
      </c>
      <c r="I384" s="96">
        <v>996275.19999999995</v>
      </c>
      <c r="J384" s="99" t="s">
        <v>739</v>
      </c>
      <c r="K384" s="99" t="s">
        <v>99</v>
      </c>
      <c r="L384" s="99">
        <v>80</v>
      </c>
      <c r="M384" s="99">
        <v>80</v>
      </c>
      <c r="N384" s="99">
        <v>80</v>
      </c>
      <c r="O384" s="1"/>
      <c r="Q384" s="71" t="s">
        <v>40</v>
      </c>
      <c r="R384" s="75" t="s">
        <v>123</v>
      </c>
    </row>
    <row r="385" spans="2:17" ht="43.5" hidden="1" customHeight="1" x14ac:dyDescent="0.2">
      <c r="B385" s="181" t="s">
        <v>120</v>
      </c>
      <c r="C385" s="181" t="s">
        <v>120</v>
      </c>
      <c r="D385" s="181" t="s">
        <v>120</v>
      </c>
      <c r="E385" s="181"/>
      <c r="F385" s="181" t="s">
        <v>740</v>
      </c>
      <c r="G385" s="182">
        <v>156528.70000000001</v>
      </c>
      <c r="H385" s="182">
        <v>156528.70000000001</v>
      </c>
      <c r="I385" s="182">
        <v>156528.70000000001</v>
      </c>
      <c r="J385" s="3" t="s">
        <v>741</v>
      </c>
      <c r="K385" s="3" t="s">
        <v>159</v>
      </c>
      <c r="L385" s="3">
        <v>380</v>
      </c>
      <c r="M385" s="3">
        <v>380</v>
      </c>
      <c r="N385" s="3">
        <v>380</v>
      </c>
      <c r="O385" s="1"/>
      <c r="Q385" s="72" t="s">
        <v>34</v>
      </c>
    </row>
    <row r="386" spans="2:17" ht="40.5" hidden="1" customHeight="1" x14ac:dyDescent="0.2">
      <c r="B386" s="77"/>
      <c r="C386" s="77"/>
      <c r="D386" s="77"/>
      <c r="E386" s="77"/>
      <c r="F386" s="77"/>
      <c r="G386" s="77"/>
      <c r="H386" s="77"/>
      <c r="I386" s="77"/>
      <c r="J386" s="3" t="s">
        <v>742</v>
      </c>
      <c r="K386" s="3" t="s">
        <v>159</v>
      </c>
      <c r="L386" s="3">
        <v>345</v>
      </c>
      <c r="M386" s="3">
        <v>345</v>
      </c>
      <c r="N386" s="3">
        <v>345</v>
      </c>
      <c r="O386" s="1"/>
      <c r="Q386" s="73" t="s">
        <v>37</v>
      </c>
    </row>
    <row r="387" spans="2:17" ht="45.75" hidden="1" customHeight="1" x14ac:dyDescent="0.2">
      <c r="B387" s="181" t="s">
        <v>150</v>
      </c>
      <c r="C387" s="181" t="s">
        <v>150</v>
      </c>
      <c r="D387" s="181" t="s">
        <v>150</v>
      </c>
      <c r="E387" s="181"/>
      <c r="F387" s="181" t="s">
        <v>743</v>
      </c>
      <c r="G387" s="182">
        <v>376100.4</v>
      </c>
      <c r="H387" s="182">
        <v>400009.4</v>
      </c>
      <c r="I387" s="182">
        <v>419964</v>
      </c>
      <c r="J387" s="3" t="s">
        <v>744</v>
      </c>
      <c r="K387" s="3" t="s">
        <v>159</v>
      </c>
      <c r="L387" s="3">
        <v>16250</v>
      </c>
      <c r="M387" s="3">
        <v>16250</v>
      </c>
      <c r="N387" s="3">
        <v>16250</v>
      </c>
      <c r="O387" s="1"/>
      <c r="Q387" s="72" t="s">
        <v>34</v>
      </c>
    </row>
    <row r="388" spans="2:17" ht="40.5" hidden="1" customHeight="1" x14ac:dyDescent="0.2">
      <c r="B388" s="77"/>
      <c r="C388" s="77"/>
      <c r="D388" s="77"/>
      <c r="E388" s="77"/>
      <c r="F388" s="77"/>
      <c r="G388" s="77"/>
      <c r="H388" s="77"/>
      <c r="I388" s="77"/>
      <c r="J388" s="3" t="s">
        <v>745</v>
      </c>
      <c r="K388" s="3" t="s">
        <v>159</v>
      </c>
      <c r="L388" s="3">
        <v>100</v>
      </c>
      <c r="M388" s="3">
        <v>120</v>
      </c>
      <c r="N388" s="3">
        <v>120</v>
      </c>
      <c r="O388" s="1"/>
      <c r="Q388" s="73" t="s">
        <v>37</v>
      </c>
    </row>
    <row r="389" spans="2:17" ht="38.25" hidden="1" customHeight="1" x14ac:dyDescent="0.2">
      <c r="B389" s="183" t="s">
        <v>124</v>
      </c>
      <c r="C389" s="183" t="s">
        <v>124</v>
      </c>
      <c r="D389" s="183" t="s">
        <v>124</v>
      </c>
      <c r="E389" s="183"/>
      <c r="F389" s="184" t="s">
        <v>746</v>
      </c>
      <c r="G389" s="185">
        <v>429382.5</v>
      </c>
      <c r="H389" s="185">
        <v>419882.5</v>
      </c>
      <c r="I389" s="185">
        <v>419782.5</v>
      </c>
      <c r="J389" s="3" t="s">
        <v>747</v>
      </c>
      <c r="K389" s="3" t="s">
        <v>159</v>
      </c>
      <c r="L389" s="3">
        <v>1180</v>
      </c>
      <c r="M389" s="3">
        <v>1180</v>
      </c>
      <c r="N389" s="3">
        <v>1180</v>
      </c>
      <c r="O389" s="1"/>
      <c r="Q389" s="72" t="s">
        <v>34</v>
      </c>
    </row>
    <row r="390" spans="2:17" ht="39.75" hidden="1" customHeight="1" x14ac:dyDescent="0.2">
      <c r="B390" s="93" t="s">
        <v>456</v>
      </c>
      <c r="C390" s="93" t="s">
        <v>748</v>
      </c>
      <c r="D390" s="94"/>
      <c r="E390" s="94"/>
      <c r="F390" s="95" t="s">
        <v>749</v>
      </c>
      <c r="G390" s="96">
        <v>11104430.57</v>
      </c>
      <c r="H390" s="96">
        <v>10923007.970000001</v>
      </c>
      <c r="I390" s="96">
        <v>10975263.77</v>
      </c>
      <c r="J390" s="99" t="s">
        <v>534</v>
      </c>
      <c r="K390" s="99" t="s">
        <v>99</v>
      </c>
      <c r="L390" s="99">
        <v>85</v>
      </c>
      <c r="M390" s="99">
        <v>86</v>
      </c>
      <c r="N390" s="99">
        <v>87</v>
      </c>
      <c r="O390" s="1"/>
      <c r="Q390" s="71" t="s">
        <v>40</v>
      </c>
    </row>
    <row r="391" spans="2:17" ht="45" hidden="1" customHeight="1" x14ac:dyDescent="0.2">
      <c r="B391" s="183" t="s">
        <v>100</v>
      </c>
      <c r="C391" s="183" t="s">
        <v>100</v>
      </c>
      <c r="D391" s="183" t="s">
        <v>100</v>
      </c>
      <c r="E391" s="183"/>
      <c r="F391" s="184" t="s">
        <v>750</v>
      </c>
      <c r="G391" s="185">
        <v>1030897</v>
      </c>
      <c r="H391" s="185">
        <v>1015986.7</v>
      </c>
      <c r="I391" s="185">
        <v>1006777.2</v>
      </c>
      <c r="J391" s="3" t="s">
        <v>751</v>
      </c>
      <c r="K391" s="3" t="s">
        <v>99</v>
      </c>
      <c r="L391" s="3">
        <v>100</v>
      </c>
      <c r="M391" s="3">
        <v>100</v>
      </c>
      <c r="N391" s="3">
        <v>100</v>
      </c>
      <c r="O391" s="1"/>
      <c r="Q391" s="72" t="s">
        <v>34</v>
      </c>
    </row>
    <row r="392" spans="2:17" ht="38.25" hidden="1" customHeight="1" x14ac:dyDescent="0.2">
      <c r="B392" s="181" t="s">
        <v>120</v>
      </c>
      <c r="C392" s="181" t="s">
        <v>120</v>
      </c>
      <c r="D392" s="181" t="s">
        <v>120</v>
      </c>
      <c r="E392" s="181"/>
      <c r="F392" s="181" t="s">
        <v>752</v>
      </c>
      <c r="G392" s="182">
        <v>9303291.3699999992</v>
      </c>
      <c r="H392" s="182">
        <v>9143739.6699999999</v>
      </c>
      <c r="I392" s="182">
        <v>9198244.3699999992</v>
      </c>
      <c r="J392" s="3" t="s">
        <v>753</v>
      </c>
      <c r="K392" s="3" t="s">
        <v>99</v>
      </c>
      <c r="L392" s="3">
        <v>65</v>
      </c>
      <c r="M392" s="3">
        <v>65</v>
      </c>
      <c r="N392" s="3">
        <v>65</v>
      </c>
      <c r="O392" s="1"/>
      <c r="Q392" s="72" t="s">
        <v>34</v>
      </c>
    </row>
    <row r="393" spans="2:17" ht="76.5" hidden="1" customHeight="1" x14ac:dyDescent="0.2">
      <c r="B393" s="76"/>
      <c r="C393" s="76"/>
      <c r="D393" s="76"/>
      <c r="E393" s="76"/>
      <c r="F393" s="76"/>
      <c r="G393" s="76"/>
      <c r="H393" s="76"/>
      <c r="I393" s="76"/>
      <c r="J393" s="3" t="s">
        <v>754</v>
      </c>
      <c r="K393" s="3" t="s">
        <v>99</v>
      </c>
      <c r="L393" s="3">
        <v>70</v>
      </c>
      <c r="M393" s="3">
        <v>70</v>
      </c>
      <c r="N393" s="3">
        <v>70</v>
      </c>
      <c r="O393" s="1"/>
      <c r="Q393" s="73" t="s">
        <v>37</v>
      </c>
    </row>
    <row r="394" spans="2:17" ht="49.5" hidden="1" customHeight="1" x14ac:dyDescent="0.2">
      <c r="B394" s="77"/>
      <c r="C394" s="77"/>
      <c r="D394" s="77"/>
      <c r="E394" s="77"/>
      <c r="F394" s="77"/>
      <c r="G394" s="77"/>
      <c r="H394" s="77"/>
      <c r="I394" s="77"/>
      <c r="J394" s="3" t="s">
        <v>755</v>
      </c>
      <c r="K394" s="3" t="s">
        <v>99</v>
      </c>
      <c r="L394" s="3">
        <v>55</v>
      </c>
      <c r="M394" s="3">
        <v>55</v>
      </c>
      <c r="N394" s="3">
        <v>55</v>
      </c>
      <c r="O394" s="1"/>
      <c r="Q394" s="73" t="s">
        <v>37</v>
      </c>
    </row>
    <row r="395" spans="2:17" ht="36" hidden="1" customHeight="1" x14ac:dyDescent="0.2">
      <c r="B395" s="181" t="s">
        <v>150</v>
      </c>
      <c r="C395" s="181" t="s">
        <v>150</v>
      </c>
      <c r="D395" s="181" t="s">
        <v>150</v>
      </c>
      <c r="E395" s="181"/>
      <c r="F395" s="181" t="s">
        <v>756</v>
      </c>
      <c r="G395" s="182">
        <v>770242.2</v>
      </c>
      <c r="H395" s="182">
        <v>763281.6</v>
      </c>
      <c r="I395" s="182">
        <v>770242.2</v>
      </c>
      <c r="J395" s="3" t="s">
        <v>757</v>
      </c>
      <c r="K395" s="3" t="s">
        <v>159</v>
      </c>
      <c r="L395" s="3">
        <v>72500</v>
      </c>
      <c r="M395" s="3">
        <v>72500</v>
      </c>
      <c r="N395" s="3">
        <v>72500</v>
      </c>
      <c r="O395" s="1"/>
      <c r="Q395" s="72" t="s">
        <v>34</v>
      </c>
    </row>
    <row r="396" spans="2:17" ht="36" hidden="1" customHeight="1" x14ac:dyDescent="0.2">
      <c r="B396" s="76"/>
      <c r="C396" s="76"/>
      <c r="D396" s="76"/>
      <c r="E396" s="76"/>
      <c r="F396" s="76"/>
      <c r="G396" s="76"/>
      <c r="H396" s="76"/>
      <c r="I396" s="76"/>
      <c r="J396" s="3" t="s">
        <v>758</v>
      </c>
      <c r="K396" s="3" t="s">
        <v>99</v>
      </c>
      <c r="L396" s="3">
        <v>100</v>
      </c>
      <c r="M396" s="3">
        <v>100</v>
      </c>
      <c r="N396" s="3">
        <v>100</v>
      </c>
      <c r="O396" s="1"/>
      <c r="Q396" s="73" t="s">
        <v>37</v>
      </c>
    </row>
    <row r="397" spans="2:17" ht="36" hidden="1" customHeight="1" x14ac:dyDescent="0.2">
      <c r="B397" s="76"/>
      <c r="C397" s="76"/>
      <c r="D397" s="76"/>
      <c r="E397" s="76"/>
      <c r="F397" s="76"/>
      <c r="G397" s="76"/>
      <c r="H397" s="76"/>
      <c r="I397" s="76"/>
      <c r="J397" s="3" t="s">
        <v>759</v>
      </c>
      <c r="K397" s="3" t="s">
        <v>99</v>
      </c>
      <c r="L397" s="3">
        <v>80</v>
      </c>
      <c r="M397" s="3">
        <v>80</v>
      </c>
      <c r="N397" s="3">
        <v>80</v>
      </c>
      <c r="O397" s="1"/>
      <c r="Q397" s="73" t="s">
        <v>37</v>
      </c>
    </row>
    <row r="398" spans="2:17" ht="29.25" hidden="1" customHeight="1" x14ac:dyDescent="0.2">
      <c r="B398" s="77"/>
      <c r="C398" s="77"/>
      <c r="D398" s="77"/>
      <c r="E398" s="77"/>
      <c r="F398" s="77"/>
      <c r="G398" s="77"/>
      <c r="H398" s="77"/>
      <c r="I398" s="77"/>
      <c r="J398" s="3" t="s">
        <v>760</v>
      </c>
      <c r="K398" s="3" t="s">
        <v>99</v>
      </c>
      <c r="L398" s="3">
        <v>60</v>
      </c>
      <c r="M398" s="3">
        <v>60</v>
      </c>
      <c r="N398" s="3">
        <v>60</v>
      </c>
      <c r="O398" s="1"/>
      <c r="Q398" s="73" t="s">
        <v>37</v>
      </c>
    </row>
    <row r="399" spans="2:17" ht="24" hidden="1" customHeight="1" x14ac:dyDescent="0.2">
      <c r="B399" s="93" t="s">
        <v>456</v>
      </c>
      <c r="C399" s="93" t="s">
        <v>761</v>
      </c>
      <c r="D399" s="94"/>
      <c r="E399" s="94"/>
      <c r="F399" s="95" t="s">
        <v>762</v>
      </c>
      <c r="G399" s="96">
        <v>15638295.23</v>
      </c>
      <c r="H399" s="96">
        <v>15671462.300000001</v>
      </c>
      <c r="I399" s="96">
        <v>15600318.699999999</v>
      </c>
      <c r="J399" s="99" t="s">
        <v>534</v>
      </c>
      <c r="K399" s="99" t="s">
        <v>99</v>
      </c>
      <c r="L399" s="99">
        <v>85</v>
      </c>
      <c r="M399" s="99">
        <v>86</v>
      </c>
      <c r="N399" s="99">
        <v>87</v>
      </c>
      <c r="O399" s="1"/>
      <c r="Q399" s="71" t="s">
        <v>40</v>
      </c>
    </row>
    <row r="400" spans="2:17" ht="24" hidden="1" customHeight="1" x14ac:dyDescent="0.2">
      <c r="B400" s="181" t="s">
        <v>100</v>
      </c>
      <c r="C400" s="181" t="s">
        <v>100</v>
      </c>
      <c r="D400" s="181" t="s">
        <v>100</v>
      </c>
      <c r="E400" s="181"/>
      <c r="F400" s="181" t="s">
        <v>763</v>
      </c>
      <c r="G400" s="182">
        <v>12986410.83</v>
      </c>
      <c r="H400" s="182">
        <v>13379577.9</v>
      </c>
      <c r="I400" s="182">
        <v>13308434.300000001</v>
      </c>
      <c r="J400" s="3" t="s">
        <v>764</v>
      </c>
      <c r="K400" s="3" t="s">
        <v>99</v>
      </c>
      <c r="L400" s="3">
        <v>45</v>
      </c>
      <c r="M400" s="3">
        <v>45</v>
      </c>
      <c r="N400" s="3">
        <v>45</v>
      </c>
      <c r="O400" s="1"/>
      <c r="Q400" s="72" t="s">
        <v>34</v>
      </c>
    </row>
    <row r="401" spans="1:18" ht="45.75" hidden="1" customHeight="1" x14ac:dyDescent="0.2">
      <c r="B401" s="76"/>
      <c r="C401" s="76"/>
      <c r="D401" s="76"/>
      <c r="E401" s="76"/>
      <c r="F401" s="76"/>
      <c r="G401" s="76"/>
      <c r="H401" s="76"/>
      <c r="I401" s="76"/>
      <c r="J401" s="3" t="s">
        <v>765</v>
      </c>
      <c r="K401" s="3" t="s">
        <v>99</v>
      </c>
      <c r="L401" s="3">
        <v>10</v>
      </c>
      <c r="M401" s="3">
        <v>10</v>
      </c>
      <c r="N401" s="3">
        <v>10</v>
      </c>
      <c r="O401" s="1"/>
      <c r="Q401" s="73" t="s">
        <v>37</v>
      </c>
    </row>
    <row r="402" spans="1:18" ht="26.25" hidden="1" customHeight="1" x14ac:dyDescent="0.2">
      <c r="B402" s="76"/>
      <c r="C402" s="76"/>
      <c r="D402" s="76"/>
      <c r="E402" s="76"/>
      <c r="F402" s="76"/>
      <c r="G402" s="76"/>
      <c r="H402" s="76"/>
      <c r="I402" s="76"/>
      <c r="J402" s="3" t="s">
        <v>766</v>
      </c>
      <c r="K402" s="3" t="s">
        <v>99</v>
      </c>
      <c r="L402" s="3">
        <v>100</v>
      </c>
      <c r="M402" s="3">
        <v>100</v>
      </c>
      <c r="N402" s="3">
        <v>100</v>
      </c>
      <c r="O402" s="1"/>
      <c r="Q402" s="73" t="s">
        <v>37</v>
      </c>
    </row>
    <row r="403" spans="1:18" ht="30.75" hidden="1" customHeight="1" x14ac:dyDescent="0.2">
      <c r="B403" s="77"/>
      <c r="C403" s="77"/>
      <c r="D403" s="77"/>
      <c r="E403" s="77"/>
      <c r="F403" s="77"/>
      <c r="G403" s="77"/>
      <c r="H403" s="77"/>
      <c r="I403" s="77"/>
      <c r="J403" s="3" t="s">
        <v>767</v>
      </c>
      <c r="K403" s="3" t="s">
        <v>99</v>
      </c>
      <c r="L403" s="3">
        <v>29</v>
      </c>
      <c r="M403" s="3">
        <v>29</v>
      </c>
      <c r="N403" s="3">
        <v>29</v>
      </c>
      <c r="O403" s="1"/>
      <c r="Q403" s="73" t="s">
        <v>37</v>
      </c>
    </row>
    <row r="404" spans="1:18" ht="36" hidden="1" customHeight="1" x14ac:dyDescent="0.2">
      <c r="B404" s="183" t="s">
        <v>120</v>
      </c>
      <c r="C404" s="183" t="s">
        <v>120</v>
      </c>
      <c r="D404" s="183" t="s">
        <v>120</v>
      </c>
      <c r="E404" s="183"/>
      <c r="F404" s="184" t="s">
        <v>768</v>
      </c>
      <c r="G404" s="185">
        <v>1063198</v>
      </c>
      <c r="H404" s="185">
        <v>1063198</v>
      </c>
      <c r="I404" s="185">
        <v>1063198</v>
      </c>
      <c r="J404" s="3" t="s">
        <v>766</v>
      </c>
      <c r="K404" s="3" t="s">
        <v>99</v>
      </c>
      <c r="L404" s="3">
        <v>100</v>
      </c>
      <c r="M404" s="3">
        <v>100</v>
      </c>
      <c r="N404" s="3">
        <v>100</v>
      </c>
      <c r="O404" s="1"/>
      <c r="Q404" s="72" t="s">
        <v>34</v>
      </c>
    </row>
    <row r="405" spans="1:18" ht="36" hidden="1" customHeight="1" x14ac:dyDescent="0.2">
      <c r="B405" s="183" t="s">
        <v>150</v>
      </c>
      <c r="C405" s="183" t="s">
        <v>150</v>
      </c>
      <c r="D405" s="183" t="s">
        <v>150</v>
      </c>
      <c r="E405" s="183"/>
      <c r="F405" s="184" t="s">
        <v>769</v>
      </c>
      <c r="G405" s="185">
        <v>630920.9</v>
      </c>
      <c r="H405" s="185">
        <v>570920.9</v>
      </c>
      <c r="I405" s="185">
        <v>570920.9</v>
      </c>
      <c r="J405" s="3" t="s">
        <v>766</v>
      </c>
      <c r="K405" s="3" t="s">
        <v>99</v>
      </c>
      <c r="L405" s="3">
        <v>100</v>
      </c>
      <c r="M405" s="3">
        <v>100</v>
      </c>
      <c r="N405" s="3">
        <v>100</v>
      </c>
      <c r="O405" s="1"/>
      <c r="Q405" s="72" t="s">
        <v>34</v>
      </c>
    </row>
    <row r="406" spans="1:18" ht="30.75" hidden="1" customHeight="1" x14ac:dyDescent="0.2">
      <c r="B406" s="183" t="s">
        <v>124</v>
      </c>
      <c r="C406" s="183" t="s">
        <v>124</v>
      </c>
      <c r="D406" s="183" t="s">
        <v>124</v>
      </c>
      <c r="E406" s="183"/>
      <c r="F406" s="184" t="s">
        <v>770</v>
      </c>
      <c r="G406" s="185">
        <v>388000</v>
      </c>
      <c r="H406" s="185">
        <v>88000</v>
      </c>
      <c r="I406" s="185">
        <v>88000</v>
      </c>
      <c r="J406" s="3" t="s">
        <v>766</v>
      </c>
      <c r="K406" s="3" t="s">
        <v>99</v>
      </c>
      <c r="L406" s="3">
        <v>100</v>
      </c>
      <c r="M406" s="3">
        <v>100</v>
      </c>
      <c r="N406" s="3">
        <v>100</v>
      </c>
      <c r="O406" s="1"/>
      <c r="Q406" s="72" t="s">
        <v>34</v>
      </c>
      <c r="R406" s="75" t="s">
        <v>169</v>
      </c>
    </row>
    <row r="407" spans="1:18" ht="30.75" hidden="1" customHeight="1" x14ac:dyDescent="0.2">
      <c r="B407" s="183" t="s">
        <v>156</v>
      </c>
      <c r="C407" s="183" t="s">
        <v>156</v>
      </c>
      <c r="D407" s="183" t="s">
        <v>156</v>
      </c>
      <c r="E407" s="183"/>
      <c r="F407" s="184" t="s">
        <v>771</v>
      </c>
      <c r="G407" s="185">
        <v>569765.5</v>
      </c>
      <c r="H407" s="185">
        <v>569765.5</v>
      </c>
      <c r="I407" s="185">
        <v>569765.5</v>
      </c>
      <c r="J407" s="3" t="s">
        <v>766</v>
      </c>
      <c r="K407" s="3" t="s">
        <v>99</v>
      </c>
      <c r="L407" s="3">
        <v>100</v>
      </c>
      <c r="M407" s="3">
        <v>100</v>
      </c>
      <c r="N407" s="3">
        <v>100</v>
      </c>
      <c r="O407" s="1"/>
      <c r="Q407" s="72" t="s">
        <v>34</v>
      </c>
    </row>
    <row r="408" spans="1:18" ht="33" hidden="1" customHeight="1" x14ac:dyDescent="0.2">
      <c r="B408" s="93" t="s">
        <v>456</v>
      </c>
      <c r="C408" s="93" t="s">
        <v>772</v>
      </c>
      <c r="D408" s="94"/>
      <c r="E408" s="94"/>
      <c r="F408" s="95" t="s">
        <v>773</v>
      </c>
      <c r="G408" s="96">
        <v>2530800</v>
      </c>
      <c r="H408" s="96">
        <v>2530800</v>
      </c>
      <c r="I408" s="96">
        <v>2530800</v>
      </c>
      <c r="J408" s="93" t="s">
        <v>774</v>
      </c>
      <c r="K408" s="93" t="s">
        <v>159</v>
      </c>
      <c r="L408" s="93">
        <v>2624</v>
      </c>
      <c r="M408" s="93">
        <v>2824</v>
      </c>
      <c r="N408" s="93">
        <v>3024</v>
      </c>
      <c r="O408" s="1"/>
      <c r="Q408" s="71" t="s">
        <v>40</v>
      </c>
    </row>
    <row r="409" spans="1:18" ht="48" hidden="1" customHeight="1" x14ac:dyDescent="0.2">
      <c r="B409" s="183" t="s">
        <v>100</v>
      </c>
      <c r="C409" s="183" t="s">
        <v>100</v>
      </c>
      <c r="D409" s="183" t="s">
        <v>100</v>
      </c>
      <c r="E409" s="183"/>
      <c r="F409" s="184" t="s">
        <v>775</v>
      </c>
      <c r="G409" s="185">
        <v>2530800</v>
      </c>
      <c r="H409" s="185">
        <v>2530800</v>
      </c>
      <c r="I409" s="185">
        <v>2530800</v>
      </c>
      <c r="J409" s="3" t="s">
        <v>776</v>
      </c>
      <c r="K409" s="3" t="s">
        <v>159</v>
      </c>
      <c r="L409" s="3">
        <v>3417</v>
      </c>
      <c r="M409" s="3">
        <v>3717</v>
      </c>
      <c r="N409" s="3">
        <v>4017</v>
      </c>
      <c r="O409" s="1"/>
      <c r="Q409" s="72" t="s">
        <v>34</v>
      </c>
    </row>
    <row r="410" spans="1:18" ht="26.25" customHeight="1" x14ac:dyDescent="0.2">
      <c r="B410" s="99" t="s">
        <v>456</v>
      </c>
      <c r="C410" s="99" t="s">
        <v>408</v>
      </c>
      <c r="D410" s="117" t="s">
        <v>100</v>
      </c>
      <c r="E410" s="99"/>
      <c r="F410" s="109" t="s">
        <v>409</v>
      </c>
      <c r="G410" s="110">
        <v>2588023.2000000002</v>
      </c>
      <c r="H410" s="110">
        <v>2298385.6</v>
      </c>
      <c r="I410" s="110">
        <v>919647.5</v>
      </c>
      <c r="J410" s="100" t="s">
        <v>347</v>
      </c>
      <c r="K410" s="100" t="s">
        <v>99</v>
      </c>
      <c r="L410" s="100">
        <v>100</v>
      </c>
      <c r="M410" s="100">
        <v>100</v>
      </c>
      <c r="N410" s="100">
        <v>100</v>
      </c>
      <c r="O410" s="1"/>
      <c r="Q410" s="118" t="s">
        <v>40</v>
      </c>
    </row>
    <row r="411" spans="1:18" ht="15" hidden="1" customHeight="1" x14ac:dyDescent="0.2">
      <c r="B411" s="174" t="s">
        <v>112</v>
      </c>
      <c r="C411" s="175"/>
      <c r="D411" s="176"/>
      <c r="E411" s="176"/>
      <c r="F411" s="177"/>
      <c r="G411" s="178">
        <v>41621347.299999997</v>
      </c>
      <c r="H411" s="178">
        <v>41919986.959999993</v>
      </c>
      <c r="I411" s="178">
        <v>41414021.789999992</v>
      </c>
      <c r="J411" s="179"/>
      <c r="K411" s="176"/>
      <c r="L411" s="176"/>
      <c r="M411" s="176"/>
      <c r="N411" s="177"/>
      <c r="O411" s="1"/>
      <c r="Q411" s="74" t="s">
        <v>46</v>
      </c>
    </row>
    <row r="412" spans="1:18" ht="15" hidden="1" customHeight="1" x14ac:dyDescent="0.2">
      <c r="A412" s="4" t="str">
        <f>C412</f>
        <v>Министерство труда, социального обеспечения и миграции Кыргызской Республики</v>
      </c>
      <c r="B412" s="87" t="s">
        <v>777</v>
      </c>
      <c r="C412" s="88" t="s">
        <v>778</v>
      </c>
      <c r="D412" s="90"/>
      <c r="E412" s="90"/>
      <c r="F412" s="90"/>
      <c r="G412" s="90"/>
      <c r="H412" s="90"/>
      <c r="I412" s="90"/>
      <c r="J412" s="90"/>
      <c r="K412" s="90"/>
      <c r="L412" s="90"/>
      <c r="M412" s="90"/>
      <c r="N412" s="91"/>
      <c r="O412" s="1"/>
      <c r="Q412" s="70" t="s">
        <v>43</v>
      </c>
    </row>
    <row r="413" spans="1:18" hidden="1" x14ac:dyDescent="0.2">
      <c r="B413" s="93" t="s">
        <v>777</v>
      </c>
      <c r="C413" s="93" t="s">
        <v>96</v>
      </c>
      <c r="D413" s="94"/>
      <c r="E413" s="94"/>
      <c r="F413" s="95" t="s">
        <v>97</v>
      </c>
      <c r="G413" s="96">
        <v>1567378.5</v>
      </c>
      <c r="H413" s="96">
        <v>1567378.5</v>
      </c>
      <c r="I413" s="96">
        <v>1567378.5</v>
      </c>
      <c r="J413" s="99" t="s">
        <v>304</v>
      </c>
      <c r="K413" s="99" t="s">
        <v>99</v>
      </c>
      <c r="L413" s="99">
        <v>30</v>
      </c>
      <c r="M413" s="99">
        <v>30</v>
      </c>
      <c r="N413" s="99">
        <v>30</v>
      </c>
      <c r="O413" s="1"/>
      <c r="Q413" s="71" t="s">
        <v>40</v>
      </c>
    </row>
    <row r="414" spans="1:18" ht="24" hidden="1" customHeight="1" x14ac:dyDescent="0.2">
      <c r="B414" s="183" t="s">
        <v>100</v>
      </c>
      <c r="C414" s="183" t="s">
        <v>100</v>
      </c>
      <c r="D414" s="183" t="s">
        <v>100</v>
      </c>
      <c r="E414" s="183"/>
      <c r="F414" s="184" t="s">
        <v>101</v>
      </c>
      <c r="G414" s="185">
        <v>152097.1</v>
      </c>
      <c r="H414" s="185">
        <v>152097.1</v>
      </c>
      <c r="I414" s="185">
        <v>152097.1</v>
      </c>
      <c r="J414" s="3" t="s">
        <v>304</v>
      </c>
      <c r="K414" s="3" t="s">
        <v>99</v>
      </c>
      <c r="L414" s="3">
        <v>30</v>
      </c>
      <c r="M414" s="3">
        <v>30</v>
      </c>
      <c r="N414" s="3">
        <v>30</v>
      </c>
      <c r="O414" s="1"/>
      <c r="Q414" s="72" t="s">
        <v>34</v>
      </c>
    </row>
    <row r="415" spans="1:18" ht="27" hidden="1" customHeight="1" x14ac:dyDescent="0.2">
      <c r="B415" s="183" t="s">
        <v>120</v>
      </c>
      <c r="C415" s="183" t="s">
        <v>120</v>
      </c>
      <c r="D415" s="183" t="s">
        <v>120</v>
      </c>
      <c r="E415" s="183"/>
      <c r="F415" s="184" t="s">
        <v>203</v>
      </c>
      <c r="G415" s="185">
        <v>1415281.4</v>
      </c>
      <c r="H415" s="185">
        <v>1415281.4</v>
      </c>
      <c r="I415" s="185">
        <v>1415281.4</v>
      </c>
      <c r="J415" s="3" t="s">
        <v>304</v>
      </c>
      <c r="K415" s="3" t="s">
        <v>99</v>
      </c>
      <c r="L415" s="3">
        <v>30</v>
      </c>
      <c r="M415" s="3">
        <v>30</v>
      </c>
      <c r="N415" s="3">
        <v>30</v>
      </c>
      <c r="O415" s="1"/>
      <c r="Q415" s="72" t="s">
        <v>34</v>
      </c>
    </row>
    <row r="416" spans="1:18" ht="33" hidden="1" customHeight="1" x14ac:dyDescent="0.2">
      <c r="B416" s="93" t="s">
        <v>777</v>
      </c>
      <c r="C416" s="93" t="s">
        <v>779</v>
      </c>
      <c r="D416" s="94"/>
      <c r="E416" s="94"/>
      <c r="F416" s="95" t="s">
        <v>780</v>
      </c>
      <c r="G416" s="96">
        <v>15529568</v>
      </c>
      <c r="H416" s="96">
        <v>15990640.699999999</v>
      </c>
      <c r="I416" s="96">
        <v>16466129.6</v>
      </c>
      <c r="J416" s="93" t="s">
        <v>253</v>
      </c>
      <c r="K416" s="93" t="s">
        <v>99</v>
      </c>
      <c r="L416" s="93">
        <v>100</v>
      </c>
      <c r="M416" s="93">
        <v>100</v>
      </c>
      <c r="N416" s="93">
        <v>100</v>
      </c>
      <c r="O416" s="1"/>
      <c r="Q416" s="71" t="s">
        <v>40</v>
      </c>
      <c r="R416" s="75" t="s">
        <v>169</v>
      </c>
    </row>
    <row r="417" spans="2:18" ht="28.5" hidden="1" customHeight="1" x14ac:dyDescent="0.2">
      <c r="B417" s="181" t="s">
        <v>100</v>
      </c>
      <c r="C417" s="181" t="s">
        <v>100</v>
      </c>
      <c r="D417" s="181" t="s">
        <v>100</v>
      </c>
      <c r="E417" s="181"/>
      <c r="F417" s="181" t="s">
        <v>781</v>
      </c>
      <c r="G417" s="182">
        <v>4894246.5</v>
      </c>
      <c r="H417" s="182">
        <v>4895490.5999999996</v>
      </c>
      <c r="I417" s="182">
        <v>4896339.5</v>
      </c>
      <c r="J417" s="3" t="s">
        <v>782</v>
      </c>
      <c r="K417" s="3" t="s">
        <v>99</v>
      </c>
      <c r="L417" s="3">
        <v>90</v>
      </c>
      <c r="M417" s="3">
        <v>90</v>
      </c>
      <c r="N417" s="3">
        <v>90</v>
      </c>
      <c r="O417" s="1"/>
      <c r="Q417" s="72" t="s">
        <v>34</v>
      </c>
    </row>
    <row r="418" spans="2:18" ht="52.5" hidden="1" customHeight="1" x14ac:dyDescent="0.2">
      <c r="B418" s="76"/>
      <c r="C418" s="76"/>
      <c r="D418" s="76"/>
      <c r="E418" s="76"/>
      <c r="F418" s="76"/>
      <c r="G418" s="76"/>
      <c r="H418" s="76"/>
      <c r="I418" s="76"/>
      <c r="J418" s="3" t="s">
        <v>783</v>
      </c>
      <c r="K418" s="3" t="s">
        <v>99</v>
      </c>
      <c r="L418" s="3">
        <v>100</v>
      </c>
      <c r="M418" s="3">
        <v>100</v>
      </c>
      <c r="N418" s="3">
        <v>100</v>
      </c>
      <c r="O418" s="1"/>
      <c r="Q418" s="73" t="s">
        <v>37</v>
      </c>
    </row>
    <row r="419" spans="2:18" ht="39.75" hidden="1" customHeight="1" x14ac:dyDescent="0.2">
      <c r="B419" s="77"/>
      <c r="C419" s="77"/>
      <c r="D419" s="77"/>
      <c r="E419" s="77"/>
      <c r="F419" s="77"/>
      <c r="G419" s="77"/>
      <c r="H419" s="77"/>
      <c r="I419" s="77"/>
      <c r="J419" s="3" t="s">
        <v>784</v>
      </c>
      <c r="K419" s="3" t="s">
        <v>99</v>
      </c>
      <c r="L419" s="3">
        <v>100</v>
      </c>
      <c r="M419" s="3">
        <v>100</v>
      </c>
      <c r="N419" s="3">
        <v>100</v>
      </c>
      <c r="O419" s="1"/>
      <c r="Q419" s="73" t="s">
        <v>37</v>
      </c>
    </row>
    <row r="420" spans="2:18" ht="29.25" hidden="1" customHeight="1" x14ac:dyDescent="0.2">
      <c r="B420" s="181" t="s">
        <v>120</v>
      </c>
      <c r="C420" s="181" t="s">
        <v>120</v>
      </c>
      <c r="D420" s="181" t="s">
        <v>120</v>
      </c>
      <c r="E420" s="181"/>
      <c r="F420" s="181" t="s">
        <v>785</v>
      </c>
      <c r="G420" s="182">
        <v>9046932.6999999993</v>
      </c>
      <c r="H420" s="182">
        <v>9046932.6999999993</v>
      </c>
      <c r="I420" s="182">
        <v>9046932.6999999993</v>
      </c>
      <c r="J420" s="3" t="s">
        <v>786</v>
      </c>
      <c r="K420" s="3" t="s">
        <v>99</v>
      </c>
      <c r="L420" s="3">
        <v>252.4</v>
      </c>
      <c r="M420" s="3">
        <v>252.4</v>
      </c>
      <c r="N420" s="3">
        <v>252.4</v>
      </c>
      <c r="O420" s="1"/>
      <c r="Q420" s="72" t="s">
        <v>34</v>
      </c>
    </row>
    <row r="421" spans="2:18" ht="30.75" hidden="1" customHeight="1" x14ac:dyDescent="0.2">
      <c r="B421" s="76"/>
      <c r="C421" s="76"/>
      <c r="D421" s="76"/>
      <c r="E421" s="76"/>
      <c r="F421" s="76"/>
      <c r="G421" s="76"/>
      <c r="H421" s="76"/>
      <c r="I421" s="76"/>
      <c r="J421" s="3" t="s">
        <v>787</v>
      </c>
      <c r="K421" s="3" t="s">
        <v>99</v>
      </c>
      <c r="L421" s="3">
        <v>170.3</v>
      </c>
      <c r="M421" s="3">
        <v>170.3</v>
      </c>
      <c r="N421" s="3">
        <v>170.3</v>
      </c>
      <c r="O421" s="1"/>
      <c r="Q421" s="73" t="s">
        <v>37</v>
      </c>
    </row>
    <row r="422" spans="2:18" ht="29.25" hidden="1" customHeight="1" x14ac:dyDescent="0.2">
      <c r="B422" s="76"/>
      <c r="C422" s="76"/>
      <c r="D422" s="76"/>
      <c r="E422" s="76"/>
      <c r="F422" s="76"/>
      <c r="G422" s="76"/>
      <c r="H422" s="76"/>
      <c r="I422" s="76"/>
      <c r="J422" s="3" t="s">
        <v>788</v>
      </c>
      <c r="K422" s="3" t="s">
        <v>99</v>
      </c>
      <c r="L422" s="3">
        <v>63.1</v>
      </c>
      <c r="M422" s="3">
        <v>63.1</v>
      </c>
      <c r="N422" s="3">
        <v>63.1</v>
      </c>
      <c r="O422" s="1"/>
      <c r="Q422" s="73" t="s">
        <v>37</v>
      </c>
    </row>
    <row r="423" spans="2:18" ht="29.25" hidden="1" customHeight="1" x14ac:dyDescent="0.2">
      <c r="B423" s="77"/>
      <c r="C423" s="77"/>
      <c r="D423" s="77"/>
      <c r="E423" s="77"/>
      <c r="F423" s="77"/>
      <c r="G423" s="77"/>
      <c r="H423" s="77"/>
      <c r="I423" s="77"/>
      <c r="J423" s="3" t="s">
        <v>789</v>
      </c>
      <c r="K423" s="3" t="s">
        <v>105</v>
      </c>
      <c r="L423" s="3">
        <v>45</v>
      </c>
      <c r="M423" s="3">
        <v>45</v>
      </c>
      <c r="N423" s="3">
        <v>45</v>
      </c>
      <c r="O423" s="1"/>
      <c r="Q423" s="73" t="s">
        <v>37</v>
      </c>
    </row>
    <row r="424" spans="2:18" ht="15" hidden="1" customHeight="1" x14ac:dyDescent="0.2">
      <c r="B424" s="181" t="s">
        <v>150</v>
      </c>
      <c r="C424" s="181" t="s">
        <v>150</v>
      </c>
      <c r="D424" s="181" t="s">
        <v>150</v>
      </c>
      <c r="E424" s="181"/>
      <c r="F424" s="181" t="s">
        <v>790</v>
      </c>
      <c r="G424" s="182">
        <v>36000</v>
      </c>
      <c r="H424" s="182">
        <v>36000</v>
      </c>
      <c r="I424" s="182">
        <v>36000</v>
      </c>
      <c r="J424" s="3" t="s">
        <v>791</v>
      </c>
      <c r="K424" s="3" t="s">
        <v>223</v>
      </c>
      <c r="L424" s="3">
        <v>7</v>
      </c>
      <c r="M424" s="3">
        <v>7</v>
      </c>
      <c r="N424" s="3">
        <v>7</v>
      </c>
      <c r="O424" s="1"/>
      <c r="Q424" s="72" t="s">
        <v>34</v>
      </c>
    </row>
    <row r="425" spans="2:18" ht="25.5" hidden="1" customHeight="1" x14ac:dyDescent="0.2">
      <c r="B425" s="77"/>
      <c r="C425" s="77"/>
      <c r="D425" s="77"/>
      <c r="E425" s="77"/>
      <c r="F425" s="77"/>
      <c r="G425" s="77"/>
      <c r="H425" s="77"/>
      <c r="I425" s="77"/>
      <c r="J425" s="3" t="s">
        <v>792</v>
      </c>
      <c r="K425" s="3" t="s">
        <v>223</v>
      </c>
      <c r="L425" s="3">
        <v>12</v>
      </c>
      <c r="M425" s="3">
        <v>12</v>
      </c>
      <c r="N425" s="3">
        <v>12</v>
      </c>
      <c r="O425" s="1"/>
      <c r="Q425" s="73" t="s">
        <v>37</v>
      </c>
    </row>
    <row r="426" spans="2:18" ht="27.75" hidden="1" customHeight="1" x14ac:dyDescent="0.2">
      <c r="B426" s="183" t="s">
        <v>124</v>
      </c>
      <c r="C426" s="183" t="s">
        <v>124</v>
      </c>
      <c r="D426" s="183" t="s">
        <v>124</v>
      </c>
      <c r="E426" s="183"/>
      <c r="F426" s="184" t="s">
        <v>793</v>
      </c>
      <c r="G426" s="185">
        <v>2500</v>
      </c>
      <c r="H426" s="185">
        <v>2500</v>
      </c>
      <c r="I426" s="185">
        <v>2500</v>
      </c>
      <c r="J426" s="3" t="s">
        <v>794</v>
      </c>
      <c r="K426" s="3" t="s">
        <v>159</v>
      </c>
      <c r="L426" s="3">
        <v>100</v>
      </c>
      <c r="M426" s="3">
        <v>100</v>
      </c>
      <c r="N426" s="3">
        <v>100</v>
      </c>
      <c r="O426" s="1"/>
      <c r="Q426" s="72" t="s">
        <v>34</v>
      </c>
    </row>
    <row r="427" spans="2:18" hidden="1" x14ac:dyDescent="0.2">
      <c r="B427" s="181" t="s">
        <v>156</v>
      </c>
      <c r="C427" s="181" t="s">
        <v>156</v>
      </c>
      <c r="D427" s="181" t="s">
        <v>156</v>
      </c>
      <c r="E427" s="181"/>
      <c r="F427" s="181" t="s">
        <v>795</v>
      </c>
      <c r="G427" s="182">
        <v>60000</v>
      </c>
      <c r="H427" s="182">
        <v>60000</v>
      </c>
      <c r="I427" s="182">
        <v>60000</v>
      </c>
      <c r="J427" s="34" t="s">
        <v>796</v>
      </c>
      <c r="K427" s="3" t="s">
        <v>159</v>
      </c>
      <c r="L427" s="3">
        <v>50</v>
      </c>
      <c r="M427" s="3">
        <v>50</v>
      </c>
      <c r="N427" s="3">
        <v>50</v>
      </c>
      <c r="O427" s="1"/>
      <c r="Q427" s="72" t="s">
        <v>34</v>
      </c>
      <c r="R427" s="75" t="s">
        <v>169</v>
      </c>
    </row>
    <row r="428" spans="2:18" hidden="1" x14ac:dyDescent="0.2">
      <c r="B428" s="77"/>
      <c r="C428" s="77"/>
      <c r="D428" s="77"/>
      <c r="E428" s="77"/>
      <c r="F428" s="77"/>
      <c r="G428" s="77"/>
      <c r="H428" s="77"/>
      <c r="I428" s="77"/>
      <c r="J428" s="3" t="s">
        <v>797</v>
      </c>
      <c r="K428" s="3" t="s">
        <v>159</v>
      </c>
      <c r="L428" s="3">
        <v>270</v>
      </c>
      <c r="M428" s="3">
        <v>270</v>
      </c>
      <c r="N428" s="3">
        <v>270</v>
      </c>
      <c r="O428" s="1"/>
      <c r="Q428" s="73" t="s">
        <v>37</v>
      </c>
    </row>
    <row r="429" spans="2:18" ht="15" hidden="1" customHeight="1" x14ac:dyDescent="0.2">
      <c r="B429" s="181" t="s">
        <v>160</v>
      </c>
      <c r="C429" s="181" t="s">
        <v>160</v>
      </c>
      <c r="D429" s="181" t="s">
        <v>160</v>
      </c>
      <c r="E429" s="181"/>
      <c r="F429" s="181" t="s">
        <v>798</v>
      </c>
      <c r="G429" s="182">
        <v>9283.5</v>
      </c>
      <c r="H429" s="182">
        <v>9283.5</v>
      </c>
      <c r="I429" s="182">
        <v>9283.5</v>
      </c>
      <c r="J429" s="3" t="s">
        <v>799</v>
      </c>
      <c r="K429" s="3" t="s">
        <v>159</v>
      </c>
      <c r="L429" s="3">
        <v>18</v>
      </c>
      <c r="M429" s="3">
        <v>18</v>
      </c>
      <c r="N429" s="3">
        <v>18</v>
      </c>
      <c r="O429" s="1"/>
      <c r="Q429" s="72" t="s">
        <v>34</v>
      </c>
      <c r="R429" s="75" t="s">
        <v>149</v>
      </c>
    </row>
    <row r="430" spans="2:18" ht="36" hidden="1" customHeight="1" x14ac:dyDescent="0.2">
      <c r="B430" s="76"/>
      <c r="C430" s="76"/>
      <c r="D430" s="76"/>
      <c r="E430" s="76"/>
      <c r="F430" s="76"/>
      <c r="G430" s="76"/>
      <c r="H430" s="76"/>
      <c r="I430" s="76"/>
      <c r="J430" s="3" t="s">
        <v>800</v>
      </c>
      <c r="K430" s="3" t="s">
        <v>159</v>
      </c>
      <c r="L430" s="3">
        <v>12</v>
      </c>
      <c r="M430" s="3">
        <v>12</v>
      </c>
      <c r="N430" s="3">
        <v>12</v>
      </c>
      <c r="O430" s="1"/>
      <c r="Q430" s="73" t="s">
        <v>37</v>
      </c>
    </row>
    <row r="431" spans="2:18" ht="36" hidden="1" customHeight="1" x14ac:dyDescent="0.2">
      <c r="B431" s="76"/>
      <c r="C431" s="76"/>
      <c r="D431" s="76"/>
      <c r="E431" s="76"/>
      <c r="F431" s="76"/>
      <c r="G431" s="76"/>
      <c r="H431" s="76"/>
      <c r="I431" s="76"/>
      <c r="J431" s="3" t="s">
        <v>801</v>
      </c>
      <c r="K431" s="3" t="s">
        <v>223</v>
      </c>
      <c r="L431" s="3">
        <v>20</v>
      </c>
      <c r="M431" s="3">
        <v>20</v>
      </c>
      <c r="N431" s="3">
        <v>20</v>
      </c>
      <c r="O431" s="1"/>
      <c r="Q431" s="73" t="s">
        <v>37</v>
      </c>
    </row>
    <row r="432" spans="2:18" ht="36" hidden="1" customHeight="1" x14ac:dyDescent="0.2">
      <c r="B432" s="77"/>
      <c r="C432" s="77"/>
      <c r="D432" s="77"/>
      <c r="E432" s="77"/>
      <c r="F432" s="77"/>
      <c r="G432" s="77"/>
      <c r="H432" s="77"/>
      <c r="I432" s="77"/>
      <c r="J432" s="3" t="s">
        <v>802</v>
      </c>
      <c r="K432" s="3" t="s">
        <v>159</v>
      </c>
      <c r="L432" s="3">
        <v>60</v>
      </c>
      <c r="M432" s="3">
        <v>60</v>
      </c>
      <c r="N432" s="3">
        <v>60</v>
      </c>
      <c r="O432" s="1"/>
      <c r="Q432" s="73" t="s">
        <v>37</v>
      </c>
    </row>
    <row r="433" spans="2:18" ht="28.5" hidden="1" customHeight="1" x14ac:dyDescent="0.2">
      <c r="B433" s="183" t="s">
        <v>163</v>
      </c>
      <c r="C433" s="183" t="s">
        <v>163</v>
      </c>
      <c r="D433" s="183" t="s">
        <v>163</v>
      </c>
      <c r="E433" s="183"/>
      <c r="F433" s="184" t="s">
        <v>803</v>
      </c>
      <c r="G433" s="185">
        <v>6086.7</v>
      </c>
      <c r="H433" s="185">
        <v>6086.7</v>
      </c>
      <c r="I433" s="185">
        <v>6086.7</v>
      </c>
      <c r="J433" s="3" t="s">
        <v>804</v>
      </c>
      <c r="K433" s="3" t="s">
        <v>805</v>
      </c>
      <c r="L433" s="3">
        <v>2050</v>
      </c>
      <c r="M433" s="3">
        <v>2110</v>
      </c>
      <c r="N433" s="3">
        <v>2170</v>
      </c>
      <c r="O433" s="1"/>
      <c r="Q433" s="72" t="s">
        <v>34</v>
      </c>
    </row>
    <row r="434" spans="2:18" ht="29.25" hidden="1" customHeight="1" x14ac:dyDescent="0.2">
      <c r="B434" s="183" t="s">
        <v>166</v>
      </c>
      <c r="C434" s="183" t="s">
        <v>166</v>
      </c>
      <c r="D434" s="183" t="s">
        <v>166</v>
      </c>
      <c r="E434" s="183"/>
      <c r="F434" s="184" t="s">
        <v>806</v>
      </c>
      <c r="G434" s="185">
        <v>558172</v>
      </c>
      <c r="H434" s="185">
        <v>558172</v>
      </c>
      <c r="I434" s="185">
        <v>558172</v>
      </c>
      <c r="J434" s="3" t="s">
        <v>807</v>
      </c>
      <c r="K434" s="3" t="s">
        <v>223</v>
      </c>
      <c r="L434" s="3">
        <v>3122</v>
      </c>
      <c r="M434" s="3">
        <v>3122</v>
      </c>
      <c r="N434" s="3">
        <v>3122</v>
      </c>
      <c r="O434" s="1"/>
      <c r="Q434" s="72" t="s">
        <v>34</v>
      </c>
      <c r="R434" s="75" t="s">
        <v>123</v>
      </c>
    </row>
    <row r="435" spans="2:18" ht="78" hidden="1" customHeight="1" x14ac:dyDescent="0.2">
      <c r="B435" s="183" t="s">
        <v>170</v>
      </c>
      <c r="C435" s="183" t="s">
        <v>170</v>
      </c>
      <c r="D435" s="183" t="s">
        <v>170</v>
      </c>
      <c r="E435" s="183"/>
      <c r="F435" s="184" t="s">
        <v>808</v>
      </c>
      <c r="G435" s="185">
        <v>915147.2</v>
      </c>
      <c r="H435" s="185">
        <v>1374975.8</v>
      </c>
      <c r="I435" s="185">
        <v>1849615.8</v>
      </c>
      <c r="J435" s="34" t="s">
        <v>809</v>
      </c>
      <c r="K435" s="3" t="s">
        <v>99</v>
      </c>
      <c r="L435" s="3">
        <v>100</v>
      </c>
      <c r="M435" s="3">
        <v>100</v>
      </c>
      <c r="N435" s="3">
        <v>100</v>
      </c>
      <c r="O435" s="1"/>
      <c r="Q435" s="72" t="s">
        <v>34</v>
      </c>
    </row>
    <row r="436" spans="2:18" ht="72" hidden="1" customHeight="1" x14ac:dyDescent="0.2">
      <c r="B436" s="183" t="s">
        <v>94</v>
      </c>
      <c r="C436" s="183" t="s">
        <v>94</v>
      </c>
      <c r="D436" s="183" t="s">
        <v>94</v>
      </c>
      <c r="E436" s="183"/>
      <c r="F436" s="184" t="s">
        <v>810</v>
      </c>
      <c r="G436" s="185">
        <v>1199.4000000000001</v>
      </c>
      <c r="H436" s="185">
        <v>1199.4000000000001</v>
      </c>
      <c r="I436" s="185">
        <v>1199.4000000000001</v>
      </c>
      <c r="J436" s="3" t="s">
        <v>811</v>
      </c>
      <c r="K436" s="3" t="s">
        <v>99</v>
      </c>
      <c r="L436" s="3">
        <v>80</v>
      </c>
      <c r="M436" s="3">
        <v>80</v>
      </c>
      <c r="N436" s="3">
        <v>80</v>
      </c>
      <c r="O436" s="1"/>
      <c r="Q436" s="72" t="s">
        <v>34</v>
      </c>
    </row>
    <row r="437" spans="2:18" ht="33" hidden="1" customHeight="1" x14ac:dyDescent="0.2">
      <c r="B437" s="93" t="s">
        <v>777</v>
      </c>
      <c r="C437" s="93" t="s">
        <v>812</v>
      </c>
      <c r="D437" s="94"/>
      <c r="E437" s="94"/>
      <c r="F437" s="95" t="s">
        <v>813</v>
      </c>
      <c r="G437" s="96">
        <v>3099750.3999999999</v>
      </c>
      <c r="H437" s="96">
        <v>3106928.9</v>
      </c>
      <c r="I437" s="96">
        <v>3106799.2</v>
      </c>
      <c r="J437" s="93" t="s">
        <v>253</v>
      </c>
      <c r="K437" s="93" t="s">
        <v>99</v>
      </c>
      <c r="L437" s="93">
        <v>100</v>
      </c>
      <c r="M437" s="93">
        <v>100</v>
      </c>
      <c r="N437" s="93">
        <v>100</v>
      </c>
      <c r="O437" s="1"/>
      <c r="Q437" s="71" t="s">
        <v>40</v>
      </c>
    </row>
    <row r="438" spans="2:18" ht="36" hidden="1" customHeight="1" x14ac:dyDescent="0.2">
      <c r="B438" s="183" t="s">
        <v>100</v>
      </c>
      <c r="C438" s="183" t="s">
        <v>100</v>
      </c>
      <c r="D438" s="183" t="s">
        <v>100</v>
      </c>
      <c r="E438" s="183"/>
      <c r="F438" s="184" t="s">
        <v>814</v>
      </c>
      <c r="G438" s="185">
        <v>90553.7</v>
      </c>
      <c r="H438" s="185">
        <v>90553.7</v>
      </c>
      <c r="I438" s="185">
        <v>89729.7</v>
      </c>
      <c r="J438" s="3" t="s">
        <v>815</v>
      </c>
      <c r="K438" s="3" t="s">
        <v>159</v>
      </c>
      <c r="L438" s="3">
        <v>10</v>
      </c>
      <c r="M438" s="3">
        <v>10</v>
      </c>
      <c r="N438" s="3">
        <v>10</v>
      </c>
      <c r="O438" s="1"/>
      <c r="Q438" s="72" t="s">
        <v>34</v>
      </c>
    </row>
    <row r="439" spans="2:18" ht="20.25" hidden="1" customHeight="1" x14ac:dyDescent="0.2">
      <c r="B439" s="181" t="s">
        <v>120</v>
      </c>
      <c r="C439" s="181" t="s">
        <v>120</v>
      </c>
      <c r="D439" s="181" t="s">
        <v>120</v>
      </c>
      <c r="E439" s="181"/>
      <c r="F439" s="181" t="s">
        <v>816</v>
      </c>
      <c r="G439" s="182">
        <v>27244.1</v>
      </c>
      <c r="H439" s="182">
        <v>27244.1</v>
      </c>
      <c r="I439" s="182">
        <v>27244.1</v>
      </c>
      <c r="J439" s="3" t="s">
        <v>817</v>
      </c>
      <c r="K439" s="3" t="s">
        <v>159</v>
      </c>
      <c r="L439" s="3">
        <v>600</v>
      </c>
      <c r="M439" s="3">
        <v>600</v>
      </c>
      <c r="N439" s="3">
        <v>600</v>
      </c>
      <c r="O439" s="1"/>
      <c r="Q439" s="72" t="s">
        <v>34</v>
      </c>
    </row>
    <row r="440" spans="2:18" ht="18.75" hidden="1" customHeight="1" x14ac:dyDescent="0.2">
      <c r="B440" s="77"/>
      <c r="C440" s="77"/>
      <c r="D440" s="77"/>
      <c r="E440" s="77"/>
      <c r="F440" s="77"/>
      <c r="G440" s="77"/>
      <c r="H440" s="77"/>
      <c r="I440" s="77"/>
      <c r="J440" s="3" t="s">
        <v>818</v>
      </c>
      <c r="K440" s="3" t="s">
        <v>159</v>
      </c>
      <c r="L440" s="3">
        <v>2</v>
      </c>
      <c r="M440" s="3">
        <v>2</v>
      </c>
      <c r="N440" s="3">
        <v>2</v>
      </c>
      <c r="O440" s="1"/>
      <c r="Q440" s="73" t="s">
        <v>37</v>
      </c>
    </row>
    <row r="441" spans="2:18" ht="19.5" hidden="1" customHeight="1" x14ac:dyDescent="0.2">
      <c r="B441" s="181" t="s">
        <v>150</v>
      </c>
      <c r="C441" s="181" t="s">
        <v>150</v>
      </c>
      <c r="D441" s="181" t="s">
        <v>150</v>
      </c>
      <c r="E441" s="181"/>
      <c r="F441" s="181" t="s">
        <v>819</v>
      </c>
      <c r="G441" s="182">
        <v>905794</v>
      </c>
      <c r="H441" s="182">
        <v>912972.5</v>
      </c>
      <c r="I441" s="182">
        <v>913666.8</v>
      </c>
      <c r="J441" s="3" t="s">
        <v>820</v>
      </c>
      <c r="K441" s="3" t="s">
        <v>159</v>
      </c>
      <c r="L441" s="3">
        <v>2831</v>
      </c>
      <c r="M441" s="3">
        <v>2831</v>
      </c>
      <c r="N441" s="3">
        <v>2831</v>
      </c>
      <c r="O441" s="1"/>
      <c r="Q441" s="72" t="s">
        <v>34</v>
      </c>
    </row>
    <row r="442" spans="2:18" ht="21" hidden="1" customHeight="1" x14ac:dyDescent="0.2">
      <c r="B442" s="76"/>
      <c r="C442" s="76"/>
      <c r="D442" s="76"/>
      <c r="E442" s="76"/>
      <c r="F442" s="76"/>
      <c r="G442" s="76"/>
      <c r="H442" s="76"/>
      <c r="I442" s="76"/>
      <c r="J442" s="3" t="s">
        <v>821</v>
      </c>
      <c r="K442" s="3" t="s">
        <v>186</v>
      </c>
      <c r="L442" s="3">
        <v>907490.1</v>
      </c>
      <c r="M442" s="3">
        <v>907490.1</v>
      </c>
      <c r="N442" s="3">
        <v>907490.1</v>
      </c>
      <c r="O442" s="1"/>
      <c r="Q442" s="73" t="s">
        <v>37</v>
      </c>
    </row>
    <row r="443" spans="2:18" ht="24" hidden="1" customHeight="1" x14ac:dyDescent="0.2">
      <c r="B443" s="77"/>
      <c r="C443" s="77"/>
      <c r="D443" s="77"/>
      <c r="E443" s="77"/>
      <c r="F443" s="77"/>
      <c r="G443" s="77"/>
      <c r="H443" s="77"/>
      <c r="I443" s="77"/>
      <c r="J443" s="3" t="s">
        <v>822</v>
      </c>
      <c r="K443" s="3" t="s">
        <v>186</v>
      </c>
      <c r="L443" s="3">
        <v>26.7</v>
      </c>
      <c r="M443" s="3">
        <v>26.7</v>
      </c>
      <c r="N443" s="3">
        <v>26.7</v>
      </c>
      <c r="O443" s="1"/>
      <c r="Q443" s="73" t="s">
        <v>37</v>
      </c>
    </row>
    <row r="444" spans="2:18" ht="30" hidden="1" customHeight="1" x14ac:dyDescent="0.2">
      <c r="B444" s="181" t="s">
        <v>124</v>
      </c>
      <c r="C444" s="181" t="s">
        <v>124</v>
      </c>
      <c r="D444" s="181" t="s">
        <v>124</v>
      </c>
      <c r="E444" s="181"/>
      <c r="F444" s="181" t="s">
        <v>823</v>
      </c>
      <c r="G444" s="182">
        <v>51000</v>
      </c>
      <c r="H444" s="182">
        <v>51000</v>
      </c>
      <c r="I444" s="182">
        <v>51000</v>
      </c>
      <c r="J444" s="3" t="s">
        <v>824</v>
      </c>
      <c r="K444" s="3" t="s">
        <v>159</v>
      </c>
      <c r="L444" s="3">
        <v>1000</v>
      </c>
      <c r="M444" s="3">
        <v>1000</v>
      </c>
      <c r="N444" s="3">
        <v>1200</v>
      </c>
      <c r="O444" s="1"/>
      <c r="Q444" s="72" t="s">
        <v>34</v>
      </c>
    </row>
    <row r="445" spans="2:18" ht="29.25" hidden="1" customHeight="1" x14ac:dyDescent="0.2">
      <c r="B445" s="77"/>
      <c r="C445" s="77"/>
      <c r="D445" s="77"/>
      <c r="E445" s="77"/>
      <c r="F445" s="77"/>
      <c r="G445" s="77"/>
      <c r="H445" s="77"/>
      <c r="I445" s="77"/>
      <c r="J445" s="3" t="s">
        <v>825</v>
      </c>
      <c r="K445" s="3" t="s">
        <v>159</v>
      </c>
      <c r="L445" s="3">
        <v>800</v>
      </c>
      <c r="M445" s="3">
        <v>900</v>
      </c>
      <c r="N445" s="3">
        <v>900</v>
      </c>
      <c r="O445" s="1"/>
      <c r="Q445" s="73" t="s">
        <v>37</v>
      </c>
    </row>
    <row r="446" spans="2:18" ht="30" hidden="1" customHeight="1" x14ac:dyDescent="0.2">
      <c r="B446" s="181" t="s">
        <v>156</v>
      </c>
      <c r="C446" s="181" t="s">
        <v>156</v>
      </c>
      <c r="D446" s="181" t="s">
        <v>156</v>
      </c>
      <c r="E446" s="181"/>
      <c r="F446" s="181" t="s">
        <v>826</v>
      </c>
      <c r="G446" s="182">
        <v>195358.6</v>
      </c>
      <c r="H446" s="182">
        <v>195358.6</v>
      </c>
      <c r="I446" s="182">
        <v>195358.6</v>
      </c>
      <c r="J446" s="3" t="s">
        <v>827</v>
      </c>
      <c r="K446" s="3" t="s">
        <v>99</v>
      </c>
      <c r="L446" s="3">
        <v>80</v>
      </c>
      <c r="M446" s="3">
        <v>80</v>
      </c>
      <c r="N446" s="3">
        <v>80</v>
      </c>
      <c r="O446" s="1"/>
      <c r="Q446" s="72" t="s">
        <v>34</v>
      </c>
    </row>
    <row r="447" spans="2:18" ht="20.25" hidden="1" customHeight="1" x14ac:dyDescent="0.2">
      <c r="B447" s="76"/>
      <c r="C447" s="76"/>
      <c r="D447" s="76"/>
      <c r="E447" s="76"/>
      <c r="F447" s="76"/>
      <c r="G447" s="76"/>
      <c r="H447" s="76"/>
      <c r="I447" s="76"/>
      <c r="J447" s="3" t="s">
        <v>828</v>
      </c>
      <c r="K447" s="3" t="s">
        <v>159</v>
      </c>
      <c r="L447" s="3">
        <v>4</v>
      </c>
      <c r="M447" s="3">
        <v>4</v>
      </c>
      <c r="N447" s="3">
        <v>4</v>
      </c>
      <c r="O447" s="1"/>
      <c r="Q447" s="73" t="s">
        <v>37</v>
      </c>
    </row>
    <row r="448" spans="2:18" ht="30" hidden="1" customHeight="1" x14ac:dyDescent="0.2">
      <c r="B448" s="77"/>
      <c r="C448" s="77"/>
      <c r="D448" s="77"/>
      <c r="E448" s="77"/>
      <c r="F448" s="77"/>
      <c r="G448" s="77"/>
      <c r="H448" s="77"/>
      <c r="I448" s="77"/>
      <c r="J448" s="3" t="s">
        <v>829</v>
      </c>
      <c r="K448" s="3" t="s">
        <v>155</v>
      </c>
      <c r="L448" s="3">
        <v>3850</v>
      </c>
      <c r="M448" s="3">
        <v>3860</v>
      </c>
      <c r="N448" s="3">
        <v>3870</v>
      </c>
      <c r="O448" s="1"/>
      <c r="Q448" s="73" t="s">
        <v>37</v>
      </c>
    </row>
    <row r="449" spans="2:18" ht="39" hidden="1" customHeight="1" x14ac:dyDescent="0.2">
      <c r="B449" s="181" t="s">
        <v>160</v>
      </c>
      <c r="C449" s="181" t="s">
        <v>160</v>
      </c>
      <c r="D449" s="181" t="s">
        <v>160</v>
      </c>
      <c r="E449" s="181"/>
      <c r="F449" s="181" t="s">
        <v>830</v>
      </c>
      <c r="G449" s="182">
        <v>225000</v>
      </c>
      <c r="H449" s="182">
        <v>225000</v>
      </c>
      <c r="I449" s="182">
        <v>225000</v>
      </c>
      <c r="J449" s="34" t="s">
        <v>831</v>
      </c>
      <c r="K449" s="3" t="s">
        <v>99</v>
      </c>
      <c r="L449" s="3">
        <v>48</v>
      </c>
      <c r="M449" s="3">
        <v>50</v>
      </c>
      <c r="N449" s="3">
        <v>50</v>
      </c>
      <c r="O449" s="1"/>
      <c r="Q449" s="72" t="s">
        <v>34</v>
      </c>
    </row>
    <row r="450" spans="2:18" ht="30.75" hidden="1" customHeight="1" x14ac:dyDescent="0.2">
      <c r="B450" s="77"/>
      <c r="C450" s="77"/>
      <c r="D450" s="77"/>
      <c r="E450" s="77"/>
      <c r="F450" s="77"/>
      <c r="G450" s="77"/>
      <c r="H450" s="77"/>
      <c r="I450" s="77"/>
      <c r="J450" s="3" t="s">
        <v>832</v>
      </c>
      <c r="K450" s="3" t="s">
        <v>99</v>
      </c>
      <c r="L450" s="3">
        <v>5</v>
      </c>
      <c r="M450" s="3">
        <v>10</v>
      </c>
      <c r="N450" s="3">
        <v>15</v>
      </c>
      <c r="O450" s="1"/>
      <c r="Q450" s="73" t="s">
        <v>37</v>
      </c>
    </row>
    <row r="451" spans="2:18" ht="36.75" hidden="1" customHeight="1" x14ac:dyDescent="0.2">
      <c r="B451" s="181" t="s">
        <v>163</v>
      </c>
      <c r="C451" s="181" t="s">
        <v>163</v>
      </c>
      <c r="D451" s="181" t="s">
        <v>163</v>
      </c>
      <c r="E451" s="181"/>
      <c r="F451" s="181" t="s">
        <v>833</v>
      </c>
      <c r="G451" s="182">
        <v>1604800</v>
      </c>
      <c r="H451" s="182">
        <v>1604800</v>
      </c>
      <c r="I451" s="182">
        <v>1604800</v>
      </c>
      <c r="J451" s="3" t="s">
        <v>834</v>
      </c>
      <c r="K451" s="3" t="s">
        <v>159</v>
      </c>
      <c r="L451" s="3">
        <v>6115</v>
      </c>
      <c r="M451" s="3">
        <v>6332</v>
      </c>
      <c r="N451" s="3">
        <v>6500</v>
      </c>
      <c r="O451" s="1"/>
      <c r="Q451" s="72" t="s">
        <v>34</v>
      </c>
    </row>
    <row r="452" spans="2:18" ht="34.5" hidden="1" customHeight="1" x14ac:dyDescent="0.2">
      <c r="B452" s="77"/>
      <c r="C452" s="77"/>
      <c r="D452" s="77"/>
      <c r="E452" s="77"/>
      <c r="F452" s="77"/>
      <c r="G452" s="77"/>
      <c r="H452" s="77"/>
      <c r="I452" s="77"/>
      <c r="J452" s="3" t="s">
        <v>835</v>
      </c>
      <c r="K452" s="3" t="s">
        <v>223</v>
      </c>
      <c r="L452" s="3">
        <v>10215</v>
      </c>
      <c r="M452" s="3">
        <v>11123</v>
      </c>
      <c r="N452" s="3">
        <v>11200</v>
      </c>
      <c r="O452" s="1"/>
      <c r="Q452" s="73" t="s">
        <v>37</v>
      </c>
    </row>
    <row r="453" spans="2:18" ht="41.25" hidden="1" customHeight="1" x14ac:dyDescent="0.2">
      <c r="B453" s="93" t="s">
        <v>777</v>
      </c>
      <c r="C453" s="93" t="s">
        <v>836</v>
      </c>
      <c r="D453" s="94"/>
      <c r="E453" s="94"/>
      <c r="F453" s="95" t="s">
        <v>837</v>
      </c>
      <c r="G453" s="96">
        <v>1061098.3999999999</v>
      </c>
      <c r="H453" s="96">
        <v>1061098.3999999999</v>
      </c>
      <c r="I453" s="96">
        <v>1061098.3999999999</v>
      </c>
      <c r="J453" s="93" t="s">
        <v>253</v>
      </c>
      <c r="K453" s="93" t="s">
        <v>99</v>
      </c>
      <c r="L453" s="93">
        <v>100</v>
      </c>
      <c r="M453" s="93">
        <v>100</v>
      </c>
      <c r="N453" s="93">
        <v>100</v>
      </c>
      <c r="O453" s="1"/>
      <c r="Q453" s="71" t="s">
        <v>40</v>
      </c>
    </row>
    <row r="454" spans="2:18" ht="42.75" hidden="1" customHeight="1" x14ac:dyDescent="0.2">
      <c r="B454" s="181" t="s">
        <v>100</v>
      </c>
      <c r="C454" s="181" t="s">
        <v>100</v>
      </c>
      <c r="D454" s="181" t="s">
        <v>100</v>
      </c>
      <c r="E454" s="181"/>
      <c r="F454" s="181" t="s">
        <v>838</v>
      </c>
      <c r="G454" s="182">
        <v>1042206.2</v>
      </c>
      <c r="H454" s="182">
        <v>1042206.2</v>
      </c>
      <c r="I454" s="182">
        <v>1042206.2</v>
      </c>
      <c r="J454" s="3" t="s">
        <v>839</v>
      </c>
      <c r="K454" s="3" t="s">
        <v>159</v>
      </c>
      <c r="L454" s="3">
        <v>36381</v>
      </c>
      <c r="M454" s="3">
        <v>36152</v>
      </c>
      <c r="N454" s="3">
        <v>36085</v>
      </c>
      <c r="O454" s="1"/>
      <c r="Q454" s="72" t="s">
        <v>34</v>
      </c>
    </row>
    <row r="455" spans="2:18" ht="42.75" hidden="1" customHeight="1" x14ac:dyDescent="0.2">
      <c r="B455" s="77"/>
      <c r="C455" s="77"/>
      <c r="D455" s="77"/>
      <c r="E455" s="77"/>
      <c r="F455" s="77"/>
      <c r="G455" s="77"/>
      <c r="H455" s="77"/>
      <c r="I455" s="77"/>
      <c r="J455" s="3" t="s">
        <v>840</v>
      </c>
      <c r="K455" s="3" t="s">
        <v>159</v>
      </c>
      <c r="L455" s="3">
        <v>28</v>
      </c>
      <c r="M455" s="3">
        <v>22</v>
      </c>
      <c r="N455" s="3">
        <v>16</v>
      </c>
      <c r="O455" s="1"/>
      <c r="Q455" s="73" t="s">
        <v>37</v>
      </c>
    </row>
    <row r="456" spans="2:18" ht="42.75" hidden="1" customHeight="1" x14ac:dyDescent="0.2">
      <c r="B456" s="181" t="s">
        <v>120</v>
      </c>
      <c r="C456" s="181" t="s">
        <v>120</v>
      </c>
      <c r="D456" s="181" t="s">
        <v>120</v>
      </c>
      <c r="E456" s="181"/>
      <c r="F456" s="181" t="s">
        <v>841</v>
      </c>
      <c r="G456" s="182">
        <v>6016.7</v>
      </c>
      <c r="H456" s="182">
        <v>6016.7</v>
      </c>
      <c r="I456" s="182">
        <v>6016.7</v>
      </c>
      <c r="J456" s="3" t="s">
        <v>842</v>
      </c>
      <c r="K456" s="3" t="s">
        <v>159</v>
      </c>
      <c r="L456" s="3">
        <v>387</v>
      </c>
      <c r="M456" s="3">
        <v>374</v>
      </c>
      <c r="N456" s="3">
        <v>358</v>
      </c>
      <c r="O456" s="1"/>
      <c r="Q456" s="72" t="s">
        <v>34</v>
      </c>
    </row>
    <row r="457" spans="2:18" ht="42.75" hidden="1" customHeight="1" x14ac:dyDescent="0.2">
      <c r="B457" s="77"/>
      <c r="C457" s="77"/>
      <c r="D457" s="77"/>
      <c r="E457" s="77"/>
      <c r="F457" s="77"/>
      <c r="G457" s="77"/>
      <c r="H457" s="77"/>
      <c r="I457" s="77"/>
      <c r="J457" s="3" t="s">
        <v>843</v>
      </c>
      <c r="K457" s="3" t="s">
        <v>159</v>
      </c>
      <c r="L457" s="3">
        <v>387</v>
      </c>
      <c r="M457" s="3">
        <v>374</v>
      </c>
      <c r="N457" s="3">
        <v>358</v>
      </c>
      <c r="O457" s="1"/>
      <c r="Q457" s="73" t="s">
        <v>37</v>
      </c>
    </row>
    <row r="458" spans="2:18" ht="42.75" hidden="1" customHeight="1" x14ac:dyDescent="0.2">
      <c r="B458" s="183" t="s">
        <v>150</v>
      </c>
      <c r="C458" s="183" t="s">
        <v>150</v>
      </c>
      <c r="D458" s="183" t="s">
        <v>150</v>
      </c>
      <c r="E458" s="183"/>
      <c r="F458" s="184" t="s">
        <v>844</v>
      </c>
      <c r="G458" s="185">
        <v>11875.5</v>
      </c>
      <c r="H458" s="185">
        <v>11875.5</v>
      </c>
      <c r="I458" s="185">
        <v>11875.5</v>
      </c>
      <c r="J458" s="3" t="s">
        <v>845</v>
      </c>
      <c r="K458" s="3" t="s">
        <v>269</v>
      </c>
      <c r="L458" s="3">
        <v>1438</v>
      </c>
      <c r="M458" s="3">
        <v>1438</v>
      </c>
      <c r="N458" s="3">
        <v>1438</v>
      </c>
      <c r="O458" s="1"/>
      <c r="Q458" s="72" t="s">
        <v>34</v>
      </c>
      <c r="R458" s="75" t="s">
        <v>169</v>
      </c>
    </row>
    <row r="459" spans="2:18" ht="57" hidden="1" customHeight="1" x14ac:dyDescent="0.2">
      <c r="B459" s="183" t="s">
        <v>124</v>
      </c>
      <c r="C459" s="183" t="s">
        <v>124</v>
      </c>
      <c r="D459" s="183" t="s">
        <v>124</v>
      </c>
      <c r="E459" s="183"/>
      <c r="F459" s="184" t="s">
        <v>846</v>
      </c>
      <c r="G459" s="185">
        <v>1000</v>
      </c>
      <c r="H459" s="185">
        <v>1000</v>
      </c>
      <c r="I459" s="185">
        <v>1000</v>
      </c>
      <c r="J459" s="3" t="s">
        <v>847</v>
      </c>
      <c r="K459" s="3" t="s">
        <v>159</v>
      </c>
      <c r="L459" s="3">
        <v>10</v>
      </c>
      <c r="M459" s="3">
        <v>10</v>
      </c>
      <c r="N459" s="3">
        <v>10</v>
      </c>
      <c r="O459" s="1"/>
      <c r="Q459" s="72" t="s">
        <v>34</v>
      </c>
      <c r="R459" s="75" t="s">
        <v>169</v>
      </c>
    </row>
    <row r="460" spans="2:18" ht="46.5" hidden="1" customHeight="1" x14ac:dyDescent="0.2">
      <c r="B460" s="93" t="s">
        <v>777</v>
      </c>
      <c r="C460" s="93" t="s">
        <v>848</v>
      </c>
      <c r="D460" s="94"/>
      <c r="E460" s="94"/>
      <c r="F460" s="95" t="s">
        <v>849</v>
      </c>
      <c r="G460" s="96">
        <v>2013985.2</v>
      </c>
      <c r="H460" s="96">
        <v>2010984.9</v>
      </c>
      <c r="I460" s="96">
        <v>2010984.9</v>
      </c>
      <c r="J460" s="93" t="s">
        <v>253</v>
      </c>
      <c r="K460" s="93" t="s">
        <v>99</v>
      </c>
      <c r="L460" s="93">
        <v>100</v>
      </c>
      <c r="M460" s="93">
        <v>100</v>
      </c>
      <c r="N460" s="93">
        <v>100</v>
      </c>
      <c r="O460" s="1"/>
      <c r="Q460" s="71" t="s">
        <v>40</v>
      </c>
      <c r="R460" s="75" t="s">
        <v>169</v>
      </c>
    </row>
    <row r="461" spans="2:18" ht="21.75" hidden="1" customHeight="1" x14ac:dyDescent="0.2">
      <c r="B461" s="181" t="s">
        <v>100</v>
      </c>
      <c r="C461" s="181" t="s">
        <v>100</v>
      </c>
      <c r="D461" s="181" t="s">
        <v>100</v>
      </c>
      <c r="E461" s="181"/>
      <c r="F461" s="181" t="s">
        <v>850</v>
      </c>
      <c r="G461" s="182">
        <v>1206773.2</v>
      </c>
      <c r="H461" s="182">
        <v>1203772.8999999999</v>
      </c>
      <c r="I461" s="182">
        <v>1203772.8999999999</v>
      </c>
      <c r="J461" s="3" t="s">
        <v>851</v>
      </c>
      <c r="K461" s="3" t="s">
        <v>159</v>
      </c>
      <c r="L461" s="3">
        <v>872</v>
      </c>
      <c r="M461" s="3">
        <v>872</v>
      </c>
      <c r="N461" s="3">
        <v>872</v>
      </c>
      <c r="O461" s="1"/>
      <c r="Q461" s="72" t="s">
        <v>34</v>
      </c>
      <c r="R461" s="75" t="s">
        <v>169</v>
      </c>
    </row>
    <row r="462" spans="2:18" ht="38.25" hidden="1" customHeight="1" x14ac:dyDescent="0.2">
      <c r="B462" s="76"/>
      <c r="C462" s="76"/>
      <c r="D462" s="76"/>
      <c r="E462" s="76"/>
      <c r="F462" s="76"/>
      <c r="G462" s="76"/>
      <c r="H462" s="76"/>
      <c r="I462" s="76"/>
      <c r="J462" s="3" t="s">
        <v>852</v>
      </c>
      <c r="K462" s="3" t="s">
        <v>99</v>
      </c>
      <c r="L462" s="3">
        <v>60</v>
      </c>
      <c r="M462" s="3">
        <v>60</v>
      </c>
      <c r="N462" s="3">
        <v>60</v>
      </c>
      <c r="O462" s="1"/>
      <c r="Q462" s="73" t="s">
        <v>37</v>
      </c>
    </row>
    <row r="463" spans="2:18" ht="27" hidden="1" customHeight="1" x14ac:dyDescent="0.2">
      <c r="B463" s="76"/>
      <c r="C463" s="76"/>
      <c r="D463" s="76"/>
      <c r="E463" s="76"/>
      <c r="F463" s="76"/>
      <c r="G463" s="76"/>
      <c r="H463" s="76"/>
      <c r="I463" s="76"/>
      <c r="J463" s="3" t="s">
        <v>853</v>
      </c>
      <c r="K463" s="3" t="s">
        <v>854</v>
      </c>
      <c r="L463" s="3">
        <v>16</v>
      </c>
      <c r="M463" s="3">
        <v>16</v>
      </c>
      <c r="N463" s="3">
        <v>16</v>
      </c>
      <c r="O463" s="1"/>
      <c r="Q463" s="73" t="s">
        <v>37</v>
      </c>
    </row>
    <row r="464" spans="2:18" ht="30.75" hidden="1" customHeight="1" x14ac:dyDescent="0.2">
      <c r="B464" s="76"/>
      <c r="C464" s="76"/>
      <c r="D464" s="76"/>
      <c r="E464" s="76"/>
      <c r="F464" s="76"/>
      <c r="G464" s="76"/>
      <c r="H464" s="76"/>
      <c r="I464" s="76"/>
      <c r="J464" s="3" t="s">
        <v>855</v>
      </c>
      <c r="K464" s="3" t="s">
        <v>854</v>
      </c>
      <c r="L464" s="3">
        <v>41</v>
      </c>
      <c r="M464" s="3">
        <v>41</v>
      </c>
      <c r="N464" s="3">
        <v>41</v>
      </c>
      <c r="O464" s="1"/>
      <c r="Q464" s="73" t="s">
        <v>37</v>
      </c>
    </row>
    <row r="465" spans="1:17" ht="29.25" hidden="1" customHeight="1" x14ac:dyDescent="0.2">
      <c r="B465" s="77"/>
      <c r="C465" s="77"/>
      <c r="D465" s="77"/>
      <c r="E465" s="77"/>
      <c r="F465" s="77"/>
      <c r="G465" s="77"/>
      <c r="H465" s="77"/>
      <c r="I465" s="77"/>
      <c r="J465" s="3" t="s">
        <v>856</v>
      </c>
      <c r="K465" s="3" t="s">
        <v>854</v>
      </c>
      <c r="L465" s="3">
        <v>13.3</v>
      </c>
      <c r="M465" s="3">
        <v>13.3</v>
      </c>
      <c r="N465" s="3">
        <v>13.3</v>
      </c>
      <c r="O465" s="1"/>
      <c r="Q465" s="73" t="s">
        <v>37</v>
      </c>
    </row>
    <row r="466" spans="1:17" ht="28.5" hidden="1" customHeight="1" x14ac:dyDescent="0.2">
      <c r="B466" s="181" t="s">
        <v>120</v>
      </c>
      <c r="C466" s="181" t="s">
        <v>120</v>
      </c>
      <c r="D466" s="181" t="s">
        <v>120</v>
      </c>
      <c r="E466" s="181"/>
      <c r="F466" s="181" t="s">
        <v>857</v>
      </c>
      <c r="G466" s="182">
        <v>148213.9</v>
      </c>
      <c r="H466" s="182">
        <v>148213.9</v>
      </c>
      <c r="I466" s="182">
        <v>148213.9</v>
      </c>
      <c r="J466" s="3" t="s">
        <v>858</v>
      </c>
      <c r="K466" s="3" t="s">
        <v>159</v>
      </c>
      <c r="L466" s="3">
        <v>1200</v>
      </c>
      <c r="M466" s="3">
        <v>1200</v>
      </c>
      <c r="N466" s="3">
        <v>1200</v>
      </c>
      <c r="O466" s="1"/>
      <c r="Q466" s="72" t="s">
        <v>34</v>
      </c>
    </row>
    <row r="467" spans="1:17" ht="28.5" hidden="1" customHeight="1" x14ac:dyDescent="0.2">
      <c r="B467" s="77"/>
      <c r="C467" s="77"/>
      <c r="D467" s="77"/>
      <c r="E467" s="77"/>
      <c r="F467" s="77"/>
      <c r="G467" s="77"/>
      <c r="H467" s="77"/>
      <c r="I467" s="77"/>
      <c r="J467" s="3" t="s">
        <v>859</v>
      </c>
      <c r="K467" s="3" t="s">
        <v>854</v>
      </c>
      <c r="L467" s="3">
        <v>17.899999999999999</v>
      </c>
      <c r="M467" s="3">
        <v>17.899999999999999</v>
      </c>
      <c r="N467" s="3">
        <v>17.899999999999999</v>
      </c>
      <c r="O467" s="1"/>
      <c r="Q467" s="73" t="s">
        <v>37</v>
      </c>
    </row>
    <row r="468" spans="1:17" ht="45" hidden="1" customHeight="1" x14ac:dyDescent="0.2">
      <c r="B468" s="181" t="s">
        <v>150</v>
      </c>
      <c r="C468" s="181" t="s">
        <v>150</v>
      </c>
      <c r="D468" s="181" t="s">
        <v>150</v>
      </c>
      <c r="E468" s="181"/>
      <c r="F468" s="181" t="s">
        <v>860</v>
      </c>
      <c r="G468" s="182">
        <v>658998.1</v>
      </c>
      <c r="H468" s="182">
        <v>658998.1</v>
      </c>
      <c r="I468" s="182">
        <v>658998.1</v>
      </c>
      <c r="J468" s="3" t="s">
        <v>861</v>
      </c>
      <c r="K468" s="3" t="s">
        <v>99</v>
      </c>
      <c r="L468" s="3">
        <v>99.8</v>
      </c>
      <c r="M468" s="3">
        <v>99.9</v>
      </c>
      <c r="N468" s="3">
        <v>100</v>
      </c>
      <c r="O468" s="1"/>
      <c r="Q468" s="72" t="s">
        <v>34</v>
      </c>
    </row>
    <row r="469" spans="1:17" ht="36" hidden="1" customHeight="1" x14ac:dyDescent="0.2">
      <c r="B469" s="77"/>
      <c r="C469" s="77"/>
      <c r="D469" s="77"/>
      <c r="E469" s="77"/>
      <c r="F469" s="77"/>
      <c r="G469" s="77"/>
      <c r="H469" s="77"/>
      <c r="I469" s="77"/>
      <c r="J469" s="3" t="s">
        <v>862</v>
      </c>
      <c r="K469" s="3" t="s">
        <v>99</v>
      </c>
      <c r="L469" s="3">
        <v>48.5</v>
      </c>
      <c r="M469" s="3">
        <v>46.9</v>
      </c>
      <c r="N469" s="3">
        <v>46.2</v>
      </c>
      <c r="O469" s="1"/>
      <c r="Q469" s="73" t="s">
        <v>37</v>
      </c>
    </row>
    <row r="470" spans="1:17" ht="30.75" hidden="1" customHeight="1" x14ac:dyDescent="0.2">
      <c r="B470" s="93" t="s">
        <v>777</v>
      </c>
      <c r="C470" s="93" t="s">
        <v>863</v>
      </c>
      <c r="D470" s="94"/>
      <c r="E470" s="94"/>
      <c r="F470" s="95" t="s">
        <v>864</v>
      </c>
      <c r="G470" s="96">
        <v>28651.200000000001</v>
      </c>
      <c r="H470" s="96">
        <v>28651.200000000001</v>
      </c>
      <c r="I470" s="96">
        <v>28651.200000000001</v>
      </c>
      <c r="J470" s="93" t="s">
        <v>253</v>
      </c>
      <c r="K470" s="93" t="s">
        <v>99</v>
      </c>
      <c r="L470" s="93">
        <v>100</v>
      </c>
      <c r="M470" s="93">
        <v>100</v>
      </c>
      <c r="N470" s="93">
        <v>100</v>
      </c>
      <c r="O470" s="1"/>
      <c r="Q470" s="71" t="s">
        <v>40</v>
      </c>
    </row>
    <row r="471" spans="1:17" ht="54" hidden="1" customHeight="1" x14ac:dyDescent="0.2">
      <c r="B471" s="183" t="s">
        <v>100</v>
      </c>
      <c r="C471" s="183" t="s">
        <v>100</v>
      </c>
      <c r="D471" s="183" t="s">
        <v>100</v>
      </c>
      <c r="E471" s="183"/>
      <c r="F471" s="184" t="s">
        <v>865</v>
      </c>
      <c r="G471" s="185">
        <v>28651.200000000001</v>
      </c>
      <c r="H471" s="185">
        <v>28651.200000000001</v>
      </c>
      <c r="I471" s="185">
        <v>28651.200000000001</v>
      </c>
      <c r="J471" s="3" t="s">
        <v>866</v>
      </c>
      <c r="K471" s="3" t="s">
        <v>159</v>
      </c>
      <c r="L471" s="3">
        <v>1092</v>
      </c>
      <c r="M471" s="3">
        <v>1100</v>
      </c>
      <c r="N471" s="3">
        <v>1100</v>
      </c>
      <c r="O471" s="1"/>
      <c r="Q471" s="72" t="s">
        <v>34</v>
      </c>
    </row>
    <row r="472" spans="1:17" ht="21" customHeight="1" x14ac:dyDescent="0.2">
      <c r="B472" s="99">
        <v>38</v>
      </c>
      <c r="C472" s="99" t="s">
        <v>408</v>
      </c>
      <c r="D472" s="117" t="s">
        <v>100</v>
      </c>
      <c r="E472" s="99"/>
      <c r="F472" s="109" t="s">
        <v>409</v>
      </c>
      <c r="G472" s="110">
        <v>521560</v>
      </c>
      <c r="H472" s="110">
        <v>267900</v>
      </c>
      <c r="I472" s="110">
        <v>0</v>
      </c>
      <c r="J472" s="100" t="s">
        <v>347</v>
      </c>
      <c r="K472" s="100" t="s">
        <v>99</v>
      </c>
      <c r="L472" s="100">
        <v>100</v>
      </c>
      <c r="M472" s="100">
        <v>100</v>
      </c>
      <c r="N472" s="100">
        <v>0</v>
      </c>
      <c r="O472" s="1"/>
      <c r="Q472" s="118" t="s">
        <v>40</v>
      </c>
    </row>
    <row r="473" spans="1:17" ht="15" hidden="1" customHeight="1" x14ac:dyDescent="0.2">
      <c r="B473" s="174" t="s">
        <v>112</v>
      </c>
      <c r="C473" s="175"/>
      <c r="D473" s="176"/>
      <c r="E473" s="176"/>
      <c r="F473" s="177"/>
      <c r="G473" s="178">
        <v>23821991.699999999</v>
      </c>
      <c r="H473" s="178">
        <v>24033582.600000001</v>
      </c>
      <c r="I473" s="178">
        <v>24241041.800000001</v>
      </c>
      <c r="J473" s="179"/>
      <c r="K473" s="176"/>
      <c r="L473" s="176"/>
      <c r="M473" s="176"/>
      <c r="N473" s="177"/>
      <c r="O473" s="1"/>
      <c r="Q473" s="74" t="s">
        <v>46</v>
      </c>
    </row>
    <row r="474" spans="1:17" ht="15" hidden="1" customHeight="1" x14ac:dyDescent="0.2">
      <c r="A474" s="4" t="str">
        <f>C474</f>
        <v>Академия государственного управления при Президенте Кыргызской Республики</v>
      </c>
      <c r="B474" s="87" t="s">
        <v>459</v>
      </c>
      <c r="C474" s="88" t="s">
        <v>867</v>
      </c>
      <c r="D474" s="90"/>
      <c r="E474" s="90"/>
      <c r="F474" s="90"/>
      <c r="G474" s="90"/>
      <c r="H474" s="90"/>
      <c r="I474" s="90"/>
      <c r="J474" s="90"/>
      <c r="K474" s="90"/>
      <c r="L474" s="90"/>
      <c r="M474" s="90"/>
      <c r="N474" s="91"/>
      <c r="O474" s="1"/>
      <c r="Q474" s="70" t="s">
        <v>43</v>
      </c>
    </row>
    <row r="475" spans="1:17" ht="45" hidden="1" customHeight="1" x14ac:dyDescent="0.2">
      <c r="B475" s="93" t="s">
        <v>459</v>
      </c>
      <c r="C475" s="93" t="s">
        <v>96</v>
      </c>
      <c r="D475" s="94"/>
      <c r="E475" s="94"/>
      <c r="F475" s="95" t="s">
        <v>97</v>
      </c>
      <c r="G475" s="96">
        <v>35953.599999999999</v>
      </c>
      <c r="H475" s="96">
        <v>34962</v>
      </c>
      <c r="I475" s="96">
        <v>34962</v>
      </c>
      <c r="J475" s="99" t="s">
        <v>249</v>
      </c>
      <c r="K475" s="99" t="s">
        <v>99</v>
      </c>
      <c r="L475" s="99">
        <v>55</v>
      </c>
      <c r="M475" s="99">
        <v>55</v>
      </c>
      <c r="N475" s="99">
        <v>55</v>
      </c>
      <c r="O475" s="1"/>
      <c r="Q475" s="71" t="s">
        <v>40</v>
      </c>
    </row>
    <row r="476" spans="1:17" ht="42" hidden="1" customHeight="1" x14ac:dyDescent="0.2">
      <c r="B476" s="183" t="s">
        <v>100</v>
      </c>
      <c r="C476" s="183" t="s">
        <v>100</v>
      </c>
      <c r="D476" s="183" t="s">
        <v>100</v>
      </c>
      <c r="E476" s="183"/>
      <c r="F476" s="184" t="s">
        <v>101</v>
      </c>
      <c r="G476" s="185">
        <v>35953.599999999999</v>
      </c>
      <c r="H476" s="185">
        <v>34962</v>
      </c>
      <c r="I476" s="185">
        <v>34962</v>
      </c>
      <c r="J476" s="3" t="s">
        <v>249</v>
      </c>
      <c r="K476" s="3" t="s">
        <v>99</v>
      </c>
      <c r="L476" s="3">
        <v>55</v>
      </c>
      <c r="M476" s="3">
        <v>55</v>
      </c>
      <c r="N476" s="3">
        <v>55</v>
      </c>
      <c r="O476" s="1"/>
      <c r="Q476" s="72" t="s">
        <v>34</v>
      </c>
    </row>
    <row r="477" spans="1:17" ht="36" hidden="1" customHeight="1" x14ac:dyDescent="0.2">
      <c r="B477" s="93" t="s">
        <v>459</v>
      </c>
      <c r="C477" s="93" t="s">
        <v>868</v>
      </c>
      <c r="D477" s="94"/>
      <c r="E477" s="94"/>
      <c r="F477" s="95" t="s">
        <v>869</v>
      </c>
      <c r="G477" s="96">
        <v>36155.1</v>
      </c>
      <c r="H477" s="96">
        <v>36155.1</v>
      </c>
      <c r="I477" s="96">
        <v>36155.1</v>
      </c>
      <c r="J477" s="93" t="s">
        <v>253</v>
      </c>
      <c r="K477" s="93" t="s">
        <v>99</v>
      </c>
      <c r="L477" s="93">
        <v>100</v>
      </c>
      <c r="M477" s="93">
        <v>100</v>
      </c>
      <c r="N477" s="93">
        <v>100</v>
      </c>
      <c r="O477" s="1"/>
      <c r="Q477" s="71" t="s">
        <v>40</v>
      </c>
    </row>
    <row r="478" spans="1:17" hidden="1" x14ac:dyDescent="0.2">
      <c r="B478" s="183" t="s">
        <v>100</v>
      </c>
      <c r="C478" s="183" t="s">
        <v>100</v>
      </c>
      <c r="D478" s="183" t="s">
        <v>100</v>
      </c>
      <c r="E478" s="183"/>
      <c r="F478" s="184" t="s">
        <v>870</v>
      </c>
      <c r="G478" s="185">
        <v>9830.6</v>
      </c>
      <c r="H478" s="185">
        <v>9830.6</v>
      </c>
      <c r="I478" s="185">
        <v>9830.6</v>
      </c>
      <c r="J478" s="3" t="s">
        <v>871</v>
      </c>
      <c r="K478" s="3" t="s">
        <v>159</v>
      </c>
      <c r="L478" s="3">
        <v>1136</v>
      </c>
      <c r="M478" s="3">
        <v>1136</v>
      </c>
      <c r="N478" s="3">
        <v>1136</v>
      </c>
      <c r="O478" s="1"/>
      <c r="Q478" s="72" t="s">
        <v>34</v>
      </c>
    </row>
    <row r="479" spans="1:17" ht="40.5" hidden="1" customHeight="1" x14ac:dyDescent="0.2">
      <c r="B479" s="183" t="s">
        <v>120</v>
      </c>
      <c r="C479" s="183" t="s">
        <v>120</v>
      </c>
      <c r="D479" s="183" t="s">
        <v>120</v>
      </c>
      <c r="E479" s="183"/>
      <c r="F479" s="184" t="s">
        <v>872</v>
      </c>
      <c r="G479" s="185">
        <v>26324.5</v>
      </c>
      <c r="H479" s="185">
        <v>26324.5</v>
      </c>
      <c r="I479" s="185">
        <v>26324.5</v>
      </c>
      <c r="J479" s="3" t="s">
        <v>873</v>
      </c>
      <c r="K479" s="3" t="s">
        <v>99</v>
      </c>
      <c r="L479" s="3">
        <v>1</v>
      </c>
      <c r="M479" s="3">
        <v>1</v>
      </c>
      <c r="N479" s="3">
        <v>1</v>
      </c>
      <c r="O479" s="1"/>
      <c r="Q479" s="72" t="s">
        <v>34</v>
      </c>
    </row>
    <row r="480" spans="1:17" ht="32.25" hidden="1" customHeight="1" x14ac:dyDescent="0.2">
      <c r="B480" s="93" t="s">
        <v>459</v>
      </c>
      <c r="C480" s="93" t="s">
        <v>874</v>
      </c>
      <c r="D480" s="94"/>
      <c r="E480" s="94"/>
      <c r="F480" s="95" t="s">
        <v>875</v>
      </c>
      <c r="G480" s="96">
        <v>48781.2</v>
      </c>
      <c r="H480" s="96">
        <v>48527.7</v>
      </c>
      <c r="I480" s="96">
        <v>49126.7</v>
      </c>
      <c r="J480" s="93" t="s">
        <v>253</v>
      </c>
      <c r="K480" s="93" t="s">
        <v>99</v>
      </c>
      <c r="L480" s="93">
        <v>100</v>
      </c>
      <c r="M480" s="93">
        <v>100</v>
      </c>
      <c r="N480" s="93">
        <v>100</v>
      </c>
      <c r="O480" s="1"/>
      <c r="Q480" s="71" t="s">
        <v>40</v>
      </c>
    </row>
    <row r="481" spans="1:17" ht="30" hidden="1" customHeight="1" x14ac:dyDescent="0.2">
      <c r="B481" s="183" t="s">
        <v>100</v>
      </c>
      <c r="C481" s="183" t="s">
        <v>100</v>
      </c>
      <c r="D481" s="183" t="s">
        <v>100</v>
      </c>
      <c r="E481" s="183"/>
      <c r="F481" s="184" t="s">
        <v>876</v>
      </c>
      <c r="G481" s="185">
        <v>48781.2</v>
      </c>
      <c r="H481" s="185">
        <v>48527.7</v>
      </c>
      <c r="I481" s="185">
        <v>49126.7</v>
      </c>
      <c r="J481" s="3" t="s">
        <v>877</v>
      </c>
      <c r="K481" s="3" t="s">
        <v>159</v>
      </c>
      <c r="L481" s="3">
        <v>5500</v>
      </c>
      <c r="M481" s="3">
        <v>5500</v>
      </c>
      <c r="N481" s="3">
        <v>5500</v>
      </c>
      <c r="O481" s="1"/>
      <c r="Q481" s="72" t="s">
        <v>34</v>
      </c>
    </row>
    <row r="482" spans="1:17" ht="15" hidden="1" customHeight="1" x14ac:dyDescent="0.2">
      <c r="B482" s="174" t="s">
        <v>112</v>
      </c>
      <c r="C482" s="175"/>
      <c r="D482" s="176"/>
      <c r="E482" s="176"/>
      <c r="F482" s="177"/>
      <c r="G482" s="178">
        <v>120889.9</v>
      </c>
      <c r="H482" s="178">
        <v>119644.8</v>
      </c>
      <c r="I482" s="178">
        <v>120243.8</v>
      </c>
      <c r="J482" s="179"/>
      <c r="K482" s="176"/>
      <c r="L482" s="176"/>
      <c r="M482" s="176"/>
      <c r="N482" s="177"/>
      <c r="O482" s="1"/>
      <c r="Q482" s="74" t="s">
        <v>46</v>
      </c>
    </row>
    <row r="483" spans="1:17" ht="15" hidden="1" customHeight="1" x14ac:dyDescent="0.2">
      <c r="A483" s="4" t="str">
        <f>C483</f>
        <v>Общественное объединение «Республиканский Совет ветеранов войны, вооруженных сил, правоохранительных органов и труженников тыла Кыргызской Республики»</v>
      </c>
      <c r="B483" s="87" t="s">
        <v>878</v>
      </c>
      <c r="C483" s="88" t="s">
        <v>879</v>
      </c>
      <c r="D483" s="90"/>
      <c r="E483" s="90"/>
      <c r="F483" s="90"/>
      <c r="G483" s="90"/>
      <c r="H483" s="90"/>
      <c r="I483" s="90"/>
      <c r="J483" s="90"/>
      <c r="K483" s="90"/>
      <c r="L483" s="90"/>
      <c r="M483" s="90"/>
      <c r="N483" s="91"/>
      <c r="O483" s="1"/>
      <c r="Q483" s="70" t="s">
        <v>43</v>
      </c>
    </row>
    <row r="484" spans="1:17" ht="30" hidden="1" customHeight="1" x14ac:dyDescent="0.2">
      <c r="B484" s="93" t="s">
        <v>878</v>
      </c>
      <c r="C484" s="93" t="s">
        <v>880</v>
      </c>
      <c r="D484" s="94"/>
      <c r="E484" s="94"/>
      <c r="F484" s="95" t="s">
        <v>881</v>
      </c>
      <c r="G484" s="96">
        <v>739.4</v>
      </c>
      <c r="H484" s="96">
        <v>739.4</v>
      </c>
      <c r="I484" s="96">
        <v>739.4</v>
      </c>
      <c r="J484" s="99" t="s">
        <v>882</v>
      </c>
      <c r="K484" s="99" t="s">
        <v>99</v>
      </c>
      <c r="L484" s="99">
        <v>100</v>
      </c>
      <c r="M484" s="99">
        <v>100</v>
      </c>
      <c r="N484" s="99">
        <v>100</v>
      </c>
      <c r="O484" s="1"/>
      <c r="Q484" s="71" t="s">
        <v>40</v>
      </c>
    </row>
    <row r="485" spans="1:17" ht="48" hidden="1" customHeight="1" x14ac:dyDescent="0.2">
      <c r="B485" s="183" t="s">
        <v>100</v>
      </c>
      <c r="C485" s="183" t="s">
        <v>100</v>
      </c>
      <c r="D485" s="183" t="s">
        <v>100</v>
      </c>
      <c r="E485" s="183"/>
      <c r="F485" s="184" t="s">
        <v>883</v>
      </c>
      <c r="G485" s="185">
        <v>739.4</v>
      </c>
      <c r="H485" s="185">
        <v>739.4</v>
      </c>
      <c r="I485" s="185">
        <v>739.4</v>
      </c>
      <c r="J485" s="3" t="s">
        <v>882</v>
      </c>
      <c r="K485" s="3" t="s">
        <v>99</v>
      </c>
      <c r="L485" s="3">
        <v>100</v>
      </c>
      <c r="M485" s="3">
        <v>100</v>
      </c>
      <c r="N485" s="3">
        <v>100</v>
      </c>
      <c r="O485" s="1"/>
      <c r="Q485" s="72" t="s">
        <v>34</v>
      </c>
    </row>
    <row r="486" spans="1:17" ht="15" hidden="1" customHeight="1" x14ac:dyDescent="0.2">
      <c r="B486" s="174" t="s">
        <v>112</v>
      </c>
      <c r="C486" s="175"/>
      <c r="D486" s="176"/>
      <c r="E486" s="176"/>
      <c r="F486" s="177"/>
      <c r="G486" s="178">
        <v>739.4</v>
      </c>
      <c r="H486" s="178">
        <v>739.4</v>
      </c>
      <c r="I486" s="178">
        <v>739.4</v>
      </c>
      <c r="J486" s="179"/>
      <c r="K486" s="176"/>
      <c r="L486" s="176"/>
      <c r="M486" s="176"/>
      <c r="N486" s="177"/>
      <c r="O486" s="1"/>
      <c r="Q486" s="74" t="s">
        <v>46</v>
      </c>
    </row>
    <row r="487" spans="1:17" ht="15" hidden="1" customHeight="1" x14ac:dyDescent="0.2">
      <c r="A487" s="4" t="str">
        <f>C487</f>
        <v>Министерство водных ресурсов, сельского хозяйства и перерабатывающей промышленности Кыргызской Республики</v>
      </c>
      <c r="B487" s="87" t="s">
        <v>884</v>
      </c>
      <c r="C487" s="88" t="s">
        <v>885</v>
      </c>
      <c r="D487" s="90"/>
      <c r="E487" s="90"/>
      <c r="F487" s="90"/>
      <c r="G487" s="90"/>
      <c r="H487" s="90"/>
      <c r="I487" s="90"/>
      <c r="J487" s="90"/>
      <c r="K487" s="90"/>
      <c r="L487" s="90"/>
      <c r="M487" s="90"/>
      <c r="N487" s="91"/>
      <c r="O487" s="1"/>
      <c r="Q487" s="70" t="s">
        <v>43</v>
      </c>
    </row>
    <row r="488" spans="1:17" ht="29.25" hidden="1" customHeight="1" x14ac:dyDescent="0.2">
      <c r="B488" s="93" t="s">
        <v>884</v>
      </c>
      <c r="C488" s="93" t="s">
        <v>96</v>
      </c>
      <c r="D488" s="94"/>
      <c r="E488" s="94"/>
      <c r="F488" s="95" t="s">
        <v>97</v>
      </c>
      <c r="G488" s="96">
        <v>425993.25</v>
      </c>
      <c r="H488" s="96">
        <v>435960.8</v>
      </c>
      <c r="I488" s="96">
        <v>435960.8</v>
      </c>
      <c r="J488" s="99" t="s">
        <v>886</v>
      </c>
      <c r="K488" s="99" t="s">
        <v>99</v>
      </c>
      <c r="L488" s="99">
        <v>70</v>
      </c>
      <c r="M488" s="99">
        <v>80</v>
      </c>
      <c r="N488" s="99">
        <v>90</v>
      </c>
      <c r="O488" s="1"/>
      <c r="Q488" s="71" t="s">
        <v>40</v>
      </c>
    </row>
    <row r="489" spans="1:17" ht="33" hidden="1" customHeight="1" x14ac:dyDescent="0.2">
      <c r="B489" s="183" t="s">
        <v>100</v>
      </c>
      <c r="C489" s="183" t="s">
        <v>100</v>
      </c>
      <c r="D489" s="183" t="s">
        <v>100</v>
      </c>
      <c r="E489" s="183"/>
      <c r="F489" s="184" t="s">
        <v>101</v>
      </c>
      <c r="G489" s="185">
        <v>188021.3</v>
      </c>
      <c r="H489" s="185">
        <v>183988.8</v>
      </c>
      <c r="I489" s="185">
        <v>183988.8</v>
      </c>
      <c r="J489" s="3" t="s">
        <v>886</v>
      </c>
      <c r="K489" s="3" t="s">
        <v>99</v>
      </c>
      <c r="L489" s="3">
        <v>70</v>
      </c>
      <c r="M489" s="3">
        <v>80</v>
      </c>
      <c r="N489" s="3">
        <v>90</v>
      </c>
      <c r="O489" s="1"/>
      <c r="Q489" s="72" t="s">
        <v>34</v>
      </c>
    </row>
    <row r="490" spans="1:17" ht="30.75" hidden="1" customHeight="1" x14ac:dyDescent="0.2">
      <c r="B490" s="183" t="s">
        <v>120</v>
      </c>
      <c r="C490" s="183" t="s">
        <v>120</v>
      </c>
      <c r="D490" s="183" t="s">
        <v>120</v>
      </c>
      <c r="E490" s="183"/>
      <c r="F490" s="184" t="s">
        <v>203</v>
      </c>
      <c r="G490" s="185">
        <v>237971.95</v>
      </c>
      <c r="H490" s="185">
        <v>251972</v>
      </c>
      <c r="I490" s="185">
        <v>251972</v>
      </c>
      <c r="J490" s="3" t="s">
        <v>887</v>
      </c>
      <c r="K490" s="3" t="s">
        <v>99</v>
      </c>
      <c r="L490" s="3">
        <v>70</v>
      </c>
      <c r="M490" s="3">
        <v>80</v>
      </c>
      <c r="N490" s="3">
        <v>90</v>
      </c>
      <c r="O490" s="1"/>
      <c r="Q490" s="72" t="s">
        <v>34</v>
      </c>
    </row>
    <row r="491" spans="1:17" ht="37.5" hidden="1" customHeight="1" x14ac:dyDescent="0.2">
      <c r="B491" s="93" t="s">
        <v>884</v>
      </c>
      <c r="C491" s="93" t="s">
        <v>888</v>
      </c>
      <c r="D491" s="94"/>
      <c r="E491" s="94"/>
      <c r="F491" s="95" t="s">
        <v>889</v>
      </c>
      <c r="G491" s="96">
        <v>1294075.7</v>
      </c>
      <c r="H491" s="96">
        <v>1312981.8999999999</v>
      </c>
      <c r="I491" s="96">
        <v>1313981.8999999999</v>
      </c>
      <c r="J491" s="93" t="s">
        <v>253</v>
      </c>
      <c r="K491" s="93" t="s">
        <v>99</v>
      </c>
      <c r="L491" s="93">
        <v>100</v>
      </c>
      <c r="M491" s="93">
        <v>100</v>
      </c>
      <c r="N491" s="93">
        <v>100</v>
      </c>
      <c r="O491" s="1"/>
      <c r="Q491" s="71" t="s">
        <v>40</v>
      </c>
    </row>
    <row r="492" spans="1:17" ht="39.75" hidden="1" customHeight="1" x14ac:dyDescent="0.2">
      <c r="B492" s="183" t="s">
        <v>120</v>
      </c>
      <c r="C492" s="183" t="s">
        <v>120</v>
      </c>
      <c r="D492" s="183" t="s">
        <v>120</v>
      </c>
      <c r="E492" s="183"/>
      <c r="F492" s="184" t="s">
        <v>890</v>
      </c>
      <c r="G492" s="185">
        <v>9111.5</v>
      </c>
      <c r="H492" s="185">
        <v>16626.3</v>
      </c>
      <c r="I492" s="185">
        <v>16626.3</v>
      </c>
      <c r="J492" s="3" t="s">
        <v>891</v>
      </c>
      <c r="K492" s="3" t="s">
        <v>223</v>
      </c>
      <c r="L492" s="3">
        <v>20</v>
      </c>
      <c r="M492" s="3">
        <v>20</v>
      </c>
      <c r="N492" s="3">
        <v>20</v>
      </c>
      <c r="O492" s="1"/>
      <c r="Q492" s="72" t="s">
        <v>34</v>
      </c>
    </row>
    <row r="493" spans="1:17" ht="33" hidden="1" customHeight="1" x14ac:dyDescent="0.2">
      <c r="B493" s="181" t="s">
        <v>150</v>
      </c>
      <c r="C493" s="181" t="s">
        <v>150</v>
      </c>
      <c r="D493" s="181" t="s">
        <v>150</v>
      </c>
      <c r="E493" s="181"/>
      <c r="F493" s="181" t="s">
        <v>892</v>
      </c>
      <c r="G493" s="182">
        <v>29692.1</v>
      </c>
      <c r="H493" s="182">
        <v>31252.1</v>
      </c>
      <c r="I493" s="182">
        <v>32252.1</v>
      </c>
      <c r="J493" s="3" t="s">
        <v>893</v>
      </c>
      <c r="K493" s="3" t="s">
        <v>894</v>
      </c>
      <c r="L493" s="3">
        <v>25000</v>
      </c>
      <c r="M493" s="3">
        <v>30000</v>
      </c>
      <c r="N493" s="3">
        <v>35000</v>
      </c>
      <c r="O493" s="1"/>
      <c r="Q493" s="72" t="s">
        <v>34</v>
      </c>
    </row>
    <row r="494" spans="1:17" ht="41.25" hidden="1" customHeight="1" x14ac:dyDescent="0.2">
      <c r="B494" s="77"/>
      <c r="C494" s="77"/>
      <c r="D494" s="77"/>
      <c r="E494" s="77"/>
      <c r="F494" s="77"/>
      <c r="G494" s="77"/>
      <c r="H494" s="77"/>
      <c r="I494" s="77"/>
      <c r="J494" s="3" t="s">
        <v>895</v>
      </c>
      <c r="K494" s="3" t="s">
        <v>405</v>
      </c>
      <c r="L494" s="3">
        <v>32000</v>
      </c>
      <c r="M494" s="3">
        <v>40000</v>
      </c>
      <c r="N494" s="3">
        <v>45000</v>
      </c>
      <c r="O494" s="1"/>
      <c r="Q494" s="73" t="s">
        <v>37</v>
      </c>
    </row>
    <row r="495" spans="1:17" ht="46.5" hidden="1" customHeight="1" x14ac:dyDescent="0.2">
      <c r="B495" s="181" t="s">
        <v>124</v>
      </c>
      <c r="C495" s="181" t="s">
        <v>124</v>
      </c>
      <c r="D495" s="181" t="s">
        <v>124</v>
      </c>
      <c r="E495" s="181"/>
      <c r="F495" s="181" t="s">
        <v>896</v>
      </c>
      <c r="G495" s="182">
        <v>25190.799999999999</v>
      </c>
      <c r="H495" s="182">
        <v>25190.799999999999</v>
      </c>
      <c r="I495" s="182">
        <v>25190.799999999999</v>
      </c>
      <c r="J495" s="3" t="s">
        <v>897</v>
      </c>
      <c r="K495" s="3" t="s">
        <v>223</v>
      </c>
      <c r="L495" s="3">
        <v>95</v>
      </c>
      <c r="M495" s="3">
        <v>95</v>
      </c>
      <c r="N495" s="3">
        <v>95</v>
      </c>
      <c r="O495" s="1"/>
      <c r="Q495" s="72" t="s">
        <v>34</v>
      </c>
    </row>
    <row r="496" spans="1:17" ht="42.75" hidden="1" customHeight="1" x14ac:dyDescent="0.2">
      <c r="B496" s="77"/>
      <c r="C496" s="77"/>
      <c r="D496" s="77"/>
      <c r="E496" s="77"/>
      <c r="F496" s="77"/>
      <c r="G496" s="77"/>
      <c r="H496" s="77"/>
      <c r="I496" s="77"/>
      <c r="J496" s="3" t="s">
        <v>898</v>
      </c>
      <c r="K496" s="3" t="s">
        <v>223</v>
      </c>
      <c r="L496" s="3">
        <v>120</v>
      </c>
      <c r="M496" s="3">
        <v>130</v>
      </c>
      <c r="N496" s="3">
        <v>130</v>
      </c>
      <c r="O496" s="1"/>
      <c r="Q496" s="73" t="s">
        <v>37</v>
      </c>
    </row>
    <row r="497" spans="2:18" ht="30" hidden="1" customHeight="1" x14ac:dyDescent="0.2">
      <c r="B497" s="183" t="s">
        <v>156</v>
      </c>
      <c r="C497" s="183" t="s">
        <v>156</v>
      </c>
      <c r="D497" s="183" t="s">
        <v>156</v>
      </c>
      <c r="E497" s="183"/>
      <c r="F497" s="184" t="s">
        <v>899</v>
      </c>
      <c r="G497" s="185">
        <v>765297.2</v>
      </c>
      <c r="H497" s="185">
        <v>775128.6</v>
      </c>
      <c r="I497" s="185">
        <v>774601.3</v>
      </c>
      <c r="J497" s="3" t="s">
        <v>900</v>
      </c>
      <c r="K497" s="3" t="s">
        <v>223</v>
      </c>
      <c r="L497" s="3">
        <v>2700</v>
      </c>
      <c r="M497" s="3">
        <v>2800</v>
      </c>
      <c r="N497" s="3">
        <v>2900</v>
      </c>
      <c r="O497" s="1"/>
      <c r="Q497" s="72" t="s">
        <v>34</v>
      </c>
    </row>
    <row r="498" spans="2:18" ht="36.75" hidden="1" customHeight="1" x14ac:dyDescent="0.2">
      <c r="B498" s="181" t="s">
        <v>160</v>
      </c>
      <c r="C498" s="181" t="s">
        <v>160</v>
      </c>
      <c r="D498" s="181" t="s">
        <v>160</v>
      </c>
      <c r="E498" s="181"/>
      <c r="F498" s="181" t="s">
        <v>901</v>
      </c>
      <c r="G498" s="182">
        <v>434784.1</v>
      </c>
      <c r="H498" s="182">
        <v>434784.1</v>
      </c>
      <c r="I498" s="182">
        <v>435311.4</v>
      </c>
      <c r="J498" s="3" t="s">
        <v>902</v>
      </c>
      <c r="K498" s="3" t="s">
        <v>223</v>
      </c>
      <c r="L498" s="3">
        <v>60</v>
      </c>
      <c r="M498" s="3">
        <v>60</v>
      </c>
      <c r="N498" s="3">
        <v>55</v>
      </c>
      <c r="O498" s="1"/>
      <c r="Q498" s="72" t="s">
        <v>34</v>
      </c>
    </row>
    <row r="499" spans="2:18" ht="29.25" hidden="1" customHeight="1" x14ac:dyDescent="0.2">
      <c r="B499" s="76"/>
      <c r="C499" s="76"/>
      <c r="D499" s="76"/>
      <c r="E499" s="76"/>
      <c r="F499" s="76"/>
      <c r="G499" s="76"/>
      <c r="H499" s="76"/>
      <c r="I499" s="76"/>
      <c r="J499" s="3" t="s">
        <v>903</v>
      </c>
      <c r="K499" s="3" t="s">
        <v>904</v>
      </c>
      <c r="L499" s="3">
        <v>23500</v>
      </c>
      <c r="M499" s="3">
        <v>23500</v>
      </c>
      <c r="N499" s="3">
        <v>24000</v>
      </c>
      <c r="O499" s="1"/>
      <c r="Q499" s="73" t="s">
        <v>37</v>
      </c>
    </row>
    <row r="500" spans="2:18" ht="42" hidden="1" customHeight="1" x14ac:dyDescent="0.2">
      <c r="B500" s="77"/>
      <c r="C500" s="77"/>
      <c r="D500" s="77"/>
      <c r="E500" s="77"/>
      <c r="F500" s="77"/>
      <c r="G500" s="77"/>
      <c r="H500" s="77"/>
      <c r="I500" s="77"/>
      <c r="J500" s="3" t="s">
        <v>905</v>
      </c>
      <c r="K500" s="3" t="s">
        <v>904</v>
      </c>
      <c r="L500" s="3">
        <v>17700000</v>
      </c>
      <c r="M500" s="3">
        <v>1800000</v>
      </c>
      <c r="N500" s="3">
        <v>1900000</v>
      </c>
      <c r="O500" s="1"/>
      <c r="Q500" s="73" t="s">
        <v>37</v>
      </c>
    </row>
    <row r="501" spans="2:18" ht="35.25" hidden="1" customHeight="1" x14ac:dyDescent="0.2">
      <c r="B501" s="183" t="s">
        <v>163</v>
      </c>
      <c r="C501" s="183" t="s">
        <v>163</v>
      </c>
      <c r="D501" s="183" t="s">
        <v>163</v>
      </c>
      <c r="E501" s="183"/>
      <c r="F501" s="184" t="s">
        <v>906</v>
      </c>
      <c r="G501" s="185">
        <v>30000</v>
      </c>
      <c r="H501" s="185">
        <v>30000</v>
      </c>
      <c r="I501" s="185">
        <v>30000</v>
      </c>
      <c r="J501" s="3" t="s">
        <v>907</v>
      </c>
      <c r="K501" s="3" t="s">
        <v>904</v>
      </c>
      <c r="L501" s="3">
        <v>700000</v>
      </c>
      <c r="M501" s="3">
        <v>720000</v>
      </c>
      <c r="N501" s="3">
        <v>720000</v>
      </c>
      <c r="O501" s="1"/>
      <c r="Q501" s="72" t="s">
        <v>34</v>
      </c>
    </row>
    <row r="502" spans="2:18" ht="38.25" hidden="1" customHeight="1" x14ac:dyDescent="0.2">
      <c r="B502" s="93" t="s">
        <v>884</v>
      </c>
      <c r="C502" s="93" t="s">
        <v>908</v>
      </c>
      <c r="D502" s="94"/>
      <c r="E502" s="94"/>
      <c r="F502" s="95" t="s">
        <v>909</v>
      </c>
      <c r="G502" s="96">
        <v>479788</v>
      </c>
      <c r="H502" s="96">
        <v>643477.47</v>
      </c>
      <c r="I502" s="96">
        <v>650128.46</v>
      </c>
      <c r="J502" s="93" t="s">
        <v>253</v>
      </c>
      <c r="K502" s="93" t="s">
        <v>99</v>
      </c>
      <c r="L502" s="93">
        <v>100</v>
      </c>
      <c r="M502" s="93">
        <v>100</v>
      </c>
      <c r="N502" s="93">
        <v>100</v>
      </c>
      <c r="O502" s="1"/>
      <c r="Q502" s="71" t="s">
        <v>40</v>
      </c>
      <c r="R502" s="75" t="s">
        <v>169</v>
      </c>
    </row>
    <row r="503" spans="2:18" ht="43.5" hidden="1" customHeight="1" x14ac:dyDescent="0.2">
      <c r="B503" s="181" t="s">
        <v>100</v>
      </c>
      <c r="C503" s="181" t="s">
        <v>100</v>
      </c>
      <c r="D503" s="181" t="s">
        <v>100</v>
      </c>
      <c r="E503" s="181"/>
      <c r="F503" s="181" t="s">
        <v>910</v>
      </c>
      <c r="G503" s="182">
        <v>266420.59999999998</v>
      </c>
      <c r="H503" s="182">
        <v>268420.59999999998</v>
      </c>
      <c r="I503" s="182">
        <v>268420.59999999998</v>
      </c>
      <c r="J503" s="3" t="s">
        <v>911</v>
      </c>
      <c r="K503" s="3" t="s">
        <v>703</v>
      </c>
      <c r="L503" s="3">
        <v>70.7</v>
      </c>
      <c r="M503" s="3">
        <v>70.7</v>
      </c>
      <c r="N503" s="3">
        <v>70.7</v>
      </c>
      <c r="O503" s="1"/>
      <c r="Q503" s="72" t="s">
        <v>34</v>
      </c>
      <c r="R503" s="75" t="s">
        <v>169</v>
      </c>
    </row>
    <row r="504" spans="2:18" ht="47.25" hidden="1" customHeight="1" x14ac:dyDescent="0.2">
      <c r="B504" s="76"/>
      <c r="C504" s="76"/>
      <c r="D504" s="76"/>
      <c r="E504" s="76"/>
      <c r="F504" s="76"/>
      <c r="G504" s="76"/>
      <c r="H504" s="76"/>
      <c r="I504" s="76"/>
      <c r="J504" s="3" t="s">
        <v>912</v>
      </c>
      <c r="K504" s="3" t="s">
        <v>703</v>
      </c>
      <c r="L504" s="3">
        <v>0.04</v>
      </c>
      <c r="M504" s="3">
        <v>0.04</v>
      </c>
      <c r="N504" s="3">
        <v>0.04</v>
      </c>
      <c r="O504" s="1"/>
      <c r="Q504" s="73" t="s">
        <v>37</v>
      </c>
    </row>
    <row r="505" spans="2:18" ht="33.75" hidden="1" customHeight="1" x14ac:dyDescent="0.2">
      <c r="B505" s="76"/>
      <c r="C505" s="76"/>
      <c r="D505" s="76"/>
      <c r="E505" s="76"/>
      <c r="F505" s="76"/>
      <c r="G505" s="76"/>
      <c r="H505" s="76"/>
      <c r="I505" s="76"/>
      <c r="J505" s="3" t="s">
        <v>913</v>
      </c>
      <c r="K505" s="3" t="s">
        <v>99</v>
      </c>
      <c r="L505" s="3">
        <v>100</v>
      </c>
      <c r="M505" s="3">
        <v>100</v>
      </c>
      <c r="N505" s="3">
        <v>100</v>
      </c>
      <c r="O505" s="1"/>
      <c r="Q505" s="73" t="s">
        <v>37</v>
      </c>
    </row>
    <row r="506" spans="2:18" ht="35.25" hidden="1" customHeight="1" x14ac:dyDescent="0.2">
      <c r="B506" s="77"/>
      <c r="C506" s="77"/>
      <c r="D506" s="77"/>
      <c r="E506" s="77"/>
      <c r="F506" s="77"/>
      <c r="G506" s="77"/>
      <c r="H506" s="77"/>
      <c r="I506" s="77"/>
      <c r="J506" s="3" t="s">
        <v>914</v>
      </c>
      <c r="K506" s="3" t="s">
        <v>223</v>
      </c>
      <c r="L506" s="3">
        <v>95000</v>
      </c>
      <c r="M506" s="3">
        <v>95000</v>
      </c>
      <c r="N506" s="3">
        <v>95000</v>
      </c>
      <c r="O506" s="1"/>
      <c r="Q506" s="73" t="s">
        <v>37</v>
      </c>
    </row>
    <row r="507" spans="2:18" ht="46.5" hidden="1" customHeight="1" x14ac:dyDescent="0.2">
      <c r="B507" s="183" t="s">
        <v>120</v>
      </c>
      <c r="C507" s="183" t="s">
        <v>120</v>
      </c>
      <c r="D507" s="183" t="s">
        <v>120</v>
      </c>
      <c r="E507" s="183"/>
      <c r="F507" s="184" t="s">
        <v>915</v>
      </c>
      <c r="G507" s="185">
        <v>43284.1</v>
      </c>
      <c r="H507" s="185">
        <v>44284.1</v>
      </c>
      <c r="I507" s="185">
        <v>44284.1</v>
      </c>
      <c r="J507" s="3" t="s">
        <v>916</v>
      </c>
      <c r="K507" s="3" t="s">
        <v>703</v>
      </c>
      <c r="L507" s="3">
        <v>62000</v>
      </c>
      <c r="M507" s="3">
        <v>63500</v>
      </c>
      <c r="N507" s="3">
        <v>63500</v>
      </c>
      <c r="O507" s="1"/>
      <c r="Q507" s="72" t="s">
        <v>34</v>
      </c>
    </row>
    <row r="508" spans="2:18" ht="47.25" hidden="1" customHeight="1" x14ac:dyDescent="0.2">
      <c r="B508" s="181" t="s">
        <v>150</v>
      </c>
      <c r="C508" s="181" t="s">
        <v>150</v>
      </c>
      <c r="D508" s="181" t="s">
        <v>150</v>
      </c>
      <c r="E508" s="181"/>
      <c r="F508" s="181" t="s">
        <v>917</v>
      </c>
      <c r="G508" s="182">
        <v>121326.9</v>
      </c>
      <c r="H508" s="182">
        <v>121826.9</v>
      </c>
      <c r="I508" s="182">
        <v>121826.9</v>
      </c>
      <c r="J508" s="3" t="s">
        <v>918</v>
      </c>
      <c r="K508" s="3" t="s">
        <v>703</v>
      </c>
      <c r="L508" s="3">
        <v>9.8000000000000007</v>
      </c>
      <c r="M508" s="3">
        <v>9.9</v>
      </c>
      <c r="N508" s="3">
        <v>10</v>
      </c>
      <c r="O508" s="1"/>
      <c r="Q508" s="72" t="s">
        <v>34</v>
      </c>
      <c r="R508" s="75" t="s">
        <v>169</v>
      </c>
    </row>
    <row r="509" spans="2:18" ht="36" hidden="1" customHeight="1" x14ac:dyDescent="0.2">
      <c r="B509" s="76"/>
      <c r="C509" s="76"/>
      <c r="D509" s="76"/>
      <c r="E509" s="76"/>
      <c r="F509" s="76"/>
      <c r="G509" s="76"/>
      <c r="H509" s="76"/>
      <c r="I509" s="76"/>
      <c r="J509" s="3" t="s">
        <v>919</v>
      </c>
      <c r="K509" s="3" t="s">
        <v>99</v>
      </c>
      <c r="L509" s="3">
        <v>26.5</v>
      </c>
      <c r="M509" s="3">
        <v>30</v>
      </c>
      <c r="N509" s="3">
        <v>30.1</v>
      </c>
      <c r="O509" s="1"/>
      <c r="Q509" s="73" t="s">
        <v>37</v>
      </c>
    </row>
    <row r="510" spans="2:18" ht="36" hidden="1" customHeight="1" x14ac:dyDescent="0.2">
      <c r="B510" s="76"/>
      <c r="C510" s="76"/>
      <c r="D510" s="76"/>
      <c r="E510" s="76"/>
      <c r="F510" s="76"/>
      <c r="G510" s="76"/>
      <c r="H510" s="76"/>
      <c r="I510" s="76"/>
      <c r="J510" s="3" t="s">
        <v>920</v>
      </c>
      <c r="K510" s="3" t="s">
        <v>223</v>
      </c>
      <c r="L510" s="3">
        <v>1000</v>
      </c>
      <c r="M510" s="3">
        <v>1000</v>
      </c>
      <c r="N510" s="3">
        <v>1000</v>
      </c>
      <c r="O510" s="1"/>
      <c r="Q510" s="73" t="s">
        <v>37</v>
      </c>
    </row>
    <row r="511" spans="2:18" ht="55.5" hidden="1" customHeight="1" x14ac:dyDescent="0.2">
      <c r="B511" s="77"/>
      <c r="C511" s="77"/>
      <c r="D511" s="77"/>
      <c r="E511" s="77"/>
      <c r="F511" s="77"/>
      <c r="G511" s="77"/>
      <c r="H511" s="77"/>
      <c r="I511" s="77"/>
      <c r="J511" s="3" t="s">
        <v>921</v>
      </c>
      <c r="K511" s="3" t="s">
        <v>894</v>
      </c>
      <c r="L511" s="3">
        <v>430</v>
      </c>
      <c r="M511" s="3">
        <v>440</v>
      </c>
      <c r="N511" s="3">
        <v>450</v>
      </c>
      <c r="O511" s="1"/>
      <c r="Q511" s="73" t="s">
        <v>37</v>
      </c>
    </row>
    <row r="512" spans="2:18" ht="38.25" hidden="1" customHeight="1" x14ac:dyDescent="0.2">
      <c r="B512" s="183" t="s">
        <v>124</v>
      </c>
      <c r="C512" s="183" t="s">
        <v>124</v>
      </c>
      <c r="D512" s="183" t="s">
        <v>124</v>
      </c>
      <c r="E512" s="183"/>
      <c r="F512" s="184" t="s">
        <v>922</v>
      </c>
      <c r="G512" s="185">
        <v>6677.7</v>
      </c>
      <c r="H512" s="185">
        <v>11998.3</v>
      </c>
      <c r="I512" s="185">
        <v>11998.3</v>
      </c>
      <c r="J512" s="3" t="s">
        <v>923</v>
      </c>
      <c r="K512" s="3" t="s">
        <v>223</v>
      </c>
      <c r="L512" s="3">
        <v>10</v>
      </c>
      <c r="M512" s="3">
        <v>12</v>
      </c>
      <c r="N512" s="3">
        <v>13</v>
      </c>
      <c r="O512" s="1"/>
      <c r="Q512" s="72" t="s">
        <v>34</v>
      </c>
      <c r="R512" s="75" t="s">
        <v>169</v>
      </c>
    </row>
    <row r="513" spans="2:18" ht="31.5" hidden="1" customHeight="1" x14ac:dyDescent="0.2">
      <c r="B513" s="181" t="s">
        <v>156</v>
      </c>
      <c r="C513" s="181" t="s">
        <v>156</v>
      </c>
      <c r="D513" s="181" t="s">
        <v>156</v>
      </c>
      <c r="E513" s="181"/>
      <c r="F513" s="181" t="s">
        <v>924</v>
      </c>
      <c r="G513" s="182">
        <v>24398.7</v>
      </c>
      <c r="H513" s="182">
        <v>24598.57</v>
      </c>
      <c r="I513" s="182">
        <v>24598.560000000001</v>
      </c>
      <c r="J513" s="3" t="s">
        <v>925</v>
      </c>
      <c r="K513" s="3" t="s">
        <v>223</v>
      </c>
      <c r="L513" s="3">
        <v>1250</v>
      </c>
      <c r="M513" s="3">
        <v>1300</v>
      </c>
      <c r="N513" s="3">
        <v>1350</v>
      </c>
      <c r="O513" s="1"/>
      <c r="Q513" s="72" t="s">
        <v>34</v>
      </c>
    </row>
    <row r="514" spans="2:18" ht="31.5" hidden="1" customHeight="1" x14ac:dyDescent="0.2">
      <c r="B514" s="77"/>
      <c r="C514" s="77"/>
      <c r="D514" s="77"/>
      <c r="E514" s="77"/>
      <c r="F514" s="77"/>
      <c r="G514" s="77"/>
      <c r="H514" s="77"/>
      <c r="I514" s="77"/>
      <c r="J514" s="3" t="s">
        <v>926</v>
      </c>
      <c r="K514" s="3" t="s">
        <v>223</v>
      </c>
      <c r="L514" s="3">
        <v>18</v>
      </c>
      <c r="M514" s="3">
        <v>20</v>
      </c>
      <c r="N514" s="3">
        <v>25</v>
      </c>
      <c r="O514" s="1"/>
      <c r="Q514" s="73" t="s">
        <v>37</v>
      </c>
    </row>
    <row r="515" spans="2:18" ht="31.5" hidden="1" customHeight="1" x14ac:dyDescent="0.2">
      <c r="B515" s="181" t="s">
        <v>163</v>
      </c>
      <c r="C515" s="181" t="s">
        <v>163</v>
      </c>
      <c r="D515" s="181" t="s">
        <v>163</v>
      </c>
      <c r="E515" s="181"/>
      <c r="F515" s="181" t="s">
        <v>927</v>
      </c>
      <c r="G515" s="182">
        <v>17680</v>
      </c>
      <c r="H515" s="182">
        <v>172349</v>
      </c>
      <c r="I515" s="182">
        <v>179000</v>
      </c>
      <c r="J515" s="3" t="s">
        <v>928</v>
      </c>
      <c r="K515" s="3" t="s">
        <v>159</v>
      </c>
      <c r="L515" s="3">
        <v>1200</v>
      </c>
      <c r="M515" s="3">
        <v>1400</v>
      </c>
      <c r="N515" s="3">
        <v>1500</v>
      </c>
      <c r="O515" s="1"/>
      <c r="Q515" s="72" t="s">
        <v>34</v>
      </c>
    </row>
    <row r="516" spans="2:18" ht="31.5" hidden="1" customHeight="1" x14ac:dyDescent="0.2">
      <c r="B516" s="77"/>
      <c r="C516" s="77"/>
      <c r="D516" s="77"/>
      <c r="E516" s="77"/>
      <c r="F516" s="77"/>
      <c r="G516" s="77"/>
      <c r="H516" s="77"/>
      <c r="I516" s="77"/>
      <c r="J516" s="3" t="s">
        <v>929</v>
      </c>
      <c r="K516" s="3" t="s">
        <v>99</v>
      </c>
      <c r="L516" s="3">
        <v>1</v>
      </c>
      <c r="M516" s="3">
        <v>2</v>
      </c>
      <c r="N516" s="3">
        <v>3</v>
      </c>
      <c r="O516" s="1"/>
      <c r="Q516" s="73" t="s">
        <v>37</v>
      </c>
    </row>
    <row r="517" spans="2:18" ht="36" hidden="1" customHeight="1" x14ac:dyDescent="0.2">
      <c r="B517" s="93" t="s">
        <v>884</v>
      </c>
      <c r="C517" s="93" t="s">
        <v>930</v>
      </c>
      <c r="D517" s="94"/>
      <c r="E517" s="94"/>
      <c r="F517" s="95" t="s">
        <v>931</v>
      </c>
      <c r="G517" s="96">
        <v>5039751.8999999994</v>
      </c>
      <c r="H517" s="96">
        <v>3774682.8</v>
      </c>
      <c r="I517" s="96">
        <v>3873601</v>
      </c>
      <c r="J517" s="93" t="s">
        <v>253</v>
      </c>
      <c r="K517" s="93" t="s">
        <v>99</v>
      </c>
      <c r="L517" s="93">
        <v>100</v>
      </c>
      <c r="M517" s="93">
        <v>100</v>
      </c>
      <c r="N517" s="93">
        <v>100</v>
      </c>
      <c r="O517" s="1"/>
      <c r="Q517" s="71" t="s">
        <v>40</v>
      </c>
    </row>
    <row r="518" spans="2:18" ht="32.25" hidden="1" customHeight="1" x14ac:dyDescent="0.2">
      <c r="B518" s="183" t="s">
        <v>100</v>
      </c>
      <c r="C518" s="183" t="s">
        <v>100</v>
      </c>
      <c r="D518" s="183" t="s">
        <v>100</v>
      </c>
      <c r="E518" s="183"/>
      <c r="F518" s="184" t="s">
        <v>932</v>
      </c>
      <c r="G518" s="185">
        <v>46579.3</v>
      </c>
      <c r="H518" s="185">
        <v>46579.3</v>
      </c>
      <c r="I518" s="185">
        <v>46579.3</v>
      </c>
      <c r="J518" s="3" t="s">
        <v>933</v>
      </c>
      <c r="K518" s="3" t="s">
        <v>703</v>
      </c>
      <c r="L518" s="3">
        <v>4120</v>
      </c>
      <c r="M518" s="3">
        <v>4270</v>
      </c>
      <c r="N518" s="3">
        <v>4400</v>
      </c>
      <c r="O518" s="1"/>
      <c r="Q518" s="72" t="s">
        <v>34</v>
      </c>
    </row>
    <row r="519" spans="2:18" ht="23.25" hidden="1" customHeight="1" x14ac:dyDescent="0.2">
      <c r="B519" s="181" t="s">
        <v>120</v>
      </c>
      <c r="C519" s="181" t="s">
        <v>120</v>
      </c>
      <c r="D519" s="181" t="s">
        <v>120</v>
      </c>
      <c r="E519" s="181"/>
      <c r="F519" s="181" t="s">
        <v>934</v>
      </c>
      <c r="G519" s="182">
        <v>4890969.0999999996</v>
      </c>
      <c r="H519" s="182">
        <v>3346113.5</v>
      </c>
      <c r="I519" s="182">
        <v>3477888.7</v>
      </c>
      <c r="J519" s="3" t="s">
        <v>935</v>
      </c>
      <c r="K519" s="3" t="s">
        <v>936</v>
      </c>
      <c r="L519" s="3">
        <v>540</v>
      </c>
      <c r="M519" s="3">
        <v>565</v>
      </c>
      <c r="N519" s="3">
        <v>583</v>
      </c>
      <c r="O519" s="1"/>
      <c r="Q519" s="72" t="s">
        <v>34</v>
      </c>
    </row>
    <row r="520" spans="2:18" ht="33" hidden="1" customHeight="1" x14ac:dyDescent="0.2">
      <c r="B520" s="76"/>
      <c r="C520" s="76"/>
      <c r="D520" s="76"/>
      <c r="E520" s="76"/>
      <c r="F520" s="76"/>
      <c r="G520" s="76"/>
      <c r="H520" s="76"/>
      <c r="I520" s="76"/>
      <c r="J520" s="3" t="s">
        <v>937</v>
      </c>
      <c r="K520" s="3" t="s">
        <v>155</v>
      </c>
      <c r="L520" s="3">
        <v>762</v>
      </c>
      <c r="M520" s="3">
        <v>768</v>
      </c>
      <c r="N520" s="3">
        <v>774</v>
      </c>
      <c r="O520" s="1"/>
      <c r="Q520" s="73" t="s">
        <v>37</v>
      </c>
    </row>
    <row r="521" spans="2:18" ht="35.25" hidden="1" customHeight="1" x14ac:dyDescent="0.2">
      <c r="B521" s="76"/>
      <c r="C521" s="76"/>
      <c r="D521" s="76"/>
      <c r="E521" s="76"/>
      <c r="F521" s="76"/>
      <c r="G521" s="76"/>
      <c r="H521" s="76"/>
      <c r="I521" s="76"/>
      <c r="J521" s="3" t="s">
        <v>938</v>
      </c>
      <c r="K521" s="3" t="s">
        <v>155</v>
      </c>
      <c r="L521" s="3">
        <v>180</v>
      </c>
      <c r="M521" s="3">
        <v>196</v>
      </c>
      <c r="N521" s="3">
        <v>202</v>
      </c>
      <c r="O521" s="1"/>
      <c r="Q521" s="73" t="s">
        <v>37</v>
      </c>
    </row>
    <row r="522" spans="2:18" ht="25.5" hidden="1" customHeight="1" x14ac:dyDescent="0.2">
      <c r="B522" s="77"/>
      <c r="C522" s="77"/>
      <c r="D522" s="77"/>
      <c r="E522" s="77"/>
      <c r="F522" s="77"/>
      <c r="G522" s="77"/>
      <c r="H522" s="77"/>
      <c r="I522" s="77"/>
      <c r="J522" s="3" t="s">
        <v>939</v>
      </c>
      <c r="K522" s="3" t="s">
        <v>940</v>
      </c>
      <c r="L522" s="3">
        <v>6400</v>
      </c>
      <c r="M522" s="3">
        <v>6600</v>
      </c>
      <c r="N522" s="3">
        <v>7000</v>
      </c>
      <c r="O522" s="1"/>
      <c r="Q522" s="73" t="s">
        <v>37</v>
      </c>
    </row>
    <row r="523" spans="2:18" ht="29.25" hidden="1" customHeight="1" x14ac:dyDescent="0.2">
      <c r="B523" s="181" t="s">
        <v>150</v>
      </c>
      <c r="C523" s="181" t="s">
        <v>150</v>
      </c>
      <c r="D523" s="181" t="s">
        <v>150</v>
      </c>
      <c r="E523" s="181"/>
      <c r="F523" s="181" t="s">
        <v>941</v>
      </c>
      <c r="G523" s="182">
        <v>74412.7</v>
      </c>
      <c r="H523" s="182">
        <v>74412.7</v>
      </c>
      <c r="I523" s="182">
        <v>74412.7</v>
      </c>
      <c r="J523" s="3" t="s">
        <v>942</v>
      </c>
      <c r="K523" s="3" t="s">
        <v>99</v>
      </c>
      <c r="L523" s="3">
        <v>6.5</v>
      </c>
      <c r="M523" s="3">
        <v>7.7</v>
      </c>
      <c r="N523" s="3">
        <v>8.9</v>
      </c>
      <c r="O523" s="1"/>
      <c r="Q523" s="72" t="s">
        <v>34</v>
      </c>
      <c r="R523" s="75" t="s">
        <v>169</v>
      </c>
    </row>
    <row r="524" spans="2:18" ht="32.25" hidden="1" customHeight="1" x14ac:dyDescent="0.2">
      <c r="B524" s="77"/>
      <c r="C524" s="77"/>
      <c r="D524" s="77"/>
      <c r="E524" s="77"/>
      <c r="F524" s="77"/>
      <c r="G524" s="77"/>
      <c r="H524" s="77"/>
      <c r="I524" s="77"/>
      <c r="J524" s="3" t="s">
        <v>943</v>
      </c>
      <c r="K524" s="3" t="s">
        <v>703</v>
      </c>
      <c r="L524" s="3">
        <v>60</v>
      </c>
      <c r="M524" s="3">
        <v>65</v>
      </c>
      <c r="N524" s="3">
        <v>70</v>
      </c>
      <c r="O524" s="1"/>
      <c r="Q524" s="73" t="s">
        <v>37</v>
      </c>
    </row>
    <row r="525" spans="2:18" ht="32.25" hidden="1" customHeight="1" x14ac:dyDescent="0.2">
      <c r="B525" s="183" t="s">
        <v>124</v>
      </c>
      <c r="C525" s="183" t="s">
        <v>124</v>
      </c>
      <c r="D525" s="183" t="s">
        <v>124</v>
      </c>
      <c r="E525" s="183"/>
      <c r="F525" s="184" t="s">
        <v>944</v>
      </c>
      <c r="G525" s="185">
        <v>27790.799999999999</v>
      </c>
      <c r="H525" s="185">
        <v>28147.8</v>
      </c>
      <c r="I525" s="185">
        <v>28147.8</v>
      </c>
      <c r="J525" s="3" t="s">
        <v>945</v>
      </c>
      <c r="K525" s="3" t="s">
        <v>99</v>
      </c>
      <c r="L525" s="3">
        <v>55</v>
      </c>
      <c r="M525" s="3">
        <v>60</v>
      </c>
      <c r="N525" s="3">
        <v>65</v>
      </c>
      <c r="O525" s="1"/>
      <c r="Q525" s="72" t="s">
        <v>34</v>
      </c>
    </row>
    <row r="526" spans="2:18" ht="29.25" hidden="1" customHeight="1" x14ac:dyDescent="0.2">
      <c r="B526" s="183" t="s">
        <v>94</v>
      </c>
      <c r="C526" s="183" t="s">
        <v>94</v>
      </c>
      <c r="D526" s="183" t="s">
        <v>94</v>
      </c>
      <c r="E526" s="183"/>
      <c r="F526" s="184" t="s">
        <v>946</v>
      </c>
      <c r="G526" s="185">
        <v>0</v>
      </c>
      <c r="H526" s="185">
        <v>15994.5</v>
      </c>
      <c r="I526" s="185">
        <v>0</v>
      </c>
      <c r="J526" s="3" t="s">
        <v>947</v>
      </c>
      <c r="K526" s="3" t="s">
        <v>99</v>
      </c>
      <c r="L526" s="3">
        <v>0</v>
      </c>
      <c r="M526" s="3">
        <v>80</v>
      </c>
      <c r="N526" s="3">
        <v>0</v>
      </c>
      <c r="O526" s="1"/>
      <c r="Q526" s="72" t="s">
        <v>34</v>
      </c>
    </row>
    <row r="527" spans="2:18" ht="48" hidden="1" customHeight="1" x14ac:dyDescent="0.2">
      <c r="B527" s="183" t="s">
        <v>247</v>
      </c>
      <c r="C527" s="183" t="s">
        <v>247</v>
      </c>
      <c r="D527" s="183" t="s">
        <v>247</v>
      </c>
      <c r="E527" s="183"/>
      <c r="F527" s="184" t="s">
        <v>948</v>
      </c>
      <c r="G527" s="185">
        <v>0</v>
      </c>
      <c r="H527" s="185">
        <v>263435</v>
      </c>
      <c r="I527" s="185">
        <v>246572.5</v>
      </c>
      <c r="J527" s="3" t="s">
        <v>949</v>
      </c>
      <c r="K527" s="3" t="s">
        <v>99</v>
      </c>
      <c r="L527" s="3">
        <v>0</v>
      </c>
      <c r="M527" s="3">
        <v>0</v>
      </c>
      <c r="N527" s="3">
        <v>0</v>
      </c>
      <c r="O527" s="1"/>
      <c r="Q527" s="72" t="s">
        <v>34</v>
      </c>
    </row>
    <row r="528" spans="2:18" ht="21.75" hidden="1" customHeight="1" x14ac:dyDescent="0.2">
      <c r="B528" s="93" t="s">
        <v>884</v>
      </c>
      <c r="C528" s="93" t="s">
        <v>950</v>
      </c>
      <c r="D528" s="94"/>
      <c r="E528" s="94"/>
      <c r="F528" s="95" t="s">
        <v>951</v>
      </c>
      <c r="G528" s="96">
        <v>579867.75</v>
      </c>
      <c r="H528" s="96">
        <v>85800.299999999988</v>
      </c>
      <c r="I528" s="96">
        <v>39077.599999999999</v>
      </c>
      <c r="J528" s="99" t="s">
        <v>952</v>
      </c>
      <c r="K528" s="99" t="s">
        <v>99</v>
      </c>
      <c r="L528" s="99">
        <v>15</v>
      </c>
      <c r="M528" s="99">
        <v>20</v>
      </c>
      <c r="N528" s="99">
        <v>25</v>
      </c>
      <c r="O528" s="1"/>
      <c r="Q528" s="71" t="s">
        <v>40</v>
      </c>
    </row>
    <row r="529" spans="1:18" ht="33.75" hidden="1" customHeight="1" x14ac:dyDescent="0.2">
      <c r="B529" s="183" t="s">
        <v>100</v>
      </c>
      <c r="C529" s="183" t="s">
        <v>100</v>
      </c>
      <c r="D529" s="183" t="s">
        <v>100</v>
      </c>
      <c r="E529" s="183"/>
      <c r="F529" s="184" t="s">
        <v>953</v>
      </c>
      <c r="G529" s="185">
        <v>35027.599999999999</v>
      </c>
      <c r="H529" s="185">
        <v>39077.599999999999</v>
      </c>
      <c r="I529" s="185">
        <v>39077.599999999999</v>
      </c>
      <c r="J529" s="3" t="s">
        <v>952</v>
      </c>
      <c r="K529" s="3" t="s">
        <v>99</v>
      </c>
      <c r="L529" s="3">
        <v>15</v>
      </c>
      <c r="M529" s="3">
        <v>20</v>
      </c>
      <c r="N529" s="3">
        <v>25</v>
      </c>
      <c r="O529" s="1"/>
      <c r="Q529" s="72" t="s">
        <v>34</v>
      </c>
    </row>
    <row r="530" spans="1:18" ht="42.75" hidden="1" customHeight="1" x14ac:dyDescent="0.2">
      <c r="B530" s="183" t="s">
        <v>163</v>
      </c>
      <c r="C530" s="183" t="s">
        <v>163</v>
      </c>
      <c r="D530" s="183" t="s">
        <v>163</v>
      </c>
      <c r="E530" s="183"/>
      <c r="F530" s="184" t="s">
        <v>954</v>
      </c>
      <c r="G530" s="185">
        <v>9723.9500000000007</v>
      </c>
      <c r="H530" s="185">
        <v>0</v>
      </c>
      <c r="I530" s="185">
        <v>0</v>
      </c>
      <c r="J530" s="3" t="s">
        <v>955</v>
      </c>
      <c r="K530" s="3" t="s">
        <v>99</v>
      </c>
      <c r="L530" s="3">
        <v>100</v>
      </c>
      <c r="M530" s="3">
        <v>0</v>
      </c>
      <c r="N530" s="3">
        <v>0</v>
      </c>
      <c r="O530" s="1"/>
      <c r="Q530" s="72" t="s">
        <v>34</v>
      </c>
      <c r="R530" s="75" t="s">
        <v>123</v>
      </c>
    </row>
    <row r="531" spans="1:18" ht="48" hidden="1" customHeight="1" x14ac:dyDescent="0.2">
      <c r="B531" s="183" t="s">
        <v>166</v>
      </c>
      <c r="C531" s="183" t="s">
        <v>166</v>
      </c>
      <c r="D531" s="183" t="s">
        <v>166</v>
      </c>
      <c r="E531" s="183"/>
      <c r="F531" s="184" t="s">
        <v>956</v>
      </c>
      <c r="G531" s="185">
        <v>60112</v>
      </c>
      <c r="H531" s="185">
        <v>0</v>
      </c>
      <c r="I531" s="185">
        <v>0</v>
      </c>
      <c r="J531" s="3" t="s">
        <v>957</v>
      </c>
      <c r="K531" s="3" t="s">
        <v>99</v>
      </c>
      <c r="L531" s="3">
        <v>100</v>
      </c>
      <c r="M531" s="3">
        <v>0</v>
      </c>
      <c r="N531" s="3">
        <v>0</v>
      </c>
      <c r="O531" s="1"/>
      <c r="Q531" s="72" t="s">
        <v>34</v>
      </c>
      <c r="R531" s="75" t="s">
        <v>123</v>
      </c>
    </row>
    <row r="532" spans="1:18" ht="58.5" hidden="1" customHeight="1" x14ac:dyDescent="0.2">
      <c r="B532" s="183" t="s">
        <v>113</v>
      </c>
      <c r="C532" s="183" t="s">
        <v>113</v>
      </c>
      <c r="D532" s="183" t="s">
        <v>113</v>
      </c>
      <c r="E532" s="183"/>
      <c r="F532" s="184" t="s">
        <v>958</v>
      </c>
      <c r="G532" s="185">
        <v>88400</v>
      </c>
      <c r="H532" s="185">
        <v>0</v>
      </c>
      <c r="I532" s="185">
        <v>0</v>
      </c>
      <c r="J532" s="3" t="s">
        <v>959</v>
      </c>
      <c r="K532" s="3" t="s">
        <v>99</v>
      </c>
      <c r="L532" s="3">
        <v>100</v>
      </c>
      <c r="M532" s="3">
        <v>0</v>
      </c>
      <c r="N532" s="3">
        <v>0</v>
      </c>
      <c r="O532" s="1"/>
      <c r="Q532" s="72" t="s">
        <v>34</v>
      </c>
      <c r="R532" s="75" t="s">
        <v>960</v>
      </c>
    </row>
    <row r="533" spans="1:18" ht="48" hidden="1" customHeight="1" x14ac:dyDescent="0.2">
      <c r="B533" s="183" t="s">
        <v>127</v>
      </c>
      <c r="C533" s="183" t="s">
        <v>127</v>
      </c>
      <c r="D533" s="183" t="s">
        <v>127</v>
      </c>
      <c r="E533" s="183"/>
      <c r="F533" s="184" t="s">
        <v>961</v>
      </c>
      <c r="G533" s="185">
        <v>197503.3</v>
      </c>
      <c r="H533" s="185">
        <v>46722.7</v>
      </c>
      <c r="I533" s="185">
        <v>0</v>
      </c>
      <c r="J533" s="3" t="s">
        <v>949</v>
      </c>
      <c r="K533" s="3" t="s">
        <v>99</v>
      </c>
      <c r="L533" s="3">
        <v>100</v>
      </c>
      <c r="M533" s="3">
        <v>100</v>
      </c>
      <c r="N533" s="3">
        <v>0</v>
      </c>
      <c r="O533" s="1"/>
      <c r="Q533" s="72" t="s">
        <v>34</v>
      </c>
      <c r="R533" s="75" t="s">
        <v>123</v>
      </c>
    </row>
    <row r="534" spans="1:18" ht="29.25" hidden="1" customHeight="1" x14ac:dyDescent="0.2">
      <c r="B534" s="183" t="s">
        <v>134</v>
      </c>
      <c r="C534" s="183" t="s">
        <v>134</v>
      </c>
      <c r="D534" s="183" t="s">
        <v>134</v>
      </c>
      <c r="E534" s="183"/>
      <c r="F534" s="184" t="s">
        <v>962</v>
      </c>
      <c r="G534" s="185">
        <v>4420</v>
      </c>
      <c r="H534" s="185">
        <v>0</v>
      </c>
      <c r="I534" s="185">
        <v>0</v>
      </c>
      <c r="J534" s="3" t="s">
        <v>963</v>
      </c>
      <c r="K534" s="3" t="s">
        <v>99</v>
      </c>
      <c r="L534" s="3">
        <v>100</v>
      </c>
      <c r="M534" s="3">
        <v>0</v>
      </c>
      <c r="N534" s="3">
        <v>0</v>
      </c>
      <c r="O534" s="1"/>
      <c r="Q534" s="72" t="s">
        <v>34</v>
      </c>
      <c r="R534" s="75" t="s">
        <v>123</v>
      </c>
    </row>
    <row r="535" spans="1:18" ht="30" hidden="1" customHeight="1" x14ac:dyDescent="0.2">
      <c r="B535" s="183" t="s">
        <v>142</v>
      </c>
      <c r="C535" s="183" t="s">
        <v>142</v>
      </c>
      <c r="D535" s="183" t="s">
        <v>142</v>
      </c>
      <c r="E535" s="183"/>
      <c r="F535" s="184" t="s">
        <v>964</v>
      </c>
      <c r="G535" s="185">
        <v>182382.5</v>
      </c>
      <c r="H535" s="185">
        <v>0</v>
      </c>
      <c r="I535" s="185">
        <v>0</v>
      </c>
      <c r="J535" s="3" t="s">
        <v>965</v>
      </c>
      <c r="K535" s="3" t="s">
        <v>99</v>
      </c>
      <c r="L535" s="3">
        <v>100</v>
      </c>
      <c r="M535" s="3">
        <v>0</v>
      </c>
      <c r="N535" s="3">
        <v>0</v>
      </c>
      <c r="O535" s="1"/>
      <c r="Q535" s="72" t="s">
        <v>34</v>
      </c>
      <c r="R535" s="75" t="s">
        <v>123</v>
      </c>
    </row>
    <row r="536" spans="1:18" ht="36" hidden="1" customHeight="1" x14ac:dyDescent="0.2">
      <c r="B536" s="183" t="s">
        <v>199</v>
      </c>
      <c r="C536" s="183" t="s">
        <v>199</v>
      </c>
      <c r="D536" s="183" t="s">
        <v>199</v>
      </c>
      <c r="E536" s="183"/>
      <c r="F536" s="184" t="s">
        <v>966</v>
      </c>
      <c r="G536" s="185">
        <v>2298.4</v>
      </c>
      <c r="H536" s="185">
        <v>0</v>
      </c>
      <c r="I536" s="185">
        <v>0</v>
      </c>
      <c r="J536" s="3" t="s">
        <v>965</v>
      </c>
      <c r="K536" s="3" t="s">
        <v>99</v>
      </c>
      <c r="L536" s="3">
        <v>100</v>
      </c>
      <c r="M536" s="3">
        <v>0</v>
      </c>
      <c r="N536" s="3">
        <v>0</v>
      </c>
      <c r="O536" s="1"/>
      <c r="Q536" s="72" t="s">
        <v>34</v>
      </c>
      <c r="R536" s="75" t="s">
        <v>960</v>
      </c>
    </row>
    <row r="537" spans="1:18" ht="25.5" customHeight="1" x14ac:dyDescent="0.2">
      <c r="B537" s="99">
        <v>41</v>
      </c>
      <c r="C537" s="99" t="s">
        <v>408</v>
      </c>
      <c r="D537" s="117" t="s">
        <v>100</v>
      </c>
      <c r="E537" s="99"/>
      <c r="F537" s="109" t="s">
        <v>409</v>
      </c>
      <c r="G537" s="110">
        <v>10395765.5</v>
      </c>
      <c r="H537" s="110">
        <v>7466341.2000000002</v>
      </c>
      <c r="I537" s="110">
        <v>10459384</v>
      </c>
      <c r="J537" s="111" t="s">
        <v>347</v>
      </c>
      <c r="K537" s="111" t="s">
        <v>99</v>
      </c>
      <c r="L537" s="111">
        <v>100</v>
      </c>
      <c r="M537" s="111">
        <v>100</v>
      </c>
      <c r="N537" s="111">
        <v>100</v>
      </c>
      <c r="O537" s="1"/>
      <c r="Q537" s="118" t="s">
        <v>40</v>
      </c>
    </row>
    <row r="538" spans="1:18" ht="15" hidden="1" customHeight="1" x14ac:dyDescent="0.2">
      <c r="B538" s="174" t="s">
        <v>112</v>
      </c>
      <c r="C538" s="175"/>
      <c r="D538" s="176"/>
      <c r="E538" s="176"/>
      <c r="F538" s="177"/>
      <c r="G538" s="178">
        <v>18215242.100000001</v>
      </c>
      <c r="H538" s="178">
        <v>13719244.470000001</v>
      </c>
      <c r="I538" s="178">
        <v>16772133.76</v>
      </c>
      <c r="J538" s="179"/>
      <c r="K538" s="176"/>
      <c r="L538" s="176"/>
      <c r="M538" s="176"/>
      <c r="N538" s="177"/>
      <c r="O538" s="1"/>
      <c r="Q538" s="74" t="s">
        <v>46</v>
      </c>
    </row>
    <row r="539" spans="1:18" ht="15" hidden="1" customHeight="1" x14ac:dyDescent="0.2">
      <c r="A539" s="4" t="str">
        <f>C539</f>
        <v>Государственное агентство гражданской авиации при Кабинете Министров Кыргызской Республики</v>
      </c>
      <c r="B539" s="87" t="s">
        <v>967</v>
      </c>
      <c r="C539" s="88" t="s">
        <v>968</v>
      </c>
      <c r="D539" s="90"/>
      <c r="E539" s="90"/>
      <c r="F539" s="90"/>
      <c r="G539" s="90"/>
      <c r="H539" s="90"/>
      <c r="I539" s="90"/>
      <c r="J539" s="90"/>
      <c r="K539" s="90"/>
      <c r="L539" s="90"/>
      <c r="M539" s="90"/>
      <c r="N539" s="91"/>
      <c r="O539" s="1"/>
      <c r="Q539" s="70" t="s">
        <v>43</v>
      </c>
    </row>
    <row r="540" spans="1:18" ht="45" hidden="1" customHeight="1" x14ac:dyDescent="0.2">
      <c r="B540" s="93" t="s">
        <v>967</v>
      </c>
      <c r="C540" s="93" t="s">
        <v>96</v>
      </c>
      <c r="D540" s="94"/>
      <c r="E540" s="94"/>
      <c r="F540" s="95" t="s">
        <v>97</v>
      </c>
      <c r="G540" s="96">
        <v>99554.4</v>
      </c>
      <c r="H540" s="96">
        <v>101545.56</v>
      </c>
      <c r="I540" s="96">
        <v>103325.77</v>
      </c>
      <c r="J540" s="99" t="s">
        <v>969</v>
      </c>
      <c r="K540" s="99" t="s">
        <v>854</v>
      </c>
      <c r="L540" s="99">
        <v>962.8</v>
      </c>
      <c r="M540" s="99">
        <v>1010.9</v>
      </c>
      <c r="N540" s="99">
        <v>1061.4000000000001</v>
      </c>
      <c r="O540" s="1"/>
      <c r="Q540" s="71" t="s">
        <v>40</v>
      </c>
    </row>
    <row r="541" spans="1:18" ht="33.75" hidden="1" customHeight="1" x14ac:dyDescent="0.2">
      <c r="B541" s="181" t="s">
        <v>100</v>
      </c>
      <c r="C541" s="181" t="s">
        <v>100</v>
      </c>
      <c r="D541" s="181" t="s">
        <v>100</v>
      </c>
      <c r="E541" s="181"/>
      <c r="F541" s="181" t="s">
        <v>101</v>
      </c>
      <c r="G541" s="182">
        <v>99554.4</v>
      </c>
      <c r="H541" s="182">
        <v>101545.56</v>
      </c>
      <c r="I541" s="182">
        <v>103325.77</v>
      </c>
      <c r="J541" s="3" t="s">
        <v>970</v>
      </c>
      <c r="K541" s="3" t="s">
        <v>894</v>
      </c>
      <c r="L541" s="3">
        <v>220.4</v>
      </c>
      <c r="M541" s="3">
        <v>231.4</v>
      </c>
      <c r="N541" s="3">
        <v>243</v>
      </c>
      <c r="O541" s="1"/>
      <c r="Q541" s="72" t="s">
        <v>34</v>
      </c>
    </row>
    <row r="542" spans="1:18" ht="48.75" hidden="1" customHeight="1" x14ac:dyDescent="0.2">
      <c r="B542" s="77"/>
      <c r="C542" s="77"/>
      <c r="D542" s="77"/>
      <c r="E542" s="77"/>
      <c r="F542" s="77"/>
      <c r="G542" s="77"/>
      <c r="H542" s="77"/>
      <c r="I542" s="77"/>
      <c r="J542" s="3" t="s">
        <v>971</v>
      </c>
      <c r="K542" s="3" t="s">
        <v>854</v>
      </c>
      <c r="L542" s="3">
        <v>793</v>
      </c>
      <c r="M542" s="3">
        <v>832.6</v>
      </c>
      <c r="N542" s="3">
        <v>874.2</v>
      </c>
      <c r="O542" s="1"/>
      <c r="Q542" s="73" t="s">
        <v>37</v>
      </c>
    </row>
    <row r="543" spans="1:18" ht="30.75" hidden="1" customHeight="1" x14ac:dyDescent="0.2">
      <c r="B543" s="93" t="s">
        <v>967</v>
      </c>
      <c r="C543" s="93" t="s">
        <v>972</v>
      </c>
      <c r="D543" s="94"/>
      <c r="E543" s="94"/>
      <c r="F543" s="95" t="s">
        <v>973</v>
      </c>
      <c r="G543" s="96">
        <v>24578.1</v>
      </c>
      <c r="H543" s="96">
        <v>25069.7</v>
      </c>
      <c r="I543" s="96">
        <v>25571.1</v>
      </c>
      <c r="J543" s="93" t="s">
        <v>253</v>
      </c>
      <c r="K543" s="93" t="s">
        <v>99</v>
      </c>
      <c r="L543" s="93">
        <v>100</v>
      </c>
      <c r="M543" s="93">
        <v>100</v>
      </c>
      <c r="N543" s="93">
        <v>100</v>
      </c>
      <c r="O543" s="1"/>
      <c r="Q543" s="71" t="s">
        <v>40</v>
      </c>
      <c r="R543" s="75" t="s">
        <v>169</v>
      </c>
    </row>
    <row r="544" spans="1:18" ht="48" hidden="1" customHeight="1" x14ac:dyDescent="0.2">
      <c r="B544" s="183" t="s">
        <v>100</v>
      </c>
      <c r="C544" s="183" t="s">
        <v>100</v>
      </c>
      <c r="D544" s="183" t="s">
        <v>100</v>
      </c>
      <c r="E544" s="183"/>
      <c r="F544" s="184" t="s">
        <v>974</v>
      </c>
      <c r="G544" s="185">
        <v>24578.1</v>
      </c>
      <c r="H544" s="185">
        <v>25069.7</v>
      </c>
      <c r="I544" s="185">
        <v>25571.1</v>
      </c>
      <c r="J544" s="3" t="s">
        <v>975</v>
      </c>
      <c r="K544" s="3" t="s">
        <v>159</v>
      </c>
      <c r="L544" s="3">
        <v>50</v>
      </c>
      <c r="M544" s="3">
        <v>54</v>
      </c>
      <c r="N544" s="3">
        <v>60</v>
      </c>
      <c r="O544" s="1"/>
      <c r="Q544" s="72" t="s">
        <v>34</v>
      </c>
    </row>
    <row r="545" spans="1:17" ht="15" hidden="1" customHeight="1" x14ac:dyDescent="0.2">
      <c r="B545" s="174" t="s">
        <v>112</v>
      </c>
      <c r="C545" s="175"/>
      <c r="D545" s="176"/>
      <c r="E545" s="176"/>
      <c r="F545" s="177"/>
      <c r="G545" s="178">
        <v>124132.5</v>
      </c>
      <c r="H545" s="178">
        <v>126615.26</v>
      </c>
      <c r="I545" s="178">
        <v>128896.87</v>
      </c>
      <c r="J545" s="179"/>
      <c r="K545" s="176"/>
      <c r="L545" s="176"/>
      <c r="M545" s="176"/>
      <c r="N545" s="177"/>
      <c r="O545" s="1"/>
      <c r="Q545" s="74" t="s">
        <v>46</v>
      </c>
    </row>
    <row r="546" spans="1:17" ht="15" hidden="1" customHeight="1" x14ac:dyDescent="0.2">
      <c r="A546" s="4" t="str">
        <f>C546</f>
        <v>Министерство транспорта и коммуникаций Кыргызской Республики</v>
      </c>
      <c r="B546" s="87" t="s">
        <v>976</v>
      </c>
      <c r="C546" s="88" t="s">
        <v>977</v>
      </c>
      <c r="D546" s="90"/>
      <c r="E546" s="90"/>
      <c r="F546" s="90"/>
      <c r="G546" s="90"/>
      <c r="H546" s="90"/>
      <c r="I546" s="90"/>
      <c r="J546" s="90"/>
      <c r="K546" s="90"/>
      <c r="L546" s="90"/>
      <c r="M546" s="90"/>
      <c r="N546" s="91"/>
      <c r="O546" s="1"/>
      <c r="Q546" s="70" t="s">
        <v>43</v>
      </c>
    </row>
    <row r="547" spans="1:17" ht="21.75" hidden="1" customHeight="1" x14ac:dyDescent="0.2">
      <c r="B547" s="93" t="s">
        <v>976</v>
      </c>
      <c r="C547" s="93" t="s">
        <v>96</v>
      </c>
      <c r="D547" s="94"/>
      <c r="E547" s="94"/>
      <c r="F547" s="95" t="s">
        <v>97</v>
      </c>
      <c r="G547" s="96">
        <v>119287.5</v>
      </c>
      <c r="H547" s="96">
        <v>149718.29999999999</v>
      </c>
      <c r="I547" s="96">
        <v>151925.4</v>
      </c>
      <c r="J547" s="99" t="s">
        <v>304</v>
      </c>
      <c r="K547" s="99" t="s">
        <v>103</v>
      </c>
      <c r="L547" s="99">
        <v>0.65</v>
      </c>
      <c r="M547" s="99">
        <v>0.66</v>
      </c>
      <c r="N547" s="99">
        <v>0.66</v>
      </c>
      <c r="O547" s="1"/>
      <c r="Q547" s="71" t="s">
        <v>40</v>
      </c>
    </row>
    <row r="548" spans="1:17" ht="33" hidden="1" customHeight="1" x14ac:dyDescent="0.2">
      <c r="B548" s="183" t="s">
        <v>100</v>
      </c>
      <c r="C548" s="183" t="s">
        <v>100</v>
      </c>
      <c r="D548" s="183" t="s">
        <v>100</v>
      </c>
      <c r="E548" s="183"/>
      <c r="F548" s="184" t="s">
        <v>101</v>
      </c>
      <c r="G548" s="185">
        <v>119287.5</v>
      </c>
      <c r="H548" s="185">
        <v>149718.29999999999</v>
      </c>
      <c r="I548" s="185">
        <v>151925.4</v>
      </c>
      <c r="J548" s="3" t="s">
        <v>304</v>
      </c>
      <c r="K548" s="3" t="s">
        <v>103</v>
      </c>
      <c r="L548" s="3">
        <v>0.65</v>
      </c>
      <c r="M548" s="3">
        <v>0.66</v>
      </c>
      <c r="N548" s="3">
        <v>0.66</v>
      </c>
      <c r="O548" s="1"/>
      <c r="Q548" s="72" t="s">
        <v>34</v>
      </c>
    </row>
    <row r="549" spans="1:17" ht="32.25" hidden="1" customHeight="1" x14ac:dyDescent="0.2">
      <c r="B549" s="93" t="s">
        <v>976</v>
      </c>
      <c r="C549" s="93" t="s">
        <v>978</v>
      </c>
      <c r="D549" s="94"/>
      <c r="E549" s="94"/>
      <c r="F549" s="95" t="s">
        <v>979</v>
      </c>
      <c r="G549" s="96">
        <v>8025670.7000000002</v>
      </c>
      <c r="H549" s="96">
        <v>8614356.5</v>
      </c>
      <c r="I549" s="96">
        <v>8793684.1000000015</v>
      </c>
      <c r="J549" s="93" t="s">
        <v>980</v>
      </c>
      <c r="K549" s="93" t="s">
        <v>99</v>
      </c>
      <c r="L549" s="93">
        <v>100</v>
      </c>
      <c r="M549" s="93">
        <v>100</v>
      </c>
      <c r="N549" s="93">
        <v>100</v>
      </c>
      <c r="O549" s="1"/>
      <c r="Q549" s="71" t="s">
        <v>40</v>
      </c>
    </row>
    <row r="550" spans="1:17" ht="37.5" hidden="1" customHeight="1" x14ac:dyDescent="0.2">
      <c r="B550" s="183" t="s">
        <v>100</v>
      </c>
      <c r="C550" s="183" t="s">
        <v>100</v>
      </c>
      <c r="D550" s="183" t="s">
        <v>100</v>
      </c>
      <c r="E550" s="183"/>
      <c r="F550" s="184" t="s">
        <v>981</v>
      </c>
      <c r="G550" s="185">
        <v>120100</v>
      </c>
      <c r="H550" s="185">
        <v>142500</v>
      </c>
      <c r="I550" s="185">
        <v>150000</v>
      </c>
      <c r="J550" s="3" t="s">
        <v>982</v>
      </c>
      <c r="K550" s="3" t="s">
        <v>155</v>
      </c>
      <c r="L550" s="3">
        <v>210</v>
      </c>
      <c r="M550" s="3">
        <v>195</v>
      </c>
      <c r="N550" s="3">
        <v>198</v>
      </c>
      <c r="O550" s="1"/>
      <c r="Q550" s="72" t="s">
        <v>34</v>
      </c>
    </row>
    <row r="551" spans="1:17" ht="48.75" hidden="1" customHeight="1" x14ac:dyDescent="0.2">
      <c r="B551" s="183" t="s">
        <v>120</v>
      </c>
      <c r="C551" s="183" t="s">
        <v>120</v>
      </c>
      <c r="D551" s="183" t="s">
        <v>120</v>
      </c>
      <c r="E551" s="183"/>
      <c r="F551" s="184" t="s">
        <v>983</v>
      </c>
      <c r="G551" s="185">
        <v>4000000</v>
      </c>
      <c r="H551" s="185">
        <v>4000000</v>
      </c>
      <c r="I551" s="185">
        <v>4500000</v>
      </c>
      <c r="J551" s="3" t="s">
        <v>984</v>
      </c>
      <c r="K551" s="3" t="s">
        <v>936</v>
      </c>
      <c r="L551" s="3">
        <v>510</v>
      </c>
      <c r="M551" s="3">
        <v>510</v>
      </c>
      <c r="N551" s="3">
        <v>580</v>
      </c>
      <c r="O551" s="1"/>
      <c r="Q551" s="72" t="s">
        <v>34</v>
      </c>
    </row>
    <row r="552" spans="1:17" ht="36.75" hidden="1" customHeight="1" x14ac:dyDescent="0.2">
      <c r="B552" s="183" t="s">
        <v>150</v>
      </c>
      <c r="C552" s="183" t="s">
        <v>150</v>
      </c>
      <c r="D552" s="183" t="s">
        <v>150</v>
      </c>
      <c r="E552" s="183"/>
      <c r="F552" s="184" t="s">
        <v>985</v>
      </c>
      <c r="G552" s="185">
        <v>2097500.7000000002</v>
      </c>
      <c r="H552" s="185">
        <v>2518831.2000000002</v>
      </c>
      <c r="I552" s="185">
        <v>2533468.7999999998</v>
      </c>
      <c r="J552" s="3" t="s">
        <v>986</v>
      </c>
      <c r="K552" s="3" t="s">
        <v>987</v>
      </c>
      <c r="L552" s="3">
        <v>150</v>
      </c>
      <c r="M552" s="3">
        <v>155</v>
      </c>
      <c r="N552" s="3">
        <v>160</v>
      </c>
      <c r="O552" s="1"/>
      <c r="Q552" s="72" t="s">
        <v>34</v>
      </c>
    </row>
    <row r="553" spans="1:17" ht="44.25" hidden="1" customHeight="1" x14ac:dyDescent="0.2">
      <c r="B553" s="183" t="s">
        <v>124</v>
      </c>
      <c r="C553" s="183" t="s">
        <v>124</v>
      </c>
      <c r="D553" s="183" t="s">
        <v>124</v>
      </c>
      <c r="E553" s="183"/>
      <c r="F553" s="184" t="s">
        <v>988</v>
      </c>
      <c r="G553" s="185">
        <v>1000000</v>
      </c>
      <c r="H553" s="185">
        <v>1400000</v>
      </c>
      <c r="I553" s="185">
        <v>1500000</v>
      </c>
      <c r="J553" s="3" t="s">
        <v>989</v>
      </c>
      <c r="K553" s="3" t="s">
        <v>99</v>
      </c>
      <c r="L553" s="3">
        <v>65</v>
      </c>
      <c r="M553" s="3">
        <v>70</v>
      </c>
      <c r="N553" s="3">
        <v>75</v>
      </c>
      <c r="O553" s="1"/>
      <c r="Q553" s="72" t="s">
        <v>34</v>
      </c>
    </row>
    <row r="554" spans="1:17" ht="46.5" hidden="1" customHeight="1" x14ac:dyDescent="0.2">
      <c r="B554" s="183" t="s">
        <v>156</v>
      </c>
      <c r="C554" s="183" t="s">
        <v>156</v>
      </c>
      <c r="D554" s="183" t="s">
        <v>156</v>
      </c>
      <c r="E554" s="183"/>
      <c r="F554" s="184" t="s">
        <v>990</v>
      </c>
      <c r="G554" s="185">
        <v>102170</v>
      </c>
      <c r="H554" s="185">
        <v>109525.3</v>
      </c>
      <c r="I554" s="185">
        <v>110215.3</v>
      </c>
      <c r="J554" s="3" t="s">
        <v>991</v>
      </c>
      <c r="K554" s="3" t="s">
        <v>99</v>
      </c>
      <c r="L554" s="3">
        <v>100</v>
      </c>
      <c r="M554" s="3">
        <v>100</v>
      </c>
      <c r="N554" s="3">
        <v>100</v>
      </c>
      <c r="O554" s="1"/>
      <c r="Q554" s="72" t="s">
        <v>34</v>
      </c>
    </row>
    <row r="555" spans="1:17" ht="32.25" hidden="1" customHeight="1" x14ac:dyDescent="0.2">
      <c r="B555" s="183" t="s">
        <v>160</v>
      </c>
      <c r="C555" s="183" t="s">
        <v>160</v>
      </c>
      <c r="D555" s="183" t="s">
        <v>160</v>
      </c>
      <c r="E555" s="183"/>
      <c r="F555" s="184" t="s">
        <v>992</v>
      </c>
      <c r="G555" s="185">
        <v>705900</v>
      </c>
      <c r="H555" s="185">
        <v>443500</v>
      </c>
      <c r="I555" s="185">
        <v>0</v>
      </c>
      <c r="J555" s="3" t="s">
        <v>993</v>
      </c>
      <c r="K555" s="3" t="s">
        <v>99</v>
      </c>
      <c r="L555" s="3">
        <v>15</v>
      </c>
      <c r="M555" s="3">
        <v>15</v>
      </c>
      <c r="N555" s="3">
        <v>0</v>
      </c>
      <c r="O555" s="1"/>
      <c r="Q555" s="72" t="s">
        <v>34</v>
      </c>
    </row>
    <row r="556" spans="1:17" ht="33" hidden="1" customHeight="1" x14ac:dyDescent="0.2">
      <c r="B556" s="93" t="s">
        <v>976</v>
      </c>
      <c r="C556" s="93" t="s">
        <v>994</v>
      </c>
      <c r="D556" s="94"/>
      <c r="E556" s="94"/>
      <c r="F556" s="95" t="s">
        <v>995</v>
      </c>
      <c r="G556" s="96">
        <v>1410765.1</v>
      </c>
      <c r="H556" s="96">
        <v>1957135.5</v>
      </c>
      <c r="I556" s="96">
        <v>2131389.7999999998</v>
      </c>
      <c r="J556" s="93" t="s">
        <v>253</v>
      </c>
      <c r="K556" s="93" t="s">
        <v>99</v>
      </c>
      <c r="L556" s="93">
        <v>100</v>
      </c>
      <c r="M556" s="93">
        <v>100</v>
      </c>
      <c r="N556" s="93">
        <v>100</v>
      </c>
      <c r="O556" s="1"/>
      <c r="Q556" s="71" t="s">
        <v>40</v>
      </c>
    </row>
    <row r="557" spans="1:17" ht="34.5" hidden="1" customHeight="1" x14ac:dyDescent="0.2">
      <c r="B557" s="181" t="s">
        <v>120</v>
      </c>
      <c r="C557" s="181" t="s">
        <v>120</v>
      </c>
      <c r="D557" s="181" t="s">
        <v>120</v>
      </c>
      <c r="E557" s="181"/>
      <c r="F557" s="181" t="s">
        <v>996</v>
      </c>
      <c r="G557" s="182">
        <v>6188</v>
      </c>
      <c r="H557" s="182">
        <v>0</v>
      </c>
      <c r="I557" s="182">
        <v>0</v>
      </c>
      <c r="J557" s="3" t="s">
        <v>997</v>
      </c>
      <c r="K557" s="3" t="s">
        <v>936</v>
      </c>
      <c r="L557" s="3">
        <v>395</v>
      </c>
      <c r="M557" s="3">
        <v>0</v>
      </c>
      <c r="N557" s="3">
        <v>0</v>
      </c>
      <c r="O557" s="1"/>
      <c r="Q557" s="72" t="s">
        <v>34</v>
      </c>
    </row>
    <row r="558" spans="1:17" ht="30" hidden="1" customHeight="1" x14ac:dyDescent="0.2">
      <c r="B558" s="76"/>
      <c r="C558" s="76"/>
      <c r="D558" s="76"/>
      <c r="E558" s="76"/>
      <c r="F558" s="76"/>
      <c r="G558" s="76"/>
      <c r="H558" s="76"/>
      <c r="I558" s="76"/>
      <c r="J558" s="3" t="s">
        <v>998</v>
      </c>
      <c r="K558" s="3" t="s">
        <v>936</v>
      </c>
      <c r="L558" s="3">
        <v>0</v>
      </c>
      <c r="M558" s="3">
        <v>0</v>
      </c>
      <c r="N558" s="3">
        <v>0</v>
      </c>
      <c r="O558" s="1"/>
      <c r="Q558" s="73" t="s">
        <v>37</v>
      </c>
    </row>
    <row r="559" spans="1:17" ht="43.5" hidden="1" customHeight="1" x14ac:dyDescent="0.2">
      <c r="B559" s="77"/>
      <c r="C559" s="77"/>
      <c r="D559" s="77"/>
      <c r="E559" s="77"/>
      <c r="F559" s="77"/>
      <c r="G559" s="77"/>
      <c r="H559" s="77"/>
      <c r="I559" s="77"/>
      <c r="J559" s="3" t="s">
        <v>999</v>
      </c>
      <c r="K559" s="3" t="s">
        <v>99</v>
      </c>
      <c r="L559" s="3">
        <v>0</v>
      </c>
      <c r="M559" s="3">
        <v>0</v>
      </c>
      <c r="N559" s="3">
        <v>0</v>
      </c>
      <c r="O559" s="1"/>
      <c r="Q559" s="73" t="s">
        <v>37</v>
      </c>
    </row>
    <row r="560" spans="1:17" ht="33" hidden="1" customHeight="1" x14ac:dyDescent="0.2">
      <c r="B560" s="181" t="s">
        <v>156</v>
      </c>
      <c r="C560" s="181" t="s">
        <v>156</v>
      </c>
      <c r="D560" s="181" t="s">
        <v>156</v>
      </c>
      <c r="E560" s="181"/>
      <c r="F560" s="181" t="s">
        <v>1000</v>
      </c>
      <c r="G560" s="182">
        <v>185038.9</v>
      </c>
      <c r="H560" s="182">
        <v>291922.59999999998</v>
      </c>
      <c r="I560" s="182">
        <v>131798.6</v>
      </c>
      <c r="J560" s="3" t="s">
        <v>997</v>
      </c>
      <c r="K560" s="3" t="s">
        <v>936</v>
      </c>
      <c r="L560" s="3">
        <v>199</v>
      </c>
      <c r="M560" s="3">
        <v>199</v>
      </c>
      <c r="N560" s="3">
        <v>199</v>
      </c>
      <c r="O560" s="1"/>
      <c r="Q560" s="72" t="s">
        <v>34</v>
      </c>
    </row>
    <row r="561" spans="2:18" ht="37.5" hidden="1" customHeight="1" x14ac:dyDescent="0.2">
      <c r="B561" s="76"/>
      <c r="C561" s="76"/>
      <c r="D561" s="76"/>
      <c r="E561" s="76"/>
      <c r="F561" s="76"/>
      <c r="G561" s="76"/>
      <c r="H561" s="76"/>
      <c r="I561" s="76"/>
      <c r="J561" s="3" t="s">
        <v>1001</v>
      </c>
      <c r="K561" s="3" t="s">
        <v>936</v>
      </c>
      <c r="L561" s="3">
        <v>0</v>
      </c>
      <c r="M561" s="3">
        <v>20</v>
      </c>
      <c r="N561" s="3">
        <v>65</v>
      </c>
      <c r="O561" s="1"/>
      <c r="Q561" s="73" t="s">
        <v>37</v>
      </c>
    </row>
    <row r="562" spans="2:18" ht="56.25" hidden="1" customHeight="1" x14ac:dyDescent="0.2">
      <c r="B562" s="76"/>
      <c r="C562" s="76"/>
      <c r="D562" s="76"/>
      <c r="E562" s="76"/>
      <c r="F562" s="76"/>
      <c r="G562" s="76"/>
      <c r="H562" s="76"/>
      <c r="I562" s="76"/>
      <c r="J562" s="3" t="s">
        <v>1002</v>
      </c>
      <c r="K562" s="3" t="s">
        <v>99</v>
      </c>
      <c r="L562" s="3">
        <v>0</v>
      </c>
      <c r="M562" s="3">
        <v>10.1</v>
      </c>
      <c r="N562" s="3">
        <v>32.700000000000003</v>
      </c>
      <c r="O562" s="1"/>
      <c r="Q562" s="73" t="s">
        <v>37</v>
      </c>
    </row>
    <row r="563" spans="2:18" ht="30" hidden="1" customHeight="1" x14ac:dyDescent="0.2">
      <c r="B563" s="76"/>
      <c r="C563" s="76"/>
      <c r="D563" s="76"/>
      <c r="E563" s="76"/>
      <c r="F563" s="76"/>
      <c r="G563" s="76"/>
      <c r="H563" s="76"/>
      <c r="I563" s="76"/>
      <c r="J563" s="3" t="s">
        <v>1003</v>
      </c>
      <c r="K563" s="3" t="s">
        <v>99</v>
      </c>
      <c r="L563" s="3">
        <v>0</v>
      </c>
      <c r="M563" s="3">
        <v>0</v>
      </c>
      <c r="N563" s="3">
        <v>0</v>
      </c>
      <c r="O563" s="1"/>
      <c r="Q563" s="73" t="s">
        <v>37</v>
      </c>
    </row>
    <row r="564" spans="2:18" ht="32.25" hidden="1" customHeight="1" x14ac:dyDescent="0.2">
      <c r="B564" s="77"/>
      <c r="C564" s="77"/>
      <c r="D564" s="77"/>
      <c r="E564" s="77"/>
      <c r="F564" s="77"/>
      <c r="G564" s="77"/>
      <c r="H564" s="77"/>
      <c r="I564" s="77"/>
      <c r="J564" s="3" t="s">
        <v>1004</v>
      </c>
      <c r="K564" s="3" t="s">
        <v>99</v>
      </c>
      <c r="L564" s="3">
        <v>0</v>
      </c>
      <c r="M564" s="3">
        <v>0</v>
      </c>
      <c r="N564" s="3">
        <v>0</v>
      </c>
      <c r="O564" s="1"/>
      <c r="Q564" s="73" t="s">
        <v>37</v>
      </c>
    </row>
    <row r="565" spans="2:18" ht="38.25" hidden="1" customHeight="1" x14ac:dyDescent="0.2">
      <c r="B565" s="181" t="s">
        <v>160</v>
      </c>
      <c r="C565" s="181" t="s">
        <v>160</v>
      </c>
      <c r="D565" s="181" t="s">
        <v>160</v>
      </c>
      <c r="E565" s="181"/>
      <c r="F565" s="181" t="s">
        <v>1005</v>
      </c>
      <c r="G565" s="182">
        <v>719785.6</v>
      </c>
      <c r="H565" s="182">
        <v>1665212.9</v>
      </c>
      <c r="I565" s="182">
        <v>1999591.2</v>
      </c>
      <c r="J565" s="3" t="s">
        <v>1006</v>
      </c>
      <c r="K565" s="3" t="s">
        <v>936</v>
      </c>
      <c r="L565" s="3">
        <v>442</v>
      </c>
      <c r="M565" s="3">
        <v>442</v>
      </c>
      <c r="N565" s="3">
        <v>442</v>
      </c>
      <c r="O565" s="1"/>
      <c r="Q565" s="72" t="s">
        <v>34</v>
      </c>
    </row>
    <row r="566" spans="2:18" ht="36" hidden="1" customHeight="1" x14ac:dyDescent="0.2">
      <c r="B566" s="76"/>
      <c r="C566" s="76"/>
      <c r="D566" s="76"/>
      <c r="E566" s="76"/>
      <c r="F566" s="76"/>
      <c r="G566" s="76"/>
      <c r="H566" s="76"/>
      <c r="I566" s="76"/>
      <c r="J566" s="3" t="s">
        <v>998</v>
      </c>
      <c r="K566" s="3" t="s">
        <v>936</v>
      </c>
      <c r="L566" s="3">
        <v>50</v>
      </c>
      <c r="M566" s="3">
        <v>43.3</v>
      </c>
      <c r="N566" s="3">
        <v>62</v>
      </c>
      <c r="O566" s="1"/>
      <c r="Q566" s="73" t="s">
        <v>37</v>
      </c>
    </row>
    <row r="567" spans="2:18" ht="45" hidden="1" customHeight="1" x14ac:dyDescent="0.2">
      <c r="B567" s="76"/>
      <c r="C567" s="76"/>
      <c r="D567" s="76"/>
      <c r="E567" s="76"/>
      <c r="F567" s="76"/>
      <c r="G567" s="76"/>
      <c r="H567" s="76"/>
      <c r="I567" s="76"/>
      <c r="J567" s="3" t="s">
        <v>1007</v>
      </c>
      <c r="K567" s="3" t="s">
        <v>99</v>
      </c>
      <c r="L567" s="3">
        <v>11.3</v>
      </c>
      <c r="M567" s="3">
        <v>9.8000000000000007</v>
      </c>
      <c r="N567" s="3">
        <v>14</v>
      </c>
      <c r="O567" s="1"/>
      <c r="Q567" s="73" t="s">
        <v>37</v>
      </c>
    </row>
    <row r="568" spans="2:18" ht="32.25" hidden="1" customHeight="1" x14ac:dyDescent="0.2">
      <c r="B568" s="76"/>
      <c r="C568" s="76"/>
      <c r="D568" s="76"/>
      <c r="E568" s="76"/>
      <c r="F568" s="76"/>
      <c r="G568" s="76"/>
      <c r="H568" s="76"/>
      <c r="I568" s="76"/>
      <c r="J568" s="3" t="s">
        <v>1008</v>
      </c>
      <c r="K568" s="3" t="s">
        <v>936</v>
      </c>
      <c r="L568" s="3">
        <v>76</v>
      </c>
      <c r="M568" s="3">
        <v>76</v>
      </c>
      <c r="N568" s="3">
        <v>76</v>
      </c>
      <c r="O568" s="1"/>
      <c r="Q568" s="73" t="s">
        <v>37</v>
      </c>
    </row>
    <row r="569" spans="2:18" ht="24" hidden="1" customHeight="1" x14ac:dyDescent="0.2">
      <c r="B569" s="76"/>
      <c r="C569" s="76"/>
      <c r="D569" s="76"/>
      <c r="E569" s="76"/>
      <c r="F569" s="76"/>
      <c r="G569" s="76"/>
      <c r="H569" s="76"/>
      <c r="I569" s="76"/>
      <c r="J569" s="3" t="s">
        <v>1009</v>
      </c>
      <c r="K569" s="3" t="s">
        <v>936</v>
      </c>
      <c r="L569" s="3">
        <v>9</v>
      </c>
      <c r="M569" s="3">
        <v>0</v>
      </c>
      <c r="N569" s="3">
        <v>0</v>
      </c>
      <c r="O569" s="1"/>
      <c r="Q569" s="73" t="s">
        <v>37</v>
      </c>
    </row>
    <row r="570" spans="2:18" ht="42" hidden="1" customHeight="1" x14ac:dyDescent="0.2">
      <c r="B570" s="77"/>
      <c r="C570" s="77"/>
      <c r="D570" s="77"/>
      <c r="E570" s="77"/>
      <c r="F570" s="77"/>
      <c r="G570" s="77"/>
      <c r="H570" s="77"/>
      <c r="I570" s="77"/>
      <c r="J570" s="3" t="s">
        <v>1010</v>
      </c>
      <c r="K570" s="3" t="s">
        <v>99</v>
      </c>
      <c r="L570" s="3">
        <v>11.8</v>
      </c>
      <c r="M570" s="3">
        <v>0</v>
      </c>
      <c r="N570" s="3">
        <v>0</v>
      </c>
      <c r="O570" s="1"/>
      <c r="Q570" s="73" t="s">
        <v>37</v>
      </c>
    </row>
    <row r="571" spans="2:18" ht="30.75" hidden="1" customHeight="1" x14ac:dyDescent="0.2">
      <c r="B571" s="183" t="s">
        <v>166</v>
      </c>
      <c r="C571" s="183" t="s">
        <v>166</v>
      </c>
      <c r="D571" s="183" t="s">
        <v>166</v>
      </c>
      <c r="E571" s="183"/>
      <c r="F571" s="184" t="s">
        <v>1011</v>
      </c>
      <c r="G571" s="185">
        <v>499752.6</v>
      </c>
      <c r="H571" s="185">
        <v>0</v>
      </c>
      <c r="I571" s="185">
        <v>0</v>
      </c>
      <c r="J571" s="47" t="s">
        <v>347</v>
      </c>
      <c r="K571" s="47" t="s">
        <v>99</v>
      </c>
      <c r="L571" s="47">
        <v>100</v>
      </c>
      <c r="M571" s="47">
        <v>0</v>
      </c>
      <c r="N571" s="47">
        <v>0</v>
      </c>
      <c r="O571" s="1"/>
      <c r="Q571" s="72" t="s">
        <v>34</v>
      </c>
      <c r="R571" s="75" t="s">
        <v>123</v>
      </c>
    </row>
    <row r="572" spans="2:18" ht="42" hidden="1" customHeight="1" x14ac:dyDescent="0.2">
      <c r="B572" s="93" t="s">
        <v>976</v>
      </c>
      <c r="C572" s="93" t="s">
        <v>1012</v>
      </c>
      <c r="D572" s="94"/>
      <c r="E572" s="94"/>
      <c r="F572" s="95" t="s">
        <v>1013</v>
      </c>
      <c r="G572" s="96">
        <v>320964.59999999998</v>
      </c>
      <c r="H572" s="96">
        <v>328106.59999999998</v>
      </c>
      <c r="I572" s="96">
        <v>328415.5</v>
      </c>
      <c r="J572" s="93" t="s">
        <v>253</v>
      </c>
      <c r="K572" s="93" t="s">
        <v>99</v>
      </c>
      <c r="L572" s="93">
        <v>100</v>
      </c>
      <c r="M572" s="93">
        <v>100</v>
      </c>
      <c r="N572" s="93">
        <v>100</v>
      </c>
      <c r="O572" s="1"/>
      <c r="Q572" s="71" t="s">
        <v>40</v>
      </c>
    </row>
    <row r="573" spans="2:18" ht="33" hidden="1" customHeight="1" x14ac:dyDescent="0.2">
      <c r="B573" s="181" t="s">
        <v>100</v>
      </c>
      <c r="C573" s="181" t="s">
        <v>100</v>
      </c>
      <c r="D573" s="181" t="s">
        <v>100</v>
      </c>
      <c r="E573" s="181"/>
      <c r="F573" s="181" t="s">
        <v>1014</v>
      </c>
      <c r="G573" s="182">
        <v>320964.59999999998</v>
      </c>
      <c r="H573" s="182">
        <v>328106.59999999998</v>
      </c>
      <c r="I573" s="182">
        <v>328415.5</v>
      </c>
      <c r="J573" s="3" t="s">
        <v>1015</v>
      </c>
      <c r="K573" s="3" t="s">
        <v>99</v>
      </c>
      <c r="L573" s="3">
        <v>91</v>
      </c>
      <c r="M573" s="3">
        <v>91</v>
      </c>
      <c r="N573" s="3">
        <v>91</v>
      </c>
      <c r="O573" s="1"/>
      <c r="Q573" s="72" t="s">
        <v>34</v>
      </c>
    </row>
    <row r="574" spans="2:18" ht="28.5" hidden="1" customHeight="1" x14ac:dyDescent="0.2">
      <c r="B574" s="76"/>
      <c r="C574" s="76"/>
      <c r="D574" s="76"/>
      <c r="E574" s="76"/>
      <c r="F574" s="76"/>
      <c r="G574" s="76"/>
      <c r="H574" s="76"/>
      <c r="I574" s="76"/>
      <c r="J574" s="3" t="s">
        <v>1016</v>
      </c>
      <c r="K574" s="3" t="s">
        <v>854</v>
      </c>
      <c r="L574" s="3">
        <v>61.5</v>
      </c>
      <c r="M574" s="3">
        <v>61.5</v>
      </c>
      <c r="N574" s="3">
        <v>61.5</v>
      </c>
      <c r="O574" s="1"/>
      <c r="Q574" s="73" t="s">
        <v>37</v>
      </c>
    </row>
    <row r="575" spans="2:18" ht="30.75" hidden="1" customHeight="1" x14ac:dyDescent="0.2">
      <c r="B575" s="77"/>
      <c r="C575" s="77"/>
      <c r="D575" s="77"/>
      <c r="E575" s="77"/>
      <c r="F575" s="77"/>
      <c r="G575" s="77"/>
      <c r="H575" s="77"/>
      <c r="I575" s="77"/>
      <c r="J575" s="3" t="s">
        <v>1017</v>
      </c>
      <c r="K575" s="3" t="s">
        <v>936</v>
      </c>
      <c r="L575" s="3">
        <v>10700</v>
      </c>
      <c r="M575" s="3">
        <v>10700</v>
      </c>
      <c r="N575" s="3">
        <v>10700</v>
      </c>
      <c r="O575" s="1"/>
      <c r="Q575" s="73" t="s">
        <v>37</v>
      </c>
    </row>
    <row r="576" spans="2:18" ht="24.75" customHeight="1" x14ac:dyDescent="0.2">
      <c r="B576" s="99">
        <v>43</v>
      </c>
      <c r="C576" s="99" t="s">
        <v>408</v>
      </c>
      <c r="D576" s="117" t="s">
        <v>100</v>
      </c>
      <c r="E576" s="99"/>
      <c r="F576" s="109" t="s">
        <v>409</v>
      </c>
      <c r="G576" s="110">
        <v>7005240.2000000011</v>
      </c>
      <c r="H576" s="110">
        <v>7030645.3000000007</v>
      </c>
      <c r="I576" s="110">
        <v>6947162.0000000009</v>
      </c>
      <c r="J576" s="111" t="s">
        <v>347</v>
      </c>
      <c r="K576" s="111" t="s">
        <v>99</v>
      </c>
      <c r="L576" s="111">
        <v>100</v>
      </c>
      <c r="M576" s="111">
        <v>100</v>
      </c>
      <c r="N576" s="111">
        <v>100</v>
      </c>
      <c r="O576" s="1"/>
      <c r="Q576" s="118" t="s">
        <v>40</v>
      </c>
    </row>
    <row r="577" spans="1:18" ht="15" hidden="1" customHeight="1" x14ac:dyDescent="0.2">
      <c r="B577" s="174" t="s">
        <v>112</v>
      </c>
      <c r="C577" s="175"/>
      <c r="D577" s="176"/>
      <c r="E577" s="176"/>
      <c r="F577" s="177"/>
      <c r="G577" s="178">
        <v>16881928.100000001</v>
      </c>
      <c r="H577" s="178">
        <v>18079962.199999999</v>
      </c>
      <c r="I577" s="178">
        <v>18352576.800000001</v>
      </c>
      <c r="J577" s="179"/>
      <c r="K577" s="176"/>
      <c r="L577" s="176"/>
      <c r="M577" s="176"/>
      <c r="N577" s="177"/>
      <c r="O577" s="1"/>
      <c r="Q577" s="74" t="s">
        <v>46</v>
      </c>
    </row>
    <row r="578" spans="1:18" ht="15" hidden="1" customHeight="1" x14ac:dyDescent="0.2">
      <c r="A578" s="4" t="str">
        <f>C578</f>
        <v>Министерство культуры, информации  и молодежной политики Кыргызской Республики</v>
      </c>
      <c r="B578" s="87" t="s">
        <v>1018</v>
      </c>
      <c r="C578" s="88" t="s">
        <v>1019</v>
      </c>
      <c r="D578" s="90"/>
      <c r="E578" s="90"/>
      <c r="F578" s="90"/>
      <c r="G578" s="90"/>
      <c r="H578" s="90"/>
      <c r="I578" s="90"/>
      <c r="J578" s="90"/>
      <c r="K578" s="90"/>
      <c r="L578" s="90"/>
      <c r="M578" s="90"/>
      <c r="N578" s="91"/>
      <c r="O578" s="1"/>
      <c r="Q578" s="70" t="s">
        <v>43</v>
      </c>
    </row>
    <row r="579" spans="1:18" hidden="1" x14ac:dyDescent="0.2">
      <c r="B579" s="93" t="s">
        <v>1018</v>
      </c>
      <c r="C579" s="93" t="s">
        <v>96</v>
      </c>
      <c r="D579" s="94"/>
      <c r="E579" s="94"/>
      <c r="F579" s="95" t="s">
        <v>97</v>
      </c>
      <c r="G579" s="96">
        <v>574119.80000000005</v>
      </c>
      <c r="H579" s="96">
        <v>406225</v>
      </c>
      <c r="I579" s="96">
        <v>413820.5</v>
      </c>
      <c r="J579" s="99" t="s">
        <v>304</v>
      </c>
      <c r="K579" s="99" t="s">
        <v>99</v>
      </c>
      <c r="L579" s="99">
        <v>25</v>
      </c>
      <c r="M579" s="99">
        <v>25</v>
      </c>
      <c r="N579" s="99">
        <v>25</v>
      </c>
      <c r="O579" s="1"/>
      <c r="Q579" s="71" t="s">
        <v>40</v>
      </c>
    </row>
    <row r="580" spans="1:18" ht="34.5" hidden="1" customHeight="1" x14ac:dyDescent="0.2">
      <c r="B580" s="183" t="s">
        <v>100</v>
      </c>
      <c r="C580" s="183" t="s">
        <v>100</v>
      </c>
      <c r="D580" s="183" t="s">
        <v>100</v>
      </c>
      <c r="E580" s="183"/>
      <c r="F580" s="184" t="s">
        <v>101</v>
      </c>
      <c r="G580" s="185">
        <v>326940.5</v>
      </c>
      <c r="H580" s="185">
        <v>154121.9</v>
      </c>
      <c r="I580" s="185">
        <v>156695.4</v>
      </c>
      <c r="J580" s="3" t="s">
        <v>304</v>
      </c>
      <c r="K580" s="3" t="s">
        <v>99</v>
      </c>
      <c r="L580" s="3">
        <v>25</v>
      </c>
      <c r="M580" s="3">
        <v>25</v>
      </c>
      <c r="N580" s="3">
        <v>25</v>
      </c>
      <c r="O580" s="1"/>
      <c r="Q580" s="72" t="s">
        <v>34</v>
      </c>
    </row>
    <row r="581" spans="1:18" ht="30" hidden="1" customHeight="1" x14ac:dyDescent="0.2">
      <c r="B581" s="183" t="s">
        <v>120</v>
      </c>
      <c r="C581" s="183" t="s">
        <v>120</v>
      </c>
      <c r="D581" s="183" t="s">
        <v>120</v>
      </c>
      <c r="E581" s="183"/>
      <c r="F581" s="184" t="s">
        <v>203</v>
      </c>
      <c r="G581" s="185">
        <v>247179.3</v>
      </c>
      <c r="H581" s="185">
        <v>252103.1</v>
      </c>
      <c r="I581" s="185">
        <v>257125.1</v>
      </c>
      <c r="J581" s="3" t="s">
        <v>304</v>
      </c>
      <c r="K581" s="3" t="s">
        <v>99</v>
      </c>
      <c r="L581" s="3">
        <v>25</v>
      </c>
      <c r="M581" s="3">
        <v>25</v>
      </c>
      <c r="N581" s="3">
        <v>25</v>
      </c>
      <c r="O581" s="1"/>
      <c r="Q581" s="72" t="s">
        <v>34</v>
      </c>
    </row>
    <row r="582" spans="1:18" ht="41.25" hidden="1" customHeight="1" x14ac:dyDescent="0.2">
      <c r="B582" s="93" t="s">
        <v>1018</v>
      </c>
      <c r="C582" s="93" t="s">
        <v>1020</v>
      </c>
      <c r="D582" s="94"/>
      <c r="E582" s="94"/>
      <c r="F582" s="95" t="s">
        <v>1021</v>
      </c>
      <c r="G582" s="96">
        <v>4708597.9000000004</v>
      </c>
      <c r="H582" s="96">
        <v>4624342.5899999989</v>
      </c>
      <c r="I582" s="96">
        <v>4817274.55</v>
      </c>
      <c r="J582" s="93" t="s">
        <v>253</v>
      </c>
      <c r="K582" s="93" t="s">
        <v>99</v>
      </c>
      <c r="L582" s="93">
        <v>100</v>
      </c>
      <c r="M582" s="93">
        <v>100</v>
      </c>
      <c r="N582" s="93">
        <v>100</v>
      </c>
      <c r="O582" s="1"/>
      <c r="Q582" s="71" t="s">
        <v>40</v>
      </c>
    </row>
    <row r="583" spans="1:18" ht="49.5" hidden="1" customHeight="1" x14ac:dyDescent="0.2">
      <c r="B583" s="181" t="s">
        <v>100</v>
      </c>
      <c r="C583" s="181" t="s">
        <v>100</v>
      </c>
      <c r="D583" s="181" t="s">
        <v>100</v>
      </c>
      <c r="E583" s="181"/>
      <c r="F583" s="181" t="s">
        <v>1022</v>
      </c>
      <c r="G583" s="182">
        <v>2935233.1</v>
      </c>
      <c r="H583" s="182">
        <v>3043239.5</v>
      </c>
      <c r="I583" s="182">
        <v>3300848.15</v>
      </c>
      <c r="J583" s="3" t="s">
        <v>1023</v>
      </c>
      <c r="K583" s="3" t="s">
        <v>105</v>
      </c>
      <c r="L583" s="3">
        <v>18</v>
      </c>
      <c r="M583" s="3">
        <v>20</v>
      </c>
      <c r="N583" s="3">
        <v>20</v>
      </c>
      <c r="O583" s="1"/>
      <c r="Q583" s="72" t="s">
        <v>34</v>
      </c>
    </row>
    <row r="584" spans="1:18" ht="41.25" hidden="1" customHeight="1" x14ac:dyDescent="0.2">
      <c r="B584" s="76"/>
      <c r="C584" s="76"/>
      <c r="D584" s="76"/>
      <c r="E584" s="76"/>
      <c r="F584" s="76"/>
      <c r="G584" s="76"/>
      <c r="H584" s="76"/>
      <c r="I584" s="76"/>
      <c r="J584" s="3" t="s">
        <v>1024</v>
      </c>
      <c r="K584" s="3" t="s">
        <v>105</v>
      </c>
      <c r="L584" s="3">
        <v>850</v>
      </c>
      <c r="M584" s="3">
        <v>900</v>
      </c>
      <c r="N584" s="3">
        <v>900</v>
      </c>
      <c r="O584" s="1"/>
      <c r="Q584" s="73" t="s">
        <v>37</v>
      </c>
    </row>
    <row r="585" spans="1:18" ht="40.5" hidden="1" customHeight="1" x14ac:dyDescent="0.2">
      <c r="B585" s="76"/>
      <c r="C585" s="76"/>
      <c r="D585" s="76"/>
      <c r="E585" s="76"/>
      <c r="F585" s="76"/>
      <c r="G585" s="76"/>
      <c r="H585" s="76"/>
      <c r="I585" s="76"/>
      <c r="J585" s="3" t="s">
        <v>1025</v>
      </c>
      <c r="K585" s="3" t="s">
        <v>105</v>
      </c>
      <c r="L585" s="3">
        <v>2600</v>
      </c>
      <c r="M585" s="3">
        <v>2650</v>
      </c>
      <c r="N585" s="3">
        <v>2650</v>
      </c>
      <c r="O585" s="1"/>
      <c r="Q585" s="73" t="s">
        <v>37</v>
      </c>
    </row>
    <row r="586" spans="1:18" ht="30" hidden="1" customHeight="1" x14ac:dyDescent="0.2">
      <c r="B586" s="76"/>
      <c r="C586" s="76"/>
      <c r="D586" s="76"/>
      <c r="E586" s="76"/>
      <c r="F586" s="76"/>
      <c r="G586" s="76"/>
      <c r="H586" s="76"/>
      <c r="I586" s="76"/>
      <c r="J586" s="3" t="s">
        <v>1026</v>
      </c>
      <c r="K586" s="3" t="s">
        <v>105</v>
      </c>
      <c r="L586" s="3">
        <v>3543.8</v>
      </c>
      <c r="M586" s="3">
        <v>3589.1</v>
      </c>
      <c r="N586" s="3">
        <v>3589.1</v>
      </c>
      <c r="O586" s="1"/>
      <c r="Q586" s="73" t="s">
        <v>37</v>
      </c>
    </row>
    <row r="587" spans="1:18" ht="33.75" hidden="1" customHeight="1" x14ac:dyDescent="0.2">
      <c r="B587" s="77"/>
      <c r="C587" s="77"/>
      <c r="D587" s="77"/>
      <c r="E587" s="77"/>
      <c r="F587" s="77"/>
      <c r="G587" s="77"/>
      <c r="H587" s="77"/>
      <c r="I587" s="77"/>
      <c r="J587" s="3" t="s">
        <v>1027</v>
      </c>
      <c r="K587" s="3" t="s">
        <v>105</v>
      </c>
      <c r="L587" s="3">
        <v>39928</v>
      </c>
      <c r="M587" s="3">
        <v>41848</v>
      </c>
      <c r="N587" s="3">
        <v>41848</v>
      </c>
      <c r="O587" s="1"/>
      <c r="Q587" s="73" t="s">
        <v>37</v>
      </c>
    </row>
    <row r="588" spans="1:18" ht="42" hidden="1" customHeight="1" x14ac:dyDescent="0.2">
      <c r="B588" s="181" t="s">
        <v>120</v>
      </c>
      <c r="C588" s="181" t="s">
        <v>120</v>
      </c>
      <c r="D588" s="181" t="s">
        <v>120</v>
      </c>
      <c r="E588" s="181"/>
      <c r="F588" s="181" t="s">
        <v>1028</v>
      </c>
      <c r="G588" s="182">
        <v>988885.9</v>
      </c>
      <c r="H588" s="182">
        <v>1004733.59</v>
      </c>
      <c r="I588" s="182">
        <v>1032788.7</v>
      </c>
      <c r="J588" s="3" t="s">
        <v>1029</v>
      </c>
      <c r="K588" s="3" t="s">
        <v>105</v>
      </c>
      <c r="L588" s="3">
        <v>32</v>
      </c>
      <c r="M588" s="3">
        <v>34</v>
      </c>
      <c r="N588" s="3">
        <v>34</v>
      </c>
      <c r="O588" s="1"/>
      <c r="Q588" s="72" t="s">
        <v>34</v>
      </c>
    </row>
    <row r="589" spans="1:18" ht="24" hidden="1" customHeight="1" x14ac:dyDescent="0.2">
      <c r="B589" s="77"/>
      <c r="C589" s="77"/>
      <c r="D589" s="77"/>
      <c r="E589" s="77"/>
      <c r="F589" s="77"/>
      <c r="G589" s="77"/>
      <c r="H589" s="77"/>
      <c r="I589" s="77"/>
      <c r="J589" s="3" t="s">
        <v>1030</v>
      </c>
      <c r="K589" s="3" t="s">
        <v>99</v>
      </c>
      <c r="L589" s="3">
        <v>29</v>
      </c>
      <c r="M589" s="3">
        <v>30</v>
      </c>
      <c r="N589" s="3">
        <v>31</v>
      </c>
      <c r="O589" s="1"/>
      <c r="Q589" s="73" t="s">
        <v>37</v>
      </c>
    </row>
    <row r="590" spans="1:18" ht="72" hidden="1" customHeight="1" x14ac:dyDescent="0.2">
      <c r="B590" s="183" t="s">
        <v>150</v>
      </c>
      <c r="C590" s="183" t="s">
        <v>150</v>
      </c>
      <c r="D590" s="183" t="s">
        <v>150</v>
      </c>
      <c r="E590" s="183"/>
      <c r="F590" s="184" t="s">
        <v>1031</v>
      </c>
      <c r="G590" s="185">
        <v>525461.4</v>
      </c>
      <c r="H590" s="185">
        <v>405910.6</v>
      </c>
      <c r="I590" s="185">
        <v>413795.3</v>
      </c>
      <c r="J590" s="3" t="s">
        <v>1032</v>
      </c>
      <c r="K590" s="3" t="s">
        <v>105</v>
      </c>
      <c r="L590" s="3">
        <v>85</v>
      </c>
      <c r="M590" s="3">
        <v>90</v>
      </c>
      <c r="N590" s="3">
        <v>90</v>
      </c>
      <c r="O590" s="1"/>
      <c r="Q590" s="72" t="s">
        <v>34</v>
      </c>
    </row>
    <row r="591" spans="1:18" ht="36" hidden="1" customHeight="1" x14ac:dyDescent="0.2">
      <c r="B591" s="183" t="s">
        <v>124</v>
      </c>
      <c r="C591" s="183" t="s">
        <v>124</v>
      </c>
      <c r="D591" s="183" t="s">
        <v>124</v>
      </c>
      <c r="E591" s="183"/>
      <c r="F591" s="184" t="s">
        <v>1033</v>
      </c>
      <c r="G591" s="185">
        <v>65863.3</v>
      </c>
      <c r="H591" s="185">
        <v>67590.600000000006</v>
      </c>
      <c r="I591" s="185">
        <v>69842.399999999994</v>
      </c>
      <c r="J591" s="3" t="s">
        <v>1034</v>
      </c>
      <c r="K591" s="3" t="s">
        <v>105</v>
      </c>
      <c r="L591" s="3">
        <v>65780</v>
      </c>
      <c r="M591" s="3">
        <v>65920</v>
      </c>
      <c r="N591" s="3">
        <v>65920</v>
      </c>
      <c r="O591" s="1"/>
      <c r="Q591" s="72" t="s">
        <v>34</v>
      </c>
      <c r="R591" s="75" t="s">
        <v>149</v>
      </c>
    </row>
    <row r="592" spans="1:18" ht="36" hidden="1" customHeight="1" x14ac:dyDescent="0.2">
      <c r="B592" s="181" t="s">
        <v>160</v>
      </c>
      <c r="C592" s="181" t="s">
        <v>160</v>
      </c>
      <c r="D592" s="181" t="s">
        <v>160</v>
      </c>
      <c r="E592" s="181"/>
      <c r="F592" s="181" t="s">
        <v>1035</v>
      </c>
      <c r="G592" s="182">
        <v>193154.2</v>
      </c>
      <c r="H592" s="182">
        <v>102868.3</v>
      </c>
      <c r="I592" s="182">
        <v>0</v>
      </c>
      <c r="J592" s="3" t="s">
        <v>1036</v>
      </c>
      <c r="K592" s="3" t="s">
        <v>105</v>
      </c>
      <c r="L592" s="3">
        <v>500</v>
      </c>
      <c r="M592" s="3">
        <v>600</v>
      </c>
      <c r="N592" s="3">
        <v>0</v>
      </c>
      <c r="O592" s="1"/>
      <c r="Q592" s="72" t="s">
        <v>34</v>
      </c>
      <c r="R592" s="75" t="s">
        <v>123</v>
      </c>
    </row>
    <row r="593" spans="1:18" ht="67.5" hidden="1" customHeight="1" x14ac:dyDescent="0.2">
      <c r="B593" s="77"/>
      <c r="C593" s="77"/>
      <c r="D593" s="77"/>
      <c r="E593" s="77"/>
      <c r="F593" s="77"/>
      <c r="G593" s="77"/>
      <c r="H593" s="77"/>
      <c r="I593" s="77"/>
      <c r="J593" s="3" t="s">
        <v>1037</v>
      </c>
      <c r="K593" s="3" t="s">
        <v>105</v>
      </c>
      <c r="L593" s="3">
        <v>4</v>
      </c>
      <c r="M593" s="3">
        <v>4</v>
      </c>
      <c r="N593" s="3">
        <v>0</v>
      </c>
      <c r="O593" s="1"/>
      <c r="Q593" s="73" t="s">
        <v>37</v>
      </c>
    </row>
    <row r="594" spans="1:18" ht="45.75" hidden="1" customHeight="1" x14ac:dyDescent="0.2">
      <c r="B594" s="93" t="s">
        <v>1018</v>
      </c>
      <c r="C594" s="93" t="s">
        <v>1038</v>
      </c>
      <c r="D594" s="94"/>
      <c r="E594" s="94"/>
      <c r="F594" s="95" t="s">
        <v>1039</v>
      </c>
      <c r="G594" s="96">
        <v>1700840.9</v>
      </c>
      <c r="H594" s="96">
        <v>1615240.6</v>
      </c>
      <c r="I594" s="96">
        <v>1657155.3</v>
      </c>
      <c r="J594" s="93" t="s">
        <v>253</v>
      </c>
      <c r="K594" s="93" t="s">
        <v>99</v>
      </c>
      <c r="L594" s="93">
        <v>100</v>
      </c>
      <c r="M594" s="93">
        <v>100</v>
      </c>
      <c r="N594" s="93">
        <v>100</v>
      </c>
      <c r="O594" s="1"/>
      <c r="Q594" s="71" t="s">
        <v>40</v>
      </c>
    </row>
    <row r="595" spans="1:18" ht="44.25" hidden="1" customHeight="1" x14ac:dyDescent="0.2">
      <c r="B595" s="183" t="s">
        <v>100</v>
      </c>
      <c r="C595" s="183" t="s">
        <v>100</v>
      </c>
      <c r="D595" s="183" t="s">
        <v>100</v>
      </c>
      <c r="E595" s="183"/>
      <c r="F595" s="184" t="s">
        <v>1040</v>
      </c>
      <c r="G595" s="185">
        <v>1651215.3</v>
      </c>
      <c r="H595" s="185">
        <v>1588289.1</v>
      </c>
      <c r="I595" s="185">
        <v>1628203.8</v>
      </c>
      <c r="J595" s="3" t="s">
        <v>1041</v>
      </c>
      <c r="K595" s="3" t="s">
        <v>105</v>
      </c>
      <c r="L595" s="3">
        <v>1200</v>
      </c>
      <c r="M595" s="3">
        <v>1208</v>
      </c>
      <c r="N595" s="3">
        <v>1208</v>
      </c>
      <c r="O595" s="1"/>
      <c r="Q595" s="72" t="s">
        <v>34</v>
      </c>
      <c r="R595" s="75" t="s">
        <v>169</v>
      </c>
    </row>
    <row r="596" spans="1:18" ht="32.25" hidden="1" customHeight="1" x14ac:dyDescent="0.2">
      <c r="B596" s="183" t="s">
        <v>120</v>
      </c>
      <c r="C596" s="183" t="s">
        <v>120</v>
      </c>
      <c r="D596" s="183" t="s">
        <v>120</v>
      </c>
      <c r="E596" s="183"/>
      <c r="F596" s="184" t="s">
        <v>1042</v>
      </c>
      <c r="G596" s="185">
        <v>49625.599999999999</v>
      </c>
      <c r="H596" s="185">
        <v>26951.5</v>
      </c>
      <c r="I596" s="185">
        <v>28951.5</v>
      </c>
      <c r="J596" s="3" t="s">
        <v>1043</v>
      </c>
      <c r="K596" s="3" t="s">
        <v>105</v>
      </c>
      <c r="L596" s="3">
        <v>290</v>
      </c>
      <c r="M596" s="3">
        <v>290</v>
      </c>
      <c r="N596" s="3">
        <v>290</v>
      </c>
      <c r="O596" s="1"/>
      <c r="Q596" s="72" t="s">
        <v>34</v>
      </c>
    </row>
    <row r="597" spans="1:18" ht="15" hidden="1" customHeight="1" x14ac:dyDescent="0.2">
      <c r="B597" s="174" t="s">
        <v>112</v>
      </c>
      <c r="C597" s="175"/>
      <c r="D597" s="176"/>
      <c r="E597" s="176"/>
      <c r="F597" s="177"/>
      <c r="G597" s="178">
        <v>6983558.6000000006</v>
      </c>
      <c r="H597" s="178">
        <v>6645808.1899999985</v>
      </c>
      <c r="I597" s="178">
        <v>6888250.3499999996</v>
      </c>
      <c r="J597" s="179"/>
      <c r="K597" s="176"/>
      <c r="L597" s="176"/>
      <c r="M597" s="176"/>
      <c r="N597" s="177"/>
      <c r="O597" s="1"/>
      <c r="Q597" s="74" t="s">
        <v>46</v>
      </c>
    </row>
    <row r="598" spans="1:18" ht="15" hidden="1" customHeight="1" x14ac:dyDescent="0.2">
      <c r="A598" s="4" t="str">
        <f>C598</f>
        <v>Министерство чрезвычайных ситуаций Кыргызской Республики</v>
      </c>
      <c r="B598" s="87" t="s">
        <v>464</v>
      </c>
      <c r="C598" s="88" t="s">
        <v>1044</v>
      </c>
      <c r="D598" s="90"/>
      <c r="E598" s="90"/>
      <c r="F598" s="90"/>
      <c r="G598" s="90"/>
      <c r="H598" s="90"/>
      <c r="I598" s="90"/>
      <c r="J598" s="90"/>
      <c r="K598" s="90"/>
      <c r="L598" s="90"/>
      <c r="M598" s="90"/>
      <c r="N598" s="91"/>
      <c r="O598" s="1"/>
      <c r="Q598" s="70" t="s">
        <v>43</v>
      </c>
    </row>
    <row r="599" spans="1:18" hidden="1" x14ac:dyDescent="0.2">
      <c r="B599" s="93" t="s">
        <v>464</v>
      </c>
      <c r="C599" s="93" t="s">
        <v>96</v>
      </c>
      <c r="D599" s="94"/>
      <c r="E599" s="94"/>
      <c r="F599" s="95" t="s">
        <v>97</v>
      </c>
      <c r="G599" s="96">
        <v>184945.8</v>
      </c>
      <c r="H599" s="96">
        <v>188644.6</v>
      </c>
      <c r="I599" s="96">
        <v>192417.8</v>
      </c>
      <c r="J599" s="99" t="s">
        <v>304</v>
      </c>
      <c r="K599" s="99" t="s">
        <v>662</v>
      </c>
      <c r="L599" s="99">
        <v>50</v>
      </c>
      <c r="M599" s="99">
        <v>50</v>
      </c>
      <c r="N599" s="99">
        <v>50</v>
      </c>
      <c r="O599" s="1"/>
      <c r="Q599" s="71" t="s">
        <v>40</v>
      </c>
    </row>
    <row r="600" spans="1:18" ht="24" hidden="1" customHeight="1" x14ac:dyDescent="0.2">
      <c r="B600" s="183" t="s">
        <v>100</v>
      </c>
      <c r="C600" s="183" t="s">
        <v>100</v>
      </c>
      <c r="D600" s="183" t="s">
        <v>100</v>
      </c>
      <c r="E600" s="183"/>
      <c r="F600" s="184" t="s">
        <v>101</v>
      </c>
      <c r="G600" s="185">
        <v>184945.8</v>
      </c>
      <c r="H600" s="185">
        <v>188644.6</v>
      </c>
      <c r="I600" s="185">
        <v>192417.8</v>
      </c>
      <c r="J600" s="3" t="s">
        <v>304</v>
      </c>
      <c r="K600" s="3" t="s">
        <v>662</v>
      </c>
      <c r="L600" s="3">
        <v>50</v>
      </c>
      <c r="M600" s="3">
        <v>50</v>
      </c>
      <c r="N600" s="3">
        <v>50</v>
      </c>
      <c r="O600" s="1"/>
      <c r="Q600" s="72" t="s">
        <v>34</v>
      </c>
    </row>
    <row r="601" spans="1:18" ht="33.75" hidden="1" customHeight="1" x14ac:dyDescent="0.2">
      <c r="B601" s="93" t="s">
        <v>464</v>
      </c>
      <c r="C601" s="93" t="s">
        <v>419</v>
      </c>
      <c r="D601" s="94"/>
      <c r="E601" s="94"/>
      <c r="F601" s="95" t="s">
        <v>420</v>
      </c>
      <c r="G601" s="96">
        <v>0</v>
      </c>
      <c r="H601" s="96">
        <v>0</v>
      </c>
      <c r="I601" s="96">
        <v>275</v>
      </c>
      <c r="J601" s="99" t="s">
        <v>1045</v>
      </c>
      <c r="K601" s="99" t="s">
        <v>99</v>
      </c>
      <c r="L601" s="99"/>
      <c r="M601" s="99"/>
      <c r="N601" s="99">
        <v>100</v>
      </c>
      <c r="O601" s="1"/>
      <c r="Q601" s="71" t="s">
        <v>40</v>
      </c>
    </row>
    <row r="602" spans="1:18" ht="33.75" hidden="1" customHeight="1" x14ac:dyDescent="0.2">
      <c r="B602" s="183" t="s">
        <v>124</v>
      </c>
      <c r="C602" s="183" t="s">
        <v>124</v>
      </c>
      <c r="D602" s="183" t="s">
        <v>124</v>
      </c>
      <c r="E602" s="183"/>
      <c r="F602" s="184" t="s">
        <v>424</v>
      </c>
      <c r="G602" s="185">
        <v>0</v>
      </c>
      <c r="H602" s="185">
        <v>0</v>
      </c>
      <c r="I602" s="185">
        <v>275</v>
      </c>
      <c r="J602" s="23" t="s">
        <v>1045</v>
      </c>
      <c r="K602" s="27" t="s">
        <v>99</v>
      </c>
      <c r="L602" s="27"/>
      <c r="M602" s="27"/>
      <c r="N602" s="27">
        <v>100</v>
      </c>
      <c r="O602" s="1"/>
      <c r="Q602" s="72" t="s">
        <v>34</v>
      </c>
    </row>
    <row r="603" spans="1:18" ht="36" hidden="1" customHeight="1" x14ac:dyDescent="0.2">
      <c r="B603" s="93" t="s">
        <v>464</v>
      </c>
      <c r="C603" s="93" t="s">
        <v>1046</v>
      </c>
      <c r="D603" s="94"/>
      <c r="E603" s="94"/>
      <c r="F603" s="95" t="s">
        <v>1047</v>
      </c>
      <c r="G603" s="96">
        <v>691230.10000000009</v>
      </c>
      <c r="H603" s="96">
        <v>656849.10000000009</v>
      </c>
      <c r="I603" s="96">
        <v>620173.1</v>
      </c>
      <c r="J603" s="93" t="s">
        <v>253</v>
      </c>
      <c r="K603" s="93" t="s">
        <v>99</v>
      </c>
      <c r="L603" s="93">
        <v>100</v>
      </c>
      <c r="M603" s="93">
        <v>100</v>
      </c>
      <c r="N603" s="93">
        <v>100</v>
      </c>
      <c r="O603" s="1"/>
      <c r="Q603" s="71" t="s">
        <v>40</v>
      </c>
    </row>
    <row r="604" spans="1:18" ht="46.5" hidden="1" customHeight="1" x14ac:dyDescent="0.2">
      <c r="B604" s="181" t="s">
        <v>100</v>
      </c>
      <c r="C604" s="181" t="s">
        <v>100</v>
      </c>
      <c r="D604" s="181" t="s">
        <v>100</v>
      </c>
      <c r="E604" s="181"/>
      <c r="F604" s="181" t="s">
        <v>1048</v>
      </c>
      <c r="G604" s="182">
        <v>29856.7</v>
      </c>
      <c r="H604" s="182">
        <v>30249.8</v>
      </c>
      <c r="I604" s="182">
        <v>32172.9</v>
      </c>
      <c r="J604" s="3" t="s">
        <v>1049</v>
      </c>
      <c r="K604" s="3" t="s">
        <v>99</v>
      </c>
      <c r="L604" s="3">
        <v>100</v>
      </c>
      <c r="M604" s="3">
        <v>100</v>
      </c>
      <c r="N604" s="3">
        <v>100</v>
      </c>
      <c r="O604" s="1"/>
      <c r="Q604" s="72" t="s">
        <v>34</v>
      </c>
    </row>
    <row r="605" spans="1:18" ht="42" hidden="1" customHeight="1" x14ac:dyDescent="0.2">
      <c r="B605" s="77"/>
      <c r="C605" s="77"/>
      <c r="D605" s="77"/>
      <c r="E605" s="77"/>
      <c r="F605" s="77"/>
      <c r="G605" s="77"/>
      <c r="H605" s="77"/>
      <c r="I605" s="77"/>
      <c r="J605" s="3" t="s">
        <v>1050</v>
      </c>
      <c r="K605" s="3" t="s">
        <v>99</v>
      </c>
      <c r="L605" s="3">
        <v>100</v>
      </c>
      <c r="M605" s="3">
        <v>100</v>
      </c>
      <c r="N605" s="3">
        <v>100</v>
      </c>
      <c r="O605" s="1"/>
      <c r="Q605" s="73" t="s">
        <v>37</v>
      </c>
    </row>
    <row r="606" spans="1:18" ht="40.5" hidden="1" customHeight="1" x14ac:dyDescent="0.2">
      <c r="B606" s="183" t="s">
        <v>120</v>
      </c>
      <c r="C606" s="183" t="s">
        <v>120</v>
      </c>
      <c r="D606" s="183" t="s">
        <v>120</v>
      </c>
      <c r="E606" s="183"/>
      <c r="F606" s="184" t="s">
        <v>1051</v>
      </c>
      <c r="G606" s="185">
        <v>134368</v>
      </c>
      <c r="H606" s="185">
        <v>89504</v>
      </c>
      <c r="I606" s="185">
        <v>39917</v>
      </c>
      <c r="J606" s="3" t="s">
        <v>1052</v>
      </c>
      <c r="K606" s="3" t="s">
        <v>99</v>
      </c>
      <c r="L606" s="3">
        <v>95</v>
      </c>
      <c r="M606" s="3">
        <v>95</v>
      </c>
      <c r="N606" s="3">
        <v>95</v>
      </c>
      <c r="O606" s="1"/>
      <c r="Q606" s="72" t="s">
        <v>34</v>
      </c>
      <c r="R606" s="75" t="s">
        <v>149</v>
      </c>
    </row>
    <row r="607" spans="1:18" ht="36" hidden="1" customHeight="1" x14ac:dyDescent="0.2">
      <c r="B607" s="183" t="s">
        <v>150</v>
      </c>
      <c r="C607" s="183" t="s">
        <v>150</v>
      </c>
      <c r="D607" s="183" t="s">
        <v>150</v>
      </c>
      <c r="E607" s="183"/>
      <c r="F607" s="184" t="s">
        <v>1053</v>
      </c>
      <c r="G607" s="185">
        <v>527005.4</v>
      </c>
      <c r="H607" s="185">
        <v>537095.30000000005</v>
      </c>
      <c r="I607" s="185">
        <v>548083.19999999995</v>
      </c>
      <c r="J607" s="3" t="s">
        <v>1054</v>
      </c>
      <c r="K607" s="3" t="s">
        <v>1055</v>
      </c>
      <c r="L607" s="3">
        <v>7</v>
      </c>
      <c r="M607" s="3">
        <v>7</v>
      </c>
      <c r="N607" s="3">
        <v>7</v>
      </c>
      <c r="O607" s="1"/>
      <c r="Q607" s="72" t="s">
        <v>34</v>
      </c>
    </row>
    <row r="608" spans="1:18" ht="36.75" hidden="1" customHeight="1" x14ac:dyDescent="0.2">
      <c r="B608" s="93" t="s">
        <v>464</v>
      </c>
      <c r="C608" s="93" t="s">
        <v>1056</v>
      </c>
      <c r="D608" s="94"/>
      <c r="E608" s="94"/>
      <c r="F608" s="95" t="s">
        <v>1057</v>
      </c>
      <c r="G608" s="96">
        <v>3803591.2</v>
      </c>
      <c r="H608" s="96">
        <v>3881073.5</v>
      </c>
      <c r="I608" s="96">
        <v>3961712.9</v>
      </c>
      <c r="J608" s="93" t="s">
        <v>253</v>
      </c>
      <c r="K608" s="93" t="s">
        <v>99</v>
      </c>
      <c r="L608" s="93">
        <v>100</v>
      </c>
      <c r="M608" s="93">
        <v>100</v>
      </c>
      <c r="N608" s="93">
        <v>100</v>
      </c>
      <c r="O608" s="1"/>
      <c r="Q608" s="71" t="s">
        <v>40</v>
      </c>
    </row>
    <row r="609" spans="2:17" ht="25.5" hidden="1" customHeight="1" x14ac:dyDescent="0.2">
      <c r="B609" s="181" t="s">
        <v>100</v>
      </c>
      <c r="C609" s="181" t="s">
        <v>100</v>
      </c>
      <c r="D609" s="181" t="s">
        <v>100</v>
      </c>
      <c r="E609" s="181"/>
      <c r="F609" s="181" t="s">
        <v>1058</v>
      </c>
      <c r="G609" s="182">
        <v>678450.9</v>
      </c>
      <c r="H609" s="182">
        <v>690820.1</v>
      </c>
      <c r="I609" s="182">
        <v>704636.4</v>
      </c>
      <c r="J609" s="3" t="s">
        <v>1059</v>
      </c>
      <c r="K609" s="3" t="s">
        <v>223</v>
      </c>
      <c r="L609" s="3">
        <v>16000</v>
      </c>
      <c r="M609" s="3">
        <v>16000</v>
      </c>
      <c r="N609" s="3">
        <v>16000</v>
      </c>
      <c r="O609" s="1"/>
      <c r="Q609" s="72" t="s">
        <v>34</v>
      </c>
    </row>
    <row r="610" spans="2:17" ht="31.5" hidden="1" customHeight="1" x14ac:dyDescent="0.2">
      <c r="B610" s="77"/>
      <c r="C610" s="77"/>
      <c r="D610" s="77"/>
      <c r="E610" s="77"/>
      <c r="F610" s="77"/>
      <c r="G610" s="77"/>
      <c r="H610" s="77"/>
      <c r="I610" s="77"/>
      <c r="J610" s="3" t="s">
        <v>1060</v>
      </c>
      <c r="K610" s="3" t="s">
        <v>223</v>
      </c>
      <c r="L610" s="3">
        <v>5100</v>
      </c>
      <c r="M610" s="3">
        <v>5100</v>
      </c>
      <c r="N610" s="3">
        <v>5100</v>
      </c>
      <c r="O610" s="1"/>
      <c r="Q610" s="73" t="s">
        <v>37</v>
      </c>
    </row>
    <row r="611" spans="2:17" ht="15" hidden="1" customHeight="1" x14ac:dyDescent="0.2">
      <c r="B611" s="181" t="s">
        <v>120</v>
      </c>
      <c r="C611" s="181" t="s">
        <v>120</v>
      </c>
      <c r="D611" s="181" t="s">
        <v>120</v>
      </c>
      <c r="E611" s="181"/>
      <c r="F611" s="181" t="s">
        <v>1061</v>
      </c>
      <c r="G611" s="182">
        <v>16617</v>
      </c>
      <c r="H611" s="182">
        <v>16949.3</v>
      </c>
      <c r="I611" s="182">
        <v>17288.3</v>
      </c>
      <c r="J611" s="3" t="s">
        <v>1062</v>
      </c>
      <c r="K611" s="3" t="s">
        <v>99</v>
      </c>
      <c r="L611" s="3">
        <v>100</v>
      </c>
      <c r="M611" s="3">
        <v>100</v>
      </c>
      <c r="N611" s="3">
        <v>100</v>
      </c>
      <c r="O611" s="1"/>
      <c r="Q611" s="72" t="s">
        <v>34</v>
      </c>
    </row>
    <row r="612" spans="2:17" ht="39" hidden="1" customHeight="1" x14ac:dyDescent="0.2">
      <c r="B612" s="77"/>
      <c r="C612" s="77"/>
      <c r="D612" s="77"/>
      <c r="E612" s="77"/>
      <c r="F612" s="77"/>
      <c r="G612" s="77"/>
      <c r="H612" s="77"/>
      <c r="I612" s="77"/>
      <c r="J612" s="3" t="s">
        <v>1063</v>
      </c>
      <c r="K612" s="3" t="s">
        <v>223</v>
      </c>
      <c r="L612" s="3">
        <v>4</v>
      </c>
      <c r="M612" s="3">
        <v>4</v>
      </c>
      <c r="N612" s="3">
        <v>4</v>
      </c>
      <c r="O612" s="1"/>
      <c r="Q612" s="73" t="s">
        <v>37</v>
      </c>
    </row>
    <row r="613" spans="2:17" ht="45" hidden="1" customHeight="1" x14ac:dyDescent="0.2">
      <c r="B613" s="183" t="s">
        <v>150</v>
      </c>
      <c r="C613" s="183" t="s">
        <v>150</v>
      </c>
      <c r="D613" s="183" t="s">
        <v>150</v>
      </c>
      <c r="E613" s="183"/>
      <c r="F613" s="184" t="s">
        <v>1064</v>
      </c>
      <c r="G613" s="185">
        <v>3108523.3</v>
      </c>
      <c r="H613" s="185">
        <v>3173304.1</v>
      </c>
      <c r="I613" s="185">
        <v>3239788.2</v>
      </c>
      <c r="J613" s="3" t="s">
        <v>1065</v>
      </c>
      <c r="K613" s="3" t="s">
        <v>99</v>
      </c>
      <c r="L613" s="3">
        <v>80</v>
      </c>
      <c r="M613" s="3">
        <v>80</v>
      </c>
      <c r="N613" s="3">
        <v>80</v>
      </c>
      <c r="O613" s="1"/>
      <c r="Q613" s="72" t="s">
        <v>34</v>
      </c>
    </row>
    <row r="614" spans="2:17" ht="30.75" hidden="1" customHeight="1" x14ac:dyDescent="0.2">
      <c r="B614" s="93" t="s">
        <v>464</v>
      </c>
      <c r="C614" s="93" t="s">
        <v>1066</v>
      </c>
      <c r="D614" s="94"/>
      <c r="E614" s="94"/>
      <c r="F614" s="95" t="s">
        <v>1067</v>
      </c>
      <c r="G614" s="96">
        <v>63032.6</v>
      </c>
      <c r="H614" s="96">
        <v>64644.800000000003</v>
      </c>
      <c r="I614" s="96">
        <v>66896.600000000006</v>
      </c>
      <c r="J614" s="93" t="s">
        <v>253</v>
      </c>
      <c r="K614" s="93" t="s">
        <v>99</v>
      </c>
      <c r="L614" s="93">
        <v>100</v>
      </c>
      <c r="M614" s="93">
        <v>100</v>
      </c>
      <c r="N614" s="93">
        <v>100</v>
      </c>
      <c r="O614" s="1"/>
      <c r="Q614" s="71" t="s">
        <v>40</v>
      </c>
    </row>
    <row r="615" spans="2:17" ht="45" hidden="1" customHeight="1" x14ac:dyDescent="0.2">
      <c r="B615" s="183" t="s">
        <v>100</v>
      </c>
      <c r="C615" s="183" t="s">
        <v>100</v>
      </c>
      <c r="D615" s="183" t="s">
        <v>100</v>
      </c>
      <c r="E615" s="183"/>
      <c r="F615" s="184" t="s">
        <v>1068</v>
      </c>
      <c r="G615" s="185">
        <v>34056</v>
      </c>
      <c r="H615" s="185">
        <v>35153.4</v>
      </c>
      <c r="I615" s="185">
        <v>36330.5</v>
      </c>
      <c r="J615" s="3" t="s">
        <v>1069</v>
      </c>
      <c r="K615" s="3" t="s">
        <v>223</v>
      </c>
      <c r="L615" s="3">
        <v>1700</v>
      </c>
      <c r="M615" s="3">
        <v>1700</v>
      </c>
      <c r="N615" s="3">
        <v>1700</v>
      </c>
      <c r="O615" s="1"/>
      <c r="Q615" s="72" t="s">
        <v>34</v>
      </c>
    </row>
    <row r="616" spans="2:17" ht="54" hidden="1" customHeight="1" x14ac:dyDescent="0.2">
      <c r="B616" s="183" t="s">
        <v>120</v>
      </c>
      <c r="C616" s="183" t="s">
        <v>120</v>
      </c>
      <c r="D616" s="183" t="s">
        <v>120</v>
      </c>
      <c r="E616" s="183"/>
      <c r="F616" s="184" t="s">
        <v>1070</v>
      </c>
      <c r="G616" s="185">
        <v>28976.6</v>
      </c>
      <c r="H616" s="185">
        <v>29491.4</v>
      </c>
      <c r="I616" s="185">
        <v>30566.1</v>
      </c>
      <c r="J616" s="3" t="s">
        <v>1071</v>
      </c>
      <c r="K616" s="3" t="s">
        <v>99</v>
      </c>
      <c r="L616" s="3">
        <v>100</v>
      </c>
      <c r="M616" s="3">
        <v>100</v>
      </c>
      <c r="N616" s="3">
        <v>100</v>
      </c>
      <c r="O616" s="1"/>
      <c r="Q616" s="72" t="s">
        <v>34</v>
      </c>
    </row>
    <row r="617" spans="2:17" ht="35.25" hidden="1" customHeight="1" x14ac:dyDescent="0.2">
      <c r="B617" s="93" t="s">
        <v>464</v>
      </c>
      <c r="C617" s="93" t="s">
        <v>1072</v>
      </c>
      <c r="D617" s="94"/>
      <c r="E617" s="94"/>
      <c r="F617" s="95" t="s">
        <v>1073</v>
      </c>
      <c r="G617" s="96">
        <v>4522247.8</v>
      </c>
      <c r="H617" s="96">
        <v>4631889.5</v>
      </c>
      <c r="I617" s="96">
        <v>4741723.9000000004</v>
      </c>
      <c r="J617" s="93" t="s">
        <v>253</v>
      </c>
      <c r="K617" s="93" t="s">
        <v>99</v>
      </c>
      <c r="L617" s="93">
        <v>100</v>
      </c>
      <c r="M617" s="93">
        <v>100</v>
      </c>
      <c r="N617" s="93">
        <v>100</v>
      </c>
      <c r="O617" s="1"/>
      <c r="Q617" s="71" t="s">
        <v>40</v>
      </c>
    </row>
    <row r="618" spans="2:17" ht="34.5" hidden="1" customHeight="1" x14ac:dyDescent="0.2">
      <c r="B618" s="183" t="s">
        <v>100</v>
      </c>
      <c r="C618" s="183" t="s">
        <v>100</v>
      </c>
      <c r="D618" s="183" t="s">
        <v>100</v>
      </c>
      <c r="E618" s="183"/>
      <c r="F618" s="184" t="s">
        <v>1074</v>
      </c>
      <c r="G618" s="185">
        <v>371826.8</v>
      </c>
      <c r="H618" s="185">
        <v>373353.4</v>
      </c>
      <c r="I618" s="185">
        <v>373910.4</v>
      </c>
      <c r="J618" s="3" t="s">
        <v>1075</v>
      </c>
      <c r="K618" s="3" t="s">
        <v>223</v>
      </c>
      <c r="L618" s="3">
        <v>80</v>
      </c>
      <c r="M618" s="3">
        <v>80</v>
      </c>
      <c r="N618" s="3">
        <v>80</v>
      </c>
      <c r="O618" s="1"/>
      <c r="Q618" s="72" t="s">
        <v>34</v>
      </c>
    </row>
    <row r="619" spans="2:17" ht="27" hidden="1" customHeight="1" x14ac:dyDescent="0.2">
      <c r="B619" s="181" t="s">
        <v>120</v>
      </c>
      <c r="C619" s="181" t="s">
        <v>120</v>
      </c>
      <c r="D619" s="181" t="s">
        <v>120</v>
      </c>
      <c r="E619" s="181"/>
      <c r="F619" s="181" t="s">
        <v>1076</v>
      </c>
      <c r="G619" s="182">
        <v>4150421</v>
      </c>
      <c r="H619" s="182">
        <v>4258536.0999999996</v>
      </c>
      <c r="I619" s="182">
        <v>4367813.5</v>
      </c>
      <c r="J619" s="3" t="s">
        <v>1077</v>
      </c>
      <c r="K619" s="3" t="s">
        <v>99</v>
      </c>
      <c r="L619" s="3">
        <v>45</v>
      </c>
      <c r="M619" s="3">
        <v>45</v>
      </c>
      <c r="N619" s="3">
        <v>45</v>
      </c>
      <c r="O619" s="1"/>
      <c r="Q619" s="72" t="s">
        <v>34</v>
      </c>
    </row>
    <row r="620" spans="2:17" ht="27" hidden="1" customHeight="1" x14ac:dyDescent="0.2">
      <c r="B620" s="77"/>
      <c r="C620" s="77"/>
      <c r="D620" s="77"/>
      <c r="E620" s="77"/>
      <c r="F620" s="77"/>
      <c r="G620" s="77"/>
      <c r="H620" s="77"/>
      <c r="I620" s="77"/>
      <c r="J620" s="3" t="s">
        <v>1078</v>
      </c>
      <c r="K620" s="3" t="s">
        <v>99</v>
      </c>
      <c r="L620" s="3">
        <v>45</v>
      </c>
      <c r="M620" s="3">
        <v>45</v>
      </c>
      <c r="N620" s="3">
        <v>45</v>
      </c>
      <c r="O620" s="1"/>
      <c r="Q620" s="73" t="s">
        <v>37</v>
      </c>
    </row>
    <row r="621" spans="2:17" ht="42" hidden="1" customHeight="1" x14ac:dyDescent="0.2">
      <c r="B621" s="93" t="s">
        <v>464</v>
      </c>
      <c r="C621" s="93" t="s">
        <v>1079</v>
      </c>
      <c r="D621" s="94"/>
      <c r="E621" s="94"/>
      <c r="F621" s="95" t="s">
        <v>1080</v>
      </c>
      <c r="G621" s="96">
        <v>1019758.6</v>
      </c>
      <c r="H621" s="96">
        <v>1047802.4</v>
      </c>
      <c r="I621" s="96">
        <v>1074201.8</v>
      </c>
      <c r="J621" s="93" t="s">
        <v>253</v>
      </c>
      <c r="K621" s="93" t="s">
        <v>99</v>
      </c>
      <c r="L621" s="93">
        <v>100</v>
      </c>
      <c r="M621" s="93">
        <v>100</v>
      </c>
      <c r="N621" s="93">
        <v>100</v>
      </c>
      <c r="O621" s="1"/>
      <c r="Q621" s="71" t="s">
        <v>40</v>
      </c>
    </row>
    <row r="622" spans="2:17" ht="33.75" hidden="1" customHeight="1" x14ac:dyDescent="0.2">
      <c r="B622" s="183" t="s">
        <v>100</v>
      </c>
      <c r="C622" s="183" t="s">
        <v>100</v>
      </c>
      <c r="D622" s="183" t="s">
        <v>100</v>
      </c>
      <c r="E622" s="183"/>
      <c r="F622" s="184" t="s">
        <v>1081</v>
      </c>
      <c r="G622" s="185">
        <v>68524</v>
      </c>
      <c r="H622" s="185">
        <v>70364.100000000006</v>
      </c>
      <c r="I622" s="185">
        <v>71959.899999999994</v>
      </c>
      <c r="J622" s="3" t="s">
        <v>1082</v>
      </c>
      <c r="K622" s="3" t="s">
        <v>105</v>
      </c>
      <c r="L622" s="3">
        <v>15</v>
      </c>
      <c r="M622" s="3">
        <v>15</v>
      </c>
      <c r="N622" s="3">
        <v>15</v>
      </c>
      <c r="O622" s="1"/>
      <c r="Q622" s="72" t="s">
        <v>34</v>
      </c>
    </row>
    <row r="623" spans="2:17" ht="36" hidden="1" customHeight="1" x14ac:dyDescent="0.2">
      <c r="B623" s="181" t="s">
        <v>120</v>
      </c>
      <c r="C623" s="181" t="s">
        <v>120</v>
      </c>
      <c r="D623" s="181" t="s">
        <v>120</v>
      </c>
      <c r="E623" s="181"/>
      <c r="F623" s="181" t="s">
        <v>1083</v>
      </c>
      <c r="G623" s="182">
        <v>916857.83</v>
      </c>
      <c r="H623" s="182">
        <v>940738.55</v>
      </c>
      <c r="I623" s="182">
        <v>976539.6</v>
      </c>
      <c r="J623" s="3" t="s">
        <v>1084</v>
      </c>
      <c r="K623" s="3" t="s">
        <v>99</v>
      </c>
      <c r="L623" s="3">
        <v>100</v>
      </c>
      <c r="M623" s="3">
        <v>100</v>
      </c>
      <c r="N623" s="3">
        <v>100</v>
      </c>
      <c r="O623" s="1"/>
      <c r="Q623" s="72" t="s">
        <v>34</v>
      </c>
    </row>
    <row r="624" spans="2:17" ht="28.5" hidden="1" customHeight="1" x14ac:dyDescent="0.2">
      <c r="B624" s="77"/>
      <c r="C624" s="77"/>
      <c r="D624" s="77"/>
      <c r="E624" s="77"/>
      <c r="F624" s="77"/>
      <c r="G624" s="77"/>
      <c r="H624" s="77"/>
      <c r="I624" s="77"/>
      <c r="J624" s="3" t="s">
        <v>1085</v>
      </c>
      <c r="K624" s="3" t="s">
        <v>99</v>
      </c>
      <c r="L624" s="3">
        <v>75</v>
      </c>
      <c r="M624" s="3">
        <v>75</v>
      </c>
      <c r="N624" s="3">
        <v>75</v>
      </c>
      <c r="O624" s="1"/>
      <c r="Q624" s="73" t="s">
        <v>37</v>
      </c>
    </row>
    <row r="625" spans="1:17" ht="15" hidden="1" customHeight="1" x14ac:dyDescent="0.2">
      <c r="B625" s="181" t="s">
        <v>150</v>
      </c>
      <c r="C625" s="181" t="s">
        <v>150</v>
      </c>
      <c r="D625" s="181" t="s">
        <v>150</v>
      </c>
      <c r="E625" s="181"/>
      <c r="F625" s="181" t="s">
        <v>1086</v>
      </c>
      <c r="G625" s="182">
        <v>34376.769999999997</v>
      </c>
      <c r="H625" s="182">
        <v>36699.75</v>
      </c>
      <c r="I625" s="182">
        <v>25702.3</v>
      </c>
      <c r="J625" s="3" t="s">
        <v>1087</v>
      </c>
      <c r="K625" s="3" t="s">
        <v>703</v>
      </c>
      <c r="L625" s="3">
        <v>150</v>
      </c>
      <c r="M625" s="3">
        <v>132.9</v>
      </c>
      <c r="N625" s="3">
        <v>104.5</v>
      </c>
      <c r="O625" s="1"/>
      <c r="Q625" s="72" t="s">
        <v>34</v>
      </c>
    </row>
    <row r="626" spans="1:17" hidden="1" x14ac:dyDescent="0.2">
      <c r="B626" s="76"/>
      <c r="C626" s="76"/>
      <c r="D626" s="76"/>
      <c r="E626" s="76"/>
      <c r="F626" s="76"/>
      <c r="G626" s="76"/>
      <c r="H626" s="76"/>
      <c r="I626" s="76"/>
      <c r="J626" s="3" t="s">
        <v>1088</v>
      </c>
      <c r="K626" s="3" t="s">
        <v>703</v>
      </c>
      <c r="L626" s="3">
        <v>300</v>
      </c>
      <c r="M626" s="3">
        <v>350</v>
      </c>
      <c r="N626" s="3">
        <v>400</v>
      </c>
      <c r="O626" s="1"/>
      <c r="Q626" s="73" t="s">
        <v>37</v>
      </c>
    </row>
    <row r="627" spans="1:17" hidden="1" x14ac:dyDescent="0.2">
      <c r="B627" s="76"/>
      <c r="C627" s="76"/>
      <c r="D627" s="76"/>
      <c r="E627" s="76"/>
      <c r="F627" s="76"/>
      <c r="G627" s="76"/>
      <c r="H627" s="76"/>
      <c r="I627" s="76"/>
      <c r="J627" s="3" t="s">
        <v>1089</v>
      </c>
      <c r="K627" s="3" t="s">
        <v>703</v>
      </c>
      <c r="L627" s="3">
        <v>850</v>
      </c>
      <c r="M627" s="3">
        <v>490</v>
      </c>
      <c r="N627" s="3">
        <v>400</v>
      </c>
      <c r="O627" s="1"/>
      <c r="Q627" s="73" t="s">
        <v>37</v>
      </c>
    </row>
    <row r="628" spans="1:17" hidden="1" x14ac:dyDescent="0.2">
      <c r="B628" s="77"/>
      <c r="C628" s="77"/>
      <c r="D628" s="77"/>
      <c r="E628" s="77"/>
      <c r="F628" s="77"/>
      <c r="G628" s="77"/>
      <c r="H628" s="77"/>
      <c r="I628" s="77"/>
      <c r="J628" s="3" t="s">
        <v>1090</v>
      </c>
      <c r="K628" s="3" t="s">
        <v>155</v>
      </c>
      <c r="L628" s="3">
        <v>150</v>
      </c>
      <c r="M628" s="3">
        <v>132</v>
      </c>
      <c r="N628" s="3">
        <v>104.5</v>
      </c>
      <c r="O628" s="1"/>
      <c r="Q628" s="73" t="s">
        <v>37</v>
      </c>
    </row>
    <row r="629" spans="1:17" x14ac:dyDescent="0.2">
      <c r="B629" s="99">
        <v>45</v>
      </c>
      <c r="C629" s="99" t="s">
        <v>408</v>
      </c>
      <c r="D629" s="117" t="s">
        <v>100</v>
      </c>
      <c r="E629" s="99"/>
      <c r="F629" s="109" t="s">
        <v>409</v>
      </c>
      <c r="G629" s="110">
        <v>3680878.8</v>
      </c>
      <c r="H629" s="110">
        <v>3737633.7</v>
      </c>
      <c r="I629" s="110">
        <v>2219304.7000000002</v>
      </c>
      <c r="J629" s="100" t="s">
        <v>347</v>
      </c>
      <c r="K629" s="100" t="s">
        <v>99</v>
      </c>
      <c r="L629" s="100">
        <v>100</v>
      </c>
      <c r="M629" s="100">
        <v>100</v>
      </c>
      <c r="N629" s="100">
        <v>100</v>
      </c>
      <c r="O629" s="1"/>
      <c r="Q629" s="118" t="s">
        <v>40</v>
      </c>
    </row>
    <row r="630" spans="1:17" ht="15" hidden="1" customHeight="1" x14ac:dyDescent="0.2">
      <c r="B630" s="174" t="s">
        <v>112</v>
      </c>
      <c r="C630" s="175"/>
      <c r="D630" s="176"/>
      <c r="E630" s="176"/>
      <c r="F630" s="177"/>
      <c r="G630" s="178">
        <v>13965684.9</v>
      </c>
      <c r="H630" s="178">
        <v>14208537.6</v>
      </c>
      <c r="I630" s="178">
        <v>12876705.800000001</v>
      </c>
      <c r="J630" s="179"/>
      <c r="K630" s="176"/>
      <c r="L630" s="176"/>
      <c r="M630" s="176"/>
      <c r="N630" s="177"/>
      <c r="O630" s="1"/>
      <c r="Q630" s="74" t="s">
        <v>46</v>
      </c>
    </row>
    <row r="631" spans="1:17" ht="15" hidden="1" customHeight="1" x14ac:dyDescent="0.2">
      <c r="A631" s="4" t="str">
        <f>C631</f>
        <v>Центрально-Азиатский институт прикладных исследований Земли</v>
      </c>
      <c r="B631" s="87" t="s">
        <v>466</v>
      </c>
      <c r="C631" s="88" t="s">
        <v>1091</v>
      </c>
      <c r="D631" s="90"/>
      <c r="E631" s="90"/>
      <c r="F631" s="90"/>
      <c r="G631" s="90"/>
      <c r="H631" s="90"/>
      <c r="I631" s="90"/>
      <c r="J631" s="90"/>
      <c r="K631" s="90"/>
      <c r="L631" s="90"/>
      <c r="M631" s="90"/>
      <c r="N631" s="91"/>
      <c r="O631" s="1"/>
      <c r="Q631" s="70" t="s">
        <v>43</v>
      </c>
    </row>
    <row r="632" spans="1:17" ht="27.75" hidden="1" customHeight="1" x14ac:dyDescent="0.2">
      <c r="B632" s="93" t="s">
        <v>466</v>
      </c>
      <c r="C632" s="93" t="s">
        <v>96</v>
      </c>
      <c r="D632" s="94"/>
      <c r="E632" s="94"/>
      <c r="F632" s="95" t="s">
        <v>97</v>
      </c>
      <c r="G632" s="96">
        <v>6239.5</v>
      </c>
      <c r="H632" s="96">
        <v>6173.6</v>
      </c>
      <c r="I632" s="96">
        <v>6186.8</v>
      </c>
      <c r="J632" s="99" t="s">
        <v>201</v>
      </c>
      <c r="K632" s="99" t="s">
        <v>99</v>
      </c>
      <c r="L632" s="99">
        <v>100</v>
      </c>
      <c r="M632" s="99">
        <v>100</v>
      </c>
      <c r="N632" s="99">
        <v>100</v>
      </c>
      <c r="O632" s="1"/>
      <c r="Q632" s="71" t="s">
        <v>40</v>
      </c>
    </row>
    <row r="633" spans="1:17" hidden="1" x14ac:dyDescent="0.2">
      <c r="B633" s="181" t="s">
        <v>100</v>
      </c>
      <c r="C633" s="181" t="s">
        <v>100</v>
      </c>
      <c r="D633" s="181" t="s">
        <v>100</v>
      </c>
      <c r="E633" s="181"/>
      <c r="F633" s="181" t="s">
        <v>101</v>
      </c>
      <c r="G633" s="182">
        <v>6239.5</v>
      </c>
      <c r="H633" s="182">
        <v>6173.6</v>
      </c>
      <c r="I633" s="182">
        <v>6186.8</v>
      </c>
      <c r="J633" s="3" t="s">
        <v>304</v>
      </c>
      <c r="K633" s="3" t="s">
        <v>103</v>
      </c>
      <c r="L633" s="3">
        <v>1</v>
      </c>
      <c r="M633" s="3">
        <v>1</v>
      </c>
      <c r="N633" s="3">
        <v>1</v>
      </c>
      <c r="O633" s="1"/>
      <c r="Q633" s="72" t="s">
        <v>34</v>
      </c>
    </row>
    <row r="634" spans="1:17" hidden="1" x14ac:dyDescent="0.2">
      <c r="B634" s="76"/>
      <c r="C634" s="76"/>
      <c r="D634" s="76"/>
      <c r="E634" s="76"/>
      <c r="F634" s="76"/>
      <c r="G634" s="76"/>
      <c r="H634" s="76"/>
      <c r="I634" s="76"/>
      <c r="J634" s="3" t="s">
        <v>1092</v>
      </c>
      <c r="K634" s="3" t="s">
        <v>99</v>
      </c>
      <c r="L634" s="3">
        <v>5</v>
      </c>
      <c r="M634" s="3">
        <v>5</v>
      </c>
      <c r="N634" s="3">
        <v>5</v>
      </c>
      <c r="O634" s="1"/>
      <c r="Q634" s="73" t="s">
        <v>37</v>
      </c>
    </row>
    <row r="635" spans="1:17" ht="27" hidden="1" customHeight="1" x14ac:dyDescent="0.2">
      <c r="B635" s="77"/>
      <c r="C635" s="77"/>
      <c r="D635" s="77"/>
      <c r="E635" s="77"/>
      <c r="F635" s="77"/>
      <c r="G635" s="77"/>
      <c r="H635" s="77"/>
      <c r="I635" s="77"/>
      <c r="J635" s="3" t="s">
        <v>1093</v>
      </c>
      <c r="K635" s="3" t="s">
        <v>99</v>
      </c>
      <c r="L635" s="3">
        <v>21.4</v>
      </c>
      <c r="M635" s="3">
        <v>21.4</v>
      </c>
      <c r="N635" s="3">
        <v>21.4</v>
      </c>
      <c r="O635" s="1"/>
      <c r="Q635" s="73" t="s">
        <v>37</v>
      </c>
    </row>
    <row r="636" spans="1:17" ht="36" hidden="1" customHeight="1" x14ac:dyDescent="0.2">
      <c r="B636" s="93" t="s">
        <v>466</v>
      </c>
      <c r="C636" s="93" t="s">
        <v>1094</v>
      </c>
      <c r="D636" s="94"/>
      <c r="E636" s="94"/>
      <c r="F636" s="95" t="s">
        <v>1095</v>
      </c>
      <c r="G636" s="96">
        <v>22582.9</v>
      </c>
      <c r="H636" s="96">
        <v>23225.200000000001</v>
      </c>
      <c r="I636" s="96">
        <v>23800</v>
      </c>
      <c r="J636" s="93" t="s">
        <v>253</v>
      </c>
      <c r="K636" s="93" t="s">
        <v>99</v>
      </c>
      <c r="L636" s="93">
        <v>100</v>
      </c>
      <c r="M636" s="93">
        <v>100</v>
      </c>
      <c r="N636" s="93">
        <v>100</v>
      </c>
      <c r="O636" s="1"/>
      <c r="Q636" s="71" t="s">
        <v>40</v>
      </c>
    </row>
    <row r="637" spans="1:17" ht="41.25" hidden="1" customHeight="1" x14ac:dyDescent="0.2">
      <c r="B637" s="183" t="s">
        <v>100</v>
      </c>
      <c r="C637" s="183" t="s">
        <v>100</v>
      </c>
      <c r="D637" s="183" t="s">
        <v>100</v>
      </c>
      <c r="E637" s="183"/>
      <c r="F637" s="184" t="s">
        <v>1096</v>
      </c>
      <c r="G637" s="185">
        <v>22582.9</v>
      </c>
      <c r="H637" s="185">
        <v>23225.200000000001</v>
      </c>
      <c r="I637" s="185">
        <v>23800</v>
      </c>
      <c r="J637" s="3" t="s">
        <v>1097</v>
      </c>
      <c r="K637" s="3" t="s">
        <v>155</v>
      </c>
      <c r="L637" s="3">
        <v>135</v>
      </c>
      <c r="M637" s="3">
        <v>150</v>
      </c>
      <c r="N637" s="3">
        <v>150</v>
      </c>
      <c r="O637" s="1"/>
      <c r="Q637" s="72" t="s">
        <v>34</v>
      </c>
    </row>
    <row r="638" spans="1:17" ht="15" hidden="1" customHeight="1" x14ac:dyDescent="0.2">
      <c r="B638" s="174" t="s">
        <v>112</v>
      </c>
      <c r="C638" s="175"/>
      <c r="D638" s="176"/>
      <c r="E638" s="176"/>
      <c r="F638" s="177"/>
      <c r="G638" s="178">
        <v>28822.400000000001</v>
      </c>
      <c r="H638" s="178">
        <v>29398.799999999999</v>
      </c>
      <c r="I638" s="178">
        <v>29986.799999999999</v>
      </c>
      <c r="J638" s="179"/>
      <c r="K638" s="176"/>
      <c r="L638" s="176"/>
      <c r="M638" s="176"/>
      <c r="N638" s="177"/>
      <c r="O638" s="1"/>
      <c r="Q638" s="74" t="s">
        <v>46</v>
      </c>
    </row>
    <row r="639" spans="1:17" ht="15" hidden="1" customHeight="1" x14ac:dyDescent="0.2">
      <c r="A639" s="4" t="str">
        <f>C639</f>
        <v>Государственное агенство физической культуры и спорта при Кабинете Министров Кыргызской Республики</v>
      </c>
      <c r="B639" s="87" t="s">
        <v>1098</v>
      </c>
      <c r="C639" s="88" t="s">
        <v>1099</v>
      </c>
      <c r="D639" s="90"/>
      <c r="E639" s="90"/>
      <c r="F639" s="90"/>
      <c r="G639" s="90"/>
      <c r="H639" s="90"/>
      <c r="I639" s="90"/>
      <c r="J639" s="90"/>
      <c r="K639" s="90"/>
      <c r="L639" s="90"/>
      <c r="M639" s="90"/>
      <c r="N639" s="91"/>
      <c r="O639" s="1"/>
      <c r="Q639" s="70" t="s">
        <v>43</v>
      </c>
    </row>
    <row r="640" spans="1:17" ht="21.75" hidden="1" customHeight="1" x14ac:dyDescent="0.2">
      <c r="B640" s="93" t="s">
        <v>1098</v>
      </c>
      <c r="C640" s="93" t="s">
        <v>96</v>
      </c>
      <c r="D640" s="94"/>
      <c r="E640" s="94"/>
      <c r="F640" s="95" t="s">
        <v>97</v>
      </c>
      <c r="G640" s="96">
        <v>54957</v>
      </c>
      <c r="H640" s="96">
        <v>54957</v>
      </c>
      <c r="I640" s="96">
        <v>54957</v>
      </c>
      <c r="J640" s="99" t="s">
        <v>673</v>
      </c>
      <c r="K640" s="99" t="s">
        <v>99</v>
      </c>
      <c r="L640" s="99">
        <v>40</v>
      </c>
      <c r="M640" s="99">
        <v>45</v>
      </c>
      <c r="N640" s="99">
        <v>45</v>
      </c>
      <c r="O640" s="1"/>
      <c r="Q640" s="71" t="s">
        <v>40</v>
      </c>
    </row>
    <row r="641" spans="1:17" ht="24" hidden="1" customHeight="1" x14ac:dyDescent="0.2">
      <c r="B641" s="183" t="s">
        <v>100</v>
      </c>
      <c r="C641" s="183" t="s">
        <v>100</v>
      </c>
      <c r="D641" s="183" t="s">
        <v>100</v>
      </c>
      <c r="E641" s="183"/>
      <c r="F641" s="184" t="s">
        <v>101</v>
      </c>
      <c r="G641" s="185">
        <v>54957</v>
      </c>
      <c r="H641" s="185">
        <v>54957</v>
      </c>
      <c r="I641" s="185">
        <v>54957</v>
      </c>
      <c r="J641" s="3" t="s">
        <v>673</v>
      </c>
      <c r="K641" s="3" t="s">
        <v>99</v>
      </c>
      <c r="L641" s="3">
        <v>40</v>
      </c>
      <c r="M641" s="3">
        <v>45</v>
      </c>
      <c r="N641" s="3">
        <v>45</v>
      </c>
      <c r="O641" s="1"/>
      <c r="Q641" s="72" t="s">
        <v>34</v>
      </c>
    </row>
    <row r="642" spans="1:17" ht="30.75" hidden="1" customHeight="1" x14ac:dyDescent="0.2">
      <c r="B642" s="93" t="s">
        <v>1098</v>
      </c>
      <c r="C642" s="93" t="s">
        <v>1100</v>
      </c>
      <c r="D642" s="94"/>
      <c r="E642" s="94"/>
      <c r="F642" s="95" t="s">
        <v>1101</v>
      </c>
      <c r="G642" s="96">
        <v>2392955.1</v>
      </c>
      <c r="H642" s="96">
        <v>2445991.31</v>
      </c>
      <c r="I642" s="96">
        <v>2495616.7400000002</v>
      </c>
      <c r="J642" s="93" t="s">
        <v>253</v>
      </c>
      <c r="K642" s="93" t="s">
        <v>99</v>
      </c>
      <c r="L642" s="93">
        <v>100</v>
      </c>
      <c r="M642" s="93">
        <v>100</v>
      </c>
      <c r="N642" s="93">
        <v>100</v>
      </c>
      <c r="O642" s="1"/>
      <c r="Q642" s="71" t="s">
        <v>40</v>
      </c>
    </row>
    <row r="643" spans="1:17" ht="30" hidden="1" customHeight="1" x14ac:dyDescent="0.2">
      <c r="B643" s="183" t="s">
        <v>100</v>
      </c>
      <c r="C643" s="183" t="s">
        <v>100</v>
      </c>
      <c r="D643" s="183" t="s">
        <v>100</v>
      </c>
      <c r="E643" s="183"/>
      <c r="F643" s="184" t="s">
        <v>1102</v>
      </c>
      <c r="G643" s="185">
        <v>2223278.2999999998</v>
      </c>
      <c r="H643" s="185">
        <v>2276314.5099999998</v>
      </c>
      <c r="I643" s="185">
        <v>2325939.94</v>
      </c>
      <c r="J643" s="3" t="s">
        <v>1103</v>
      </c>
      <c r="K643" s="3" t="s">
        <v>105</v>
      </c>
      <c r="L643" s="3">
        <v>15</v>
      </c>
      <c r="M643" s="3">
        <v>20</v>
      </c>
      <c r="N643" s="3">
        <v>25</v>
      </c>
      <c r="O643" s="1"/>
      <c r="Q643" s="72" t="s">
        <v>34</v>
      </c>
    </row>
    <row r="644" spans="1:17" ht="44.25" hidden="1" customHeight="1" x14ac:dyDescent="0.2">
      <c r="B644" s="181" t="s">
        <v>124</v>
      </c>
      <c r="C644" s="181" t="s">
        <v>124</v>
      </c>
      <c r="D644" s="181" t="s">
        <v>124</v>
      </c>
      <c r="E644" s="181"/>
      <c r="F644" s="181" t="s">
        <v>1104</v>
      </c>
      <c r="G644" s="182">
        <v>169676.79999999999</v>
      </c>
      <c r="H644" s="182">
        <v>169676.79999999999</v>
      </c>
      <c r="I644" s="182">
        <v>169676.79999999999</v>
      </c>
      <c r="J644" s="3" t="s">
        <v>1105</v>
      </c>
      <c r="K644" s="3" t="s">
        <v>105</v>
      </c>
      <c r="L644" s="3">
        <v>1600</v>
      </c>
      <c r="M644" s="3">
        <v>1600</v>
      </c>
      <c r="N644" s="3">
        <v>1600</v>
      </c>
      <c r="O644" s="1"/>
      <c r="Q644" s="72" t="s">
        <v>34</v>
      </c>
    </row>
    <row r="645" spans="1:17" ht="30" hidden="1" customHeight="1" x14ac:dyDescent="0.2">
      <c r="B645" s="77"/>
      <c r="C645" s="77"/>
      <c r="D645" s="77"/>
      <c r="E645" s="77"/>
      <c r="F645" s="77"/>
      <c r="G645" s="77"/>
      <c r="H645" s="77"/>
      <c r="I645" s="77"/>
      <c r="J645" s="3" t="s">
        <v>1106</v>
      </c>
      <c r="K645" s="3" t="s">
        <v>105</v>
      </c>
      <c r="L645" s="3">
        <v>490</v>
      </c>
      <c r="M645" s="3">
        <v>495</v>
      </c>
      <c r="N645" s="3">
        <v>495</v>
      </c>
      <c r="O645" s="1"/>
      <c r="Q645" s="73" t="s">
        <v>37</v>
      </c>
    </row>
    <row r="646" spans="1:17" ht="16.5" hidden="1" customHeight="1" x14ac:dyDescent="0.2">
      <c r="B646" s="174" t="s">
        <v>112</v>
      </c>
      <c r="C646" s="175"/>
      <c r="D646" s="176"/>
      <c r="E646" s="176"/>
      <c r="F646" s="177"/>
      <c r="G646" s="178">
        <v>2447912.1</v>
      </c>
      <c r="H646" s="178">
        <v>2500948.31</v>
      </c>
      <c r="I646" s="178">
        <v>2550573.7400000002</v>
      </c>
      <c r="J646" s="179"/>
      <c r="K646" s="176"/>
      <c r="L646" s="176"/>
      <c r="M646" s="176"/>
      <c r="N646" s="177"/>
      <c r="O646" s="1"/>
      <c r="Q646" s="74" t="s">
        <v>46</v>
      </c>
    </row>
    <row r="647" spans="1:17" ht="15.75" hidden="1" customHeight="1" x14ac:dyDescent="0.2">
      <c r="A647" s="4" t="str">
        <f>C647</f>
        <v>Государственная служба испонения наказаний при при Кабинете Министров Кыргызской Республики</v>
      </c>
      <c r="B647" s="87" t="s">
        <v>1107</v>
      </c>
      <c r="C647" s="88" t="s">
        <v>1108</v>
      </c>
      <c r="D647" s="90"/>
      <c r="E647" s="90"/>
      <c r="F647" s="90"/>
      <c r="G647" s="90"/>
      <c r="H647" s="90"/>
      <c r="I647" s="90"/>
      <c r="J647" s="90"/>
      <c r="K647" s="90"/>
      <c r="L647" s="90"/>
      <c r="M647" s="90"/>
      <c r="N647" s="91"/>
      <c r="O647" s="1"/>
      <c r="Q647" s="70" t="s">
        <v>43</v>
      </c>
    </row>
    <row r="648" spans="1:17" ht="30" hidden="1" customHeight="1" x14ac:dyDescent="0.2">
      <c r="B648" s="93" t="s">
        <v>1107</v>
      </c>
      <c r="C648" s="93" t="s">
        <v>1109</v>
      </c>
      <c r="D648" s="94"/>
      <c r="E648" s="94"/>
      <c r="F648" s="95" t="s">
        <v>1110</v>
      </c>
      <c r="G648" s="96">
        <v>2724111.8000000012</v>
      </c>
      <c r="H648" s="96">
        <v>2445747.7000000002</v>
      </c>
      <c r="I648" s="96">
        <v>2495212.7000000002</v>
      </c>
      <c r="J648" s="97" t="s">
        <v>1111</v>
      </c>
      <c r="K648" s="97" t="s">
        <v>99</v>
      </c>
      <c r="L648" s="97">
        <v>100</v>
      </c>
      <c r="M648" s="97">
        <v>100</v>
      </c>
      <c r="N648" s="97">
        <v>100</v>
      </c>
      <c r="O648" s="1"/>
      <c r="Q648" s="71" t="s">
        <v>40</v>
      </c>
    </row>
    <row r="649" spans="1:17" ht="24" hidden="1" customHeight="1" x14ac:dyDescent="0.2">
      <c r="B649" s="183" t="s">
        <v>120</v>
      </c>
      <c r="C649" s="183" t="s">
        <v>120</v>
      </c>
      <c r="D649" s="183" t="s">
        <v>120</v>
      </c>
      <c r="E649" s="183"/>
      <c r="F649" s="184" t="s">
        <v>1112</v>
      </c>
      <c r="G649" s="185">
        <v>2540465.4</v>
      </c>
      <c r="H649" s="185">
        <v>2258289.1</v>
      </c>
      <c r="I649" s="185">
        <v>2303858.6</v>
      </c>
      <c r="J649" s="3" t="s">
        <v>1113</v>
      </c>
      <c r="K649" s="3" t="s">
        <v>99</v>
      </c>
      <c r="L649" s="3">
        <v>100</v>
      </c>
      <c r="M649" s="3">
        <v>100</v>
      </c>
      <c r="N649" s="3">
        <v>100</v>
      </c>
      <c r="O649" s="1"/>
      <c r="Q649" s="72" t="s">
        <v>34</v>
      </c>
    </row>
    <row r="650" spans="1:17" ht="24" hidden="1" customHeight="1" x14ac:dyDescent="0.2">
      <c r="B650" s="183" t="s">
        <v>150</v>
      </c>
      <c r="C650" s="183" t="s">
        <v>150</v>
      </c>
      <c r="D650" s="183" t="s">
        <v>150</v>
      </c>
      <c r="E650" s="183"/>
      <c r="F650" s="184" t="s">
        <v>1114</v>
      </c>
      <c r="G650" s="185">
        <v>159465.70000000001</v>
      </c>
      <c r="H650" s="185">
        <v>162659.29999999999</v>
      </c>
      <c r="I650" s="185">
        <v>165917.1</v>
      </c>
      <c r="J650" s="3" t="s">
        <v>1115</v>
      </c>
      <c r="K650" s="3" t="s">
        <v>99</v>
      </c>
      <c r="L650" s="3">
        <v>100</v>
      </c>
      <c r="M650" s="3">
        <v>100</v>
      </c>
      <c r="N650" s="3">
        <v>100</v>
      </c>
      <c r="O650" s="1"/>
      <c r="Q650" s="72" t="s">
        <v>34</v>
      </c>
    </row>
    <row r="651" spans="1:17" hidden="1" x14ac:dyDescent="0.2">
      <c r="B651" s="183" t="s">
        <v>124</v>
      </c>
      <c r="C651" s="183" t="s">
        <v>124</v>
      </c>
      <c r="D651" s="183" t="s">
        <v>124</v>
      </c>
      <c r="E651" s="183"/>
      <c r="F651" s="184" t="s">
        <v>1116</v>
      </c>
      <c r="G651" s="185">
        <v>24180.7</v>
      </c>
      <c r="H651" s="185">
        <v>24799.3</v>
      </c>
      <c r="I651" s="185">
        <v>25437</v>
      </c>
      <c r="J651" s="3" t="s">
        <v>1117</v>
      </c>
      <c r="K651" s="3" t="s">
        <v>99</v>
      </c>
      <c r="L651" s="3">
        <v>100</v>
      </c>
      <c r="M651" s="3">
        <v>100</v>
      </c>
      <c r="N651" s="3">
        <v>100</v>
      </c>
      <c r="O651" s="1"/>
      <c r="Q651" s="72" t="s">
        <v>34</v>
      </c>
    </row>
    <row r="652" spans="1:17" ht="32.25" hidden="1" customHeight="1" x14ac:dyDescent="0.2">
      <c r="B652" s="93" t="s">
        <v>1107</v>
      </c>
      <c r="C652" s="93" t="s">
        <v>1118</v>
      </c>
      <c r="D652" s="94"/>
      <c r="E652" s="94"/>
      <c r="F652" s="95" t="s">
        <v>1119</v>
      </c>
      <c r="G652" s="96">
        <v>551932.5</v>
      </c>
      <c r="H652" s="96">
        <v>553267.80000000005</v>
      </c>
      <c r="I652" s="96">
        <v>564333.19999999995</v>
      </c>
      <c r="J652" s="98" t="s">
        <v>201</v>
      </c>
      <c r="K652" s="98" t="s">
        <v>99</v>
      </c>
      <c r="L652" s="98">
        <v>100</v>
      </c>
      <c r="M652" s="98">
        <v>100</v>
      </c>
      <c r="N652" s="98">
        <v>100</v>
      </c>
      <c r="O652" s="1"/>
      <c r="Q652" s="71" t="s">
        <v>40</v>
      </c>
    </row>
    <row r="653" spans="1:17" ht="24" hidden="1" customHeight="1" x14ac:dyDescent="0.2">
      <c r="B653" s="183" t="s">
        <v>100</v>
      </c>
      <c r="C653" s="183" t="s">
        <v>100</v>
      </c>
      <c r="D653" s="183" t="s">
        <v>100</v>
      </c>
      <c r="E653" s="183"/>
      <c r="F653" s="184" t="s">
        <v>1120</v>
      </c>
      <c r="G653" s="185">
        <v>275966.25</v>
      </c>
      <c r="H653" s="185">
        <v>276633.90000000002</v>
      </c>
      <c r="I653" s="185">
        <v>282166.59999999998</v>
      </c>
      <c r="J653" s="3" t="s">
        <v>1121</v>
      </c>
      <c r="K653" s="3" t="s">
        <v>103</v>
      </c>
      <c r="L653" s="3">
        <v>100</v>
      </c>
      <c r="M653" s="3">
        <v>100</v>
      </c>
      <c r="N653" s="3">
        <v>100</v>
      </c>
      <c r="O653" s="1"/>
      <c r="Q653" s="72" t="s">
        <v>34</v>
      </c>
    </row>
    <row r="654" spans="1:17" hidden="1" x14ac:dyDescent="0.2">
      <c r="B654" s="183" t="s">
        <v>120</v>
      </c>
      <c r="C654" s="183" t="s">
        <v>120</v>
      </c>
      <c r="D654" s="183" t="s">
        <v>120</v>
      </c>
      <c r="E654" s="183"/>
      <c r="F654" s="184" t="s">
        <v>1122</v>
      </c>
      <c r="G654" s="185">
        <v>275966.25</v>
      </c>
      <c r="H654" s="185">
        <v>276633.90000000002</v>
      </c>
      <c r="I654" s="185">
        <v>282166.59999999998</v>
      </c>
      <c r="J654" s="3" t="s">
        <v>1123</v>
      </c>
      <c r="K654" s="3" t="s">
        <v>103</v>
      </c>
      <c r="L654" s="3">
        <v>100</v>
      </c>
      <c r="M654" s="3">
        <v>100</v>
      </c>
      <c r="N654" s="3">
        <v>100</v>
      </c>
      <c r="O654" s="1"/>
      <c r="Q654" s="72" t="s">
        <v>34</v>
      </c>
    </row>
    <row r="655" spans="1:17" ht="15" hidden="1" customHeight="1" x14ac:dyDescent="0.2">
      <c r="B655" s="174" t="s">
        <v>112</v>
      </c>
      <c r="C655" s="175"/>
      <c r="D655" s="176"/>
      <c r="E655" s="176"/>
      <c r="F655" s="177"/>
      <c r="G655" s="178">
        <v>3276044.3000000012</v>
      </c>
      <c r="H655" s="178">
        <v>2999015.5</v>
      </c>
      <c r="I655" s="178">
        <v>3059545.9</v>
      </c>
      <c r="J655" s="179"/>
      <c r="K655" s="176"/>
      <c r="L655" s="176"/>
      <c r="M655" s="176"/>
      <c r="N655" s="177"/>
      <c r="O655" s="1"/>
      <c r="P655" s="48">
        <v>3054483.6</v>
      </c>
      <c r="Q655" s="74" t="s">
        <v>46</v>
      </c>
    </row>
    <row r="656" spans="1:17" ht="15" hidden="1" customHeight="1" x14ac:dyDescent="0.2">
      <c r="A656" s="4" t="str">
        <f>C656</f>
        <v>Общественное объединение «Кыргызское общество слепых и глухих»</v>
      </c>
      <c r="B656" s="87" t="s">
        <v>1124</v>
      </c>
      <c r="C656" s="88" t="s">
        <v>1125</v>
      </c>
      <c r="D656" s="90"/>
      <c r="E656" s="90"/>
      <c r="F656" s="90"/>
      <c r="G656" s="90"/>
      <c r="H656" s="90"/>
      <c r="I656" s="90"/>
      <c r="J656" s="90"/>
      <c r="K656" s="90"/>
      <c r="L656" s="90"/>
      <c r="M656" s="90"/>
      <c r="N656" s="91"/>
      <c r="O656" s="1"/>
      <c r="P656" s="32">
        <f>G655-P655</f>
        <v>221560.70000000112</v>
      </c>
      <c r="Q656" s="70" t="s">
        <v>43</v>
      </c>
    </row>
    <row r="657" spans="1:18" ht="33" hidden="1" customHeight="1" x14ac:dyDescent="0.2">
      <c r="B657" s="93" t="s">
        <v>1124</v>
      </c>
      <c r="C657" s="93" t="s">
        <v>1126</v>
      </c>
      <c r="D657" s="94"/>
      <c r="E657" s="94"/>
      <c r="F657" s="95" t="s">
        <v>1127</v>
      </c>
      <c r="G657" s="96">
        <v>20667.599999999999</v>
      </c>
      <c r="H657" s="96">
        <v>15879</v>
      </c>
      <c r="I657" s="96">
        <v>16196.5</v>
      </c>
      <c r="J657" s="93" t="s">
        <v>253</v>
      </c>
      <c r="K657" s="93" t="s">
        <v>99</v>
      </c>
      <c r="L657" s="93">
        <v>100</v>
      </c>
      <c r="M657" s="93">
        <v>100</v>
      </c>
      <c r="N657" s="93">
        <v>100</v>
      </c>
      <c r="O657" s="1"/>
      <c r="Q657" s="71" t="s">
        <v>40</v>
      </c>
    </row>
    <row r="658" spans="1:18" ht="36" hidden="1" customHeight="1" x14ac:dyDescent="0.2">
      <c r="B658" s="181" t="s">
        <v>100</v>
      </c>
      <c r="C658" s="181" t="s">
        <v>100</v>
      </c>
      <c r="D658" s="181" t="s">
        <v>100</v>
      </c>
      <c r="E658" s="181"/>
      <c r="F658" s="181" t="s">
        <v>1128</v>
      </c>
      <c r="G658" s="182">
        <v>4794.6000000000004</v>
      </c>
      <c r="H658" s="182">
        <v>4794.6000000000004</v>
      </c>
      <c r="I658" s="182">
        <v>4794.6000000000004</v>
      </c>
      <c r="J658" s="3" t="s">
        <v>1129</v>
      </c>
      <c r="K658" s="3" t="s">
        <v>105</v>
      </c>
      <c r="L658" s="3">
        <v>36950</v>
      </c>
      <c r="M658" s="3">
        <v>37150</v>
      </c>
      <c r="N658" s="3">
        <v>37150</v>
      </c>
      <c r="O658" s="1"/>
      <c r="Q658" s="72" t="s">
        <v>34</v>
      </c>
    </row>
    <row r="659" spans="1:18" hidden="1" x14ac:dyDescent="0.2">
      <c r="B659" s="76"/>
      <c r="C659" s="76"/>
      <c r="D659" s="76"/>
      <c r="E659" s="76"/>
      <c r="F659" s="76"/>
      <c r="G659" s="76"/>
      <c r="H659" s="76"/>
      <c r="I659" s="76"/>
      <c r="J659" s="3" t="s">
        <v>1130</v>
      </c>
      <c r="K659" s="3" t="s">
        <v>159</v>
      </c>
      <c r="L659" s="3">
        <v>4550</v>
      </c>
      <c r="M659" s="3">
        <v>4550</v>
      </c>
      <c r="N659" s="3">
        <v>4550</v>
      </c>
      <c r="O659" s="1"/>
      <c r="Q659" s="73" t="s">
        <v>37</v>
      </c>
    </row>
    <row r="660" spans="1:18" ht="29.25" hidden="1" customHeight="1" x14ac:dyDescent="0.2">
      <c r="B660" s="77"/>
      <c r="C660" s="77"/>
      <c r="D660" s="77"/>
      <c r="E660" s="77"/>
      <c r="F660" s="77"/>
      <c r="G660" s="77"/>
      <c r="H660" s="77"/>
      <c r="I660" s="77"/>
      <c r="J660" s="3" t="s">
        <v>1131</v>
      </c>
      <c r="K660" s="3" t="s">
        <v>105</v>
      </c>
      <c r="L660" s="3">
        <v>24000</v>
      </c>
      <c r="M660" s="3">
        <v>24000</v>
      </c>
      <c r="N660" s="3">
        <v>24000</v>
      </c>
      <c r="O660" s="1"/>
      <c r="Q660" s="73" t="s">
        <v>37</v>
      </c>
    </row>
    <row r="661" spans="1:18" ht="30" hidden="1" customHeight="1" x14ac:dyDescent="0.2">
      <c r="B661" s="183" t="s">
        <v>150</v>
      </c>
      <c r="C661" s="183" t="s">
        <v>150</v>
      </c>
      <c r="D661" s="183" t="s">
        <v>150</v>
      </c>
      <c r="E661" s="183"/>
      <c r="F661" s="184" t="s">
        <v>1132</v>
      </c>
      <c r="G661" s="185">
        <v>15873</v>
      </c>
      <c r="H661" s="185">
        <v>11084.4</v>
      </c>
      <c r="I661" s="185">
        <v>11401.9</v>
      </c>
      <c r="J661" s="3" t="s">
        <v>1133</v>
      </c>
      <c r="K661" s="3" t="s">
        <v>99</v>
      </c>
      <c r="L661" s="3">
        <v>80</v>
      </c>
      <c r="M661" s="3">
        <v>80</v>
      </c>
      <c r="N661" s="3">
        <v>80</v>
      </c>
      <c r="O661" s="1"/>
      <c r="Q661" s="72" t="s">
        <v>34</v>
      </c>
    </row>
    <row r="662" spans="1:18" ht="27.75" hidden="1" customHeight="1" x14ac:dyDescent="0.2">
      <c r="B662" s="93" t="s">
        <v>1124</v>
      </c>
      <c r="C662" s="93" t="s">
        <v>1134</v>
      </c>
      <c r="D662" s="94"/>
      <c r="E662" s="94"/>
      <c r="F662" s="95" t="s">
        <v>1135</v>
      </c>
      <c r="G662" s="96">
        <v>55362.400000000001</v>
      </c>
      <c r="H662" s="96">
        <v>41101.4</v>
      </c>
      <c r="I662" s="96">
        <v>41923.5</v>
      </c>
      <c r="J662" s="93" t="s">
        <v>253</v>
      </c>
      <c r="K662" s="93" t="s">
        <v>99</v>
      </c>
      <c r="L662" s="93">
        <v>100</v>
      </c>
      <c r="M662" s="93">
        <v>100</v>
      </c>
      <c r="N662" s="93">
        <v>100</v>
      </c>
      <c r="O662" s="1"/>
      <c r="Q662" s="71" t="s">
        <v>40</v>
      </c>
      <c r="R662" s="75" t="s">
        <v>169</v>
      </c>
    </row>
    <row r="663" spans="1:18" ht="42" hidden="1" customHeight="1" x14ac:dyDescent="0.2">
      <c r="B663" s="181" t="s">
        <v>100</v>
      </c>
      <c r="C663" s="181" t="s">
        <v>100</v>
      </c>
      <c r="D663" s="181" t="s">
        <v>100</v>
      </c>
      <c r="E663" s="181"/>
      <c r="F663" s="181" t="s">
        <v>1136</v>
      </c>
      <c r="G663" s="182">
        <v>35307.300000000003</v>
      </c>
      <c r="H663" s="182">
        <v>26569.4</v>
      </c>
      <c r="I663" s="182">
        <v>27100.799999999999</v>
      </c>
      <c r="J663" s="3" t="s">
        <v>1137</v>
      </c>
      <c r="K663" s="3" t="s">
        <v>186</v>
      </c>
      <c r="L663" s="3">
        <v>306077</v>
      </c>
      <c r="M663" s="3">
        <v>231203.7</v>
      </c>
      <c r="N663" s="3">
        <v>235825</v>
      </c>
      <c r="O663" s="1"/>
      <c r="Q663" s="72" t="s">
        <v>34</v>
      </c>
    </row>
    <row r="664" spans="1:18" ht="41.25" hidden="1" customHeight="1" x14ac:dyDescent="0.2">
      <c r="B664" s="77"/>
      <c r="C664" s="77"/>
      <c r="D664" s="77"/>
      <c r="E664" s="77"/>
      <c r="F664" s="77"/>
      <c r="G664" s="77"/>
      <c r="H664" s="77"/>
      <c r="I664" s="77"/>
      <c r="J664" s="3" t="s">
        <v>1138</v>
      </c>
      <c r="K664" s="3" t="s">
        <v>186</v>
      </c>
      <c r="L664" s="3">
        <v>12000</v>
      </c>
      <c r="M664" s="3">
        <v>12000</v>
      </c>
      <c r="N664" s="3">
        <v>12000</v>
      </c>
      <c r="O664" s="1"/>
      <c r="Q664" s="73" t="s">
        <v>37</v>
      </c>
    </row>
    <row r="665" spans="1:18" ht="42.75" hidden="1" customHeight="1" x14ac:dyDescent="0.2">
      <c r="B665" s="181" t="s">
        <v>120</v>
      </c>
      <c r="C665" s="181" t="s">
        <v>120</v>
      </c>
      <c r="D665" s="181" t="s">
        <v>120</v>
      </c>
      <c r="E665" s="181"/>
      <c r="F665" s="181" t="s">
        <v>1139</v>
      </c>
      <c r="G665" s="182">
        <v>20055.099999999999</v>
      </c>
      <c r="H665" s="182">
        <v>14532</v>
      </c>
      <c r="I665" s="182">
        <v>14822.7</v>
      </c>
      <c r="J665" s="3" t="s">
        <v>1140</v>
      </c>
      <c r="K665" s="3" t="s">
        <v>159</v>
      </c>
      <c r="L665" s="3">
        <v>380</v>
      </c>
      <c r="M665" s="3">
        <v>380</v>
      </c>
      <c r="N665" s="3">
        <v>380</v>
      </c>
      <c r="O665" s="1"/>
      <c r="Q665" s="72" t="s">
        <v>34</v>
      </c>
    </row>
    <row r="666" spans="1:18" ht="29.25" hidden="1" customHeight="1" x14ac:dyDescent="0.2">
      <c r="B666" s="77"/>
      <c r="C666" s="77"/>
      <c r="D666" s="77"/>
      <c r="E666" s="77"/>
      <c r="F666" s="77"/>
      <c r="G666" s="77"/>
      <c r="H666" s="77"/>
      <c r="I666" s="77"/>
      <c r="J666" s="3" t="s">
        <v>1141</v>
      </c>
      <c r="K666" s="3" t="s">
        <v>186</v>
      </c>
      <c r="L666" s="3">
        <v>25</v>
      </c>
      <c r="M666" s="3">
        <v>25</v>
      </c>
      <c r="N666" s="3">
        <v>25</v>
      </c>
      <c r="O666" s="1"/>
      <c r="Q666" s="73" t="s">
        <v>37</v>
      </c>
    </row>
    <row r="667" spans="1:18" ht="15" hidden="1" customHeight="1" x14ac:dyDescent="0.2">
      <c r="B667" s="174" t="s">
        <v>112</v>
      </c>
      <c r="C667" s="175"/>
      <c r="D667" s="176"/>
      <c r="E667" s="176"/>
      <c r="F667" s="177"/>
      <c r="G667" s="178">
        <v>76030</v>
      </c>
      <c r="H667" s="178">
        <v>56980.4</v>
      </c>
      <c r="I667" s="178">
        <v>58120</v>
      </c>
      <c r="J667" s="179"/>
      <c r="K667" s="176"/>
      <c r="L667" s="176"/>
      <c r="M667" s="176"/>
      <c r="N667" s="177"/>
      <c r="O667" s="1"/>
      <c r="Q667" s="74" t="s">
        <v>46</v>
      </c>
    </row>
    <row r="668" spans="1:18" ht="15" hidden="1" customHeight="1" x14ac:dyDescent="0.2">
      <c r="A668" s="4" t="str">
        <f>C668</f>
        <v>Национальная комиссия по государственному языку и языковой политике при Президенте Кыргызской Республики</v>
      </c>
      <c r="B668" s="87" t="s">
        <v>469</v>
      </c>
      <c r="C668" s="88" t="s">
        <v>1142</v>
      </c>
      <c r="D668" s="90"/>
      <c r="E668" s="90"/>
      <c r="F668" s="90"/>
      <c r="G668" s="90"/>
      <c r="H668" s="90"/>
      <c r="I668" s="90"/>
      <c r="J668" s="90"/>
      <c r="K668" s="90"/>
      <c r="L668" s="90"/>
      <c r="M668" s="90"/>
      <c r="N668" s="91"/>
      <c r="O668" s="1"/>
      <c r="Q668" s="70" t="s">
        <v>43</v>
      </c>
    </row>
    <row r="669" spans="1:18" hidden="1" x14ac:dyDescent="0.2">
      <c r="B669" s="93" t="s">
        <v>469</v>
      </c>
      <c r="C669" s="93" t="s">
        <v>96</v>
      </c>
      <c r="D669" s="94"/>
      <c r="E669" s="94"/>
      <c r="F669" s="95" t="s">
        <v>97</v>
      </c>
      <c r="G669" s="96">
        <v>26079.599999999999</v>
      </c>
      <c r="H669" s="96">
        <v>26742.400000000001</v>
      </c>
      <c r="I669" s="96">
        <v>27149.8</v>
      </c>
      <c r="J669" s="99" t="s">
        <v>304</v>
      </c>
      <c r="K669" s="99" t="s">
        <v>103</v>
      </c>
      <c r="L669" s="99">
        <v>100</v>
      </c>
      <c r="M669" s="99">
        <v>100</v>
      </c>
      <c r="N669" s="99">
        <v>100</v>
      </c>
      <c r="O669" s="1"/>
      <c r="Q669" s="71" t="s">
        <v>40</v>
      </c>
    </row>
    <row r="670" spans="1:18" ht="24" hidden="1" customHeight="1" x14ac:dyDescent="0.2">
      <c r="B670" s="183" t="s">
        <v>100</v>
      </c>
      <c r="C670" s="183" t="s">
        <v>100</v>
      </c>
      <c r="D670" s="183" t="s">
        <v>100</v>
      </c>
      <c r="E670" s="183"/>
      <c r="F670" s="184" t="s">
        <v>101</v>
      </c>
      <c r="G670" s="185">
        <v>26079.599999999999</v>
      </c>
      <c r="H670" s="185">
        <v>26742.400000000001</v>
      </c>
      <c r="I670" s="185">
        <v>27149.8</v>
      </c>
      <c r="J670" s="3" t="s">
        <v>304</v>
      </c>
      <c r="K670" s="3" t="s">
        <v>103</v>
      </c>
      <c r="L670" s="3">
        <v>100</v>
      </c>
      <c r="M670" s="3">
        <v>100</v>
      </c>
      <c r="N670" s="3">
        <v>100</v>
      </c>
      <c r="O670" s="1"/>
      <c r="Q670" s="72" t="s">
        <v>34</v>
      </c>
    </row>
    <row r="671" spans="1:18" ht="36" hidden="1" customHeight="1" x14ac:dyDescent="0.2">
      <c r="B671" s="93" t="s">
        <v>469</v>
      </c>
      <c r="C671" s="93" t="s">
        <v>1143</v>
      </c>
      <c r="D671" s="94"/>
      <c r="E671" s="94"/>
      <c r="F671" s="95" t="s">
        <v>1144</v>
      </c>
      <c r="G671" s="96">
        <v>38654.400000000001</v>
      </c>
      <c r="H671" s="96">
        <v>39236.300000000003</v>
      </c>
      <c r="I671" s="96">
        <v>39598.5</v>
      </c>
      <c r="J671" s="93" t="s">
        <v>253</v>
      </c>
      <c r="K671" s="93" t="s">
        <v>99</v>
      </c>
      <c r="L671" s="93">
        <v>100</v>
      </c>
      <c r="M671" s="93">
        <v>100</v>
      </c>
      <c r="N671" s="93">
        <v>100</v>
      </c>
      <c r="O671" s="1"/>
      <c r="Q671" s="71" t="s">
        <v>40</v>
      </c>
      <c r="R671" s="75" t="s">
        <v>123</v>
      </c>
    </row>
    <row r="672" spans="1:18" ht="24" hidden="1" customHeight="1" x14ac:dyDescent="0.2">
      <c r="B672" s="183" t="s">
        <v>100</v>
      </c>
      <c r="C672" s="183" t="s">
        <v>100</v>
      </c>
      <c r="D672" s="183" t="s">
        <v>100</v>
      </c>
      <c r="E672" s="183"/>
      <c r="F672" s="184" t="s">
        <v>1145</v>
      </c>
      <c r="G672" s="185">
        <v>25037.3</v>
      </c>
      <c r="H672" s="185">
        <v>25447.1</v>
      </c>
      <c r="I672" s="185">
        <v>25574.2</v>
      </c>
      <c r="J672" s="3" t="s">
        <v>1146</v>
      </c>
      <c r="K672" s="3" t="s">
        <v>159</v>
      </c>
      <c r="L672" s="3">
        <v>10000</v>
      </c>
      <c r="M672" s="3">
        <v>15000</v>
      </c>
      <c r="N672" s="3">
        <v>20000</v>
      </c>
      <c r="O672" s="1"/>
      <c r="Q672" s="72" t="s">
        <v>34</v>
      </c>
      <c r="R672" s="75" t="s">
        <v>169</v>
      </c>
    </row>
    <row r="673" spans="1:18" ht="24" hidden="1" customHeight="1" x14ac:dyDescent="0.2">
      <c r="B673" s="183" t="s">
        <v>124</v>
      </c>
      <c r="C673" s="183" t="s">
        <v>124</v>
      </c>
      <c r="D673" s="183" t="s">
        <v>124</v>
      </c>
      <c r="E673" s="183"/>
      <c r="F673" s="184" t="s">
        <v>1147</v>
      </c>
      <c r="G673" s="185">
        <v>13617.1</v>
      </c>
      <c r="H673" s="185">
        <v>13789.2</v>
      </c>
      <c r="I673" s="185">
        <v>14024.3</v>
      </c>
      <c r="J673" s="3" t="s">
        <v>304</v>
      </c>
      <c r="K673" s="3" t="s">
        <v>103</v>
      </c>
      <c r="L673" s="3">
        <v>100</v>
      </c>
      <c r="M673" s="3">
        <v>100</v>
      </c>
      <c r="N673" s="3">
        <v>100</v>
      </c>
      <c r="O673" s="1"/>
      <c r="Q673" s="72" t="s">
        <v>34</v>
      </c>
    </row>
    <row r="674" spans="1:18" ht="15" hidden="1" customHeight="1" x14ac:dyDescent="0.2">
      <c r="B674" s="174" t="s">
        <v>112</v>
      </c>
      <c r="C674" s="175"/>
      <c r="D674" s="176"/>
      <c r="E674" s="176"/>
      <c r="F674" s="177"/>
      <c r="G674" s="178">
        <v>64734</v>
      </c>
      <c r="H674" s="178">
        <v>65978.700000000012</v>
      </c>
      <c r="I674" s="178">
        <v>66748.3</v>
      </c>
      <c r="J674" s="179"/>
      <c r="K674" s="176"/>
      <c r="L674" s="176"/>
      <c r="M674" s="176"/>
      <c r="N674" s="177"/>
      <c r="O674" s="1"/>
      <c r="Q674" s="74" t="s">
        <v>46</v>
      </c>
    </row>
    <row r="675" spans="1:18" ht="15" hidden="1" customHeight="1" x14ac:dyDescent="0.2">
      <c r="A675" s="4" t="str">
        <f>C675</f>
        <v>Государственное агентство по земельным ресурсам, кадастру, геодезии и картографии при Кабинете Министров Кыргызской Республики</v>
      </c>
      <c r="B675" s="87" t="s">
        <v>1148</v>
      </c>
      <c r="C675" s="88" t="s">
        <v>1149</v>
      </c>
      <c r="D675" s="90"/>
      <c r="E675" s="90"/>
      <c r="F675" s="90"/>
      <c r="G675" s="90"/>
      <c r="H675" s="90"/>
      <c r="I675" s="90"/>
      <c r="J675" s="90"/>
      <c r="K675" s="90"/>
      <c r="L675" s="90"/>
      <c r="M675" s="90"/>
      <c r="N675" s="91"/>
      <c r="O675" s="1"/>
      <c r="Q675" s="70" t="s">
        <v>43</v>
      </c>
    </row>
    <row r="676" spans="1:18" ht="32.25" hidden="1" customHeight="1" x14ac:dyDescent="0.2">
      <c r="B676" s="93" t="s">
        <v>1148</v>
      </c>
      <c r="C676" s="93" t="s">
        <v>1150</v>
      </c>
      <c r="D676" s="94"/>
      <c r="E676" s="94"/>
      <c r="F676" s="95" t="s">
        <v>1151</v>
      </c>
      <c r="G676" s="96">
        <v>2246762.7999999998</v>
      </c>
      <c r="H676" s="96">
        <v>2173251.2999999998</v>
      </c>
      <c r="I676" s="96">
        <v>2166358</v>
      </c>
      <c r="J676" s="93" t="s">
        <v>253</v>
      </c>
      <c r="K676" s="93" t="s">
        <v>99</v>
      </c>
      <c r="L676" s="93">
        <v>100</v>
      </c>
      <c r="M676" s="93">
        <v>100</v>
      </c>
      <c r="N676" s="93">
        <v>100</v>
      </c>
      <c r="O676" s="1"/>
      <c r="Q676" s="71" t="s">
        <v>40</v>
      </c>
    </row>
    <row r="677" spans="1:18" ht="48.75" hidden="1" customHeight="1" x14ac:dyDescent="0.2">
      <c r="B677" s="183" t="s">
        <v>100</v>
      </c>
      <c r="C677" s="183" t="s">
        <v>100</v>
      </c>
      <c r="D677" s="183" t="s">
        <v>100</v>
      </c>
      <c r="E677" s="183"/>
      <c r="F677" s="184" t="s">
        <v>1152</v>
      </c>
      <c r="G677" s="185">
        <v>1859868.5</v>
      </c>
      <c r="H677" s="185">
        <v>1897065.9</v>
      </c>
      <c r="I677" s="185">
        <v>1916267.2</v>
      </c>
      <c r="J677" s="3" t="s">
        <v>1153</v>
      </c>
      <c r="K677" s="3" t="s">
        <v>155</v>
      </c>
      <c r="L677" s="3">
        <v>1528972</v>
      </c>
      <c r="M677" s="3">
        <v>1605420</v>
      </c>
      <c r="N677" s="3">
        <v>1685691</v>
      </c>
      <c r="O677" s="1"/>
      <c r="Q677" s="72" t="s">
        <v>34</v>
      </c>
    </row>
    <row r="678" spans="1:18" ht="30" hidden="1" customHeight="1" x14ac:dyDescent="0.2">
      <c r="B678" s="183" t="s">
        <v>120</v>
      </c>
      <c r="C678" s="183" t="s">
        <v>120</v>
      </c>
      <c r="D678" s="183" t="s">
        <v>120</v>
      </c>
      <c r="E678" s="183"/>
      <c r="F678" s="184" t="s">
        <v>1154</v>
      </c>
      <c r="G678" s="185">
        <v>72740</v>
      </c>
      <c r="H678" s="185">
        <v>0</v>
      </c>
      <c r="I678" s="185">
        <v>0</v>
      </c>
      <c r="J678" s="3" t="s">
        <v>1155</v>
      </c>
      <c r="K678" s="3" t="s">
        <v>155</v>
      </c>
      <c r="L678" s="3">
        <v>21</v>
      </c>
      <c r="M678" s="3">
        <v>0</v>
      </c>
      <c r="N678" s="3">
        <v>0</v>
      </c>
      <c r="O678" s="1"/>
      <c r="Q678" s="72" t="s">
        <v>34</v>
      </c>
    </row>
    <row r="679" spans="1:18" ht="48.75" hidden="1" customHeight="1" x14ac:dyDescent="0.2">
      <c r="B679" s="181" t="s">
        <v>150</v>
      </c>
      <c r="C679" s="181" t="s">
        <v>150</v>
      </c>
      <c r="D679" s="181" t="s">
        <v>150</v>
      </c>
      <c r="E679" s="181"/>
      <c r="F679" s="181" t="s">
        <v>1156</v>
      </c>
      <c r="G679" s="182">
        <v>131872.9</v>
      </c>
      <c r="H679" s="182">
        <v>133710.39999999999</v>
      </c>
      <c r="I679" s="182">
        <v>104766.2</v>
      </c>
      <c r="J679" s="3" t="s">
        <v>1157</v>
      </c>
      <c r="K679" s="3" t="s">
        <v>1158</v>
      </c>
      <c r="L679" s="3">
        <v>8</v>
      </c>
      <c r="M679" s="3">
        <v>8</v>
      </c>
      <c r="N679" s="3">
        <v>8</v>
      </c>
      <c r="O679" s="1"/>
      <c r="Q679" s="72" t="s">
        <v>34</v>
      </c>
      <c r="R679" s="75" t="s">
        <v>960</v>
      </c>
    </row>
    <row r="680" spans="1:18" ht="35.25" hidden="1" customHeight="1" x14ac:dyDescent="0.2">
      <c r="B680" s="77"/>
      <c r="C680" s="77"/>
      <c r="D680" s="77"/>
      <c r="E680" s="77"/>
      <c r="F680" s="77"/>
      <c r="G680" s="77"/>
      <c r="H680" s="77"/>
      <c r="I680" s="77"/>
      <c r="J680" s="3" t="s">
        <v>1159</v>
      </c>
      <c r="K680" s="3" t="s">
        <v>1160</v>
      </c>
      <c r="L680" s="3">
        <v>248</v>
      </c>
      <c r="M680" s="3">
        <v>248</v>
      </c>
      <c r="N680" s="3">
        <v>248</v>
      </c>
      <c r="O680" s="1"/>
      <c r="Q680" s="73" t="s">
        <v>37</v>
      </c>
    </row>
    <row r="681" spans="1:18" ht="35.25" hidden="1" customHeight="1" x14ac:dyDescent="0.2">
      <c r="B681" s="181" t="s">
        <v>124</v>
      </c>
      <c r="C681" s="181" t="s">
        <v>124</v>
      </c>
      <c r="D681" s="181" t="s">
        <v>124</v>
      </c>
      <c r="E681" s="181"/>
      <c r="F681" s="181" t="s">
        <v>1161</v>
      </c>
      <c r="G681" s="182">
        <v>182281.4</v>
      </c>
      <c r="H681" s="182">
        <v>142475</v>
      </c>
      <c r="I681" s="182">
        <v>145324.6</v>
      </c>
      <c r="J681" s="3" t="s">
        <v>1162</v>
      </c>
      <c r="K681" s="3" t="s">
        <v>1163</v>
      </c>
      <c r="L681" s="3">
        <v>71</v>
      </c>
      <c r="M681" s="3">
        <v>71</v>
      </c>
      <c r="N681" s="3">
        <v>71</v>
      </c>
      <c r="O681" s="1"/>
      <c r="Q681" s="72" t="s">
        <v>34</v>
      </c>
      <c r="R681" s="75" t="s">
        <v>123</v>
      </c>
    </row>
    <row r="682" spans="1:18" ht="48" hidden="1" customHeight="1" x14ac:dyDescent="0.2">
      <c r="B682" s="77"/>
      <c r="C682" s="77"/>
      <c r="D682" s="77"/>
      <c r="E682" s="77"/>
      <c r="F682" s="77"/>
      <c r="G682" s="77"/>
      <c r="H682" s="77"/>
      <c r="I682" s="77"/>
      <c r="J682" s="3" t="s">
        <v>1164</v>
      </c>
      <c r="K682" s="3" t="s">
        <v>1160</v>
      </c>
      <c r="L682" s="3">
        <v>107</v>
      </c>
      <c r="M682" s="3">
        <v>107</v>
      </c>
      <c r="N682" s="3">
        <v>107</v>
      </c>
      <c r="O682" s="1"/>
      <c r="Q682" s="73" t="s">
        <v>37</v>
      </c>
    </row>
    <row r="683" spans="1:18" ht="15" hidden="1" customHeight="1" x14ac:dyDescent="0.2">
      <c r="B683" s="174" t="s">
        <v>112</v>
      </c>
      <c r="C683" s="175"/>
      <c r="D683" s="176"/>
      <c r="E683" s="176"/>
      <c r="F683" s="177"/>
      <c r="G683" s="178">
        <v>2246762.7999999998</v>
      </c>
      <c r="H683" s="178">
        <v>2173251.2999999998</v>
      </c>
      <c r="I683" s="178">
        <v>2166358</v>
      </c>
      <c r="J683" s="179"/>
      <c r="K683" s="176"/>
      <c r="L683" s="176"/>
      <c r="M683" s="176"/>
      <c r="N683" s="177"/>
      <c r="O683" s="1"/>
      <c r="Q683" s="74" t="s">
        <v>46</v>
      </c>
    </row>
    <row r="684" spans="1:18" ht="15" hidden="1" customHeight="1" x14ac:dyDescent="0.2">
      <c r="A684" s="4" t="str">
        <f>C684</f>
        <v>Государственное агентство по регистрации транспортных средств и водительского состава при Кабинете Министров Кыргызской Республики</v>
      </c>
      <c r="B684" s="87" t="s">
        <v>1165</v>
      </c>
      <c r="C684" s="88" t="s">
        <v>1166</v>
      </c>
      <c r="D684" s="90"/>
      <c r="E684" s="90"/>
      <c r="F684" s="90"/>
      <c r="G684" s="90"/>
      <c r="H684" s="90"/>
      <c r="I684" s="90"/>
      <c r="J684" s="90"/>
      <c r="K684" s="90"/>
      <c r="L684" s="90"/>
      <c r="M684" s="90"/>
      <c r="N684" s="91"/>
      <c r="O684" s="1"/>
      <c r="Q684" s="70" t="s">
        <v>43</v>
      </c>
    </row>
    <row r="685" spans="1:18" ht="24" hidden="1" customHeight="1" x14ac:dyDescent="0.2">
      <c r="B685" s="93" t="s">
        <v>1165</v>
      </c>
      <c r="C685" s="93" t="s">
        <v>1167</v>
      </c>
      <c r="D685" s="94"/>
      <c r="E685" s="94"/>
      <c r="F685" s="95" t="s">
        <v>1168</v>
      </c>
      <c r="G685" s="96">
        <v>1105080.8999999999</v>
      </c>
      <c r="H685" s="96">
        <v>1205298.5</v>
      </c>
      <c r="I685" s="96">
        <v>1255198</v>
      </c>
      <c r="J685" s="99" t="s">
        <v>1169</v>
      </c>
      <c r="K685" s="99" t="s">
        <v>155</v>
      </c>
      <c r="L685" s="99">
        <v>168000</v>
      </c>
      <c r="M685" s="99">
        <v>178000</v>
      </c>
      <c r="N685" s="99">
        <v>188000</v>
      </c>
      <c r="O685" s="1"/>
      <c r="Q685" s="71" t="s">
        <v>40</v>
      </c>
    </row>
    <row r="686" spans="1:18" ht="36" hidden="1" customHeight="1" x14ac:dyDescent="0.2">
      <c r="B686" s="183" t="s">
        <v>100</v>
      </c>
      <c r="C686" s="183" t="s">
        <v>100</v>
      </c>
      <c r="D686" s="183" t="s">
        <v>100</v>
      </c>
      <c r="E686" s="183"/>
      <c r="F686" s="184" t="s">
        <v>1170</v>
      </c>
      <c r="G686" s="185">
        <v>1105080.8999999999</v>
      </c>
      <c r="H686" s="185">
        <v>1205298.5</v>
      </c>
      <c r="I686" s="185">
        <v>1255198</v>
      </c>
      <c r="J686" s="3" t="s">
        <v>1171</v>
      </c>
      <c r="K686" s="3" t="s">
        <v>155</v>
      </c>
      <c r="L686" s="3">
        <v>934000</v>
      </c>
      <c r="M686" s="3">
        <v>944000</v>
      </c>
      <c r="N686" s="3">
        <v>954000</v>
      </c>
      <c r="O686" s="1"/>
      <c r="Q686" s="72" t="s">
        <v>34</v>
      </c>
    </row>
    <row r="687" spans="1:18" ht="15" hidden="1" customHeight="1" x14ac:dyDescent="0.2">
      <c r="B687" s="174" t="s">
        <v>112</v>
      </c>
      <c r="C687" s="175"/>
      <c r="D687" s="176"/>
      <c r="E687" s="176"/>
      <c r="F687" s="177"/>
      <c r="G687" s="178">
        <v>1105080.8999999999</v>
      </c>
      <c r="H687" s="178">
        <v>1205298.5</v>
      </c>
      <c r="I687" s="178">
        <v>1255198</v>
      </c>
      <c r="J687" s="179"/>
      <c r="K687" s="176"/>
      <c r="L687" s="176"/>
      <c r="M687" s="176"/>
      <c r="N687" s="177"/>
      <c r="O687" s="1"/>
      <c r="Q687" s="74" t="s">
        <v>46</v>
      </c>
    </row>
    <row r="688" spans="1:18" ht="15" hidden="1" customHeight="1" x14ac:dyDescent="0.2">
      <c r="A688" s="4" t="str">
        <f>C688</f>
        <v>Государственное агентство по управлению государственным имуществом при Кабинете Министров Кыргызской Республики</v>
      </c>
      <c r="B688" s="87" t="s">
        <v>1172</v>
      </c>
      <c r="C688" s="88" t="s">
        <v>1173</v>
      </c>
      <c r="D688" s="90"/>
      <c r="E688" s="90"/>
      <c r="F688" s="90"/>
      <c r="G688" s="90"/>
      <c r="H688" s="90"/>
      <c r="I688" s="90"/>
      <c r="J688" s="90"/>
      <c r="K688" s="90"/>
      <c r="L688" s="90"/>
      <c r="M688" s="90"/>
      <c r="N688" s="91"/>
      <c r="O688" s="1"/>
      <c r="Q688" s="70" t="s">
        <v>43</v>
      </c>
    </row>
    <row r="689" spans="1:17" ht="33" hidden="1" customHeight="1" x14ac:dyDescent="0.2">
      <c r="B689" s="93" t="s">
        <v>1172</v>
      </c>
      <c r="C689" s="93" t="s">
        <v>1174</v>
      </c>
      <c r="D689" s="94"/>
      <c r="E689" s="94"/>
      <c r="F689" s="95" t="s">
        <v>1175</v>
      </c>
      <c r="G689" s="96">
        <v>147614.5</v>
      </c>
      <c r="H689" s="96">
        <v>150566.79</v>
      </c>
      <c r="I689" s="96">
        <v>153578.13</v>
      </c>
      <c r="J689" s="99" t="s">
        <v>253</v>
      </c>
      <c r="K689" s="99" t="s">
        <v>99</v>
      </c>
      <c r="L689" s="99">
        <v>100</v>
      </c>
      <c r="M689" s="99">
        <v>100</v>
      </c>
      <c r="N689" s="99">
        <v>100</v>
      </c>
      <c r="O689" s="1"/>
      <c r="Q689" s="71" t="s">
        <v>40</v>
      </c>
    </row>
    <row r="690" spans="1:17" ht="45" hidden="1" customHeight="1" x14ac:dyDescent="0.2">
      <c r="B690" s="183" t="s">
        <v>100</v>
      </c>
      <c r="C690" s="183" t="s">
        <v>100</v>
      </c>
      <c r="D690" s="183" t="s">
        <v>100</v>
      </c>
      <c r="E690" s="183"/>
      <c r="F690" s="184" t="s">
        <v>1176</v>
      </c>
      <c r="G690" s="185">
        <v>147614.5</v>
      </c>
      <c r="H690" s="185">
        <v>150566.79</v>
      </c>
      <c r="I690" s="185">
        <v>153578.13</v>
      </c>
      <c r="J690" s="3" t="s">
        <v>1177</v>
      </c>
      <c r="K690" s="3" t="s">
        <v>99</v>
      </c>
      <c r="L690" s="3">
        <v>100</v>
      </c>
      <c r="M690" s="3">
        <v>100</v>
      </c>
      <c r="N690" s="3">
        <v>100</v>
      </c>
      <c r="O690" s="1"/>
      <c r="Q690" s="72" t="s">
        <v>34</v>
      </c>
    </row>
    <row r="691" spans="1:17" ht="15" hidden="1" customHeight="1" x14ac:dyDescent="0.2">
      <c r="B691" s="174" t="s">
        <v>112</v>
      </c>
      <c r="C691" s="175"/>
      <c r="D691" s="176"/>
      <c r="E691" s="176"/>
      <c r="F691" s="177"/>
      <c r="G691" s="178">
        <v>147614.5</v>
      </c>
      <c r="H691" s="178">
        <v>150566.79</v>
      </c>
      <c r="I691" s="178">
        <v>153578.13</v>
      </c>
      <c r="J691" s="179"/>
      <c r="K691" s="176"/>
      <c r="L691" s="176"/>
      <c r="M691" s="176"/>
      <c r="N691" s="177"/>
      <c r="O691" s="1"/>
      <c r="Q691" s="74" t="s">
        <v>46</v>
      </c>
    </row>
    <row r="692" spans="1:17" ht="15" hidden="1" customHeight="1" x14ac:dyDescent="0.2">
      <c r="A692" s="4" t="str">
        <f>C692</f>
        <v>Государственное учреждение «Фонд зеленой энергетики» при Кабинете Министров Кыргызской Республики</v>
      </c>
      <c r="B692" s="87" t="s">
        <v>471</v>
      </c>
      <c r="C692" s="88" t="s">
        <v>1178</v>
      </c>
      <c r="D692" s="90"/>
      <c r="E692" s="90"/>
      <c r="F692" s="90"/>
      <c r="G692" s="90"/>
      <c r="H692" s="90"/>
      <c r="I692" s="90"/>
      <c r="J692" s="90"/>
      <c r="K692" s="90"/>
      <c r="L692" s="90"/>
      <c r="M692" s="90"/>
      <c r="N692" s="91"/>
      <c r="O692" s="1"/>
      <c r="Q692" s="70" t="s">
        <v>43</v>
      </c>
    </row>
    <row r="693" spans="1:17" ht="24" hidden="1" customHeight="1" x14ac:dyDescent="0.2">
      <c r="B693" s="93" t="s">
        <v>471</v>
      </c>
      <c r="C693" s="93" t="s">
        <v>96</v>
      </c>
      <c r="D693" s="94"/>
      <c r="E693" s="94"/>
      <c r="F693" s="95" t="s">
        <v>97</v>
      </c>
      <c r="G693" s="96">
        <v>14991.7</v>
      </c>
      <c r="H693" s="96">
        <v>15291.53</v>
      </c>
      <c r="I693" s="96">
        <v>15597.36</v>
      </c>
      <c r="J693" s="99" t="s">
        <v>253</v>
      </c>
      <c r="K693" s="99" t="s">
        <v>99</v>
      </c>
      <c r="L693" s="99">
        <v>100</v>
      </c>
      <c r="M693" s="99">
        <v>100</v>
      </c>
      <c r="N693" s="99">
        <v>100</v>
      </c>
      <c r="O693" s="1"/>
      <c r="Q693" s="71" t="s">
        <v>40</v>
      </c>
    </row>
    <row r="694" spans="1:17" ht="24" hidden="1" customHeight="1" x14ac:dyDescent="0.2">
      <c r="B694" s="183" t="s">
        <v>100</v>
      </c>
      <c r="C694" s="183" t="s">
        <v>100</v>
      </c>
      <c r="D694" s="183" t="s">
        <v>100</v>
      </c>
      <c r="E694" s="183"/>
      <c r="F694" s="184" t="s">
        <v>101</v>
      </c>
      <c r="G694" s="185">
        <v>14991.7</v>
      </c>
      <c r="H694" s="185">
        <v>15291.53</v>
      </c>
      <c r="I694" s="185">
        <v>15597.36</v>
      </c>
      <c r="J694" s="3" t="s">
        <v>1179</v>
      </c>
      <c r="K694" s="3" t="s">
        <v>105</v>
      </c>
      <c r="L694" s="3">
        <v>20</v>
      </c>
      <c r="M694" s="3">
        <v>20</v>
      </c>
      <c r="N694" s="3">
        <v>20</v>
      </c>
      <c r="O694" s="1"/>
      <c r="Q694" s="72" t="s">
        <v>34</v>
      </c>
    </row>
    <row r="695" spans="1:17" ht="15" hidden="1" customHeight="1" x14ac:dyDescent="0.2">
      <c r="B695" s="174" t="s">
        <v>112</v>
      </c>
      <c r="C695" s="175"/>
      <c r="D695" s="176"/>
      <c r="E695" s="176"/>
      <c r="F695" s="177"/>
      <c r="G695" s="178">
        <v>14991.7</v>
      </c>
      <c r="H695" s="178">
        <v>15291.53</v>
      </c>
      <c r="I695" s="178">
        <v>15597.36</v>
      </c>
      <c r="J695" s="179"/>
      <c r="K695" s="176"/>
      <c r="L695" s="176"/>
      <c r="M695" s="176"/>
      <c r="N695" s="177"/>
      <c r="O695" s="1"/>
      <c r="Q695" s="74" t="s">
        <v>46</v>
      </c>
    </row>
    <row r="696" spans="1:17" ht="15" hidden="1" customHeight="1" x14ac:dyDescent="0.2">
      <c r="A696" s="4" t="str">
        <f>C696</f>
        <v>Министерство энергетики Кыргызской Республики</v>
      </c>
      <c r="B696" s="87" t="s">
        <v>1180</v>
      </c>
      <c r="C696" s="88" t="s">
        <v>1181</v>
      </c>
      <c r="D696" s="90"/>
      <c r="E696" s="90"/>
      <c r="F696" s="90"/>
      <c r="G696" s="90"/>
      <c r="H696" s="90"/>
      <c r="I696" s="90"/>
      <c r="J696" s="90"/>
      <c r="K696" s="90"/>
      <c r="L696" s="90"/>
      <c r="M696" s="90"/>
      <c r="N696" s="91"/>
      <c r="O696" s="1"/>
      <c r="Q696" s="70" t="s">
        <v>43</v>
      </c>
    </row>
    <row r="697" spans="1:17" hidden="1" x14ac:dyDescent="0.2">
      <c r="B697" s="93" t="s">
        <v>1180</v>
      </c>
      <c r="C697" s="93" t="s">
        <v>96</v>
      </c>
      <c r="D697" s="94"/>
      <c r="E697" s="94"/>
      <c r="F697" s="95" t="s">
        <v>97</v>
      </c>
      <c r="G697" s="96">
        <v>128453.6</v>
      </c>
      <c r="H697" s="96">
        <v>132913.5</v>
      </c>
      <c r="I697" s="96">
        <v>136938.20000000001</v>
      </c>
      <c r="J697" s="99" t="s">
        <v>304</v>
      </c>
      <c r="K697" s="99" t="s">
        <v>103</v>
      </c>
      <c r="L697" s="99">
        <v>35</v>
      </c>
      <c r="M697" s="99">
        <v>35</v>
      </c>
      <c r="N697" s="99">
        <v>35</v>
      </c>
      <c r="O697" s="1"/>
      <c r="Q697" s="71" t="s">
        <v>40</v>
      </c>
    </row>
    <row r="698" spans="1:17" ht="24" hidden="1" customHeight="1" x14ac:dyDescent="0.2">
      <c r="B698" s="183" t="s">
        <v>100</v>
      </c>
      <c r="C698" s="183" t="s">
        <v>100</v>
      </c>
      <c r="D698" s="183" t="s">
        <v>100</v>
      </c>
      <c r="E698" s="183"/>
      <c r="F698" s="184" t="s">
        <v>101</v>
      </c>
      <c r="G698" s="185">
        <v>128453.6</v>
      </c>
      <c r="H698" s="185">
        <v>132913.5</v>
      </c>
      <c r="I698" s="185">
        <v>136938.20000000001</v>
      </c>
      <c r="J698" s="3" t="s">
        <v>304</v>
      </c>
      <c r="K698" s="3" t="s">
        <v>103</v>
      </c>
      <c r="L698" s="3">
        <v>35</v>
      </c>
      <c r="M698" s="3">
        <v>35</v>
      </c>
      <c r="N698" s="3">
        <v>35</v>
      </c>
      <c r="O698" s="1"/>
      <c r="Q698" s="72" t="s">
        <v>34</v>
      </c>
    </row>
    <row r="699" spans="1:17" ht="35.25" hidden="1" customHeight="1" x14ac:dyDescent="0.2">
      <c r="B699" s="93" t="s">
        <v>1180</v>
      </c>
      <c r="C699" s="93" t="s">
        <v>1182</v>
      </c>
      <c r="D699" s="94"/>
      <c r="E699" s="94"/>
      <c r="F699" s="95" t="s">
        <v>1183</v>
      </c>
      <c r="G699" s="96">
        <v>78720.399999999994</v>
      </c>
      <c r="H699" s="96">
        <v>81620.399999999994</v>
      </c>
      <c r="I699" s="96">
        <v>84440</v>
      </c>
      <c r="J699" s="93" t="s">
        <v>253</v>
      </c>
      <c r="K699" s="93" t="s">
        <v>99</v>
      </c>
      <c r="L699" s="93">
        <v>100</v>
      </c>
      <c r="M699" s="93">
        <v>100</v>
      </c>
      <c r="N699" s="93">
        <v>100</v>
      </c>
      <c r="O699" s="1"/>
      <c r="Q699" s="71" t="s">
        <v>40</v>
      </c>
    </row>
    <row r="700" spans="1:17" hidden="1" x14ac:dyDescent="0.2">
      <c r="B700" s="181" t="s">
        <v>100</v>
      </c>
      <c r="C700" s="181" t="s">
        <v>100</v>
      </c>
      <c r="D700" s="181" t="s">
        <v>100</v>
      </c>
      <c r="E700" s="181"/>
      <c r="F700" s="181" t="s">
        <v>1184</v>
      </c>
      <c r="G700" s="182">
        <v>39360.199999999997</v>
      </c>
      <c r="H700" s="182">
        <v>40810.199999999997</v>
      </c>
      <c r="I700" s="182">
        <v>42220</v>
      </c>
      <c r="J700" s="3" t="s">
        <v>1185</v>
      </c>
      <c r="K700" s="3" t="s">
        <v>155</v>
      </c>
      <c r="L700" s="3">
        <v>44</v>
      </c>
      <c r="M700" s="3">
        <v>47</v>
      </c>
      <c r="N700" s="3">
        <v>50</v>
      </c>
      <c r="O700" s="1"/>
      <c r="Q700" s="72" t="s">
        <v>34</v>
      </c>
    </row>
    <row r="701" spans="1:17" hidden="1" x14ac:dyDescent="0.2">
      <c r="B701" s="76"/>
      <c r="C701" s="76"/>
      <c r="D701" s="76"/>
      <c r="E701" s="76"/>
      <c r="F701" s="76"/>
      <c r="G701" s="76"/>
      <c r="H701" s="76"/>
      <c r="I701" s="76"/>
      <c r="J701" s="3" t="s">
        <v>1186</v>
      </c>
      <c r="K701" s="3" t="s">
        <v>155</v>
      </c>
      <c r="L701" s="3">
        <v>41</v>
      </c>
      <c r="M701" s="3">
        <v>44</v>
      </c>
      <c r="N701" s="3">
        <v>47</v>
      </c>
      <c r="O701" s="1"/>
      <c r="Q701" s="73" t="s">
        <v>37</v>
      </c>
    </row>
    <row r="702" spans="1:17" hidden="1" x14ac:dyDescent="0.2">
      <c r="B702" s="77"/>
      <c r="C702" s="77"/>
      <c r="D702" s="77"/>
      <c r="E702" s="77"/>
      <c r="F702" s="77"/>
      <c r="G702" s="77"/>
      <c r="H702" s="77"/>
      <c r="I702" s="77"/>
      <c r="J702" s="3" t="s">
        <v>1187</v>
      </c>
      <c r="K702" s="3" t="s">
        <v>155</v>
      </c>
      <c r="L702" s="3">
        <v>25</v>
      </c>
      <c r="M702" s="3">
        <v>27</v>
      </c>
      <c r="N702" s="3">
        <v>30</v>
      </c>
      <c r="O702" s="1"/>
      <c r="Q702" s="73" t="s">
        <v>37</v>
      </c>
    </row>
    <row r="703" spans="1:17" ht="24" hidden="1" customHeight="1" x14ac:dyDescent="0.2">
      <c r="B703" s="183" t="s">
        <v>120</v>
      </c>
      <c r="C703" s="183" t="s">
        <v>120</v>
      </c>
      <c r="D703" s="183" t="s">
        <v>120</v>
      </c>
      <c r="E703" s="183"/>
      <c r="F703" s="184" t="s">
        <v>1188</v>
      </c>
      <c r="G703" s="185">
        <v>39360.199999999997</v>
      </c>
      <c r="H703" s="185">
        <v>40810.199999999997</v>
      </c>
      <c r="I703" s="185">
        <v>42220</v>
      </c>
      <c r="J703" s="3" t="s">
        <v>1189</v>
      </c>
      <c r="K703" s="3" t="s">
        <v>99</v>
      </c>
      <c r="L703" s="3">
        <v>26.7</v>
      </c>
      <c r="M703" s="3">
        <v>26.7</v>
      </c>
      <c r="N703" s="3">
        <v>26.7</v>
      </c>
      <c r="O703" s="1"/>
      <c r="Q703" s="72" t="s">
        <v>34</v>
      </c>
    </row>
    <row r="704" spans="1:17" ht="24" hidden="1" customHeight="1" x14ac:dyDescent="0.2">
      <c r="B704" s="93" t="s">
        <v>1180</v>
      </c>
      <c r="C704" s="93" t="s">
        <v>1190</v>
      </c>
      <c r="D704" s="94"/>
      <c r="E704" s="94"/>
      <c r="F704" s="95" t="s">
        <v>1191</v>
      </c>
      <c r="G704" s="96">
        <v>71785.3</v>
      </c>
      <c r="H704" s="96">
        <v>72914</v>
      </c>
      <c r="I704" s="96">
        <v>74452.7</v>
      </c>
      <c r="J704" s="93" t="s">
        <v>253</v>
      </c>
      <c r="K704" s="93" t="s">
        <v>99</v>
      </c>
      <c r="L704" s="93">
        <v>100</v>
      </c>
      <c r="M704" s="93">
        <v>100</v>
      </c>
      <c r="N704" s="93">
        <v>100</v>
      </c>
      <c r="O704" s="1"/>
      <c r="Q704" s="71" t="s">
        <v>40</v>
      </c>
    </row>
    <row r="705" spans="1:17" ht="24" hidden="1" customHeight="1" x14ac:dyDescent="0.2">
      <c r="B705" s="183" t="s">
        <v>120</v>
      </c>
      <c r="C705" s="183" t="s">
        <v>120</v>
      </c>
      <c r="D705" s="183" t="s">
        <v>120</v>
      </c>
      <c r="E705" s="183"/>
      <c r="F705" s="184" t="s">
        <v>1192</v>
      </c>
      <c r="G705" s="185">
        <v>71785.3</v>
      </c>
      <c r="H705" s="185">
        <v>72914</v>
      </c>
      <c r="I705" s="185">
        <v>74452.7</v>
      </c>
      <c r="J705" s="3" t="s">
        <v>1193</v>
      </c>
      <c r="K705" s="3" t="s">
        <v>99</v>
      </c>
      <c r="L705" s="3">
        <v>3</v>
      </c>
      <c r="M705" s="3">
        <v>3</v>
      </c>
      <c r="N705" s="3">
        <v>3</v>
      </c>
      <c r="O705" s="1"/>
      <c r="Q705" s="72" t="s">
        <v>34</v>
      </c>
    </row>
    <row r="706" spans="1:17" ht="34.5" hidden="1" customHeight="1" x14ac:dyDescent="0.2">
      <c r="B706" s="93" t="s">
        <v>1180</v>
      </c>
      <c r="C706" s="93" t="s">
        <v>1194</v>
      </c>
      <c r="D706" s="94"/>
      <c r="E706" s="94"/>
      <c r="F706" s="95" t="s">
        <v>1195</v>
      </c>
      <c r="G706" s="96">
        <v>24094.2</v>
      </c>
      <c r="H706" s="96">
        <v>25803.8</v>
      </c>
      <c r="I706" s="96">
        <v>27410</v>
      </c>
      <c r="J706" s="93" t="s">
        <v>253</v>
      </c>
      <c r="K706" s="93" t="s">
        <v>99</v>
      </c>
      <c r="L706" s="93">
        <v>100</v>
      </c>
      <c r="M706" s="93">
        <v>100</v>
      </c>
      <c r="N706" s="93">
        <v>100</v>
      </c>
      <c r="O706" s="1"/>
      <c r="Q706" s="71" t="s">
        <v>40</v>
      </c>
    </row>
    <row r="707" spans="1:17" ht="38.25" hidden="1" customHeight="1" x14ac:dyDescent="0.2">
      <c r="B707" s="183" t="s">
        <v>100</v>
      </c>
      <c r="C707" s="183" t="s">
        <v>100</v>
      </c>
      <c r="D707" s="183" t="s">
        <v>100</v>
      </c>
      <c r="E707" s="183"/>
      <c r="F707" s="184" t="s">
        <v>1196</v>
      </c>
      <c r="G707" s="185">
        <v>20594.2</v>
      </c>
      <c r="H707" s="185">
        <v>21517.9</v>
      </c>
      <c r="I707" s="185">
        <v>22342.5</v>
      </c>
      <c r="J707" s="3" t="s">
        <v>1197</v>
      </c>
      <c r="K707" s="3" t="s">
        <v>99</v>
      </c>
      <c r="L707" s="3">
        <v>10</v>
      </c>
      <c r="M707" s="3">
        <v>11</v>
      </c>
      <c r="N707" s="3">
        <v>12</v>
      </c>
      <c r="O707" s="1"/>
      <c r="Q707" s="72" t="s">
        <v>34</v>
      </c>
    </row>
    <row r="708" spans="1:17" ht="31.5" hidden="1" customHeight="1" x14ac:dyDescent="0.2">
      <c r="B708" s="183" t="s">
        <v>120</v>
      </c>
      <c r="C708" s="183" t="s">
        <v>120</v>
      </c>
      <c r="D708" s="183" t="s">
        <v>120</v>
      </c>
      <c r="E708" s="183"/>
      <c r="F708" s="184" t="s">
        <v>1198</v>
      </c>
      <c r="G708" s="185">
        <v>3500</v>
      </c>
      <c r="H708" s="185">
        <v>4285.8999999999996</v>
      </c>
      <c r="I708" s="185">
        <v>5067.5</v>
      </c>
      <c r="J708" s="3" t="s">
        <v>1199</v>
      </c>
      <c r="K708" s="3" t="s">
        <v>99</v>
      </c>
      <c r="L708" s="3">
        <v>10</v>
      </c>
      <c r="M708" s="3">
        <v>10</v>
      </c>
      <c r="N708" s="3">
        <v>10</v>
      </c>
      <c r="O708" s="1"/>
      <c r="Q708" s="72" t="s">
        <v>34</v>
      </c>
    </row>
    <row r="709" spans="1:17" ht="28.5" customHeight="1" x14ac:dyDescent="0.2">
      <c r="B709" s="99">
        <v>55</v>
      </c>
      <c r="C709" s="99" t="s">
        <v>408</v>
      </c>
      <c r="D709" s="117" t="s">
        <v>100</v>
      </c>
      <c r="E709" s="99"/>
      <c r="F709" s="109" t="s">
        <v>409</v>
      </c>
      <c r="G709" s="110">
        <v>7983368.7999999998</v>
      </c>
      <c r="H709" s="110">
        <v>10721323.199999999</v>
      </c>
      <c r="I709" s="110">
        <v>4762805.3</v>
      </c>
      <c r="J709" s="111" t="s">
        <v>347</v>
      </c>
      <c r="K709" s="111" t="s">
        <v>99</v>
      </c>
      <c r="L709" s="111">
        <v>100</v>
      </c>
      <c r="M709" s="111">
        <v>100</v>
      </c>
      <c r="N709" s="111">
        <v>100</v>
      </c>
      <c r="O709" s="1"/>
      <c r="Q709" s="118" t="s">
        <v>40</v>
      </c>
    </row>
    <row r="710" spans="1:17" ht="18.75" hidden="1" customHeight="1" x14ac:dyDescent="0.2">
      <c r="B710" s="174" t="s">
        <v>112</v>
      </c>
      <c r="C710" s="175"/>
      <c r="D710" s="176"/>
      <c r="E710" s="176"/>
      <c r="F710" s="177"/>
      <c r="G710" s="178">
        <v>8286422.2999999998</v>
      </c>
      <c r="H710" s="178">
        <v>11034574.9</v>
      </c>
      <c r="I710" s="178">
        <v>5086046.2</v>
      </c>
      <c r="J710" s="179"/>
      <c r="K710" s="176"/>
      <c r="L710" s="176"/>
      <c r="M710" s="176"/>
      <c r="N710" s="177"/>
      <c r="O710" s="1"/>
      <c r="Q710" s="74" t="s">
        <v>46</v>
      </c>
    </row>
    <row r="711" spans="1:17" ht="15" hidden="1" customHeight="1" x14ac:dyDescent="0.2">
      <c r="A711" s="4" t="str">
        <f>C711</f>
        <v>Государственное агентство по контролю за производством и оборотом этилового спирта, алкогольной продукции при Кабинете Министров Кыргызской Республики</v>
      </c>
      <c r="B711" s="87" t="s">
        <v>1200</v>
      </c>
      <c r="C711" s="88" t="s">
        <v>1201</v>
      </c>
      <c r="D711" s="90"/>
      <c r="E711" s="90"/>
      <c r="F711" s="90"/>
      <c r="G711" s="90"/>
      <c r="H711" s="90"/>
      <c r="I711" s="90"/>
      <c r="J711" s="90"/>
      <c r="K711" s="90"/>
      <c r="L711" s="90"/>
      <c r="M711" s="90"/>
      <c r="N711" s="91"/>
      <c r="O711" s="1"/>
      <c r="Q711" s="70" t="s">
        <v>43</v>
      </c>
    </row>
    <row r="712" spans="1:17" ht="30" hidden="1" customHeight="1" x14ac:dyDescent="0.2">
      <c r="B712" s="93" t="s">
        <v>1200</v>
      </c>
      <c r="C712" s="93" t="s">
        <v>96</v>
      </c>
      <c r="D712" s="94"/>
      <c r="E712" s="94"/>
      <c r="F712" s="95" t="s">
        <v>97</v>
      </c>
      <c r="G712" s="96">
        <v>42136.2</v>
      </c>
      <c r="H712" s="96">
        <v>42978.9</v>
      </c>
      <c r="I712" s="96">
        <v>43838.5</v>
      </c>
      <c r="J712" s="93" t="s">
        <v>253</v>
      </c>
      <c r="K712" s="93" t="s">
        <v>99</v>
      </c>
      <c r="L712" s="93">
        <v>100</v>
      </c>
      <c r="M712" s="93">
        <v>100</v>
      </c>
      <c r="N712" s="93">
        <v>100</v>
      </c>
      <c r="O712" s="1"/>
      <c r="Q712" s="71" t="s">
        <v>40</v>
      </c>
    </row>
    <row r="713" spans="1:17" ht="24" hidden="1" customHeight="1" x14ac:dyDescent="0.2">
      <c r="B713" s="183" t="s">
        <v>100</v>
      </c>
      <c r="C713" s="183" t="s">
        <v>100</v>
      </c>
      <c r="D713" s="183" t="s">
        <v>100</v>
      </c>
      <c r="E713" s="183"/>
      <c r="F713" s="184" t="s">
        <v>101</v>
      </c>
      <c r="G713" s="185">
        <v>42136.2</v>
      </c>
      <c r="H713" s="185">
        <v>42978.9</v>
      </c>
      <c r="I713" s="185">
        <v>43838.5</v>
      </c>
      <c r="J713" s="3" t="s">
        <v>304</v>
      </c>
      <c r="K713" s="3" t="s">
        <v>223</v>
      </c>
      <c r="L713" s="3">
        <v>250</v>
      </c>
      <c r="M713" s="3">
        <v>300</v>
      </c>
      <c r="N713" s="3">
        <v>350</v>
      </c>
      <c r="O713" s="1"/>
      <c r="Q713" s="72" t="s">
        <v>34</v>
      </c>
    </row>
    <row r="714" spans="1:17" ht="15" hidden="1" customHeight="1" x14ac:dyDescent="0.2">
      <c r="B714" s="174" t="s">
        <v>112</v>
      </c>
      <c r="C714" s="175"/>
      <c r="D714" s="176"/>
      <c r="E714" s="176"/>
      <c r="F714" s="177"/>
      <c r="G714" s="178">
        <v>42136.2</v>
      </c>
      <c r="H714" s="178">
        <v>42978.9</v>
      </c>
      <c r="I714" s="178">
        <v>43838.5</v>
      </c>
      <c r="J714" s="179"/>
      <c r="K714" s="176"/>
      <c r="L714" s="176"/>
      <c r="M714" s="176"/>
      <c r="N714" s="177"/>
      <c r="O714" s="1"/>
      <c r="Q714" s="74" t="s">
        <v>46</v>
      </c>
    </row>
    <row r="715" spans="1:17" ht="15" hidden="1" customHeight="1" x14ac:dyDescent="0.2">
      <c r="A715" s="4" t="str">
        <f>C715</f>
        <v>Национальное агентство по инвестициям при Президенте Кыргызской Республики</v>
      </c>
      <c r="B715" s="87" t="s">
        <v>1202</v>
      </c>
      <c r="C715" s="88" t="s">
        <v>1203</v>
      </c>
      <c r="D715" s="90"/>
      <c r="E715" s="90"/>
      <c r="F715" s="90"/>
      <c r="G715" s="90"/>
      <c r="H715" s="90"/>
      <c r="I715" s="90"/>
      <c r="J715" s="90"/>
      <c r="K715" s="90"/>
      <c r="L715" s="90"/>
      <c r="M715" s="90"/>
      <c r="N715" s="91"/>
      <c r="O715" s="1"/>
      <c r="Q715" s="70" t="s">
        <v>43</v>
      </c>
    </row>
    <row r="716" spans="1:17" hidden="1" x14ac:dyDescent="0.2">
      <c r="B716" s="93" t="s">
        <v>1202</v>
      </c>
      <c r="C716" s="93" t="s">
        <v>96</v>
      </c>
      <c r="D716" s="94"/>
      <c r="E716" s="94"/>
      <c r="F716" s="95" t="s">
        <v>97</v>
      </c>
      <c r="G716" s="96">
        <v>71643.5</v>
      </c>
      <c r="H716" s="96">
        <v>72793</v>
      </c>
      <c r="I716" s="96">
        <v>74434.3</v>
      </c>
      <c r="J716" s="99" t="s">
        <v>304</v>
      </c>
      <c r="K716" s="99" t="s">
        <v>103</v>
      </c>
      <c r="L716" s="99">
        <v>48</v>
      </c>
      <c r="M716" s="99">
        <v>49</v>
      </c>
      <c r="N716" s="99">
        <v>50</v>
      </c>
      <c r="O716" s="1"/>
      <c r="Q716" s="71" t="s">
        <v>40</v>
      </c>
    </row>
    <row r="717" spans="1:17" ht="24" hidden="1" customHeight="1" x14ac:dyDescent="0.2">
      <c r="B717" s="183" t="s">
        <v>100</v>
      </c>
      <c r="C717" s="183" t="s">
        <v>100</v>
      </c>
      <c r="D717" s="183" t="s">
        <v>100</v>
      </c>
      <c r="E717" s="183"/>
      <c r="F717" s="184" t="s">
        <v>101</v>
      </c>
      <c r="G717" s="185">
        <v>71643.5</v>
      </c>
      <c r="H717" s="185">
        <v>72793</v>
      </c>
      <c r="I717" s="185">
        <v>74434.3</v>
      </c>
      <c r="J717" s="3" t="s">
        <v>304</v>
      </c>
      <c r="K717" s="3" t="s">
        <v>103</v>
      </c>
      <c r="L717" s="3">
        <v>48</v>
      </c>
      <c r="M717" s="3">
        <v>49</v>
      </c>
      <c r="N717" s="3">
        <v>50</v>
      </c>
      <c r="O717" s="1"/>
      <c r="Q717" s="72" t="s">
        <v>34</v>
      </c>
    </row>
    <row r="718" spans="1:17" ht="37.5" hidden="1" customHeight="1" x14ac:dyDescent="0.2">
      <c r="B718" s="93" t="s">
        <v>1202</v>
      </c>
      <c r="C718" s="93" t="s">
        <v>1204</v>
      </c>
      <c r="D718" s="94"/>
      <c r="E718" s="94"/>
      <c r="F718" s="95" t="s">
        <v>1205</v>
      </c>
      <c r="G718" s="96">
        <v>29838.1</v>
      </c>
      <c r="H718" s="96">
        <v>30571.4</v>
      </c>
      <c r="I718" s="96">
        <v>30997.4</v>
      </c>
      <c r="J718" s="93" t="s">
        <v>253</v>
      </c>
      <c r="K718" s="93" t="s">
        <v>99</v>
      </c>
      <c r="L718" s="93">
        <v>100</v>
      </c>
      <c r="M718" s="93">
        <v>100</v>
      </c>
      <c r="N718" s="93">
        <v>100</v>
      </c>
      <c r="O718" s="1"/>
      <c r="Q718" s="71" t="s">
        <v>40</v>
      </c>
    </row>
    <row r="719" spans="1:17" ht="30" hidden="1" customHeight="1" x14ac:dyDescent="0.2">
      <c r="B719" s="183" t="s">
        <v>120</v>
      </c>
      <c r="C719" s="183" t="s">
        <v>120</v>
      </c>
      <c r="D719" s="183" t="s">
        <v>120</v>
      </c>
      <c r="E719" s="183"/>
      <c r="F719" s="184" t="s">
        <v>1206</v>
      </c>
      <c r="G719" s="185">
        <v>8959.5</v>
      </c>
      <c r="H719" s="185">
        <v>9275.2999999999993</v>
      </c>
      <c r="I719" s="185">
        <v>9275.2999999999993</v>
      </c>
      <c r="J719" s="3" t="s">
        <v>1207</v>
      </c>
      <c r="K719" s="3" t="s">
        <v>552</v>
      </c>
      <c r="L719" s="3">
        <v>1.3</v>
      </c>
      <c r="M719" s="3">
        <v>1.3</v>
      </c>
      <c r="N719" s="3">
        <v>1.4</v>
      </c>
      <c r="O719" s="1"/>
      <c r="Q719" s="72" t="s">
        <v>34</v>
      </c>
    </row>
    <row r="720" spans="1:17" ht="15" hidden="1" customHeight="1" x14ac:dyDescent="0.2">
      <c r="B720" s="181" t="s">
        <v>150</v>
      </c>
      <c r="C720" s="181" t="s">
        <v>150</v>
      </c>
      <c r="D720" s="181" t="s">
        <v>150</v>
      </c>
      <c r="E720" s="181"/>
      <c r="F720" s="181" t="s">
        <v>1208</v>
      </c>
      <c r="G720" s="182">
        <v>20878.599999999999</v>
      </c>
      <c r="H720" s="182">
        <v>21296.1</v>
      </c>
      <c r="I720" s="182">
        <v>21722.1</v>
      </c>
      <c r="J720" s="3" t="s">
        <v>1209</v>
      </c>
      <c r="K720" s="3" t="s">
        <v>105</v>
      </c>
      <c r="L720" s="3">
        <v>20</v>
      </c>
      <c r="M720" s="3">
        <v>20</v>
      </c>
      <c r="N720" s="3">
        <v>20</v>
      </c>
      <c r="O720" s="1"/>
      <c r="Q720" s="72" t="s">
        <v>34</v>
      </c>
    </row>
    <row r="721" spans="1:18" ht="32.25" hidden="1" customHeight="1" x14ac:dyDescent="0.2">
      <c r="B721" s="77"/>
      <c r="C721" s="77"/>
      <c r="D721" s="77"/>
      <c r="E721" s="77"/>
      <c r="F721" s="77"/>
      <c r="G721" s="77"/>
      <c r="H721" s="77"/>
      <c r="I721" s="77"/>
      <c r="J721" s="3" t="s">
        <v>1210</v>
      </c>
      <c r="K721" s="3" t="s">
        <v>379</v>
      </c>
      <c r="L721" s="3">
        <v>61</v>
      </c>
      <c r="M721" s="3">
        <v>61</v>
      </c>
      <c r="N721" s="3">
        <v>61</v>
      </c>
      <c r="O721" s="1"/>
      <c r="Q721" s="73" t="s">
        <v>37</v>
      </c>
    </row>
    <row r="722" spans="1:18" ht="15" hidden="1" customHeight="1" x14ac:dyDescent="0.2">
      <c r="B722" s="174" t="s">
        <v>112</v>
      </c>
      <c r="C722" s="175"/>
      <c r="D722" s="176"/>
      <c r="E722" s="176"/>
      <c r="F722" s="177"/>
      <c r="G722" s="178">
        <v>101481.60000000001</v>
      </c>
      <c r="H722" s="178">
        <v>103364.4</v>
      </c>
      <c r="I722" s="178">
        <v>105431.7</v>
      </c>
      <c r="J722" s="179"/>
      <c r="K722" s="176"/>
      <c r="L722" s="176"/>
      <c r="M722" s="176"/>
      <c r="N722" s="177"/>
      <c r="O722" s="1"/>
      <c r="Q722" s="74" t="s">
        <v>46</v>
      </c>
    </row>
    <row r="723" spans="1:18" ht="15" hidden="1" customHeight="1" x14ac:dyDescent="0.2">
      <c r="A723" s="4" t="str">
        <f>C723</f>
        <v>Государственное агентство по защите персональных данных при Кабинете Министров Кыргызской Республики</v>
      </c>
      <c r="B723" s="87" t="s">
        <v>474</v>
      </c>
      <c r="C723" s="88" t="s">
        <v>1211</v>
      </c>
      <c r="D723" s="90"/>
      <c r="E723" s="90"/>
      <c r="F723" s="90"/>
      <c r="G723" s="90"/>
      <c r="H723" s="90"/>
      <c r="I723" s="90"/>
      <c r="J723" s="90"/>
      <c r="K723" s="90"/>
      <c r="L723" s="90"/>
      <c r="M723" s="90"/>
      <c r="N723" s="91"/>
      <c r="O723" s="1"/>
      <c r="Q723" s="70" t="s">
        <v>43</v>
      </c>
    </row>
    <row r="724" spans="1:18" ht="33" hidden="1" customHeight="1" x14ac:dyDescent="0.2">
      <c r="B724" s="93" t="s">
        <v>474</v>
      </c>
      <c r="C724" s="93" t="s">
        <v>96</v>
      </c>
      <c r="D724" s="94"/>
      <c r="E724" s="94"/>
      <c r="F724" s="95" t="s">
        <v>97</v>
      </c>
      <c r="G724" s="96">
        <v>43252.2</v>
      </c>
      <c r="H724" s="96">
        <v>44058.96</v>
      </c>
      <c r="I724" s="96">
        <v>44881.86</v>
      </c>
      <c r="J724" s="93" t="s">
        <v>253</v>
      </c>
      <c r="K724" s="93" t="s">
        <v>99</v>
      </c>
      <c r="L724" s="93">
        <v>100</v>
      </c>
      <c r="M724" s="93">
        <v>100</v>
      </c>
      <c r="N724" s="93">
        <v>100</v>
      </c>
      <c r="O724" s="1"/>
      <c r="Q724" s="71" t="s">
        <v>40</v>
      </c>
    </row>
    <row r="725" spans="1:18" ht="29.25" hidden="1" customHeight="1" x14ac:dyDescent="0.2">
      <c r="B725" s="183" t="s">
        <v>100</v>
      </c>
      <c r="C725" s="183" t="s">
        <v>100</v>
      </c>
      <c r="D725" s="183" t="s">
        <v>100</v>
      </c>
      <c r="E725" s="183"/>
      <c r="F725" s="184" t="s">
        <v>101</v>
      </c>
      <c r="G725" s="185">
        <v>43252.2</v>
      </c>
      <c r="H725" s="185">
        <v>44058.96</v>
      </c>
      <c r="I725" s="185">
        <v>44881.86</v>
      </c>
      <c r="J725" s="3" t="s">
        <v>1212</v>
      </c>
      <c r="K725" s="3" t="s">
        <v>99</v>
      </c>
      <c r="L725" s="3">
        <v>100</v>
      </c>
      <c r="M725" s="3">
        <v>100</v>
      </c>
      <c r="N725" s="3">
        <v>100</v>
      </c>
      <c r="O725" s="1"/>
      <c r="Q725" s="72" t="s">
        <v>34</v>
      </c>
    </row>
    <row r="726" spans="1:18" ht="48" hidden="1" customHeight="1" x14ac:dyDescent="0.2">
      <c r="B726" s="93" t="s">
        <v>474</v>
      </c>
      <c r="C726" s="93" t="s">
        <v>1213</v>
      </c>
      <c r="D726" s="94"/>
      <c r="E726" s="94"/>
      <c r="F726" s="95" t="s">
        <v>1214</v>
      </c>
      <c r="G726" s="96">
        <v>16853.2</v>
      </c>
      <c r="H726" s="96">
        <v>16853.2</v>
      </c>
      <c r="I726" s="96">
        <v>16853.2</v>
      </c>
      <c r="J726" s="93" t="s">
        <v>253</v>
      </c>
      <c r="K726" s="93" t="s">
        <v>99</v>
      </c>
      <c r="L726" s="93">
        <v>100</v>
      </c>
      <c r="M726" s="93">
        <v>100</v>
      </c>
      <c r="N726" s="93">
        <v>100</v>
      </c>
      <c r="O726" s="1"/>
      <c r="Q726" s="71" t="s">
        <v>40</v>
      </c>
      <c r="R726" s="75" t="s">
        <v>169</v>
      </c>
    </row>
    <row r="727" spans="1:18" hidden="1" x14ac:dyDescent="0.2">
      <c r="B727" s="183" t="s">
        <v>100</v>
      </c>
      <c r="C727" s="183" t="s">
        <v>100</v>
      </c>
      <c r="D727" s="183" t="s">
        <v>100</v>
      </c>
      <c r="E727" s="183"/>
      <c r="F727" s="184" t="s">
        <v>1215</v>
      </c>
      <c r="G727" s="185">
        <v>16853.2</v>
      </c>
      <c r="H727" s="185">
        <v>16853.2</v>
      </c>
      <c r="I727" s="185">
        <v>16853.2</v>
      </c>
      <c r="J727" s="3" t="s">
        <v>366</v>
      </c>
      <c r="K727" s="3" t="s">
        <v>105</v>
      </c>
      <c r="L727" s="3">
        <v>1500</v>
      </c>
      <c r="M727" s="3">
        <v>1700</v>
      </c>
      <c r="N727" s="3">
        <v>1800</v>
      </c>
      <c r="O727" s="1"/>
      <c r="Q727" s="72" t="s">
        <v>34</v>
      </c>
    </row>
    <row r="728" spans="1:18" ht="15" hidden="1" customHeight="1" x14ac:dyDescent="0.2">
      <c r="B728" s="174" t="s">
        <v>112</v>
      </c>
      <c r="C728" s="175"/>
      <c r="D728" s="176"/>
      <c r="E728" s="176"/>
      <c r="F728" s="177"/>
      <c r="G728" s="178">
        <v>60105.399999999987</v>
      </c>
      <c r="H728" s="178">
        <v>60912.160000000003</v>
      </c>
      <c r="I728" s="178">
        <v>61735.06</v>
      </c>
      <c r="J728" s="179"/>
      <c r="K728" s="176"/>
      <c r="L728" s="176"/>
      <c r="M728" s="176"/>
      <c r="N728" s="177"/>
      <c r="O728" s="1"/>
      <c r="Q728" s="74" t="s">
        <v>46</v>
      </c>
    </row>
    <row r="729" spans="1:18" ht="15" hidden="1" customHeight="1" x14ac:dyDescent="0.2">
      <c r="A729" s="4" t="str">
        <f>C729</f>
        <v>Государственное агентство по делам государственной службы и местного самоуправления при Кабинете Министров Кыргызской Республики</v>
      </c>
      <c r="B729" s="87" t="s">
        <v>476</v>
      </c>
      <c r="C729" s="88" t="s">
        <v>1216</v>
      </c>
      <c r="D729" s="90"/>
      <c r="E729" s="90"/>
      <c r="F729" s="90"/>
      <c r="G729" s="90"/>
      <c r="H729" s="90"/>
      <c r="I729" s="90"/>
      <c r="J729" s="90"/>
      <c r="K729" s="90"/>
      <c r="L729" s="90"/>
      <c r="M729" s="90"/>
      <c r="N729" s="91"/>
      <c r="O729" s="1"/>
      <c r="Q729" s="70" t="s">
        <v>43</v>
      </c>
    </row>
    <row r="730" spans="1:18" ht="34.5" hidden="1" customHeight="1" x14ac:dyDescent="0.2">
      <c r="B730" s="93" t="s">
        <v>476</v>
      </c>
      <c r="C730" s="93" t="s">
        <v>96</v>
      </c>
      <c r="D730" s="94"/>
      <c r="E730" s="94"/>
      <c r="F730" s="95" t="s">
        <v>97</v>
      </c>
      <c r="G730" s="96">
        <v>76997.08</v>
      </c>
      <c r="H730" s="96">
        <v>79050.080000000002</v>
      </c>
      <c r="I730" s="96">
        <v>79250.080000000002</v>
      </c>
      <c r="J730" s="93" t="s">
        <v>253</v>
      </c>
      <c r="K730" s="93" t="s">
        <v>99</v>
      </c>
      <c r="L730" s="93">
        <v>100</v>
      </c>
      <c r="M730" s="93">
        <v>100</v>
      </c>
      <c r="N730" s="93">
        <v>100</v>
      </c>
      <c r="O730" s="1"/>
      <c r="Q730" s="71" t="s">
        <v>40</v>
      </c>
    </row>
    <row r="731" spans="1:18" ht="56.25" hidden="1" customHeight="1" x14ac:dyDescent="0.2">
      <c r="B731" s="183" t="s">
        <v>100</v>
      </c>
      <c r="C731" s="183" t="s">
        <v>100</v>
      </c>
      <c r="D731" s="183" t="s">
        <v>100</v>
      </c>
      <c r="E731" s="183"/>
      <c r="F731" s="184" t="s">
        <v>101</v>
      </c>
      <c r="G731" s="185">
        <v>49247.58</v>
      </c>
      <c r="H731" s="185">
        <v>51300.58</v>
      </c>
      <c r="I731" s="185">
        <v>51500.58</v>
      </c>
      <c r="J731" s="3" t="s">
        <v>1217</v>
      </c>
      <c r="K731" s="3" t="s">
        <v>99</v>
      </c>
      <c r="L731" s="3">
        <v>95</v>
      </c>
      <c r="M731" s="3">
        <v>96</v>
      </c>
      <c r="N731" s="3">
        <v>97</v>
      </c>
      <c r="O731" s="1"/>
      <c r="Q731" s="72" t="s">
        <v>34</v>
      </c>
    </row>
    <row r="732" spans="1:18" ht="62.25" hidden="1" customHeight="1" x14ac:dyDescent="0.2">
      <c r="B732" s="183" t="s">
        <v>120</v>
      </c>
      <c r="C732" s="183" t="s">
        <v>120</v>
      </c>
      <c r="D732" s="183" t="s">
        <v>120</v>
      </c>
      <c r="E732" s="183"/>
      <c r="F732" s="184" t="s">
        <v>203</v>
      </c>
      <c r="G732" s="185">
        <v>27749.5</v>
      </c>
      <c r="H732" s="185">
        <v>27749.5</v>
      </c>
      <c r="I732" s="185">
        <v>27749.5</v>
      </c>
      <c r="J732" s="3" t="s">
        <v>1217</v>
      </c>
      <c r="K732" s="3" t="s">
        <v>99</v>
      </c>
      <c r="L732" s="3">
        <v>95</v>
      </c>
      <c r="M732" s="3">
        <v>96</v>
      </c>
      <c r="N732" s="3">
        <v>97</v>
      </c>
      <c r="O732" s="1"/>
      <c r="Q732" s="72" t="s">
        <v>34</v>
      </c>
    </row>
    <row r="733" spans="1:18" ht="33.75" hidden="1" customHeight="1" x14ac:dyDescent="0.2">
      <c r="B733" s="93" t="s">
        <v>476</v>
      </c>
      <c r="C733" s="93" t="s">
        <v>1218</v>
      </c>
      <c r="D733" s="94"/>
      <c r="E733" s="94"/>
      <c r="F733" s="95" t="s">
        <v>1219</v>
      </c>
      <c r="G733" s="96">
        <v>24913.32</v>
      </c>
      <c r="H733" s="96">
        <v>26275.52</v>
      </c>
      <c r="I733" s="96">
        <v>28484.92</v>
      </c>
      <c r="J733" s="93" t="s">
        <v>253</v>
      </c>
      <c r="K733" s="93" t="s">
        <v>99</v>
      </c>
      <c r="L733" s="93">
        <v>100</v>
      </c>
      <c r="M733" s="93">
        <v>100</v>
      </c>
      <c r="N733" s="93">
        <v>100</v>
      </c>
      <c r="O733" s="1"/>
      <c r="Q733" s="71" t="s">
        <v>40</v>
      </c>
    </row>
    <row r="734" spans="1:18" ht="32.25" hidden="1" customHeight="1" x14ac:dyDescent="0.2">
      <c r="B734" s="181" t="s">
        <v>124</v>
      </c>
      <c r="C734" s="181" t="s">
        <v>124</v>
      </c>
      <c r="D734" s="181" t="s">
        <v>124</v>
      </c>
      <c r="E734" s="181"/>
      <c r="F734" s="181" t="s">
        <v>1220</v>
      </c>
      <c r="G734" s="182">
        <v>14697.7</v>
      </c>
      <c r="H734" s="182">
        <v>14697.7</v>
      </c>
      <c r="I734" s="182">
        <v>14697.7</v>
      </c>
      <c r="J734" s="3" t="s">
        <v>1221</v>
      </c>
      <c r="K734" s="3" t="s">
        <v>99</v>
      </c>
      <c r="L734" s="3">
        <v>68.2</v>
      </c>
      <c r="M734" s="3">
        <v>68.3</v>
      </c>
      <c r="N734" s="3">
        <v>68.400000000000006</v>
      </c>
      <c r="O734" s="1"/>
      <c r="Q734" s="72" t="s">
        <v>34</v>
      </c>
      <c r="R734" s="75" t="s">
        <v>169</v>
      </c>
    </row>
    <row r="735" spans="1:18" ht="42.75" hidden="1" customHeight="1" x14ac:dyDescent="0.2">
      <c r="B735" s="77"/>
      <c r="C735" s="77"/>
      <c r="D735" s="77"/>
      <c r="E735" s="77"/>
      <c r="F735" s="77"/>
      <c r="G735" s="77"/>
      <c r="H735" s="77"/>
      <c r="I735" s="77"/>
      <c r="J735" s="3" t="s">
        <v>1222</v>
      </c>
      <c r="K735" s="3" t="s">
        <v>99</v>
      </c>
      <c r="L735" s="3">
        <v>61</v>
      </c>
      <c r="M735" s="3">
        <v>62</v>
      </c>
      <c r="N735" s="3">
        <v>63</v>
      </c>
      <c r="O735" s="1"/>
      <c r="Q735" s="73" t="s">
        <v>37</v>
      </c>
    </row>
    <row r="736" spans="1:18" ht="42.75" hidden="1" customHeight="1" x14ac:dyDescent="0.2">
      <c r="B736" s="181" t="s">
        <v>160</v>
      </c>
      <c r="C736" s="181" t="s">
        <v>160</v>
      </c>
      <c r="D736" s="181" t="s">
        <v>160</v>
      </c>
      <c r="E736" s="181"/>
      <c r="F736" s="181" t="s">
        <v>1223</v>
      </c>
      <c r="G736" s="182">
        <v>10215.620000000001</v>
      </c>
      <c r="H736" s="182">
        <v>11577.82</v>
      </c>
      <c r="I736" s="182">
        <v>13787.22</v>
      </c>
      <c r="J736" s="3" t="s">
        <v>1224</v>
      </c>
      <c r="K736" s="3" t="s">
        <v>99</v>
      </c>
      <c r="L736" s="3">
        <v>50</v>
      </c>
      <c r="M736" s="3">
        <v>60</v>
      </c>
      <c r="N736" s="3">
        <v>70</v>
      </c>
      <c r="O736" s="1"/>
      <c r="Q736" s="72" t="s">
        <v>34</v>
      </c>
      <c r="R736" s="75" t="s">
        <v>169</v>
      </c>
    </row>
    <row r="737" spans="1:18" ht="27" hidden="1" customHeight="1" x14ac:dyDescent="0.2">
      <c r="B737" s="76"/>
      <c r="C737" s="76"/>
      <c r="D737" s="76"/>
      <c r="E737" s="76"/>
      <c r="F737" s="76"/>
      <c r="G737" s="76"/>
      <c r="H737" s="76"/>
      <c r="I737" s="76"/>
      <c r="J737" s="3" t="s">
        <v>1225</v>
      </c>
      <c r="K737" s="3" t="s">
        <v>99</v>
      </c>
      <c r="L737" s="3">
        <v>82</v>
      </c>
      <c r="M737" s="3">
        <v>83</v>
      </c>
      <c r="N737" s="3">
        <v>84</v>
      </c>
      <c r="O737" s="1"/>
      <c r="Q737" s="73" t="s">
        <v>37</v>
      </c>
    </row>
    <row r="738" spans="1:18" ht="47.25" hidden="1" customHeight="1" x14ac:dyDescent="0.2">
      <c r="B738" s="77"/>
      <c r="C738" s="77"/>
      <c r="D738" s="77"/>
      <c r="E738" s="77"/>
      <c r="F738" s="77"/>
      <c r="G738" s="77"/>
      <c r="H738" s="77"/>
      <c r="I738" s="77"/>
      <c r="J738" s="3" t="s">
        <v>1226</v>
      </c>
      <c r="K738" s="3" t="s">
        <v>99</v>
      </c>
      <c r="L738" s="3">
        <v>82</v>
      </c>
      <c r="M738" s="3">
        <v>83</v>
      </c>
      <c r="N738" s="3">
        <v>84</v>
      </c>
      <c r="O738" s="1"/>
      <c r="Q738" s="73" t="s">
        <v>37</v>
      </c>
    </row>
    <row r="739" spans="1:18" ht="29.25" hidden="1" customHeight="1" x14ac:dyDescent="0.2">
      <c r="B739" s="93" t="s">
        <v>476</v>
      </c>
      <c r="C739" s="93" t="s">
        <v>1227</v>
      </c>
      <c r="D739" s="94"/>
      <c r="E739" s="94"/>
      <c r="F739" s="95" t="s">
        <v>1228</v>
      </c>
      <c r="G739" s="96">
        <v>16197.4</v>
      </c>
      <c r="H739" s="96">
        <v>15144.4</v>
      </c>
      <c r="I739" s="96">
        <v>15144.4</v>
      </c>
      <c r="J739" s="93" t="s">
        <v>253</v>
      </c>
      <c r="K739" s="93" t="s">
        <v>99</v>
      </c>
      <c r="L739" s="93">
        <v>100</v>
      </c>
      <c r="M739" s="93">
        <v>100</v>
      </c>
      <c r="N739" s="93">
        <v>100</v>
      </c>
      <c r="O739" s="1"/>
      <c r="Q739" s="71" t="s">
        <v>40</v>
      </c>
    </row>
    <row r="740" spans="1:18" ht="36" hidden="1" customHeight="1" x14ac:dyDescent="0.2">
      <c r="B740" s="183" t="s">
        <v>100</v>
      </c>
      <c r="C740" s="183" t="s">
        <v>100</v>
      </c>
      <c r="D740" s="183" t="s">
        <v>100</v>
      </c>
      <c r="E740" s="183"/>
      <c r="F740" s="184" t="s">
        <v>1229</v>
      </c>
      <c r="G740" s="185">
        <v>16197.4</v>
      </c>
      <c r="H740" s="185">
        <v>15144.4</v>
      </c>
      <c r="I740" s="185">
        <v>15144.4</v>
      </c>
      <c r="J740" s="3" t="s">
        <v>1230</v>
      </c>
      <c r="K740" s="3" t="s">
        <v>223</v>
      </c>
      <c r="L740" s="3">
        <v>18</v>
      </c>
      <c r="M740" s="3">
        <v>19</v>
      </c>
      <c r="N740" s="3">
        <v>20</v>
      </c>
      <c r="O740" s="1"/>
      <c r="Q740" s="72" t="s">
        <v>34</v>
      </c>
    </row>
    <row r="741" spans="1:18" ht="15" hidden="1" customHeight="1" x14ac:dyDescent="0.2">
      <c r="B741" s="174" t="s">
        <v>112</v>
      </c>
      <c r="C741" s="175"/>
      <c r="D741" s="176"/>
      <c r="E741" s="176"/>
      <c r="F741" s="177"/>
      <c r="G741" s="178">
        <v>118107.8</v>
      </c>
      <c r="H741" s="178">
        <v>120470</v>
      </c>
      <c r="I741" s="178">
        <v>122879.4</v>
      </c>
      <c r="J741" s="179"/>
      <c r="K741" s="176"/>
      <c r="L741" s="176"/>
      <c r="M741" s="176"/>
      <c r="N741" s="177"/>
      <c r="O741" s="1"/>
      <c r="Q741" s="74" t="s">
        <v>46</v>
      </c>
    </row>
    <row r="742" spans="1:18" ht="15" hidden="1" customHeight="1" x14ac:dyDescent="0.2">
      <c r="A742" s="4" t="str">
        <f>C742</f>
        <v xml:space="preserve">Министерство строительства, архитектуры и жилищно-коммунального хозяйства Кыргызской Республики </v>
      </c>
      <c r="B742" s="87" t="s">
        <v>44</v>
      </c>
      <c r="C742" s="88" t="s">
        <v>1231</v>
      </c>
      <c r="D742" s="90"/>
      <c r="E742" s="90"/>
      <c r="F742" s="90"/>
      <c r="G742" s="90"/>
      <c r="H742" s="90"/>
      <c r="I742" s="90"/>
      <c r="J742" s="90"/>
      <c r="K742" s="90"/>
      <c r="L742" s="90"/>
      <c r="M742" s="90"/>
      <c r="N742" s="91"/>
      <c r="O742" s="1"/>
      <c r="Q742" s="70" t="s">
        <v>43</v>
      </c>
    </row>
    <row r="743" spans="1:18" hidden="1" x14ac:dyDescent="0.2">
      <c r="B743" s="93" t="s">
        <v>44</v>
      </c>
      <c r="C743" s="93" t="s">
        <v>96</v>
      </c>
      <c r="D743" s="94"/>
      <c r="E743" s="94"/>
      <c r="F743" s="95" t="s">
        <v>97</v>
      </c>
      <c r="G743" s="96">
        <v>304748.5</v>
      </c>
      <c r="H743" s="96">
        <v>324376.7</v>
      </c>
      <c r="I743" s="96">
        <v>325855.40000000002</v>
      </c>
      <c r="J743" s="99" t="s">
        <v>304</v>
      </c>
      <c r="K743" s="99" t="s">
        <v>99</v>
      </c>
      <c r="L743" s="99">
        <v>40</v>
      </c>
      <c r="M743" s="99">
        <v>40</v>
      </c>
      <c r="N743" s="99">
        <v>40</v>
      </c>
      <c r="O743" s="1"/>
      <c r="Q743" s="71" t="s">
        <v>40</v>
      </c>
    </row>
    <row r="744" spans="1:18" ht="24" hidden="1" customHeight="1" x14ac:dyDescent="0.2">
      <c r="B744" s="183" t="s">
        <v>100</v>
      </c>
      <c r="C744" s="183" t="s">
        <v>100</v>
      </c>
      <c r="D744" s="183" t="s">
        <v>100</v>
      </c>
      <c r="E744" s="183"/>
      <c r="F744" s="184" t="s">
        <v>101</v>
      </c>
      <c r="G744" s="185">
        <v>304748.5</v>
      </c>
      <c r="H744" s="185">
        <v>324376.7</v>
      </c>
      <c r="I744" s="185">
        <v>325855.40000000002</v>
      </c>
      <c r="J744" s="3" t="s">
        <v>304</v>
      </c>
      <c r="K744" s="3" t="s">
        <v>99</v>
      </c>
      <c r="L744" s="3">
        <v>40</v>
      </c>
      <c r="M744" s="3">
        <v>40</v>
      </c>
      <c r="N744" s="3">
        <v>40</v>
      </c>
      <c r="O744" s="1"/>
      <c r="Q744" s="72" t="s">
        <v>34</v>
      </c>
    </row>
    <row r="745" spans="1:18" ht="33" hidden="1" customHeight="1" x14ac:dyDescent="0.2">
      <c r="B745" s="93" t="s">
        <v>44</v>
      </c>
      <c r="C745" s="93" t="s">
        <v>1232</v>
      </c>
      <c r="D745" s="94"/>
      <c r="E745" s="94"/>
      <c r="F745" s="95" t="s">
        <v>1233</v>
      </c>
      <c r="G745" s="96">
        <v>88484.5</v>
      </c>
      <c r="H745" s="96">
        <v>90254.2</v>
      </c>
      <c r="I745" s="96">
        <v>92059.3</v>
      </c>
      <c r="J745" s="99" t="s">
        <v>1234</v>
      </c>
      <c r="K745" s="99" t="s">
        <v>99</v>
      </c>
      <c r="L745" s="99">
        <v>100</v>
      </c>
      <c r="M745" s="99">
        <v>100</v>
      </c>
      <c r="N745" s="99">
        <v>100</v>
      </c>
      <c r="O745" s="1"/>
      <c r="Q745" s="71" t="s">
        <v>40</v>
      </c>
    </row>
    <row r="746" spans="1:18" ht="30" hidden="1" customHeight="1" x14ac:dyDescent="0.2">
      <c r="B746" s="183" t="s">
        <v>100</v>
      </c>
      <c r="C746" s="183" t="s">
        <v>100</v>
      </c>
      <c r="D746" s="183" t="s">
        <v>100</v>
      </c>
      <c r="E746" s="183"/>
      <c r="F746" s="184" t="s">
        <v>1235</v>
      </c>
      <c r="G746" s="185">
        <v>88484.5</v>
      </c>
      <c r="H746" s="185">
        <v>90254.2</v>
      </c>
      <c r="I746" s="185">
        <v>92059.3</v>
      </c>
      <c r="J746" s="3" t="s">
        <v>1234</v>
      </c>
      <c r="K746" s="3" t="s">
        <v>99</v>
      </c>
      <c r="L746" s="3">
        <v>100</v>
      </c>
      <c r="M746" s="3">
        <v>100</v>
      </c>
      <c r="N746" s="3">
        <v>100</v>
      </c>
      <c r="O746" s="1"/>
      <c r="Q746" s="72" t="s">
        <v>34</v>
      </c>
      <c r="R746" s="75" t="s">
        <v>169</v>
      </c>
    </row>
    <row r="747" spans="1:18" ht="21" customHeight="1" x14ac:dyDescent="0.2">
      <c r="B747" s="99" t="s">
        <v>44</v>
      </c>
      <c r="C747" s="99" t="s">
        <v>408</v>
      </c>
      <c r="D747" s="99" t="s">
        <v>100</v>
      </c>
      <c r="E747" s="99"/>
      <c r="F747" s="109" t="s">
        <v>409</v>
      </c>
      <c r="G747" s="110">
        <v>2026039.1</v>
      </c>
      <c r="H747" s="110">
        <v>1682974.6</v>
      </c>
      <c r="I747" s="110">
        <v>1764841.6</v>
      </c>
      <c r="J747" s="111" t="s">
        <v>347</v>
      </c>
      <c r="K747" s="111" t="s">
        <v>99</v>
      </c>
      <c r="L747" s="111">
        <v>100</v>
      </c>
      <c r="M747" s="111">
        <v>100</v>
      </c>
      <c r="N747" s="111">
        <v>100</v>
      </c>
      <c r="O747" s="1"/>
      <c r="Q747" s="118" t="s">
        <v>40</v>
      </c>
    </row>
    <row r="748" spans="1:18" ht="15" hidden="1" customHeight="1" x14ac:dyDescent="0.2">
      <c r="B748" s="174" t="s">
        <v>112</v>
      </c>
      <c r="C748" s="175"/>
      <c r="D748" s="176"/>
      <c r="E748" s="176"/>
      <c r="F748" s="177"/>
      <c r="G748" s="178">
        <v>2419272.1</v>
      </c>
      <c r="H748" s="178">
        <v>2097605.5</v>
      </c>
      <c r="I748" s="178">
        <v>2182756.2999999998</v>
      </c>
      <c r="J748" s="179"/>
      <c r="K748" s="176"/>
      <c r="L748" s="176"/>
      <c r="M748" s="176"/>
      <c r="N748" s="177"/>
      <c r="O748" s="1"/>
      <c r="Q748" s="74" t="s">
        <v>46</v>
      </c>
    </row>
    <row r="749" spans="1:18" ht="15" hidden="1" customHeight="1" x14ac:dyDescent="0.2">
      <c r="A749" s="4" t="str">
        <f>C749</f>
        <v>Национальное агентство по делам религий и межэтнических отношений при Президенте Кыргызской Республики</v>
      </c>
      <c r="B749" s="87" t="s">
        <v>1236</v>
      </c>
      <c r="C749" s="88" t="s">
        <v>1237</v>
      </c>
      <c r="D749" s="90"/>
      <c r="E749" s="90"/>
      <c r="F749" s="90"/>
      <c r="G749" s="90"/>
      <c r="H749" s="90"/>
      <c r="I749" s="90"/>
      <c r="J749" s="90"/>
      <c r="K749" s="90"/>
      <c r="L749" s="90"/>
      <c r="M749" s="90"/>
      <c r="N749" s="91"/>
      <c r="O749" s="1"/>
      <c r="Q749" s="70" t="s">
        <v>43</v>
      </c>
    </row>
    <row r="750" spans="1:18" ht="33" hidden="1" customHeight="1" x14ac:dyDescent="0.2">
      <c r="B750" s="93" t="s">
        <v>1236</v>
      </c>
      <c r="C750" s="93" t="s">
        <v>96</v>
      </c>
      <c r="D750" s="94"/>
      <c r="E750" s="94"/>
      <c r="F750" s="95" t="s">
        <v>97</v>
      </c>
      <c r="G750" s="96">
        <v>61534.100000000013</v>
      </c>
      <c r="H750" s="96">
        <v>64812.69</v>
      </c>
      <c r="I750" s="96">
        <v>66055.350000000006</v>
      </c>
      <c r="J750" s="93" t="s">
        <v>253</v>
      </c>
      <c r="K750" s="101" t="s">
        <v>99</v>
      </c>
      <c r="L750" s="101">
        <v>100</v>
      </c>
      <c r="M750" s="101">
        <v>100</v>
      </c>
      <c r="N750" s="101">
        <v>100</v>
      </c>
      <c r="O750" s="1"/>
      <c r="Q750" s="71" t="s">
        <v>40</v>
      </c>
    </row>
    <row r="751" spans="1:18" ht="96" hidden="1" customHeight="1" x14ac:dyDescent="0.2">
      <c r="B751" s="183" t="s">
        <v>100</v>
      </c>
      <c r="C751" s="183" t="s">
        <v>100</v>
      </c>
      <c r="D751" s="183" t="s">
        <v>100</v>
      </c>
      <c r="E751" s="183"/>
      <c r="F751" s="184" t="s">
        <v>101</v>
      </c>
      <c r="G751" s="185">
        <v>39106.400000000001</v>
      </c>
      <c r="H751" s="185">
        <v>39514.89</v>
      </c>
      <c r="I751" s="185">
        <v>40263.300000000003</v>
      </c>
      <c r="J751" s="3" t="s">
        <v>1238</v>
      </c>
      <c r="K751" s="3" t="s">
        <v>105</v>
      </c>
      <c r="L751" s="3">
        <v>72</v>
      </c>
      <c r="M751" s="3">
        <v>78</v>
      </c>
      <c r="N751" s="3">
        <v>78</v>
      </c>
      <c r="O751" s="1"/>
      <c r="Q751" s="72" t="s">
        <v>34</v>
      </c>
    </row>
    <row r="752" spans="1:18" ht="54.75" hidden="1" customHeight="1" x14ac:dyDescent="0.2">
      <c r="B752" s="183" t="s">
        <v>120</v>
      </c>
      <c r="C752" s="183" t="s">
        <v>120</v>
      </c>
      <c r="D752" s="183" t="s">
        <v>120</v>
      </c>
      <c r="E752" s="183"/>
      <c r="F752" s="184" t="s">
        <v>203</v>
      </c>
      <c r="G752" s="185">
        <v>22427.7</v>
      </c>
      <c r="H752" s="185">
        <v>25297.8</v>
      </c>
      <c r="I752" s="185">
        <v>25792.05</v>
      </c>
      <c r="J752" s="3" t="s">
        <v>1239</v>
      </c>
      <c r="K752" s="3" t="s">
        <v>105</v>
      </c>
      <c r="L752" s="3">
        <v>14</v>
      </c>
      <c r="M752" s="3">
        <v>14</v>
      </c>
      <c r="N752" s="3">
        <v>18</v>
      </c>
      <c r="O752" s="1"/>
      <c r="Q752" s="72" t="s">
        <v>34</v>
      </c>
    </row>
    <row r="753" spans="1:17" ht="15" hidden="1" customHeight="1" x14ac:dyDescent="0.2">
      <c r="B753" s="174" t="s">
        <v>112</v>
      </c>
      <c r="C753" s="175"/>
      <c r="D753" s="176"/>
      <c r="E753" s="176"/>
      <c r="F753" s="177"/>
      <c r="G753" s="178">
        <v>61534.100000000013</v>
      </c>
      <c r="H753" s="178">
        <v>64812.69</v>
      </c>
      <c r="I753" s="178">
        <v>66055.350000000006</v>
      </c>
      <c r="J753" s="179"/>
      <c r="K753" s="176"/>
      <c r="L753" s="176"/>
      <c r="M753" s="176"/>
      <c r="N753" s="177"/>
      <c r="O753" s="1"/>
      <c r="Q753" s="74" t="s">
        <v>46</v>
      </c>
    </row>
    <row r="754" spans="1:17" ht="15" hidden="1" customHeight="1" x14ac:dyDescent="0.2">
      <c r="A754" s="4" t="str">
        <f>C754</f>
        <v>Министерство природных ресурсов, экологии и технического надзора Кыргызской Республики</v>
      </c>
      <c r="B754" s="87" t="s">
        <v>1240</v>
      </c>
      <c r="C754" s="88" t="s">
        <v>1241</v>
      </c>
      <c r="D754" s="90"/>
      <c r="E754" s="90"/>
      <c r="F754" s="90"/>
      <c r="G754" s="90"/>
      <c r="H754" s="90"/>
      <c r="I754" s="90"/>
      <c r="J754" s="90"/>
      <c r="K754" s="90"/>
      <c r="L754" s="90"/>
      <c r="M754" s="90"/>
      <c r="N754" s="91"/>
      <c r="O754" s="1"/>
      <c r="Q754" s="70" t="s">
        <v>43</v>
      </c>
    </row>
    <row r="755" spans="1:17" ht="30.75" hidden="1" customHeight="1" x14ac:dyDescent="0.2">
      <c r="B755" s="93" t="s">
        <v>1240</v>
      </c>
      <c r="C755" s="93" t="s">
        <v>96</v>
      </c>
      <c r="D755" s="94"/>
      <c r="E755" s="94"/>
      <c r="F755" s="95" t="s">
        <v>97</v>
      </c>
      <c r="G755" s="96">
        <v>1210859.2</v>
      </c>
      <c r="H755" s="96">
        <v>1219071.57</v>
      </c>
      <c r="I755" s="96">
        <v>1227171.07</v>
      </c>
      <c r="J755" s="93" t="s">
        <v>253</v>
      </c>
      <c r="K755" s="101" t="s">
        <v>99</v>
      </c>
      <c r="L755" s="101">
        <v>100</v>
      </c>
      <c r="M755" s="101">
        <v>100</v>
      </c>
      <c r="N755" s="101">
        <v>100</v>
      </c>
      <c r="O755" s="1"/>
      <c r="Q755" s="71" t="s">
        <v>40</v>
      </c>
    </row>
    <row r="756" spans="1:17" ht="24" hidden="1" customHeight="1" x14ac:dyDescent="0.2">
      <c r="B756" s="183" t="s">
        <v>100</v>
      </c>
      <c r="C756" s="183" t="s">
        <v>100</v>
      </c>
      <c r="D756" s="183" t="s">
        <v>100</v>
      </c>
      <c r="E756" s="183"/>
      <c r="F756" s="184" t="s">
        <v>101</v>
      </c>
      <c r="G756" s="185">
        <v>1012484.2</v>
      </c>
      <c r="H756" s="185">
        <v>1014750.3</v>
      </c>
      <c r="I756" s="185">
        <v>1016836.4</v>
      </c>
      <c r="J756" s="3" t="s">
        <v>304</v>
      </c>
      <c r="K756" s="3" t="s">
        <v>103</v>
      </c>
      <c r="L756" s="3">
        <v>16.600000000000001</v>
      </c>
      <c r="M756" s="3">
        <v>16.600000000000001</v>
      </c>
      <c r="N756" s="3">
        <v>1.6</v>
      </c>
      <c r="O756" s="1"/>
      <c r="Q756" s="72" t="s">
        <v>34</v>
      </c>
    </row>
    <row r="757" spans="1:17" ht="24" hidden="1" customHeight="1" x14ac:dyDescent="0.2">
      <c r="B757" s="183" t="s">
        <v>120</v>
      </c>
      <c r="C757" s="183" t="s">
        <v>120</v>
      </c>
      <c r="D757" s="183" t="s">
        <v>120</v>
      </c>
      <c r="E757" s="183"/>
      <c r="F757" s="184" t="s">
        <v>203</v>
      </c>
      <c r="G757" s="185">
        <v>198375</v>
      </c>
      <c r="H757" s="185">
        <v>204321.27</v>
      </c>
      <c r="I757" s="185">
        <v>210334.67</v>
      </c>
      <c r="J757" s="3" t="s">
        <v>304</v>
      </c>
      <c r="K757" s="3" t="s">
        <v>103</v>
      </c>
      <c r="L757" s="3">
        <v>8.1</v>
      </c>
      <c r="M757" s="3">
        <v>8.1</v>
      </c>
      <c r="N757" s="3">
        <v>8.1</v>
      </c>
      <c r="O757" s="1"/>
      <c r="Q757" s="72" t="s">
        <v>34</v>
      </c>
    </row>
    <row r="758" spans="1:17" ht="42.75" hidden="1" customHeight="1" x14ac:dyDescent="0.2">
      <c r="B758" s="93" t="s">
        <v>1240</v>
      </c>
      <c r="C758" s="93" t="s">
        <v>1242</v>
      </c>
      <c r="D758" s="94"/>
      <c r="E758" s="94"/>
      <c r="F758" s="95" t="s">
        <v>1243</v>
      </c>
      <c r="G758" s="96">
        <v>241520.6</v>
      </c>
      <c r="H758" s="96">
        <v>243998.3</v>
      </c>
      <c r="I758" s="96">
        <v>246598.39999999999</v>
      </c>
      <c r="J758" s="99" t="s">
        <v>1244</v>
      </c>
      <c r="K758" s="99" t="s">
        <v>105</v>
      </c>
      <c r="L758" s="99">
        <v>4</v>
      </c>
      <c r="M758" s="99">
        <v>4</v>
      </c>
      <c r="N758" s="99">
        <v>4</v>
      </c>
      <c r="O758" s="1"/>
      <c r="Q758" s="71" t="s">
        <v>40</v>
      </c>
    </row>
    <row r="759" spans="1:17" ht="15" hidden="1" customHeight="1" x14ac:dyDescent="0.2">
      <c r="B759" s="181" t="s">
        <v>100</v>
      </c>
      <c r="C759" s="181" t="s">
        <v>100</v>
      </c>
      <c r="D759" s="181" t="s">
        <v>100</v>
      </c>
      <c r="E759" s="181"/>
      <c r="F759" s="181" t="s">
        <v>1245</v>
      </c>
      <c r="G759" s="182">
        <v>203829.3</v>
      </c>
      <c r="H759" s="182">
        <v>205535.1</v>
      </c>
      <c r="I759" s="182">
        <v>207321.1</v>
      </c>
      <c r="J759" s="3" t="s">
        <v>1246</v>
      </c>
      <c r="K759" s="3" t="s">
        <v>105</v>
      </c>
      <c r="L759" s="3">
        <v>2050</v>
      </c>
      <c r="M759" s="3">
        <v>2100</v>
      </c>
      <c r="N759" s="3">
        <v>2150</v>
      </c>
      <c r="O759" s="1"/>
      <c r="Q759" s="72" t="s">
        <v>34</v>
      </c>
    </row>
    <row r="760" spans="1:17" ht="20.25" hidden="1" customHeight="1" x14ac:dyDescent="0.2">
      <c r="B760" s="76"/>
      <c r="C760" s="76"/>
      <c r="D760" s="76"/>
      <c r="E760" s="76"/>
      <c r="F760" s="76"/>
      <c r="G760" s="76"/>
      <c r="H760" s="76"/>
      <c r="I760" s="76"/>
      <c r="J760" s="3" t="s">
        <v>1247</v>
      </c>
      <c r="K760" s="3" t="s">
        <v>105</v>
      </c>
      <c r="L760" s="3">
        <v>2100</v>
      </c>
      <c r="M760" s="3">
        <v>2150</v>
      </c>
      <c r="N760" s="3">
        <v>2200</v>
      </c>
      <c r="O760" s="1"/>
      <c r="Q760" s="73" t="s">
        <v>37</v>
      </c>
    </row>
    <row r="761" spans="1:17" ht="27.75" hidden="1" customHeight="1" x14ac:dyDescent="0.2">
      <c r="B761" s="77"/>
      <c r="C761" s="77"/>
      <c r="D761" s="77"/>
      <c r="E761" s="77"/>
      <c r="F761" s="77"/>
      <c r="G761" s="77"/>
      <c r="H761" s="77"/>
      <c r="I761" s="77"/>
      <c r="J761" s="3" t="s">
        <v>1248</v>
      </c>
      <c r="K761" s="3" t="s">
        <v>379</v>
      </c>
      <c r="L761" s="3">
        <v>61.96</v>
      </c>
      <c r="M761" s="3">
        <v>74.47</v>
      </c>
      <c r="N761" s="3">
        <v>77.98</v>
      </c>
      <c r="O761" s="1"/>
      <c r="Q761" s="73" t="s">
        <v>37</v>
      </c>
    </row>
    <row r="762" spans="1:17" ht="28.5" hidden="1" customHeight="1" x14ac:dyDescent="0.2">
      <c r="B762" s="181" t="s">
        <v>120</v>
      </c>
      <c r="C762" s="181" t="s">
        <v>120</v>
      </c>
      <c r="D762" s="181" t="s">
        <v>120</v>
      </c>
      <c r="E762" s="181"/>
      <c r="F762" s="181" t="s">
        <v>1249</v>
      </c>
      <c r="G762" s="182">
        <v>17041.7</v>
      </c>
      <c r="H762" s="182">
        <v>17041.7</v>
      </c>
      <c r="I762" s="182">
        <v>18041.7</v>
      </c>
      <c r="J762" s="3" t="s">
        <v>1250</v>
      </c>
      <c r="K762" s="3" t="s">
        <v>99</v>
      </c>
      <c r="L762" s="3">
        <v>92</v>
      </c>
      <c r="M762" s="3">
        <v>92</v>
      </c>
      <c r="N762" s="3">
        <v>92</v>
      </c>
      <c r="O762" s="1"/>
      <c r="Q762" s="72" t="s">
        <v>34</v>
      </c>
    </row>
    <row r="763" spans="1:17" ht="42" hidden="1" customHeight="1" x14ac:dyDescent="0.2">
      <c r="B763" s="77"/>
      <c r="C763" s="77"/>
      <c r="D763" s="77"/>
      <c r="E763" s="77"/>
      <c r="F763" s="77"/>
      <c r="G763" s="77"/>
      <c r="H763" s="77"/>
      <c r="I763" s="77"/>
      <c r="J763" s="3" t="s">
        <v>1251</v>
      </c>
      <c r="K763" s="3" t="s">
        <v>99</v>
      </c>
      <c r="L763" s="3">
        <v>92</v>
      </c>
      <c r="M763" s="3">
        <v>92</v>
      </c>
      <c r="N763" s="3">
        <v>92</v>
      </c>
      <c r="O763" s="1"/>
      <c r="Q763" s="73" t="s">
        <v>37</v>
      </c>
    </row>
    <row r="764" spans="1:17" ht="30" hidden="1" customHeight="1" x14ac:dyDescent="0.2">
      <c r="B764" s="181" t="s">
        <v>150</v>
      </c>
      <c r="C764" s="181" t="s">
        <v>150</v>
      </c>
      <c r="D764" s="181" t="s">
        <v>150</v>
      </c>
      <c r="E764" s="181"/>
      <c r="F764" s="181" t="s">
        <v>1252</v>
      </c>
      <c r="G764" s="182">
        <v>20649.599999999999</v>
      </c>
      <c r="H764" s="182">
        <v>21421.5</v>
      </c>
      <c r="I764" s="182">
        <v>21235.599999999999</v>
      </c>
      <c r="J764" s="3" t="s">
        <v>1253</v>
      </c>
      <c r="K764" s="3" t="s">
        <v>105</v>
      </c>
      <c r="L764" s="3">
        <v>187</v>
      </c>
      <c r="M764" s="3">
        <v>187</v>
      </c>
      <c r="N764" s="3">
        <v>187</v>
      </c>
      <c r="O764" s="1"/>
      <c r="Q764" s="72" t="s">
        <v>34</v>
      </c>
    </row>
    <row r="765" spans="1:17" hidden="1" x14ac:dyDescent="0.2">
      <c r="B765" s="76"/>
      <c r="C765" s="76"/>
      <c r="D765" s="76"/>
      <c r="E765" s="76"/>
      <c r="F765" s="76"/>
      <c r="G765" s="76"/>
      <c r="H765" s="76"/>
      <c r="I765" s="76"/>
      <c r="J765" s="3" t="s">
        <v>1254</v>
      </c>
      <c r="K765" s="3" t="s">
        <v>105</v>
      </c>
      <c r="L765" s="3">
        <v>2500</v>
      </c>
      <c r="M765" s="3">
        <v>2500</v>
      </c>
      <c r="N765" s="3">
        <v>2500</v>
      </c>
      <c r="O765" s="1"/>
      <c r="Q765" s="73" t="s">
        <v>37</v>
      </c>
    </row>
    <row r="766" spans="1:17" ht="29.25" hidden="1" customHeight="1" x14ac:dyDescent="0.2">
      <c r="B766" s="77"/>
      <c r="C766" s="77"/>
      <c r="D766" s="77"/>
      <c r="E766" s="77"/>
      <c r="F766" s="77"/>
      <c r="G766" s="77"/>
      <c r="H766" s="77"/>
      <c r="I766" s="77"/>
      <c r="J766" s="3" t="s">
        <v>1255</v>
      </c>
      <c r="K766" s="3" t="s">
        <v>105</v>
      </c>
      <c r="L766" s="3">
        <v>100</v>
      </c>
      <c r="M766" s="3">
        <v>100</v>
      </c>
      <c r="N766" s="3">
        <v>100</v>
      </c>
      <c r="O766" s="1"/>
      <c r="Q766" s="73" t="s">
        <v>37</v>
      </c>
    </row>
    <row r="767" spans="1:17" ht="33" hidden="1" customHeight="1" x14ac:dyDescent="0.2">
      <c r="B767" s="93" t="s">
        <v>1240</v>
      </c>
      <c r="C767" s="93" t="s">
        <v>1256</v>
      </c>
      <c r="D767" s="94"/>
      <c r="E767" s="94"/>
      <c r="F767" s="95" t="s">
        <v>1257</v>
      </c>
      <c r="G767" s="96">
        <v>309621.3</v>
      </c>
      <c r="H767" s="96">
        <v>316994.3</v>
      </c>
      <c r="I767" s="96">
        <v>325432.37</v>
      </c>
      <c r="J767" s="99" t="s">
        <v>1258</v>
      </c>
      <c r="K767" s="99" t="s">
        <v>105</v>
      </c>
      <c r="L767" s="99">
        <v>175</v>
      </c>
      <c r="M767" s="99">
        <v>175</v>
      </c>
      <c r="N767" s="99">
        <v>175</v>
      </c>
      <c r="O767" s="1"/>
      <c r="Q767" s="71" t="s">
        <v>40</v>
      </c>
    </row>
    <row r="768" spans="1:17" ht="15" hidden="1" customHeight="1" x14ac:dyDescent="0.2">
      <c r="B768" s="181" t="s">
        <v>100</v>
      </c>
      <c r="C768" s="181" t="s">
        <v>100</v>
      </c>
      <c r="D768" s="181" t="s">
        <v>100</v>
      </c>
      <c r="E768" s="181"/>
      <c r="F768" s="181" t="s">
        <v>1259</v>
      </c>
      <c r="G768" s="182">
        <v>309621.3</v>
      </c>
      <c r="H768" s="182">
        <v>316994.3</v>
      </c>
      <c r="I768" s="182">
        <v>325432.37</v>
      </c>
      <c r="J768" s="3" t="s">
        <v>1260</v>
      </c>
      <c r="K768" s="3" t="s">
        <v>703</v>
      </c>
      <c r="L768" s="3">
        <v>1476122</v>
      </c>
      <c r="M768" s="3">
        <v>1476122</v>
      </c>
      <c r="N768" s="3">
        <v>1476122</v>
      </c>
      <c r="O768" s="1"/>
      <c r="Q768" s="72" t="s">
        <v>34</v>
      </c>
    </row>
    <row r="769" spans="1:17" hidden="1" x14ac:dyDescent="0.2">
      <c r="B769" s="76"/>
      <c r="C769" s="76"/>
      <c r="D769" s="76"/>
      <c r="E769" s="76"/>
      <c r="F769" s="76"/>
      <c r="G769" s="76"/>
      <c r="H769" s="76"/>
      <c r="I769" s="76"/>
      <c r="J769" s="3" t="s">
        <v>1261</v>
      </c>
      <c r="K769" s="3" t="s">
        <v>105</v>
      </c>
      <c r="L769" s="3">
        <v>14</v>
      </c>
      <c r="M769" s="3">
        <v>14</v>
      </c>
      <c r="N769" s="3">
        <v>14</v>
      </c>
      <c r="O769" s="1"/>
      <c r="Q769" s="73" t="s">
        <v>37</v>
      </c>
    </row>
    <row r="770" spans="1:17" ht="33" hidden="1" customHeight="1" x14ac:dyDescent="0.2">
      <c r="B770" s="76"/>
      <c r="C770" s="76"/>
      <c r="D770" s="76"/>
      <c r="E770" s="76"/>
      <c r="F770" s="76"/>
      <c r="G770" s="76"/>
      <c r="H770" s="76"/>
      <c r="I770" s="76"/>
      <c r="J770" s="3" t="s">
        <v>1262</v>
      </c>
      <c r="K770" s="3" t="s">
        <v>105</v>
      </c>
      <c r="L770" s="3">
        <v>0</v>
      </c>
      <c r="M770" s="3">
        <v>0</v>
      </c>
      <c r="N770" s="3">
        <v>0</v>
      </c>
      <c r="O770" s="1"/>
      <c r="Q770" s="73" t="s">
        <v>37</v>
      </c>
    </row>
    <row r="771" spans="1:17" ht="62.25" hidden="1" customHeight="1" x14ac:dyDescent="0.2">
      <c r="B771" s="76"/>
      <c r="C771" s="76"/>
      <c r="D771" s="76"/>
      <c r="E771" s="76"/>
      <c r="F771" s="76"/>
      <c r="G771" s="76"/>
      <c r="H771" s="76"/>
      <c r="I771" s="76"/>
      <c r="J771" s="3" t="s">
        <v>1263</v>
      </c>
      <c r="K771" s="3" t="s">
        <v>105</v>
      </c>
      <c r="L771" s="3">
        <v>1734</v>
      </c>
      <c r="M771" s="3">
        <v>1734</v>
      </c>
      <c r="N771" s="3">
        <v>1734</v>
      </c>
      <c r="O771" s="1"/>
      <c r="Q771" s="73" t="s">
        <v>37</v>
      </c>
    </row>
    <row r="772" spans="1:17" ht="53.25" hidden="1" customHeight="1" x14ac:dyDescent="0.2">
      <c r="B772" s="77"/>
      <c r="C772" s="77"/>
      <c r="D772" s="77"/>
      <c r="E772" s="77"/>
      <c r="F772" s="77"/>
      <c r="G772" s="77"/>
      <c r="H772" s="77"/>
      <c r="I772" s="77"/>
      <c r="J772" s="3" t="s">
        <v>1264</v>
      </c>
      <c r="K772" s="3" t="s">
        <v>105</v>
      </c>
      <c r="L772" s="3">
        <v>4000</v>
      </c>
      <c r="M772" s="3">
        <v>4000</v>
      </c>
      <c r="N772" s="3">
        <v>4000</v>
      </c>
      <c r="O772" s="1"/>
      <c r="Q772" s="73" t="s">
        <v>37</v>
      </c>
    </row>
    <row r="773" spans="1:17" ht="24" hidden="1" customHeight="1" x14ac:dyDescent="0.2">
      <c r="B773" s="93" t="s">
        <v>1240</v>
      </c>
      <c r="C773" s="93" t="s">
        <v>1265</v>
      </c>
      <c r="D773" s="94"/>
      <c r="E773" s="94"/>
      <c r="F773" s="95" t="s">
        <v>1266</v>
      </c>
      <c r="G773" s="96">
        <v>86522.26</v>
      </c>
      <c r="H773" s="96">
        <v>88286.36</v>
      </c>
      <c r="I773" s="96">
        <v>89372.36</v>
      </c>
      <c r="J773" s="111" t="s">
        <v>347</v>
      </c>
      <c r="K773" s="111" t="s">
        <v>99</v>
      </c>
      <c r="L773" s="111">
        <v>100</v>
      </c>
      <c r="M773" s="111">
        <v>100</v>
      </c>
      <c r="N773" s="111">
        <v>100</v>
      </c>
      <c r="O773" s="1"/>
      <c r="Q773" s="71" t="s">
        <v>40</v>
      </c>
    </row>
    <row r="774" spans="1:17" ht="21" hidden="1" customHeight="1" x14ac:dyDescent="0.2">
      <c r="B774" s="181" t="s">
        <v>100</v>
      </c>
      <c r="C774" s="181" t="s">
        <v>100</v>
      </c>
      <c r="D774" s="181" t="s">
        <v>100</v>
      </c>
      <c r="E774" s="181"/>
      <c r="F774" s="181" t="s">
        <v>1267</v>
      </c>
      <c r="G774" s="182">
        <v>86522.26</v>
      </c>
      <c r="H774" s="182">
        <v>88286.36</v>
      </c>
      <c r="I774" s="182">
        <v>89372.36</v>
      </c>
      <c r="J774" s="3" t="s">
        <v>1268</v>
      </c>
      <c r="K774" s="3" t="s">
        <v>99</v>
      </c>
      <c r="L774" s="3">
        <v>1</v>
      </c>
      <c r="M774" s="3">
        <v>1</v>
      </c>
      <c r="N774" s="3">
        <v>1</v>
      </c>
      <c r="O774" s="1"/>
      <c r="Q774" s="72" t="s">
        <v>34</v>
      </c>
    </row>
    <row r="775" spans="1:17" ht="21" hidden="1" customHeight="1" x14ac:dyDescent="0.2">
      <c r="B775" s="77"/>
      <c r="C775" s="77"/>
      <c r="D775" s="77"/>
      <c r="E775" s="77"/>
      <c r="F775" s="77"/>
      <c r="G775" s="77"/>
      <c r="H775" s="77"/>
      <c r="I775" s="77"/>
      <c r="J775" s="3" t="s">
        <v>1269</v>
      </c>
      <c r="K775" s="3" t="s">
        <v>99</v>
      </c>
      <c r="L775" s="3">
        <v>1</v>
      </c>
      <c r="M775" s="3">
        <v>1</v>
      </c>
      <c r="N775" s="3">
        <v>1</v>
      </c>
      <c r="O775" s="1"/>
      <c r="Q775" s="75" t="s">
        <v>48</v>
      </c>
    </row>
    <row r="776" spans="1:17" ht="21" hidden="1" customHeight="1" x14ac:dyDescent="0.2">
      <c r="B776" s="93" t="s">
        <v>1240</v>
      </c>
      <c r="C776" s="93" t="s">
        <v>1270</v>
      </c>
      <c r="D776" s="94"/>
      <c r="E776" s="94"/>
      <c r="F776" s="95" t="s">
        <v>1271</v>
      </c>
      <c r="G776" s="96">
        <v>23000</v>
      </c>
      <c r="H776" s="96">
        <v>23000</v>
      </c>
      <c r="I776" s="96">
        <v>23000</v>
      </c>
      <c r="J776" s="111" t="s">
        <v>347</v>
      </c>
      <c r="K776" s="111" t="s">
        <v>99</v>
      </c>
      <c r="L776" s="111">
        <v>100</v>
      </c>
      <c r="M776" s="111">
        <v>100</v>
      </c>
      <c r="N776" s="111">
        <v>100</v>
      </c>
      <c r="O776" s="1"/>
      <c r="Q776" s="71" t="s">
        <v>40</v>
      </c>
    </row>
    <row r="777" spans="1:17" ht="39" hidden="1" customHeight="1" x14ac:dyDescent="0.2">
      <c r="B777" s="183" t="s">
        <v>100</v>
      </c>
      <c r="C777" s="183" t="s">
        <v>100</v>
      </c>
      <c r="D777" s="183" t="s">
        <v>100</v>
      </c>
      <c r="E777" s="183"/>
      <c r="F777" s="184" t="s">
        <v>1272</v>
      </c>
      <c r="G777" s="185">
        <v>13000</v>
      </c>
      <c r="H777" s="185">
        <v>13000</v>
      </c>
      <c r="I777" s="185">
        <v>13000</v>
      </c>
      <c r="J777" s="3" t="s">
        <v>1273</v>
      </c>
      <c r="K777" s="3" t="s">
        <v>99</v>
      </c>
      <c r="L777" s="3">
        <v>20</v>
      </c>
      <c r="M777" s="3">
        <v>20</v>
      </c>
      <c r="N777" s="3">
        <v>20</v>
      </c>
      <c r="O777" s="1"/>
      <c r="Q777" s="72" t="s">
        <v>34</v>
      </c>
    </row>
    <row r="778" spans="1:17" ht="36" hidden="1" customHeight="1" x14ac:dyDescent="0.2">
      <c r="B778" s="181" t="s">
        <v>120</v>
      </c>
      <c r="C778" s="181" t="s">
        <v>120</v>
      </c>
      <c r="D778" s="181" t="s">
        <v>120</v>
      </c>
      <c r="E778" s="181"/>
      <c r="F778" s="181" t="s">
        <v>1274</v>
      </c>
      <c r="G778" s="182">
        <v>10000</v>
      </c>
      <c r="H778" s="182">
        <v>10000</v>
      </c>
      <c r="I778" s="182">
        <v>10000</v>
      </c>
      <c r="J778" s="3" t="s">
        <v>1275</v>
      </c>
      <c r="K778" s="3" t="s">
        <v>223</v>
      </c>
      <c r="L778" s="3">
        <v>34000</v>
      </c>
      <c r="M778" s="3">
        <v>34000</v>
      </c>
      <c r="N778" s="3">
        <v>34000</v>
      </c>
      <c r="O778" s="1"/>
      <c r="Q778" s="72" t="s">
        <v>34</v>
      </c>
    </row>
    <row r="779" spans="1:17" ht="35.25" hidden="1" customHeight="1" x14ac:dyDescent="0.2">
      <c r="B779" s="77"/>
      <c r="C779" s="77"/>
      <c r="D779" s="77"/>
      <c r="E779" s="77"/>
      <c r="F779" s="77"/>
      <c r="G779" s="77"/>
      <c r="H779" s="77"/>
      <c r="I779" s="77"/>
      <c r="J779" s="3" t="s">
        <v>1276</v>
      </c>
      <c r="K779" s="3" t="s">
        <v>405</v>
      </c>
      <c r="L779" s="3">
        <v>30</v>
      </c>
      <c r="M779" s="3">
        <v>60</v>
      </c>
      <c r="N779" s="3">
        <v>60</v>
      </c>
      <c r="O779" s="1"/>
      <c r="Q779" s="73" t="s">
        <v>37</v>
      </c>
    </row>
    <row r="780" spans="1:17" ht="24.75" customHeight="1" x14ac:dyDescent="0.2">
      <c r="B780" s="99">
        <v>65</v>
      </c>
      <c r="C780" s="99" t="s">
        <v>408</v>
      </c>
      <c r="D780" s="117" t="s">
        <v>100</v>
      </c>
      <c r="E780" s="99"/>
      <c r="F780" s="109" t="s">
        <v>409</v>
      </c>
      <c r="G780" s="110">
        <v>353600</v>
      </c>
      <c r="H780" s="110">
        <v>357200</v>
      </c>
      <c r="I780" s="110">
        <v>268500</v>
      </c>
      <c r="J780" s="111" t="s">
        <v>347</v>
      </c>
      <c r="K780" s="111" t="s">
        <v>99</v>
      </c>
      <c r="L780" s="111">
        <v>100</v>
      </c>
      <c r="M780" s="111">
        <v>100</v>
      </c>
      <c r="N780" s="111">
        <v>100</v>
      </c>
      <c r="O780" s="1"/>
      <c r="Q780" s="118" t="s">
        <v>40</v>
      </c>
    </row>
    <row r="781" spans="1:17" ht="15" hidden="1" customHeight="1" x14ac:dyDescent="0.2">
      <c r="B781" s="174" t="s">
        <v>112</v>
      </c>
      <c r="C781" s="175"/>
      <c r="D781" s="176"/>
      <c r="E781" s="176"/>
      <c r="F781" s="177"/>
      <c r="G781" s="178">
        <v>2225123.36</v>
      </c>
      <c r="H781" s="178">
        <v>2248550.5299999998</v>
      </c>
      <c r="I781" s="178">
        <v>2180074.2000000002</v>
      </c>
      <c r="J781" s="179"/>
      <c r="K781" s="176"/>
      <c r="L781" s="176"/>
      <c r="M781" s="176"/>
      <c r="N781" s="177"/>
      <c r="O781" s="1"/>
      <c r="Q781" s="74" t="s">
        <v>46</v>
      </c>
    </row>
    <row r="782" spans="1:17" ht="15" hidden="1" customHeight="1" x14ac:dyDescent="0.2">
      <c r="A782" s="4" t="str">
        <f>C782</f>
        <v xml:space="preserve">Секретариат Национальной комиссии Кыргызской Республики по делам ЮНЕСКО  </v>
      </c>
      <c r="B782" s="87" t="s">
        <v>1277</v>
      </c>
      <c r="C782" s="88" t="s">
        <v>1278</v>
      </c>
      <c r="D782" s="90"/>
      <c r="E782" s="90"/>
      <c r="F782" s="90"/>
      <c r="G782" s="90"/>
      <c r="H782" s="90"/>
      <c r="I782" s="90"/>
      <c r="J782" s="90"/>
      <c r="K782" s="90"/>
      <c r="L782" s="90"/>
      <c r="M782" s="90"/>
      <c r="N782" s="91"/>
      <c r="O782" s="1"/>
      <c r="Q782" s="70" t="s">
        <v>43</v>
      </c>
    </row>
    <row r="783" spans="1:17" ht="24" hidden="1" customHeight="1" x14ac:dyDescent="0.2">
      <c r="B783" s="93" t="s">
        <v>1277</v>
      </c>
      <c r="C783" s="93" t="s">
        <v>96</v>
      </c>
      <c r="D783" s="94"/>
      <c r="E783" s="94"/>
      <c r="F783" s="95" t="s">
        <v>97</v>
      </c>
      <c r="G783" s="96">
        <v>8993.7000000000007</v>
      </c>
      <c r="H783" s="96">
        <v>9173.6</v>
      </c>
      <c r="I783" s="96">
        <v>9357</v>
      </c>
      <c r="J783" s="97" t="s">
        <v>1279</v>
      </c>
      <c r="K783" s="97" t="s">
        <v>99</v>
      </c>
      <c r="L783" s="97">
        <v>100</v>
      </c>
      <c r="M783" s="97">
        <v>100</v>
      </c>
      <c r="N783" s="97">
        <v>100</v>
      </c>
      <c r="O783" s="1"/>
      <c r="Q783" s="71" t="s">
        <v>40</v>
      </c>
    </row>
    <row r="784" spans="1:17" ht="36" hidden="1" customHeight="1" x14ac:dyDescent="0.2">
      <c r="B784" s="183" t="s">
        <v>100</v>
      </c>
      <c r="C784" s="183" t="s">
        <v>100</v>
      </c>
      <c r="D784" s="183" t="s">
        <v>100</v>
      </c>
      <c r="E784" s="183"/>
      <c r="F784" s="184" t="s">
        <v>101</v>
      </c>
      <c r="G784" s="185">
        <v>8993.7000000000007</v>
      </c>
      <c r="H784" s="185">
        <v>9173.6</v>
      </c>
      <c r="I784" s="185">
        <v>9357</v>
      </c>
      <c r="J784" s="3" t="s">
        <v>1280</v>
      </c>
      <c r="K784" s="3" t="s">
        <v>99</v>
      </c>
      <c r="L784" s="3">
        <v>100</v>
      </c>
      <c r="M784" s="3">
        <v>100</v>
      </c>
      <c r="N784" s="3">
        <v>100</v>
      </c>
      <c r="O784" s="1"/>
      <c r="Q784" s="72" t="s">
        <v>34</v>
      </c>
    </row>
    <row r="785" spans="1:18" ht="15" hidden="1" customHeight="1" x14ac:dyDescent="0.2">
      <c r="B785" s="174" t="s">
        <v>112</v>
      </c>
      <c r="C785" s="175"/>
      <c r="D785" s="176"/>
      <c r="E785" s="176"/>
      <c r="F785" s="177"/>
      <c r="G785" s="178">
        <v>8993.7000000000007</v>
      </c>
      <c r="H785" s="178">
        <v>9173.6</v>
      </c>
      <c r="I785" s="178">
        <v>9357</v>
      </c>
      <c r="J785" s="179"/>
      <c r="K785" s="176"/>
      <c r="L785" s="176"/>
      <c r="M785" s="176"/>
      <c r="N785" s="177"/>
      <c r="O785" s="1"/>
      <c r="Q785" s="74" t="s">
        <v>46</v>
      </c>
    </row>
    <row r="786" spans="1:18" ht="15" hidden="1" customHeight="1" x14ac:dyDescent="0.2">
      <c r="A786" s="4" t="str">
        <f>C786</f>
        <v>Министерство цифрового развития и инновационных технологий Кыргызской Республики</v>
      </c>
      <c r="B786" s="87" t="s">
        <v>485</v>
      </c>
      <c r="C786" s="88" t="s">
        <v>1281</v>
      </c>
      <c r="D786" s="90"/>
      <c r="E786" s="90"/>
      <c r="F786" s="90"/>
      <c r="G786" s="90"/>
      <c r="H786" s="90"/>
      <c r="I786" s="90"/>
      <c r="J786" s="90"/>
      <c r="K786" s="90"/>
      <c r="L786" s="90"/>
      <c r="M786" s="90"/>
      <c r="N786" s="91"/>
      <c r="O786" s="1"/>
      <c r="Q786" s="70" t="s">
        <v>43</v>
      </c>
    </row>
    <row r="787" spans="1:18" ht="26.25" hidden="1" customHeight="1" x14ac:dyDescent="0.2">
      <c r="B787" s="93" t="s">
        <v>485</v>
      </c>
      <c r="C787" s="93" t="s">
        <v>96</v>
      </c>
      <c r="D787" s="94"/>
      <c r="E787" s="94"/>
      <c r="F787" s="95" t="s">
        <v>97</v>
      </c>
      <c r="G787" s="96">
        <v>487435.1</v>
      </c>
      <c r="H787" s="96">
        <v>188447.3</v>
      </c>
      <c r="I787" s="96">
        <v>189563.7</v>
      </c>
      <c r="J787" s="99" t="s">
        <v>304</v>
      </c>
      <c r="K787" s="99" t="s">
        <v>99</v>
      </c>
      <c r="L787" s="99">
        <v>40</v>
      </c>
      <c r="M787" s="99">
        <v>40</v>
      </c>
      <c r="N787" s="99">
        <v>40</v>
      </c>
      <c r="O787" s="1"/>
      <c r="Q787" s="71" t="s">
        <v>40</v>
      </c>
    </row>
    <row r="788" spans="1:18" ht="24" hidden="1" customHeight="1" x14ac:dyDescent="0.2">
      <c r="B788" s="183" t="s">
        <v>100</v>
      </c>
      <c r="C788" s="183" t="s">
        <v>100</v>
      </c>
      <c r="D788" s="183" t="s">
        <v>100</v>
      </c>
      <c r="E788" s="183"/>
      <c r="F788" s="184" t="s">
        <v>101</v>
      </c>
      <c r="G788" s="185">
        <v>487435.1</v>
      </c>
      <c r="H788" s="185">
        <v>188447.3</v>
      </c>
      <c r="I788" s="185">
        <v>189563.7</v>
      </c>
      <c r="J788" s="3" t="s">
        <v>304</v>
      </c>
      <c r="K788" s="3" t="s">
        <v>99</v>
      </c>
      <c r="L788" s="3">
        <v>40</v>
      </c>
      <c r="M788" s="3">
        <v>40</v>
      </c>
      <c r="N788" s="3">
        <v>40</v>
      </c>
      <c r="O788" s="1"/>
      <c r="Q788" s="72" t="s">
        <v>34</v>
      </c>
    </row>
    <row r="789" spans="1:18" ht="21.75" hidden="1" customHeight="1" x14ac:dyDescent="0.2">
      <c r="B789" s="93" t="s">
        <v>485</v>
      </c>
      <c r="C789" s="93" t="s">
        <v>1282</v>
      </c>
      <c r="D789" s="94"/>
      <c r="E789" s="94"/>
      <c r="F789" s="95" t="s">
        <v>1283</v>
      </c>
      <c r="G789" s="96">
        <v>235540.7</v>
      </c>
      <c r="H789" s="96">
        <v>243207.82</v>
      </c>
      <c r="I789" s="96">
        <v>249375.35</v>
      </c>
      <c r="J789" s="99" t="s">
        <v>1284</v>
      </c>
      <c r="K789" s="99" t="s">
        <v>155</v>
      </c>
      <c r="L789" s="99">
        <v>185</v>
      </c>
      <c r="M789" s="99">
        <v>185</v>
      </c>
      <c r="N789" s="99">
        <v>186</v>
      </c>
      <c r="O789" s="1"/>
      <c r="Q789" s="71" t="s">
        <v>40</v>
      </c>
    </row>
    <row r="790" spans="1:18" ht="26.25" hidden="1" customHeight="1" x14ac:dyDescent="0.2">
      <c r="B790" s="181" t="s">
        <v>100</v>
      </c>
      <c r="C790" s="181" t="s">
        <v>100</v>
      </c>
      <c r="D790" s="181" t="s">
        <v>100</v>
      </c>
      <c r="E790" s="181"/>
      <c r="F790" s="181" t="s">
        <v>1285</v>
      </c>
      <c r="G790" s="182">
        <v>101340.7</v>
      </c>
      <c r="H790" s="182">
        <v>106104</v>
      </c>
      <c r="I790" s="182">
        <v>110878.7</v>
      </c>
      <c r="J790" s="3" t="s">
        <v>1286</v>
      </c>
      <c r="K790" s="3" t="s">
        <v>155</v>
      </c>
      <c r="L790" s="3">
        <v>1</v>
      </c>
      <c r="M790" s="3">
        <v>1</v>
      </c>
      <c r="N790" s="3">
        <v>1</v>
      </c>
      <c r="O790" s="1"/>
      <c r="Q790" s="72" t="s">
        <v>34</v>
      </c>
    </row>
    <row r="791" spans="1:18" ht="34.5" hidden="1" customHeight="1" x14ac:dyDescent="0.2">
      <c r="B791" s="76"/>
      <c r="C791" s="76"/>
      <c r="D791" s="76"/>
      <c r="E791" s="76"/>
      <c r="F791" s="76"/>
      <c r="G791" s="76"/>
      <c r="H791" s="76"/>
      <c r="I791" s="76"/>
      <c r="J791" s="3" t="s">
        <v>1287</v>
      </c>
      <c r="K791" s="3" t="s">
        <v>155</v>
      </c>
      <c r="L791" s="3">
        <v>17760</v>
      </c>
      <c r="M791" s="3">
        <v>17760</v>
      </c>
      <c r="N791" s="3">
        <v>17500</v>
      </c>
      <c r="O791" s="1"/>
      <c r="Q791" s="73" t="s">
        <v>37</v>
      </c>
    </row>
    <row r="792" spans="1:18" ht="20.25" hidden="1" customHeight="1" x14ac:dyDescent="0.2">
      <c r="B792" s="76"/>
      <c r="C792" s="76"/>
      <c r="D792" s="76"/>
      <c r="E792" s="76"/>
      <c r="F792" s="76"/>
      <c r="G792" s="76"/>
      <c r="H792" s="76"/>
      <c r="I792" s="76"/>
      <c r="J792" s="3" t="s">
        <v>1288</v>
      </c>
      <c r="K792" s="3" t="s">
        <v>155</v>
      </c>
      <c r="L792" s="3">
        <v>23</v>
      </c>
      <c r="M792" s="3">
        <v>26</v>
      </c>
      <c r="N792" s="3">
        <v>30</v>
      </c>
      <c r="O792" s="1"/>
      <c r="Q792" s="73" t="s">
        <v>37</v>
      </c>
    </row>
    <row r="793" spans="1:18" ht="19.5" hidden="1" customHeight="1" x14ac:dyDescent="0.2">
      <c r="B793" s="76"/>
      <c r="C793" s="76"/>
      <c r="D793" s="76"/>
      <c r="E793" s="76"/>
      <c r="F793" s="76"/>
      <c r="G793" s="76"/>
      <c r="H793" s="76"/>
      <c r="I793" s="76"/>
      <c r="J793" s="3" t="s">
        <v>1289</v>
      </c>
      <c r="K793" s="3" t="s">
        <v>155</v>
      </c>
      <c r="L793" s="3">
        <v>38</v>
      </c>
      <c r="M793" s="3">
        <v>39</v>
      </c>
      <c r="N793" s="3">
        <v>40</v>
      </c>
      <c r="O793" s="1"/>
      <c r="Q793" s="73" t="s">
        <v>37</v>
      </c>
    </row>
    <row r="794" spans="1:18" ht="36" hidden="1" customHeight="1" x14ac:dyDescent="0.2">
      <c r="B794" s="77"/>
      <c r="C794" s="77"/>
      <c r="D794" s="77"/>
      <c r="E794" s="77"/>
      <c r="F794" s="77"/>
      <c r="G794" s="77"/>
      <c r="H794" s="77"/>
      <c r="I794" s="77"/>
      <c r="J794" s="3" t="s">
        <v>1290</v>
      </c>
      <c r="K794" s="3" t="s">
        <v>155</v>
      </c>
      <c r="L794" s="3">
        <v>343</v>
      </c>
      <c r="M794" s="3">
        <v>344</v>
      </c>
      <c r="N794" s="3">
        <v>345</v>
      </c>
      <c r="O794" s="1"/>
      <c r="Q794" s="73" t="s">
        <v>37</v>
      </c>
    </row>
    <row r="795" spans="1:18" ht="48" hidden="1" customHeight="1" x14ac:dyDescent="0.2">
      <c r="B795" s="183" t="s">
        <v>124</v>
      </c>
      <c r="C795" s="183" t="s">
        <v>124</v>
      </c>
      <c r="D795" s="183" t="s">
        <v>124</v>
      </c>
      <c r="E795" s="183"/>
      <c r="F795" s="184" t="s">
        <v>1291</v>
      </c>
      <c r="G795" s="185">
        <v>2100</v>
      </c>
      <c r="H795" s="185">
        <v>2150</v>
      </c>
      <c r="I795" s="185">
        <v>2170</v>
      </c>
      <c r="J795" s="3" t="s">
        <v>1292</v>
      </c>
      <c r="K795" s="3" t="s">
        <v>155</v>
      </c>
      <c r="L795" s="3">
        <v>700</v>
      </c>
      <c r="M795" s="3">
        <v>700</v>
      </c>
      <c r="N795" s="3">
        <v>700</v>
      </c>
      <c r="O795" s="1"/>
      <c r="Q795" s="72" t="s">
        <v>34</v>
      </c>
    </row>
    <row r="796" spans="1:18" ht="42.75" hidden="1" customHeight="1" x14ac:dyDescent="0.2">
      <c r="B796" s="183" t="s">
        <v>156</v>
      </c>
      <c r="C796" s="183" t="s">
        <v>156</v>
      </c>
      <c r="D796" s="183" t="s">
        <v>156</v>
      </c>
      <c r="E796" s="183"/>
      <c r="F796" s="184" t="s">
        <v>1293</v>
      </c>
      <c r="G796" s="185">
        <v>132100</v>
      </c>
      <c r="H796" s="185">
        <v>134953.82</v>
      </c>
      <c r="I796" s="185">
        <v>136326.65</v>
      </c>
      <c r="J796" s="3" t="s">
        <v>1294</v>
      </c>
      <c r="K796" s="3" t="s">
        <v>155</v>
      </c>
      <c r="L796" s="3">
        <v>23434</v>
      </c>
      <c r="M796" s="3">
        <v>23434</v>
      </c>
      <c r="N796" s="3">
        <v>23560</v>
      </c>
      <c r="O796" s="1"/>
      <c r="Q796" s="72" t="s">
        <v>34</v>
      </c>
    </row>
    <row r="797" spans="1:18" ht="24" hidden="1" customHeight="1" x14ac:dyDescent="0.2">
      <c r="B797" s="93" t="s">
        <v>485</v>
      </c>
      <c r="C797" s="93" t="s">
        <v>1295</v>
      </c>
      <c r="D797" s="94"/>
      <c r="E797" s="94"/>
      <c r="F797" s="95" t="s">
        <v>1296</v>
      </c>
      <c r="G797" s="96">
        <v>476116.2</v>
      </c>
      <c r="H797" s="96">
        <v>484548.06</v>
      </c>
      <c r="I797" s="96">
        <v>493748.27</v>
      </c>
      <c r="J797" s="97" t="s">
        <v>1279</v>
      </c>
      <c r="K797" s="97" t="s">
        <v>99</v>
      </c>
      <c r="L797" s="97">
        <v>100</v>
      </c>
      <c r="M797" s="97">
        <v>100</v>
      </c>
      <c r="N797" s="97">
        <v>100</v>
      </c>
      <c r="O797" s="1"/>
      <c r="Q797" s="71" t="s">
        <v>40</v>
      </c>
      <c r="R797" s="75" t="s">
        <v>149</v>
      </c>
    </row>
    <row r="798" spans="1:18" ht="41.25" hidden="1" customHeight="1" x14ac:dyDescent="0.2">
      <c r="B798" s="183" t="s">
        <v>100</v>
      </c>
      <c r="C798" s="183" t="s">
        <v>100</v>
      </c>
      <c r="D798" s="183" t="s">
        <v>100</v>
      </c>
      <c r="E798" s="183"/>
      <c r="F798" s="184" t="s">
        <v>1297</v>
      </c>
      <c r="G798" s="185">
        <v>476116.2</v>
      </c>
      <c r="H798" s="185">
        <v>484548.06</v>
      </c>
      <c r="I798" s="185">
        <v>493748.27</v>
      </c>
      <c r="J798" s="3" t="s">
        <v>1298</v>
      </c>
      <c r="K798" s="3" t="s">
        <v>105</v>
      </c>
      <c r="L798" s="3">
        <v>71439</v>
      </c>
      <c r="M798" s="3">
        <v>72868</v>
      </c>
      <c r="N798" s="3">
        <v>74326</v>
      </c>
      <c r="O798" s="1"/>
      <c r="Q798" s="72" t="s">
        <v>34</v>
      </c>
    </row>
    <row r="799" spans="1:18" ht="15" hidden="1" customHeight="1" x14ac:dyDescent="0.2">
      <c r="B799" s="174" t="s">
        <v>112</v>
      </c>
      <c r="C799" s="175"/>
      <c r="D799" s="176"/>
      <c r="E799" s="176"/>
      <c r="F799" s="177"/>
      <c r="G799" s="178">
        <v>1199092</v>
      </c>
      <c r="H799" s="178">
        <v>916203.17999999993</v>
      </c>
      <c r="I799" s="178">
        <v>932687.32000000007</v>
      </c>
      <c r="J799" s="179"/>
      <c r="K799" s="176"/>
      <c r="L799" s="176"/>
      <c r="M799" s="176"/>
      <c r="N799" s="177"/>
      <c r="O799" s="1"/>
      <c r="Q799" s="74" t="s">
        <v>46</v>
      </c>
    </row>
    <row r="800" spans="1:18" ht="15" hidden="1" customHeight="1" x14ac:dyDescent="0.2">
      <c r="A800" s="4" t="str">
        <f>C800</f>
        <v>Национальный институт стратегических инициатив при Президенте Кыргызской Республики</v>
      </c>
      <c r="B800" s="87" t="s">
        <v>1299</v>
      </c>
      <c r="C800" s="88" t="s">
        <v>1300</v>
      </c>
      <c r="D800" s="90"/>
      <c r="E800" s="90"/>
      <c r="F800" s="90"/>
      <c r="G800" s="90"/>
      <c r="H800" s="90"/>
      <c r="I800" s="90"/>
      <c r="J800" s="90"/>
      <c r="K800" s="90"/>
      <c r="L800" s="90"/>
      <c r="M800" s="90"/>
      <c r="N800" s="91"/>
      <c r="O800" s="1"/>
      <c r="Q800" s="70" t="s">
        <v>43</v>
      </c>
    </row>
    <row r="801" spans="1:18" hidden="1" x14ac:dyDescent="0.2">
      <c r="B801" s="93" t="s">
        <v>1299</v>
      </c>
      <c r="C801" s="93" t="s">
        <v>96</v>
      </c>
      <c r="D801" s="94"/>
      <c r="E801" s="94"/>
      <c r="F801" s="95" t="s">
        <v>97</v>
      </c>
      <c r="G801" s="96">
        <v>13560</v>
      </c>
      <c r="H801" s="96">
        <v>14490</v>
      </c>
      <c r="I801" s="96">
        <v>14290</v>
      </c>
      <c r="J801" s="97" t="s">
        <v>1279</v>
      </c>
      <c r="K801" s="97" t="s">
        <v>99</v>
      </c>
      <c r="L801" s="97">
        <v>100</v>
      </c>
      <c r="M801" s="97">
        <v>100</v>
      </c>
      <c r="N801" s="97">
        <v>100</v>
      </c>
      <c r="O801" s="1"/>
      <c r="Q801" s="71" t="s">
        <v>40</v>
      </c>
    </row>
    <row r="802" spans="1:18" ht="30" hidden="1" customHeight="1" x14ac:dyDescent="0.2">
      <c r="B802" s="183" t="s">
        <v>100</v>
      </c>
      <c r="C802" s="183" t="s">
        <v>100</v>
      </c>
      <c r="D802" s="183" t="s">
        <v>100</v>
      </c>
      <c r="E802" s="183"/>
      <c r="F802" s="184" t="s">
        <v>101</v>
      </c>
      <c r="G802" s="185">
        <v>13560</v>
      </c>
      <c r="H802" s="185">
        <v>14490</v>
      </c>
      <c r="I802" s="185">
        <v>14290</v>
      </c>
      <c r="J802" s="3" t="s">
        <v>1301</v>
      </c>
      <c r="K802" s="3" t="s">
        <v>155</v>
      </c>
      <c r="L802" s="3">
        <v>100</v>
      </c>
      <c r="M802" s="3">
        <v>100</v>
      </c>
      <c r="N802" s="3">
        <v>100</v>
      </c>
      <c r="O802" s="1"/>
      <c r="Q802" s="72" t="s">
        <v>34</v>
      </c>
    </row>
    <row r="803" spans="1:18" ht="32.25" hidden="1" customHeight="1" x14ac:dyDescent="0.2">
      <c r="B803" s="93" t="s">
        <v>1299</v>
      </c>
      <c r="C803" s="93" t="s">
        <v>1302</v>
      </c>
      <c r="D803" s="94"/>
      <c r="E803" s="94"/>
      <c r="F803" s="95" t="s">
        <v>1303</v>
      </c>
      <c r="G803" s="96">
        <v>42253.4</v>
      </c>
      <c r="H803" s="96">
        <v>36639.199999999997</v>
      </c>
      <c r="I803" s="96">
        <v>37861.800000000003</v>
      </c>
      <c r="J803" s="97" t="s">
        <v>1304</v>
      </c>
      <c r="K803" s="97" t="s">
        <v>155</v>
      </c>
      <c r="L803" s="97">
        <v>60</v>
      </c>
      <c r="M803" s="97">
        <v>65</v>
      </c>
      <c r="N803" s="97">
        <v>65</v>
      </c>
      <c r="O803" s="1"/>
      <c r="Q803" s="71" t="s">
        <v>40</v>
      </c>
    </row>
    <row r="804" spans="1:18" ht="36" hidden="1" customHeight="1" x14ac:dyDescent="0.2">
      <c r="B804" s="183" t="s">
        <v>100</v>
      </c>
      <c r="C804" s="183" t="s">
        <v>100</v>
      </c>
      <c r="D804" s="183" t="s">
        <v>100</v>
      </c>
      <c r="E804" s="183"/>
      <c r="F804" s="184" t="s">
        <v>1305</v>
      </c>
      <c r="G804" s="185">
        <v>42253.4</v>
      </c>
      <c r="H804" s="185">
        <v>36639.199999999997</v>
      </c>
      <c r="I804" s="185">
        <v>37861.800000000003</v>
      </c>
      <c r="J804" s="3" t="s">
        <v>1306</v>
      </c>
      <c r="K804" s="3" t="s">
        <v>155</v>
      </c>
      <c r="L804" s="3">
        <v>60</v>
      </c>
      <c r="M804" s="3">
        <v>65</v>
      </c>
      <c r="N804" s="3">
        <v>65</v>
      </c>
      <c r="O804" s="1"/>
      <c r="Q804" s="72" t="s">
        <v>34</v>
      </c>
    </row>
    <row r="805" spans="1:18" ht="15" hidden="1" customHeight="1" x14ac:dyDescent="0.2">
      <c r="B805" s="174" t="s">
        <v>112</v>
      </c>
      <c r="C805" s="175"/>
      <c r="D805" s="176"/>
      <c r="E805" s="176"/>
      <c r="F805" s="177"/>
      <c r="G805" s="178">
        <v>55813.4</v>
      </c>
      <c r="H805" s="178">
        <v>51129.2</v>
      </c>
      <c r="I805" s="178">
        <v>52151.8</v>
      </c>
      <c r="J805" s="179"/>
      <c r="K805" s="176"/>
      <c r="L805" s="176"/>
      <c r="M805" s="176"/>
      <c r="N805" s="177"/>
      <c r="O805" s="1"/>
      <c r="Q805" s="74" t="s">
        <v>46</v>
      </c>
    </row>
    <row r="806" spans="1:18" ht="18" hidden="1" customHeight="1" x14ac:dyDescent="0.2">
      <c r="A806" s="4" t="str">
        <f>C806</f>
        <v>Национальный статистический комитет Кыргызской Республики</v>
      </c>
      <c r="B806" s="87" t="s">
        <v>1307</v>
      </c>
      <c r="C806" s="88" t="s">
        <v>1308</v>
      </c>
      <c r="D806" s="90"/>
      <c r="E806" s="90"/>
      <c r="F806" s="90"/>
      <c r="G806" s="90"/>
      <c r="H806" s="90"/>
      <c r="I806" s="90"/>
      <c r="J806" s="90"/>
      <c r="K806" s="90"/>
      <c r="L806" s="90"/>
      <c r="M806" s="90"/>
      <c r="N806" s="91"/>
      <c r="O806" s="1"/>
      <c r="Q806" s="70" t="s">
        <v>43</v>
      </c>
    </row>
    <row r="807" spans="1:18" ht="21" hidden="1" customHeight="1" x14ac:dyDescent="0.2">
      <c r="B807" s="93" t="s">
        <v>1307</v>
      </c>
      <c r="C807" s="93" t="s">
        <v>96</v>
      </c>
      <c r="D807" s="94"/>
      <c r="E807" s="94"/>
      <c r="F807" s="95" t="s">
        <v>97</v>
      </c>
      <c r="G807" s="96">
        <v>616423.80000000005</v>
      </c>
      <c r="H807" s="96">
        <v>627457.30000000005</v>
      </c>
      <c r="I807" s="96">
        <v>622528.14</v>
      </c>
      <c r="J807" s="98" t="s">
        <v>1309</v>
      </c>
      <c r="K807" s="98" t="s">
        <v>99</v>
      </c>
      <c r="L807" s="98">
        <v>26</v>
      </c>
      <c r="M807" s="98">
        <v>26</v>
      </c>
      <c r="N807" s="98">
        <v>26</v>
      </c>
      <c r="O807" s="1"/>
      <c r="Q807" s="71" t="s">
        <v>40</v>
      </c>
    </row>
    <row r="808" spans="1:18" ht="19.5" hidden="1" customHeight="1" x14ac:dyDescent="0.2">
      <c r="B808" s="183" t="s">
        <v>100</v>
      </c>
      <c r="C808" s="183" t="s">
        <v>100</v>
      </c>
      <c r="D808" s="183" t="s">
        <v>100</v>
      </c>
      <c r="E808" s="183"/>
      <c r="F808" s="184" t="s">
        <v>101</v>
      </c>
      <c r="G808" s="185">
        <v>192449.6</v>
      </c>
      <c r="H808" s="185">
        <v>221483.1</v>
      </c>
      <c r="I808" s="185">
        <v>211553.94</v>
      </c>
      <c r="J808" s="3" t="s">
        <v>1309</v>
      </c>
      <c r="K808" s="3" t="s">
        <v>99</v>
      </c>
      <c r="L808" s="3">
        <v>26</v>
      </c>
      <c r="M808" s="3">
        <v>26</v>
      </c>
      <c r="N808" s="3">
        <v>26</v>
      </c>
      <c r="O808" s="1"/>
      <c r="Q808" s="72" t="s">
        <v>34</v>
      </c>
    </row>
    <row r="809" spans="1:18" ht="27.75" hidden="1" customHeight="1" x14ac:dyDescent="0.2">
      <c r="B809" s="183" t="s">
        <v>120</v>
      </c>
      <c r="C809" s="183" t="s">
        <v>120</v>
      </c>
      <c r="D809" s="183" t="s">
        <v>120</v>
      </c>
      <c r="E809" s="183"/>
      <c r="F809" s="184" t="s">
        <v>203</v>
      </c>
      <c r="G809" s="185">
        <v>423974.2</v>
      </c>
      <c r="H809" s="185">
        <v>405974.2</v>
      </c>
      <c r="I809" s="185">
        <v>410974.2</v>
      </c>
      <c r="J809" s="3" t="s">
        <v>1309</v>
      </c>
      <c r="K809" s="3" t="s">
        <v>99</v>
      </c>
      <c r="L809" s="3">
        <v>26</v>
      </c>
      <c r="M809" s="3">
        <v>26</v>
      </c>
      <c r="N809" s="3">
        <v>26</v>
      </c>
      <c r="O809" s="1"/>
      <c r="Q809" s="72" t="s">
        <v>34</v>
      </c>
    </row>
    <row r="810" spans="1:18" ht="32.25" hidden="1" customHeight="1" x14ac:dyDescent="0.2">
      <c r="B810" s="93" t="s">
        <v>1307</v>
      </c>
      <c r="C810" s="93" t="s">
        <v>1310</v>
      </c>
      <c r="D810" s="94"/>
      <c r="E810" s="94"/>
      <c r="F810" s="95" t="s">
        <v>1311</v>
      </c>
      <c r="G810" s="96">
        <v>65686</v>
      </c>
      <c r="H810" s="96">
        <v>57372.4</v>
      </c>
      <c r="I810" s="96">
        <v>65686</v>
      </c>
      <c r="J810" s="99" t="s">
        <v>1312</v>
      </c>
      <c r="K810" s="99" t="s">
        <v>662</v>
      </c>
      <c r="L810" s="99">
        <v>63.5</v>
      </c>
      <c r="M810" s="99">
        <v>63.6</v>
      </c>
      <c r="N810" s="99">
        <v>63.7</v>
      </c>
      <c r="O810" s="1"/>
      <c r="Q810" s="71" t="s">
        <v>40</v>
      </c>
    </row>
    <row r="811" spans="1:18" ht="32.25" hidden="1" customHeight="1" x14ac:dyDescent="0.2">
      <c r="B811" s="183" t="s">
        <v>100</v>
      </c>
      <c r="C811" s="183" t="s">
        <v>100</v>
      </c>
      <c r="D811" s="183" t="s">
        <v>100</v>
      </c>
      <c r="E811" s="183"/>
      <c r="F811" s="184" t="s">
        <v>1313</v>
      </c>
      <c r="G811" s="185">
        <v>46576.4</v>
      </c>
      <c r="H811" s="185">
        <v>46576.4</v>
      </c>
      <c r="I811" s="185">
        <v>54673.8</v>
      </c>
      <c r="J811" s="3" t="s">
        <v>1312</v>
      </c>
      <c r="K811" s="3" t="s">
        <v>662</v>
      </c>
      <c r="L811" s="3">
        <v>63.5</v>
      </c>
      <c r="M811" s="3">
        <v>63.6</v>
      </c>
      <c r="N811" s="3">
        <v>63.7</v>
      </c>
      <c r="O811" s="1"/>
      <c r="Q811" s="72" t="s">
        <v>34</v>
      </c>
      <c r="R811" s="75" t="s">
        <v>149</v>
      </c>
    </row>
    <row r="812" spans="1:18" ht="24" hidden="1" customHeight="1" x14ac:dyDescent="0.2">
      <c r="B812" s="183" t="s">
        <v>120</v>
      </c>
      <c r="C812" s="183" t="s">
        <v>120</v>
      </c>
      <c r="D812" s="183" t="s">
        <v>120</v>
      </c>
      <c r="E812" s="183"/>
      <c r="F812" s="184" t="s">
        <v>1314</v>
      </c>
      <c r="G812" s="185">
        <v>19109.599999999999</v>
      </c>
      <c r="H812" s="185">
        <v>10796</v>
      </c>
      <c r="I812" s="185">
        <v>11012.2</v>
      </c>
      <c r="J812" s="3" t="s">
        <v>1315</v>
      </c>
      <c r="K812" s="3" t="s">
        <v>105</v>
      </c>
      <c r="L812" s="3">
        <v>7000</v>
      </c>
      <c r="M812" s="3">
        <v>7200</v>
      </c>
      <c r="N812" s="3">
        <v>7300</v>
      </c>
      <c r="O812" s="1"/>
      <c r="Q812" s="72" t="s">
        <v>34</v>
      </c>
    </row>
    <row r="813" spans="1:18" ht="37.5" hidden="1" customHeight="1" x14ac:dyDescent="0.2">
      <c r="B813" s="93" t="s">
        <v>1307</v>
      </c>
      <c r="C813" s="93" t="s">
        <v>1316</v>
      </c>
      <c r="D813" s="94"/>
      <c r="E813" s="94"/>
      <c r="F813" s="95" t="s">
        <v>1317</v>
      </c>
      <c r="G813" s="96">
        <v>13161.7</v>
      </c>
      <c r="H813" s="96">
        <v>13332.8</v>
      </c>
      <c r="I813" s="96">
        <v>13161.7</v>
      </c>
      <c r="J813" s="99" t="s">
        <v>1318</v>
      </c>
      <c r="K813" s="99" t="s">
        <v>99</v>
      </c>
      <c r="L813" s="99">
        <v>31.2</v>
      </c>
      <c r="M813" s="99">
        <v>31.3</v>
      </c>
      <c r="N813" s="99">
        <v>31.4</v>
      </c>
      <c r="O813" s="1"/>
      <c r="Q813" s="71" t="s">
        <v>40</v>
      </c>
    </row>
    <row r="814" spans="1:18" ht="42" hidden="1" customHeight="1" x14ac:dyDescent="0.2">
      <c r="B814" s="183" t="s">
        <v>100</v>
      </c>
      <c r="C814" s="183" t="s">
        <v>100</v>
      </c>
      <c r="D814" s="183" t="s">
        <v>100</v>
      </c>
      <c r="E814" s="183"/>
      <c r="F814" s="184" t="s">
        <v>1319</v>
      </c>
      <c r="G814" s="185">
        <v>11870</v>
      </c>
      <c r="H814" s="185">
        <v>11870</v>
      </c>
      <c r="I814" s="185">
        <v>11870</v>
      </c>
      <c r="J814" s="3" t="s">
        <v>1318</v>
      </c>
      <c r="K814" s="3" t="s">
        <v>99</v>
      </c>
      <c r="L814" s="3">
        <v>31.2</v>
      </c>
      <c r="M814" s="3">
        <v>31.3</v>
      </c>
      <c r="N814" s="3">
        <v>31.4</v>
      </c>
      <c r="O814" s="1"/>
      <c r="Q814" s="72" t="s">
        <v>34</v>
      </c>
    </row>
    <row r="815" spans="1:18" ht="46.5" hidden="1" customHeight="1" x14ac:dyDescent="0.2">
      <c r="B815" s="183" t="s">
        <v>120</v>
      </c>
      <c r="C815" s="183" t="s">
        <v>120</v>
      </c>
      <c r="D815" s="183" t="s">
        <v>120</v>
      </c>
      <c r="E815" s="183"/>
      <c r="F815" s="184" t="s">
        <v>1320</v>
      </c>
      <c r="G815" s="185">
        <v>1291.7</v>
      </c>
      <c r="H815" s="185">
        <v>1462.8</v>
      </c>
      <c r="I815" s="185">
        <v>1291.7</v>
      </c>
      <c r="J815" s="3" t="s">
        <v>1321</v>
      </c>
      <c r="K815" s="3" t="s">
        <v>99</v>
      </c>
      <c r="L815" s="3">
        <v>79</v>
      </c>
      <c r="M815" s="3">
        <v>80</v>
      </c>
      <c r="N815" s="3">
        <v>81</v>
      </c>
      <c r="O815" s="1"/>
      <c r="Q815" s="72" t="s">
        <v>34</v>
      </c>
    </row>
    <row r="816" spans="1:18" ht="19.5" customHeight="1" x14ac:dyDescent="0.2">
      <c r="B816" s="99">
        <v>74</v>
      </c>
      <c r="C816" s="99" t="s">
        <v>408</v>
      </c>
      <c r="D816" s="117" t="s">
        <v>100</v>
      </c>
      <c r="E816" s="99"/>
      <c r="F816" s="109" t="s">
        <v>409</v>
      </c>
      <c r="G816" s="110">
        <v>160216.20000000001</v>
      </c>
      <c r="H816" s="110">
        <v>103980.9</v>
      </c>
      <c r="I816" s="110">
        <v>0</v>
      </c>
      <c r="J816" s="111" t="s">
        <v>347</v>
      </c>
      <c r="K816" s="111" t="s">
        <v>99</v>
      </c>
      <c r="L816" s="111">
        <v>100</v>
      </c>
      <c r="M816" s="111">
        <v>100</v>
      </c>
      <c r="N816" s="111">
        <v>0</v>
      </c>
      <c r="O816" s="1"/>
      <c r="Q816" s="118" t="s">
        <v>40</v>
      </c>
    </row>
    <row r="817" spans="1:18" ht="15" hidden="1" customHeight="1" x14ac:dyDescent="0.2">
      <c r="B817" s="174" t="s">
        <v>112</v>
      </c>
      <c r="C817" s="175"/>
      <c r="D817" s="176"/>
      <c r="E817" s="176"/>
      <c r="F817" s="177"/>
      <c r="G817" s="178">
        <v>855487.70000000007</v>
      </c>
      <c r="H817" s="178">
        <v>802143.4</v>
      </c>
      <c r="I817" s="178">
        <v>701375.84</v>
      </c>
      <c r="J817" s="179"/>
      <c r="K817" s="176"/>
      <c r="L817" s="176"/>
      <c r="M817" s="176"/>
      <c r="N817" s="177"/>
      <c r="O817" s="1"/>
      <c r="Q817" s="74" t="s">
        <v>46</v>
      </c>
    </row>
    <row r="818" spans="1:18" ht="15" hidden="1" customHeight="1" x14ac:dyDescent="0.2">
      <c r="A818" s="4" t="str">
        <f>C818</f>
        <v>Секретариат Совета безопасности Кыргызской Республики</v>
      </c>
      <c r="B818" s="87" t="s">
        <v>497</v>
      </c>
      <c r="C818" s="88" t="s">
        <v>1322</v>
      </c>
      <c r="D818" s="90"/>
      <c r="E818" s="90"/>
      <c r="F818" s="90"/>
      <c r="G818" s="90"/>
      <c r="H818" s="90"/>
      <c r="I818" s="90"/>
      <c r="J818" s="90"/>
      <c r="K818" s="90"/>
      <c r="L818" s="90"/>
      <c r="M818" s="90"/>
      <c r="N818" s="91"/>
      <c r="O818" s="1"/>
      <c r="Q818" s="70" t="s">
        <v>43</v>
      </c>
    </row>
    <row r="819" spans="1:18" ht="38.25" hidden="1" customHeight="1" x14ac:dyDescent="0.2">
      <c r="B819" s="93" t="s">
        <v>497</v>
      </c>
      <c r="C819" s="93" t="s">
        <v>1323</v>
      </c>
      <c r="D819" s="94"/>
      <c r="E819" s="94"/>
      <c r="F819" s="95" t="s">
        <v>1324</v>
      </c>
      <c r="G819" s="96">
        <v>6488.1</v>
      </c>
      <c r="H819" s="96">
        <v>6617.9</v>
      </c>
      <c r="I819" s="96">
        <v>6750.2</v>
      </c>
      <c r="J819" s="99" t="s">
        <v>1325</v>
      </c>
      <c r="K819" s="99" t="s">
        <v>105</v>
      </c>
      <c r="L819" s="99">
        <v>13</v>
      </c>
      <c r="M819" s="99">
        <v>13</v>
      </c>
      <c r="N819" s="99">
        <v>13</v>
      </c>
      <c r="O819" s="1"/>
      <c r="Q819" s="71" t="s">
        <v>40</v>
      </c>
      <c r="R819" s="75" t="s">
        <v>169</v>
      </c>
    </row>
    <row r="820" spans="1:18" ht="36" hidden="1" customHeight="1" x14ac:dyDescent="0.2">
      <c r="B820" s="183" t="s">
        <v>100</v>
      </c>
      <c r="C820" s="183" t="s">
        <v>100</v>
      </c>
      <c r="D820" s="183" t="s">
        <v>100</v>
      </c>
      <c r="E820" s="183"/>
      <c r="F820" s="184" t="s">
        <v>1326</v>
      </c>
      <c r="G820" s="185">
        <v>6488.1</v>
      </c>
      <c r="H820" s="185">
        <v>6617.9</v>
      </c>
      <c r="I820" s="185">
        <v>6750.2</v>
      </c>
      <c r="J820" s="3" t="s">
        <v>1327</v>
      </c>
      <c r="K820" s="3" t="s">
        <v>105</v>
      </c>
      <c r="L820" s="3">
        <v>2</v>
      </c>
      <c r="M820" s="3">
        <v>2</v>
      </c>
      <c r="N820" s="3">
        <v>2</v>
      </c>
      <c r="O820" s="1"/>
      <c r="Q820" s="72" t="s">
        <v>34</v>
      </c>
      <c r="R820" s="75" t="s">
        <v>169</v>
      </c>
    </row>
    <row r="821" spans="1:18" ht="15" hidden="1" customHeight="1" x14ac:dyDescent="0.2">
      <c r="B821" s="174" t="s">
        <v>112</v>
      </c>
      <c r="C821" s="175"/>
      <c r="D821" s="176"/>
      <c r="E821" s="176"/>
      <c r="F821" s="177"/>
      <c r="G821" s="178">
        <v>6488.1</v>
      </c>
      <c r="H821" s="178">
        <v>6617.9</v>
      </c>
      <c r="I821" s="178">
        <v>6750.2</v>
      </c>
      <c r="J821" s="179"/>
      <c r="K821" s="176"/>
      <c r="L821" s="176"/>
      <c r="M821" s="176"/>
      <c r="N821" s="177"/>
      <c r="O821" s="1"/>
      <c r="Q821" s="74" t="s">
        <v>46</v>
      </c>
    </row>
    <row r="822" spans="1:18" ht="15" hidden="1" customHeight="1" x14ac:dyDescent="0.2">
      <c r="A822" s="4" t="str">
        <f>C822</f>
        <v>Национальная академия наук Кыргызской Республики</v>
      </c>
      <c r="B822" s="87" t="s">
        <v>1328</v>
      </c>
      <c r="C822" s="88" t="s">
        <v>1329</v>
      </c>
      <c r="D822" s="90"/>
      <c r="E822" s="90"/>
      <c r="F822" s="90"/>
      <c r="G822" s="90"/>
      <c r="H822" s="90"/>
      <c r="I822" s="90"/>
      <c r="J822" s="90"/>
      <c r="K822" s="90"/>
      <c r="L822" s="90"/>
      <c r="M822" s="90"/>
      <c r="N822" s="91"/>
      <c r="O822" s="1"/>
      <c r="Q822" s="70" t="s">
        <v>43</v>
      </c>
    </row>
    <row r="823" spans="1:18" hidden="1" x14ac:dyDescent="0.2">
      <c r="B823" s="93" t="s">
        <v>1328</v>
      </c>
      <c r="C823" s="93" t="s">
        <v>96</v>
      </c>
      <c r="D823" s="94"/>
      <c r="E823" s="94"/>
      <c r="F823" s="95" t="s">
        <v>97</v>
      </c>
      <c r="G823" s="96">
        <v>60662.6</v>
      </c>
      <c r="H823" s="96">
        <v>141699.67000000001</v>
      </c>
      <c r="I823" s="96">
        <v>156050.23000000001</v>
      </c>
      <c r="J823" s="98" t="s">
        <v>1279</v>
      </c>
      <c r="K823" s="98" t="s">
        <v>99</v>
      </c>
      <c r="L823" s="98">
        <v>100</v>
      </c>
      <c r="M823" s="98">
        <v>100</v>
      </c>
      <c r="N823" s="98">
        <v>100</v>
      </c>
      <c r="O823" s="1"/>
      <c r="Q823" s="71" t="s">
        <v>40</v>
      </c>
    </row>
    <row r="824" spans="1:18" hidden="1" x14ac:dyDescent="0.2">
      <c r="B824" s="181" t="s">
        <v>100</v>
      </c>
      <c r="C824" s="181" t="s">
        <v>100</v>
      </c>
      <c r="D824" s="181" t="s">
        <v>100</v>
      </c>
      <c r="E824" s="181"/>
      <c r="F824" s="181" t="s">
        <v>101</v>
      </c>
      <c r="G824" s="182">
        <v>60662.6</v>
      </c>
      <c r="H824" s="182">
        <v>141699.67000000001</v>
      </c>
      <c r="I824" s="182">
        <v>156050.23000000001</v>
      </c>
      <c r="J824" s="3" t="s">
        <v>1330</v>
      </c>
      <c r="K824" s="3" t="s">
        <v>155</v>
      </c>
      <c r="L824" s="3">
        <v>26</v>
      </c>
      <c r="M824" s="3">
        <v>27</v>
      </c>
      <c r="N824" s="3">
        <v>30</v>
      </c>
      <c r="O824" s="1"/>
      <c r="Q824" s="72" t="s">
        <v>34</v>
      </c>
    </row>
    <row r="825" spans="1:18" hidden="1" x14ac:dyDescent="0.2">
      <c r="B825" s="76"/>
      <c r="C825" s="76"/>
      <c r="D825" s="76"/>
      <c r="E825" s="76"/>
      <c r="F825" s="76"/>
      <c r="G825" s="76"/>
      <c r="H825" s="76"/>
      <c r="I825" s="76"/>
      <c r="J825" s="3" t="s">
        <v>1331</v>
      </c>
      <c r="K825" s="3" t="s">
        <v>155</v>
      </c>
      <c r="L825" s="3">
        <v>47</v>
      </c>
      <c r="M825" s="3">
        <v>55</v>
      </c>
      <c r="N825" s="3">
        <v>55</v>
      </c>
      <c r="O825" s="1"/>
      <c r="Q825" s="73" t="s">
        <v>37</v>
      </c>
    </row>
    <row r="826" spans="1:18" hidden="1" x14ac:dyDescent="0.2">
      <c r="B826" s="77"/>
      <c r="C826" s="77"/>
      <c r="D826" s="77"/>
      <c r="E826" s="77"/>
      <c r="F826" s="77"/>
      <c r="G826" s="77"/>
      <c r="H826" s="77"/>
      <c r="I826" s="77"/>
      <c r="J826" s="3" t="s">
        <v>1332</v>
      </c>
      <c r="K826" s="3" t="s">
        <v>155</v>
      </c>
      <c r="L826" s="3">
        <v>5</v>
      </c>
      <c r="M826" s="3">
        <v>5</v>
      </c>
      <c r="N826" s="3">
        <v>5</v>
      </c>
      <c r="O826" s="1"/>
      <c r="Q826" s="73" t="s">
        <v>37</v>
      </c>
    </row>
    <row r="827" spans="1:18" ht="31.5" hidden="1" customHeight="1" x14ac:dyDescent="0.2">
      <c r="B827" s="93" t="s">
        <v>1328</v>
      </c>
      <c r="C827" s="93" t="s">
        <v>1333</v>
      </c>
      <c r="D827" s="94"/>
      <c r="E827" s="94"/>
      <c r="F827" s="95" t="s">
        <v>1334</v>
      </c>
      <c r="G827" s="96">
        <v>231608.2</v>
      </c>
      <c r="H827" s="96">
        <v>211964.3</v>
      </c>
      <c r="I827" s="96">
        <v>206974.8</v>
      </c>
      <c r="J827" s="98" t="s">
        <v>1335</v>
      </c>
      <c r="K827" s="98" t="s">
        <v>155</v>
      </c>
      <c r="L827" s="98">
        <v>1</v>
      </c>
      <c r="M827" s="98">
        <v>1</v>
      </c>
      <c r="N827" s="98">
        <v>1</v>
      </c>
      <c r="O827" s="1"/>
      <c r="Q827" s="71" t="s">
        <v>40</v>
      </c>
    </row>
    <row r="828" spans="1:18" ht="41.25" hidden="1" customHeight="1" x14ac:dyDescent="0.2">
      <c r="B828" s="183" t="s">
        <v>100</v>
      </c>
      <c r="C828" s="183" t="s">
        <v>100</v>
      </c>
      <c r="D828" s="183" t="s">
        <v>100</v>
      </c>
      <c r="E828" s="183"/>
      <c r="F828" s="184" t="s">
        <v>1336</v>
      </c>
      <c r="G828" s="185">
        <v>64269.5</v>
      </c>
      <c r="H828" s="185">
        <v>55845.599999999999</v>
      </c>
      <c r="I828" s="185">
        <v>55345.599999999999</v>
      </c>
      <c r="J828" s="3" t="s">
        <v>1337</v>
      </c>
      <c r="K828" s="3" t="s">
        <v>155</v>
      </c>
      <c r="L828" s="3">
        <v>8751</v>
      </c>
      <c r="M828" s="3">
        <v>9026</v>
      </c>
      <c r="N828" s="3">
        <v>9026</v>
      </c>
      <c r="O828" s="1"/>
      <c r="Q828" s="72" t="s">
        <v>34</v>
      </c>
    </row>
    <row r="829" spans="1:18" ht="48.75" hidden="1" customHeight="1" x14ac:dyDescent="0.2">
      <c r="B829" s="183" t="s">
        <v>120</v>
      </c>
      <c r="C829" s="183" t="s">
        <v>120</v>
      </c>
      <c r="D829" s="183" t="s">
        <v>120</v>
      </c>
      <c r="E829" s="183"/>
      <c r="F829" s="184" t="s">
        <v>1338</v>
      </c>
      <c r="G829" s="185">
        <v>44427.199999999997</v>
      </c>
      <c r="H829" s="185">
        <v>31462.2</v>
      </c>
      <c r="I829" s="185">
        <v>28717.7</v>
      </c>
      <c r="J829" s="3" t="s">
        <v>1339</v>
      </c>
      <c r="K829" s="3" t="s">
        <v>155</v>
      </c>
      <c r="L829" s="3">
        <v>20</v>
      </c>
      <c r="M829" s="3">
        <v>20</v>
      </c>
      <c r="N829" s="3">
        <v>20</v>
      </c>
      <c r="O829" s="1"/>
      <c r="Q829" s="72" t="s">
        <v>34</v>
      </c>
    </row>
    <row r="830" spans="1:18" ht="60.75" hidden="1" customHeight="1" x14ac:dyDescent="0.2">
      <c r="B830" s="183" t="s">
        <v>150</v>
      </c>
      <c r="C830" s="183" t="s">
        <v>150</v>
      </c>
      <c r="D830" s="183" t="s">
        <v>150</v>
      </c>
      <c r="E830" s="183"/>
      <c r="F830" s="184" t="s">
        <v>1340</v>
      </c>
      <c r="G830" s="185">
        <v>92119.7</v>
      </c>
      <c r="H830" s="185">
        <v>93119.7</v>
      </c>
      <c r="I830" s="185">
        <v>92219.7</v>
      </c>
      <c r="J830" s="3" t="s">
        <v>1341</v>
      </c>
      <c r="K830" s="3" t="s">
        <v>155</v>
      </c>
      <c r="L830" s="3">
        <v>15</v>
      </c>
      <c r="M830" s="3">
        <v>21</v>
      </c>
      <c r="N830" s="3">
        <v>23</v>
      </c>
      <c r="O830" s="1"/>
      <c r="Q830" s="72" t="s">
        <v>34</v>
      </c>
    </row>
    <row r="831" spans="1:18" ht="60" hidden="1" customHeight="1" x14ac:dyDescent="0.2">
      <c r="B831" s="183" t="s">
        <v>124</v>
      </c>
      <c r="C831" s="183" t="s">
        <v>124</v>
      </c>
      <c r="D831" s="183" t="s">
        <v>124</v>
      </c>
      <c r="E831" s="183"/>
      <c r="F831" s="184" t="s">
        <v>1342</v>
      </c>
      <c r="G831" s="185">
        <v>30791.8</v>
      </c>
      <c r="H831" s="185">
        <v>31536.799999999999</v>
      </c>
      <c r="I831" s="185">
        <v>30691.8</v>
      </c>
      <c r="J831" s="3" t="s">
        <v>1343</v>
      </c>
      <c r="K831" s="3" t="s">
        <v>155</v>
      </c>
      <c r="L831" s="3">
        <v>15</v>
      </c>
      <c r="M831" s="3">
        <v>15</v>
      </c>
      <c r="N831" s="3">
        <v>15</v>
      </c>
      <c r="O831" s="1"/>
      <c r="Q831" s="72" t="s">
        <v>34</v>
      </c>
    </row>
    <row r="832" spans="1:18" ht="32.25" hidden="1" customHeight="1" x14ac:dyDescent="0.2">
      <c r="B832" s="93" t="s">
        <v>1328</v>
      </c>
      <c r="C832" s="93" t="s">
        <v>1344</v>
      </c>
      <c r="D832" s="94"/>
      <c r="E832" s="94"/>
      <c r="F832" s="95" t="s">
        <v>1345</v>
      </c>
      <c r="G832" s="96">
        <v>254484.9</v>
      </c>
      <c r="H832" s="96">
        <v>204791.4</v>
      </c>
      <c r="I832" s="96">
        <v>213199.9</v>
      </c>
      <c r="J832" s="99" t="s">
        <v>1346</v>
      </c>
      <c r="K832" s="99" t="s">
        <v>155</v>
      </c>
      <c r="L832" s="99">
        <v>18</v>
      </c>
      <c r="M832" s="99">
        <v>24</v>
      </c>
      <c r="N832" s="99">
        <v>24</v>
      </c>
      <c r="O832" s="1"/>
      <c r="Q832" s="71" t="s">
        <v>40</v>
      </c>
    </row>
    <row r="833" spans="1:18" ht="79.5" hidden="1" customHeight="1" x14ac:dyDescent="0.2">
      <c r="B833" s="183" t="s">
        <v>100</v>
      </c>
      <c r="C833" s="183" t="s">
        <v>100</v>
      </c>
      <c r="D833" s="183" t="s">
        <v>100</v>
      </c>
      <c r="E833" s="183"/>
      <c r="F833" s="184" t="s">
        <v>1347</v>
      </c>
      <c r="G833" s="185">
        <v>131285.6</v>
      </c>
      <c r="H833" s="185">
        <v>119036</v>
      </c>
      <c r="I833" s="185">
        <v>122037.6</v>
      </c>
      <c r="J833" s="3" t="s">
        <v>1348</v>
      </c>
      <c r="K833" s="3" t="s">
        <v>155</v>
      </c>
      <c r="L833" s="3">
        <v>25</v>
      </c>
      <c r="M833" s="3">
        <v>25</v>
      </c>
      <c r="N833" s="3">
        <v>25</v>
      </c>
      <c r="O833" s="1"/>
      <c r="Q833" s="72" t="s">
        <v>34</v>
      </c>
    </row>
    <row r="834" spans="1:18" ht="55.5" hidden="1" customHeight="1" x14ac:dyDescent="0.2">
      <c r="B834" s="183" t="s">
        <v>120</v>
      </c>
      <c r="C834" s="183" t="s">
        <v>120</v>
      </c>
      <c r="D834" s="183" t="s">
        <v>120</v>
      </c>
      <c r="E834" s="183"/>
      <c r="F834" s="184" t="s">
        <v>1349</v>
      </c>
      <c r="G834" s="185">
        <v>108724.9</v>
      </c>
      <c r="H834" s="185">
        <v>70981</v>
      </c>
      <c r="I834" s="185">
        <v>72975.5</v>
      </c>
      <c r="J834" s="3" t="s">
        <v>1350</v>
      </c>
      <c r="K834" s="3" t="s">
        <v>155</v>
      </c>
      <c r="L834" s="3">
        <v>180</v>
      </c>
      <c r="M834" s="3">
        <v>200</v>
      </c>
      <c r="N834" s="3">
        <v>200</v>
      </c>
      <c r="O834" s="1"/>
      <c r="Q834" s="72" t="s">
        <v>34</v>
      </c>
    </row>
    <row r="835" spans="1:18" ht="57" hidden="1" customHeight="1" x14ac:dyDescent="0.2">
      <c r="B835" s="183" t="s">
        <v>150</v>
      </c>
      <c r="C835" s="183" t="s">
        <v>150</v>
      </c>
      <c r="D835" s="183" t="s">
        <v>150</v>
      </c>
      <c r="E835" s="183"/>
      <c r="F835" s="184" t="s">
        <v>1351</v>
      </c>
      <c r="G835" s="185">
        <v>14474.4</v>
      </c>
      <c r="H835" s="185">
        <v>14774.4</v>
      </c>
      <c r="I835" s="185">
        <v>18186.8</v>
      </c>
      <c r="J835" s="3" t="s">
        <v>1346</v>
      </c>
      <c r="K835" s="3" t="s">
        <v>155</v>
      </c>
      <c r="L835" s="3">
        <v>18</v>
      </c>
      <c r="M835" s="3">
        <v>24</v>
      </c>
      <c r="N835" s="3">
        <v>24</v>
      </c>
      <c r="O835" s="1"/>
      <c r="Q835" s="72" t="s">
        <v>34</v>
      </c>
      <c r="R835" s="75" t="s">
        <v>169</v>
      </c>
    </row>
    <row r="836" spans="1:18" ht="24" hidden="1" customHeight="1" x14ac:dyDescent="0.2">
      <c r="B836" s="93" t="s">
        <v>1328</v>
      </c>
      <c r="C836" s="93" t="s">
        <v>1352</v>
      </c>
      <c r="D836" s="94"/>
      <c r="E836" s="94"/>
      <c r="F836" s="95" t="s">
        <v>1353</v>
      </c>
      <c r="G836" s="96">
        <v>96094.1</v>
      </c>
      <c r="H836" s="96">
        <v>83855.3</v>
      </c>
      <c r="I836" s="96">
        <v>80142.8</v>
      </c>
      <c r="J836" s="99" t="s">
        <v>1354</v>
      </c>
      <c r="K836" s="99" t="s">
        <v>155</v>
      </c>
      <c r="L836" s="99">
        <v>30</v>
      </c>
      <c r="M836" s="99">
        <v>30</v>
      </c>
      <c r="N836" s="99">
        <v>30</v>
      </c>
      <c r="O836" s="1"/>
      <c r="Q836" s="71" t="s">
        <v>40</v>
      </c>
    </row>
    <row r="837" spans="1:18" ht="61.5" hidden="1" customHeight="1" x14ac:dyDescent="0.2">
      <c r="B837" s="183" t="s">
        <v>100</v>
      </c>
      <c r="C837" s="183" t="s">
        <v>100</v>
      </c>
      <c r="D837" s="183" t="s">
        <v>100</v>
      </c>
      <c r="E837" s="183"/>
      <c r="F837" s="184" t="s">
        <v>1355</v>
      </c>
      <c r="G837" s="185">
        <v>17629.400000000001</v>
      </c>
      <c r="H837" s="185">
        <v>11752</v>
      </c>
      <c r="I837" s="185">
        <v>11752</v>
      </c>
      <c r="J837" s="3" t="s">
        <v>1354</v>
      </c>
      <c r="K837" s="3" t="s">
        <v>155</v>
      </c>
      <c r="L837" s="3">
        <v>30</v>
      </c>
      <c r="M837" s="3">
        <v>30</v>
      </c>
      <c r="N837" s="3">
        <v>30</v>
      </c>
      <c r="O837" s="1"/>
      <c r="Q837" s="72" t="s">
        <v>34</v>
      </c>
    </row>
    <row r="838" spans="1:18" ht="48" hidden="1" customHeight="1" x14ac:dyDescent="0.2">
      <c r="B838" s="183" t="s">
        <v>120</v>
      </c>
      <c r="C838" s="183" t="s">
        <v>120</v>
      </c>
      <c r="D838" s="183" t="s">
        <v>120</v>
      </c>
      <c r="E838" s="183"/>
      <c r="F838" s="184" t="s">
        <v>1356</v>
      </c>
      <c r="G838" s="185">
        <v>25185.4</v>
      </c>
      <c r="H838" s="185">
        <v>25185.4</v>
      </c>
      <c r="I838" s="185">
        <v>25185.3</v>
      </c>
      <c r="J838" s="3" t="s">
        <v>1357</v>
      </c>
      <c r="K838" s="3" t="s">
        <v>155</v>
      </c>
      <c r="L838" s="3">
        <v>6</v>
      </c>
      <c r="M838" s="3">
        <v>7</v>
      </c>
      <c r="N838" s="3">
        <v>8</v>
      </c>
      <c r="O838" s="1"/>
      <c r="Q838" s="72" t="s">
        <v>34</v>
      </c>
    </row>
    <row r="839" spans="1:18" ht="36.75" hidden="1" customHeight="1" x14ac:dyDescent="0.2">
      <c r="B839" s="183" t="s">
        <v>150</v>
      </c>
      <c r="C839" s="183" t="s">
        <v>150</v>
      </c>
      <c r="D839" s="183" t="s">
        <v>150</v>
      </c>
      <c r="E839" s="183"/>
      <c r="F839" s="184" t="s">
        <v>1358</v>
      </c>
      <c r="G839" s="185">
        <v>53279.3</v>
      </c>
      <c r="H839" s="185">
        <v>46917.9</v>
      </c>
      <c r="I839" s="185">
        <v>43205.5</v>
      </c>
      <c r="J839" s="3" t="s">
        <v>1359</v>
      </c>
      <c r="K839" s="3" t="s">
        <v>155</v>
      </c>
      <c r="L839" s="3">
        <v>90</v>
      </c>
      <c r="M839" s="3">
        <v>95</v>
      </c>
      <c r="N839" s="3">
        <v>95</v>
      </c>
      <c r="O839" s="1"/>
      <c r="Q839" s="72" t="s">
        <v>34</v>
      </c>
    </row>
    <row r="840" spans="1:18" ht="15" hidden="1" customHeight="1" x14ac:dyDescent="0.2">
      <c r="B840" s="174" t="s">
        <v>112</v>
      </c>
      <c r="C840" s="175"/>
      <c r="D840" s="176"/>
      <c r="E840" s="176"/>
      <c r="F840" s="177"/>
      <c r="G840" s="178">
        <v>642849.79999999993</v>
      </c>
      <c r="H840" s="178">
        <v>642310.67000000004</v>
      </c>
      <c r="I840" s="178">
        <v>656367.73</v>
      </c>
      <c r="J840" s="179"/>
      <c r="K840" s="176"/>
      <c r="L840" s="176"/>
      <c r="M840" s="176"/>
      <c r="N840" s="177"/>
      <c r="O840" s="1"/>
      <c r="Q840" s="74" t="s">
        <v>46</v>
      </c>
    </row>
    <row r="841" spans="1:18" ht="15" hidden="1" customHeight="1" x14ac:dyDescent="0.2">
      <c r="A841" s="4" t="str">
        <f>C841</f>
        <v>Государственное учреждение «Клиническая больница Управления делами Президента Кыргызской Республики»</v>
      </c>
      <c r="B841" s="87" t="s">
        <v>1360</v>
      </c>
      <c r="C841" s="88" t="s">
        <v>1361</v>
      </c>
      <c r="D841" s="90"/>
      <c r="E841" s="90"/>
      <c r="F841" s="90"/>
      <c r="G841" s="90"/>
      <c r="H841" s="90"/>
      <c r="I841" s="90"/>
      <c r="J841" s="90"/>
      <c r="K841" s="90"/>
      <c r="L841" s="90"/>
      <c r="M841" s="90"/>
      <c r="N841" s="91"/>
      <c r="O841" s="1"/>
      <c r="Q841" s="70" t="s">
        <v>43</v>
      </c>
    </row>
    <row r="842" spans="1:18" ht="36" hidden="1" customHeight="1" x14ac:dyDescent="0.2">
      <c r="B842" s="93" t="s">
        <v>1360</v>
      </c>
      <c r="C842" s="93" t="s">
        <v>1362</v>
      </c>
      <c r="D842" s="94"/>
      <c r="E842" s="94"/>
      <c r="F842" s="95" t="s">
        <v>1363</v>
      </c>
      <c r="G842" s="96">
        <v>415289</v>
      </c>
      <c r="H842" s="96">
        <v>427634.8</v>
      </c>
      <c r="I842" s="96">
        <v>436107.5</v>
      </c>
      <c r="J842" s="99" t="s">
        <v>1364</v>
      </c>
      <c r="K842" s="99" t="s">
        <v>159</v>
      </c>
      <c r="L842" s="99">
        <v>7600</v>
      </c>
      <c r="M842" s="99">
        <v>7600</v>
      </c>
      <c r="N842" s="99">
        <v>7700</v>
      </c>
      <c r="O842" s="1"/>
      <c r="Q842" s="71" t="s">
        <v>40</v>
      </c>
    </row>
    <row r="843" spans="1:18" ht="36" hidden="1" customHeight="1" x14ac:dyDescent="0.2">
      <c r="B843" s="183" t="s">
        <v>100</v>
      </c>
      <c r="C843" s="183" t="s">
        <v>100</v>
      </c>
      <c r="D843" s="183" t="s">
        <v>100</v>
      </c>
      <c r="E843" s="183"/>
      <c r="F843" s="184" t="s">
        <v>1365</v>
      </c>
      <c r="G843" s="185">
        <v>415289</v>
      </c>
      <c r="H843" s="185">
        <v>427634.8</v>
      </c>
      <c r="I843" s="185">
        <v>436107.5</v>
      </c>
      <c r="J843" s="3" t="s">
        <v>1364</v>
      </c>
      <c r="K843" s="3" t="s">
        <v>159</v>
      </c>
      <c r="L843" s="3">
        <v>7600</v>
      </c>
      <c r="M843" s="3">
        <v>7600</v>
      </c>
      <c r="N843" s="3">
        <v>7700</v>
      </c>
      <c r="O843" s="1"/>
      <c r="Q843" s="72" t="s">
        <v>34</v>
      </c>
    </row>
    <row r="844" spans="1:18" ht="15" hidden="1" customHeight="1" x14ac:dyDescent="0.2">
      <c r="B844" s="174" t="s">
        <v>112</v>
      </c>
      <c r="C844" s="175"/>
      <c r="D844" s="176"/>
      <c r="E844" s="176"/>
      <c r="F844" s="177"/>
      <c r="G844" s="178">
        <v>415289</v>
      </c>
      <c r="H844" s="178">
        <v>427634.8</v>
      </c>
      <c r="I844" s="178">
        <v>436107.5</v>
      </c>
      <c r="J844" s="179"/>
      <c r="K844" s="176"/>
      <c r="L844" s="176"/>
      <c r="M844" s="176"/>
      <c r="N844" s="177"/>
      <c r="O844" s="1"/>
      <c r="Q844" s="74" t="s">
        <v>46</v>
      </c>
    </row>
    <row r="845" spans="1:18" ht="15" hidden="1" customHeight="1" x14ac:dyDescent="0.2">
      <c r="A845" s="4" t="str">
        <f>C845</f>
        <v>Национальный центр Кыргызской Республики по предупреждению пыток и других жестоких, бесчеловечных или унижающих достоинство видов обращения и наказания</v>
      </c>
      <c r="B845" s="87" t="s">
        <v>1366</v>
      </c>
      <c r="C845" s="88" t="s">
        <v>1367</v>
      </c>
      <c r="D845" s="90"/>
      <c r="E845" s="90"/>
      <c r="F845" s="90"/>
      <c r="G845" s="90"/>
      <c r="H845" s="90"/>
      <c r="I845" s="90"/>
      <c r="J845" s="90"/>
      <c r="K845" s="90"/>
      <c r="L845" s="90"/>
      <c r="M845" s="90"/>
      <c r="N845" s="91"/>
      <c r="O845" s="1"/>
      <c r="Q845" s="70" t="s">
        <v>43</v>
      </c>
    </row>
    <row r="846" spans="1:18" ht="36" hidden="1" customHeight="1" x14ac:dyDescent="0.2">
      <c r="B846" s="93" t="s">
        <v>1366</v>
      </c>
      <c r="C846" s="93" t="s">
        <v>96</v>
      </c>
      <c r="D846" s="94"/>
      <c r="E846" s="94"/>
      <c r="F846" s="95" t="s">
        <v>97</v>
      </c>
      <c r="G846" s="96">
        <v>32091.4</v>
      </c>
      <c r="H846" s="96">
        <v>32733.200000000001</v>
      </c>
      <c r="I846" s="96">
        <v>33387.9</v>
      </c>
      <c r="J846" s="97" t="s">
        <v>249</v>
      </c>
      <c r="K846" s="97" t="s">
        <v>99</v>
      </c>
      <c r="L846" s="97">
        <v>100</v>
      </c>
      <c r="M846" s="97">
        <v>100</v>
      </c>
      <c r="N846" s="97">
        <v>100</v>
      </c>
      <c r="O846" s="1"/>
      <c r="Q846" s="71" t="s">
        <v>40</v>
      </c>
    </row>
    <row r="847" spans="1:18" ht="24" hidden="1" customHeight="1" x14ac:dyDescent="0.2">
      <c r="B847" s="183" t="s">
        <v>100</v>
      </c>
      <c r="C847" s="183" t="s">
        <v>100</v>
      </c>
      <c r="D847" s="183" t="s">
        <v>100</v>
      </c>
      <c r="E847" s="183"/>
      <c r="F847" s="184" t="s">
        <v>101</v>
      </c>
      <c r="G847" s="185">
        <v>15201.9</v>
      </c>
      <c r="H847" s="185">
        <v>15301.9</v>
      </c>
      <c r="I847" s="185">
        <v>15501.9</v>
      </c>
      <c r="J847" s="3" t="s">
        <v>304</v>
      </c>
      <c r="K847" s="3" t="s">
        <v>99</v>
      </c>
      <c r="L847" s="3">
        <v>100</v>
      </c>
      <c r="M847" s="3">
        <v>100</v>
      </c>
      <c r="N847" s="3">
        <v>100</v>
      </c>
      <c r="O847" s="1"/>
      <c r="Q847" s="72" t="s">
        <v>34</v>
      </c>
    </row>
    <row r="848" spans="1:18" ht="24" hidden="1" customHeight="1" x14ac:dyDescent="0.2">
      <c r="B848" s="183" t="s">
        <v>120</v>
      </c>
      <c r="C848" s="183" t="s">
        <v>120</v>
      </c>
      <c r="D848" s="183" t="s">
        <v>120</v>
      </c>
      <c r="E848" s="183"/>
      <c r="F848" s="184" t="s">
        <v>203</v>
      </c>
      <c r="G848" s="185">
        <v>16889.5</v>
      </c>
      <c r="H848" s="185">
        <v>17431.3</v>
      </c>
      <c r="I848" s="185">
        <v>17886</v>
      </c>
      <c r="J848" s="3" t="s">
        <v>201</v>
      </c>
      <c r="K848" s="3" t="s">
        <v>99</v>
      </c>
      <c r="L848" s="3">
        <v>100</v>
      </c>
      <c r="M848" s="3">
        <v>100</v>
      </c>
      <c r="N848" s="3">
        <v>100</v>
      </c>
      <c r="O848" s="1"/>
      <c r="Q848" s="72" t="s">
        <v>34</v>
      </c>
    </row>
    <row r="849" spans="1:18" ht="15" hidden="1" customHeight="1" x14ac:dyDescent="0.2">
      <c r="B849" s="174" t="s">
        <v>112</v>
      </c>
      <c r="C849" s="175"/>
      <c r="D849" s="176"/>
      <c r="E849" s="176"/>
      <c r="F849" s="177"/>
      <c r="G849" s="178">
        <v>32091.4</v>
      </c>
      <c r="H849" s="178">
        <v>32733.200000000001</v>
      </c>
      <c r="I849" s="178">
        <v>33387.9</v>
      </c>
      <c r="J849" s="179"/>
      <c r="K849" s="176"/>
      <c r="L849" s="176"/>
      <c r="M849" s="176"/>
      <c r="N849" s="177"/>
      <c r="O849" s="1"/>
      <c r="Q849" s="74" t="s">
        <v>46</v>
      </c>
    </row>
    <row r="850" spans="1:18" ht="15" hidden="1" customHeight="1" x14ac:dyDescent="0.2">
      <c r="A850" s="4" t="str">
        <f>C850</f>
        <v xml:space="preserve">Секретариат Народного Курултая </v>
      </c>
      <c r="B850" s="87" t="s">
        <v>1368</v>
      </c>
      <c r="C850" s="88" t="s">
        <v>1369</v>
      </c>
      <c r="D850" s="90"/>
      <c r="E850" s="90"/>
      <c r="F850" s="90"/>
      <c r="G850" s="90"/>
      <c r="H850" s="90"/>
      <c r="I850" s="90"/>
      <c r="J850" s="90"/>
      <c r="K850" s="90"/>
      <c r="L850" s="90"/>
      <c r="M850" s="90"/>
      <c r="N850" s="91"/>
      <c r="O850" s="1"/>
      <c r="Q850" s="70" t="s">
        <v>43</v>
      </c>
    </row>
    <row r="851" spans="1:18" hidden="1" x14ac:dyDescent="0.2">
      <c r="B851" s="93" t="s">
        <v>1368</v>
      </c>
      <c r="C851" s="93" t="s">
        <v>1370</v>
      </c>
      <c r="D851" s="94"/>
      <c r="E851" s="94"/>
      <c r="F851" s="95" t="s">
        <v>1371</v>
      </c>
      <c r="G851" s="96">
        <v>33904.199999999997</v>
      </c>
      <c r="H851" s="96">
        <v>34582.300000000003</v>
      </c>
      <c r="I851" s="96">
        <v>35273.9</v>
      </c>
      <c r="J851" s="98" t="s">
        <v>1279</v>
      </c>
      <c r="K851" s="98" t="s">
        <v>99</v>
      </c>
      <c r="L851" s="98">
        <v>100</v>
      </c>
      <c r="M851" s="98">
        <v>100</v>
      </c>
      <c r="N851" s="98">
        <v>100</v>
      </c>
      <c r="O851" s="1"/>
      <c r="Q851" s="71" t="s">
        <v>40</v>
      </c>
      <c r="R851" s="75" t="s">
        <v>123</v>
      </c>
    </row>
    <row r="852" spans="1:18" ht="24" hidden="1" customHeight="1" x14ac:dyDescent="0.2">
      <c r="B852" s="183" t="s">
        <v>100</v>
      </c>
      <c r="C852" s="183" t="s">
        <v>100</v>
      </c>
      <c r="D852" s="183" t="s">
        <v>100</v>
      </c>
      <c r="E852" s="183"/>
      <c r="F852" s="184" t="s">
        <v>1372</v>
      </c>
      <c r="G852" s="185">
        <v>33904.199999999997</v>
      </c>
      <c r="H852" s="185">
        <v>34582.300000000003</v>
      </c>
      <c r="I852" s="185">
        <v>35273.9</v>
      </c>
      <c r="J852" s="3" t="s">
        <v>1373</v>
      </c>
      <c r="K852" s="3" t="s">
        <v>99</v>
      </c>
      <c r="L852" s="3">
        <v>100</v>
      </c>
      <c r="M852" s="3">
        <v>100</v>
      </c>
      <c r="N852" s="3">
        <v>100</v>
      </c>
      <c r="O852" s="1"/>
      <c r="Q852" s="72" t="s">
        <v>34</v>
      </c>
      <c r="R852" s="75" t="s">
        <v>123</v>
      </c>
    </row>
    <row r="853" spans="1:18" ht="15" hidden="1" customHeight="1" x14ac:dyDescent="0.2">
      <c r="B853" s="174" t="s">
        <v>112</v>
      </c>
      <c r="C853" s="175"/>
      <c r="D853" s="176"/>
      <c r="E853" s="176"/>
      <c r="F853" s="177"/>
      <c r="G853" s="178">
        <v>33904.199999999997</v>
      </c>
      <c r="H853" s="178">
        <v>34582.300000000003</v>
      </c>
      <c r="I853" s="178">
        <v>35273.9</v>
      </c>
      <c r="J853" s="179"/>
      <c r="K853" s="176"/>
      <c r="L853" s="176"/>
      <c r="M853" s="176"/>
      <c r="N853" s="177"/>
      <c r="O853" s="1"/>
      <c r="Q853" s="74" t="s">
        <v>46</v>
      </c>
    </row>
    <row r="854" spans="1:18" ht="15" hidden="1" customHeight="1" x14ac:dyDescent="0.2">
      <c r="A854" s="4" t="str">
        <f>C854</f>
        <v>Редакции журналов и газет</v>
      </c>
      <c r="B854" s="87" t="s">
        <v>1374</v>
      </c>
      <c r="C854" s="88" t="s">
        <v>1375</v>
      </c>
      <c r="D854" s="90"/>
      <c r="E854" s="90"/>
      <c r="F854" s="90"/>
      <c r="G854" s="90"/>
      <c r="H854" s="90"/>
      <c r="I854" s="90"/>
      <c r="J854" s="90"/>
      <c r="K854" s="90"/>
      <c r="L854" s="90"/>
      <c r="M854" s="90"/>
      <c r="N854" s="91"/>
      <c r="O854" s="1"/>
      <c r="Q854" s="70" t="s">
        <v>43</v>
      </c>
    </row>
    <row r="855" spans="1:18" hidden="1" x14ac:dyDescent="0.2">
      <c r="B855" s="93" t="s">
        <v>1374</v>
      </c>
      <c r="C855" s="93" t="s">
        <v>1376</v>
      </c>
      <c r="D855" s="94"/>
      <c r="E855" s="94"/>
      <c r="F855" s="95" t="s">
        <v>1377</v>
      </c>
      <c r="G855" s="96">
        <v>6630.4</v>
      </c>
      <c r="H855" s="96">
        <v>6763</v>
      </c>
      <c r="I855" s="96">
        <v>6898.27</v>
      </c>
      <c r="J855" s="97" t="s">
        <v>1279</v>
      </c>
      <c r="K855" s="97" t="s">
        <v>99</v>
      </c>
      <c r="L855" s="97">
        <v>100</v>
      </c>
      <c r="M855" s="97">
        <v>100</v>
      </c>
      <c r="N855" s="97">
        <v>100</v>
      </c>
      <c r="O855" s="1"/>
      <c r="Q855" s="71" t="s">
        <v>40</v>
      </c>
      <c r="R855" s="75" t="s">
        <v>123</v>
      </c>
    </row>
    <row r="856" spans="1:18" ht="36" hidden="1" customHeight="1" x14ac:dyDescent="0.2">
      <c r="B856" s="183" t="s">
        <v>100</v>
      </c>
      <c r="C856" s="183" t="s">
        <v>100</v>
      </c>
      <c r="D856" s="183" t="s">
        <v>100</v>
      </c>
      <c r="E856" s="183"/>
      <c r="F856" s="184" t="s">
        <v>1378</v>
      </c>
      <c r="G856" s="185">
        <v>6630.4</v>
      </c>
      <c r="H856" s="185">
        <v>6763</v>
      </c>
      <c r="I856" s="185">
        <v>6898.27</v>
      </c>
      <c r="J856" s="3" t="s">
        <v>1379</v>
      </c>
      <c r="K856" s="3" t="s">
        <v>99</v>
      </c>
      <c r="L856" s="3">
        <v>100</v>
      </c>
      <c r="M856" s="3">
        <v>100</v>
      </c>
      <c r="N856" s="3">
        <v>100</v>
      </c>
      <c r="O856" s="1"/>
      <c r="Q856" s="72" t="s">
        <v>34</v>
      </c>
      <c r="R856" s="75" t="s">
        <v>123</v>
      </c>
    </row>
    <row r="857" spans="1:18" ht="15" hidden="1" customHeight="1" x14ac:dyDescent="0.2">
      <c r="B857" s="174" t="s">
        <v>112</v>
      </c>
      <c r="C857" s="175"/>
      <c r="D857" s="176"/>
      <c r="E857" s="176"/>
      <c r="F857" s="177"/>
      <c r="G857" s="178">
        <v>6630.4</v>
      </c>
      <c r="H857" s="178">
        <v>6763</v>
      </c>
      <c r="I857" s="178">
        <v>6898.27</v>
      </c>
      <c r="J857" s="179"/>
      <c r="K857" s="176"/>
      <c r="L857" s="176"/>
      <c r="M857" s="176"/>
      <c r="N857" s="177"/>
      <c r="O857" s="1"/>
      <c r="Q857" s="74" t="s">
        <v>46</v>
      </c>
    </row>
    <row r="858" spans="1:18" ht="15" hidden="1" customHeight="1" x14ac:dyDescent="0.2">
      <c r="A858" s="4" t="str">
        <f>C858</f>
        <v>Телерадиовещательные компании Кыргызской Республики</v>
      </c>
      <c r="B858" s="87" t="s">
        <v>1380</v>
      </c>
      <c r="C858" s="88" t="s">
        <v>1381</v>
      </c>
      <c r="D858" s="90"/>
      <c r="E858" s="90"/>
      <c r="F858" s="90"/>
      <c r="G858" s="90"/>
      <c r="H858" s="90"/>
      <c r="I858" s="90"/>
      <c r="J858" s="90"/>
      <c r="K858" s="90"/>
      <c r="L858" s="90"/>
      <c r="M858" s="90"/>
      <c r="N858" s="91"/>
      <c r="O858" s="1"/>
      <c r="Q858" s="70" t="s">
        <v>43</v>
      </c>
    </row>
    <row r="859" spans="1:18" hidden="1" x14ac:dyDescent="0.2">
      <c r="B859" s="93" t="s">
        <v>1380</v>
      </c>
      <c r="C859" s="93" t="s">
        <v>96</v>
      </c>
      <c r="D859" s="94"/>
      <c r="E859" s="94"/>
      <c r="F859" s="95" t="s">
        <v>97</v>
      </c>
      <c r="G859" s="96">
        <v>208952.6</v>
      </c>
      <c r="H859" s="96">
        <v>212277.1</v>
      </c>
      <c r="I859" s="96">
        <v>215764.3</v>
      </c>
      <c r="J859" s="99" t="s">
        <v>304</v>
      </c>
      <c r="K859" s="99" t="s">
        <v>99</v>
      </c>
      <c r="L859" s="99">
        <v>95</v>
      </c>
      <c r="M859" s="99">
        <v>95</v>
      </c>
      <c r="N859" s="99">
        <v>95</v>
      </c>
      <c r="O859" s="1"/>
      <c r="Q859" s="71" t="s">
        <v>40</v>
      </c>
    </row>
    <row r="860" spans="1:18" ht="24" hidden="1" customHeight="1" x14ac:dyDescent="0.2">
      <c r="B860" s="183" t="s">
        <v>100</v>
      </c>
      <c r="C860" s="183" t="s">
        <v>100</v>
      </c>
      <c r="D860" s="183" t="s">
        <v>100</v>
      </c>
      <c r="E860" s="183"/>
      <c r="F860" s="184" t="s">
        <v>101</v>
      </c>
      <c r="G860" s="185">
        <v>208952.6</v>
      </c>
      <c r="H860" s="185">
        <v>212277.1</v>
      </c>
      <c r="I860" s="185">
        <v>215764.3</v>
      </c>
      <c r="J860" s="3" t="s">
        <v>304</v>
      </c>
      <c r="K860" s="3" t="s">
        <v>99</v>
      </c>
      <c r="L860" s="3">
        <v>95</v>
      </c>
      <c r="M860" s="3">
        <v>95</v>
      </c>
      <c r="N860" s="3">
        <v>95</v>
      </c>
      <c r="O860" s="1"/>
      <c r="Q860" s="72" t="s">
        <v>34</v>
      </c>
    </row>
    <row r="861" spans="1:18" hidden="1" x14ac:dyDescent="0.2">
      <c r="B861" s="93" t="s">
        <v>1380</v>
      </c>
      <c r="C861" s="93" t="s">
        <v>1382</v>
      </c>
      <c r="D861" s="94"/>
      <c r="E861" s="94"/>
      <c r="F861" s="95" t="s">
        <v>1383</v>
      </c>
      <c r="G861" s="96">
        <v>1244130.3999999999</v>
      </c>
      <c r="H861" s="96">
        <v>798566.5</v>
      </c>
      <c r="I861" s="96">
        <v>813240.5</v>
      </c>
      <c r="J861" s="99" t="s">
        <v>1384</v>
      </c>
      <c r="K861" s="99" t="s">
        <v>1385</v>
      </c>
      <c r="L861" s="99">
        <v>114610</v>
      </c>
      <c r="M861" s="99">
        <v>114610</v>
      </c>
      <c r="N861" s="99">
        <v>114924</v>
      </c>
      <c r="O861" s="1"/>
      <c r="Q861" s="71" t="s">
        <v>40</v>
      </c>
    </row>
    <row r="862" spans="1:18" hidden="1" x14ac:dyDescent="0.2">
      <c r="B862" s="183" t="s">
        <v>100</v>
      </c>
      <c r="C862" s="183" t="s">
        <v>100</v>
      </c>
      <c r="D862" s="183" t="s">
        <v>100</v>
      </c>
      <c r="E862" s="183"/>
      <c r="F862" s="184" t="s">
        <v>1386</v>
      </c>
      <c r="G862" s="185">
        <v>1150434.6000000001</v>
      </c>
      <c r="H862" s="185">
        <v>704870.7</v>
      </c>
      <c r="I862" s="185">
        <v>719544.7</v>
      </c>
      <c r="J862" s="3" t="s">
        <v>1384</v>
      </c>
      <c r="K862" s="3" t="s">
        <v>1385</v>
      </c>
      <c r="L862" s="3">
        <v>114610</v>
      </c>
      <c r="M862" s="3">
        <v>114610</v>
      </c>
      <c r="N862" s="3">
        <v>114924</v>
      </c>
      <c r="O862" s="1"/>
      <c r="Q862" s="72" t="s">
        <v>34</v>
      </c>
    </row>
    <row r="863" spans="1:18" hidden="1" x14ac:dyDescent="0.2">
      <c r="B863" s="183" t="s">
        <v>120</v>
      </c>
      <c r="C863" s="183" t="s">
        <v>120</v>
      </c>
      <c r="D863" s="183" t="s">
        <v>120</v>
      </c>
      <c r="E863" s="183"/>
      <c r="F863" s="184" t="s">
        <v>1387</v>
      </c>
      <c r="G863" s="185">
        <v>93695.8</v>
      </c>
      <c r="H863" s="185">
        <v>93695.8</v>
      </c>
      <c r="I863" s="185">
        <v>93695.8</v>
      </c>
      <c r="J863" s="3" t="s">
        <v>1388</v>
      </c>
      <c r="K863" s="3" t="s">
        <v>99</v>
      </c>
      <c r="L863" s="3">
        <v>100</v>
      </c>
      <c r="M863" s="3">
        <v>100</v>
      </c>
      <c r="N863" s="3">
        <v>100</v>
      </c>
      <c r="O863" s="1"/>
      <c r="Q863" s="72" t="s">
        <v>34</v>
      </c>
    </row>
    <row r="864" spans="1:18" ht="24" hidden="1" customHeight="1" x14ac:dyDescent="0.2">
      <c r="B864" s="93" t="s">
        <v>1380</v>
      </c>
      <c r="C864" s="93" t="s">
        <v>1389</v>
      </c>
      <c r="D864" s="94"/>
      <c r="E864" s="94"/>
      <c r="F864" s="95" t="s">
        <v>1390</v>
      </c>
      <c r="G864" s="96">
        <v>140250.4</v>
      </c>
      <c r="H864" s="96">
        <v>53760.3</v>
      </c>
      <c r="I864" s="96">
        <v>55055</v>
      </c>
      <c r="J864" s="97" t="s">
        <v>1391</v>
      </c>
      <c r="K864" s="97" t="s">
        <v>99</v>
      </c>
      <c r="L864" s="97">
        <v>100</v>
      </c>
      <c r="M864" s="97">
        <v>100</v>
      </c>
      <c r="N864" s="97">
        <v>100</v>
      </c>
      <c r="O864" s="1"/>
      <c r="Q864" s="71" t="s">
        <v>40</v>
      </c>
      <c r="R864" s="75" t="s">
        <v>149</v>
      </c>
    </row>
    <row r="865" spans="1:17" hidden="1" x14ac:dyDescent="0.2">
      <c r="B865" s="183" t="s">
        <v>100</v>
      </c>
      <c r="C865" s="183" t="s">
        <v>100</v>
      </c>
      <c r="D865" s="183" t="s">
        <v>100</v>
      </c>
      <c r="E865" s="183"/>
      <c r="F865" s="184" t="s">
        <v>1392</v>
      </c>
      <c r="G865" s="185">
        <v>36532.800000000003</v>
      </c>
      <c r="H865" s="185">
        <v>36574.699999999997</v>
      </c>
      <c r="I865" s="185">
        <v>37467.300000000003</v>
      </c>
      <c r="J865" s="3" t="s">
        <v>1393</v>
      </c>
      <c r="K865" s="3" t="s">
        <v>99</v>
      </c>
      <c r="L865" s="3">
        <v>90</v>
      </c>
      <c r="M865" s="3">
        <v>90</v>
      </c>
      <c r="N865" s="3">
        <v>90</v>
      </c>
      <c r="O865" s="1"/>
      <c r="Q865" s="72" t="s">
        <v>34</v>
      </c>
    </row>
    <row r="866" spans="1:17" ht="28.5" hidden="1" customHeight="1" x14ac:dyDescent="0.2">
      <c r="B866" s="183" t="s">
        <v>120</v>
      </c>
      <c r="C866" s="183" t="s">
        <v>120</v>
      </c>
      <c r="D866" s="183" t="s">
        <v>120</v>
      </c>
      <c r="E866" s="183"/>
      <c r="F866" s="184" t="s">
        <v>1394</v>
      </c>
      <c r="G866" s="185">
        <v>103717.6</v>
      </c>
      <c r="H866" s="185">
        <v>17185.599999999999</v>
      </c>
      <c r="I866" s="185">
        <v>17587.7</v>
      </c>
      <c r="J866" s="3" t="s">
        <v>1395</v>
      </c>
      <c r="K866" s="3" t="s">
        <v>99</v>
      </c>
      <c r="L866" s="3">
        <v>95</v>
      </c>
      <c r="M866" s="3">
        <v>95</v>
      </c>
      <c r="N866" s="3">
        <v>95</v>
      </c>
      <c r="O866" s="1"/>
      <c r="Q866" s="72" t="s">
        <v>34</v>
      </c>
    </row>
    <row r="867" spans="1:17" ht="30" hidden="1" customHeight="1" x14ac:dyDescent="0.2">
      <c r="B867" s="93" t="s">
        <v>1380</v>
      </c>
      <c r="C867" s="93" t="s">
        <v>1396</v>
      </c>
      <c r="D867" s="94"/>
      <c r="E867" s="94"/>
      <c r="F867" s="95" t="s">
        <v>1397</v>
      </c>
      <c r="G867" s="96">
        <v>77139.69</v>
      </c>
      <c r="H867" s="96">
        <v>68343.199999999997</v>
      </c>
      <c r="I867" s="96">
        <v>69710</v>
      </c>
      <c r="J867" s="99" t="s">
        <v>1391</v>
      </c>
      <c r="K867" s="99" t="s">
        <v>99</v>
      </c>
      <c r="L867" s="99">
        <v>98</v>
      </c>
      <c r="M867" s="99">
        <v>100</v>
      </c>
      <c r="N867" s="99">
        <v>100</v>
      </c>
      <c r="O867" s="1"/>
      <c r="Q867" s="71" t="s">
        <v>40</v>
      </c>
    </row>
    <row r="868" spans="1:17" ht="30" hidden="1" customHeight="1" x14ac:dyDescent="0.2">
      <c r="B868" s="183" t="s">
        <v>100</v>
      </c>
      <c r="C868" s="183" t="s">
        <v>100</v>
      </c>
      <c r="D868" s="183" t="s">
        <v>100</v>
      </c>
      <c r="E868" s="183"/>
      <c r="F868" s="184" t="s">
        <v>1398</v>
      </c>
      <c r="G868" s="185">
        <v>77139.69</v>
      </c>
      <c r="H868" s="185">
        <v>68343.199999999997</v>
      </c>
      <c r="I868" s="185">
        <v>69710</v>
      </c>
      <c r="J868" s="3" t="s">
        <v>1399</v>
      </c>
      <c r="K868" s="3" t="s">
        <v>99</v>
      </c>
      <c r="L868" s="3">
        <v>98</v>
      </c>
      <c r="M868" s="3">
        <v>100</v>
      </c>
      <c r="N868" s="3">
        <v>100</v>
      </c>
      <c r="O868" s="1"/>
      <c r="Q868" s="72" t="s">
        <v>34</v>
      </c>
    </row>
    <row r="869" spans="1:17" ht="15" hidden="1" customHeight="1" x14ac:dyDescent="0.2">
      <c r="B869" s="174" t="s">
        <v>112</v>
      </c>
      <c r="C869" s="175"/>
      <c r="D869" s="176"/>
      <c r="E869" s="176"/>
      <c r="F869" s="177"/>
      <c r="G869" s="178">
        <v>1670473.09</v>
      </c>
      <c r="H869" s="178">
        <v>1132947.1000000001</v>
      </c>
      <c r="I869" s="178">
        <v>1153769.8</v>
      </c>
      <c r="J869" s="179"/>
      <c r="K869" s="176"/>
      <c r="L869" s="176"/>
      <c r="M869" s="176"/>
      <c r="N869" s="177"/>
      <c r="O869" s="1"/>
      <c r="Q869" s="74" t="s">
        <v>46</v>
      </c>
    </row>
    <row r="870" spans="1:17" ht="15" hidden="1" customHeight="1" x14ac:dyDescent="0.2">
      <c r="A870" s="4" t="str">
        <f>C870</f>
        <v>Государственное учреждение «Дирекция по управлению средствами специального счета Токтогульского района и села Жазы-Кечуу города Кара-Куль Джалал-Абадской области»</v>
      </c>
      <c r="B870" s="87" t="s">
        <v>1400</v>
      </c>
      <c r="C870" s="88" t="s">
        <v>1401</v>
      </c>
      <c r="D870" s="90"/>
      <c r="E870" s="90"/>
      <c r="F870" s="90"/>
      <c r="G870" s="90"/>
      <c r="H870" s="90"/>
      <c r="I870" s="90"/>
      <c r="J870" s="90"/>
      <c r="K870" s="90"/>
      <c r="L870" s="90"/>
      <c r="M870" s="90"/>
      <c r="N870" s="91"/>
      <c r="O870" s="1"/>
      <c r="Q870" s="70" t="s">
        <v>43</v>
      </c>
    </row>
    <row r="871" spans="1:17" ht="31.5" hidden="1" customHeight="1" x14ac:dyDescent="0.2">
      <c r="B871" s="93" t="s">
        <v>1400</v>
      </c>
      <c r="C871" s="93" t="s">
        <v>96</v>
      </c>
      <c r="D871" s="94"/>
      <c r="E871" s="94"/>
      <c r="F871" s="95" t="s">
        <v>97</v>
      </c>
      <c r="G871" s="96">
        <v>70000</v>
      </c>
      <c r="H871" s="96">
        <v>70000</v>
      </c>
      <c r="I871" s="96">
        <v>70000</v>
      </c>
      <c r="J871" s="97" t="s">
        <v>1402</v>
      </c>
      <c r="K871" s="97" t="s">
        <v>99</v>
      </c>
      <c r="L871" s="97">
        <v>100</v>
      </c>
      <c r="M871" s="97">
        <v>100</v>
      </c>
      <c r="N871" s="97">
        <v>100</v>
      </c>
      <c r="O871" s="1"/>
      <c r="Q871" s="71" t="s">
        <v>40</v>
      </c>
    </row>
    <row r="872" spans="1:17" ht="29.25" hidden="1" customHeight="1" x14ac:dyDescent="0.2">
      <c r="B872" s="183" t="s">
        <v>100</v>
      </c>
      <c r="C872" s="183" t="s">
        <v>100</v>
      </c>
      <c r="D872" s="183" t="s">
        <v>100</v>
      </c>
      <c r="E872" s="183"/>
      <c r="F872" s="184" t="s">
        <v>101</v>
      </c>
      <c r="G872" s="185">
        <v>70000</v>
      </c>
      <c r="H872" s="185">
        <v>70000</v>
      </c>
      <c r="I872" s="185">
        <v>70000</v>
      </c>
      <c r="J872" s="17" t="s">
        <v>1403</v>
      </c>
      <c r="K872" s="17" t="s">
        <v>99</v>
      </c>
      <c r="L872" s="17">
        <v>100</v>
      </c>
      <c r="M872" s="17">
        <v>100</v>
      </c>
      <c r="N872" s="17">
        <v>100</v>
      </c>
      <c r="O872" s="1"/>
      <c r="Q872" s="72" t="s">
        <v>34</v>
      </c>
    </row>
    <row r="873" spans="1:17" ht="15" hidden="1" customHeight="1" x14ac:dyDescent="0.2">
      <c r="B873" s="174" t="s">
        <v>112</v>
      </c>
      <c r="C873" s="175"/>
      <c r="D873" s="176"/>
      <c r="E873" s="176"/>
      <c r="F873" s="177"/>
      <c r="G873" s="178">
        <v>70000</v>
      </c>
      <c r="H873" s="178">
        <v>70000</v>
      </c>
      <c r="I873" s="178">
        <v>70000</v>
      </c>
      <c r="J873" s="179"/>
      <c r="K873" s="176"/>
      <c r="L873" s="176"/>
      <c r="M873" s="176"/>
      <c r="N873" s="177"/>
      <c r="O873" s="1"/>
      <c r="Q873" s="74" t="s">
        <v>46</v>
      </c>
    </row>
    <row r="874" spans="1:17" ht="15" hidden="1" customHeight="1" x14ac:dyDescent="0.2">
      <c r="A874" s="4" t="str">
        <f>C874</f>
        <v>Центр перевода Кабинета Министров Кыргызской Республики</v>
      </c>
      <c r="B874" s="87" t="s">
        <v>1404</v>
      </c>
      <c r="C874" s="88" t="s">
        <v>1405</v>
      </c>
      <c r="D874" s="90"/>
      <c r="E874" s="90"/>
      <c r="F874" s="90"/>
      <c r="G874" s="90"/>
      <c r="H874" s="90"/>
      <c r="I874" s="90"/>
      <c r="J874" s="90"/>
      <c r="K874" s="90"/>
      <c r="L874" s="90"/>
      <c r="M874" s="90"/>
      <c r="N874" s="91"/>
      <c r="O874" s="1"/>
      <c r="Q874" s="70" t="s">
        <v>43</v>
      </c>
    </row>
    <row r="875" spans="1:17" ht="21.75" hidden="1" customHeight="1" x14ac:dyDescent="0.2">
      <c r="B875" s="93" t="s">
        <v>1404</v>
      </c>
      <c r="C875" s="93" t="s">
        <v>96</v>
      </c>
      <c r="D875" s="94"/>
      <c r="E875" s="94"/>
      <c r="F875" s="95" t="s">
        <v>97</v>
      </c>
      <c r="G875" s="96">
        <v>39019.300000000003</v>
      </c>
      <c r="H875" s="96">
        <v>39019.300000000003</v>
      </c>
      <c r="I875" s="96">
        <v>39502.699999999997</v>
      </c>
      <c r="J875" s="98" t="s">
        <v>347</v>
      </c>
      <c r="K875" s="98" t="s">
        <v>99</v>
      </c>
      <c r="L875" s="98">
        <v>100</v>
      </c>
      <c r="M875" s="98">
        <v>100</v>
      </c>
      <c r="N875" s="98">
        <v>100</v>
      </c>
      <c r="O875" s="1"/>
      <c r="Q875" s="71" t="s">
        <v>40</v>
      </c>
    </row>
    <row r="876" spans="1:17" ht="30" hidden="1" customHeight="1" x14ac:dyDescent="0.2">
      <c r="B876" s="183" t="s">
        <v>100</v>
      </c>
      <c r="C876" s="183" t="s">
        <v>100</v>
      </c>
      <c r="D876" s="183" t="s">
        <v>100</v>
      </c>
      <c r="E876" s="183"/>
      <c r="F876" s="184" t="s">
        <v>101</v>
      </c>
      <c r="G876" s="185">
        <v>39019.300000000003</v>
      </c>
      <c r="H876" s="185">
        <v>39019.300000000003</v>
      </c>
      <c r="I876" s="185">
        <v>39502.699999999997</v>
      </c>
      <c r="J876" s="3" t="s">
        <v>1406</v>
      </c>
      <c r="K876" s="3" t="s">
        <v>105</v>
      </c>
      <c r="L876" s="3">
        <v>11000</v>
      </c>
      <c r="M876" s="3">
        <v>11000</v>
      </c>
      <c r="N876" s="3">
        <v>11000</v>
      </c>
      <c r="O876" s="1"/>
      <c r="Q876" s="72" t="s">
        <v>34</v>
      </c>
    </row>
    <row r="877" spans="1:17" ht="15" hidden="1" customHeight="1" x14ac:dyDescent="0.2">
      <c r="B877" s="174" t="s">
        <v>112</v>
      </c>
      <c r="C877" s="175"/>
      <c r="D877" s="176"/>
      <c r="E877" s="176"/>
      <c r="F877" s="177"/>
      <c r="G877" s="178">
        <v>39019.300000000003</v>
      </c>
      <c r="H877" s="178">
        <v>39019.300000000003</v>
      </c>
      <c r="I877" s="178">
        <v>39502.699999999997</v>
      </c>
      <c r="J877" s="179"/>
      <c r="K877" s="176"/>
      <c r="L877" s="176"/>
      <c r="M877" s="176"/>
      <c r="N877" s="177"/>
      <c r="O877" s="1"/>
      <c r="Q877" s="74" t="s">
        <v>46</v>
      </c>
    </row>
    <row r="878" spans="1:17" ht="15" hidden="1" customHeight="1" x14ac:dyDescent="0.2">
      <c r="A878" s="4" t="str">
        <f>C878</f>
        <v>Государственное учреждение «Национальная академия «Манас»</v>
      </c>
      <c r="B878" s="87" t="s">
        <v>1407</v>
      </c>
      <c r="C878" s="88" t="s">
        <v>1408</v>
      </c>
      <c r="D878" s="90"/>
      <c r="E878" s="90"/>
      <c r="F878" s="90"/>
      <c r="G878" s="90"/>
      <c r="H878" s="90"/>
      <c r="I878" s="90"/>
      <c r="J878" s="90"/>
      <c r="K878" s="90"/>
      <c r="L878" s="90"/>
      <c r="M878" s="90"/>
      <c r="N878" s="91"/>
      <c r="O878" s="1"/>
      <c r="Q878" s="70" t="s">
        <v>43</v>
      </c>
    </row>
    <row r="879" spans="1:17" ht="36" hidden="1" customHeight="1" x14ac:dyDescent="0.2">
      <c r="B879" s="93" t="s">
        <v>1407</v>
      </c>
      <c r="C879" s="93" t="s">
        <v>96</v>
      </c>
      <c r="D879" s="94"/>
      <c r="E879" s="94"/>
      <c r="F879" s="95" t="s">
        <v>97</v>
      </c>
      <c r="G879" s="96">
        <v>11260.6</v>
      </c>
      <c r="H879" s="96">
        <v>11445.6</v>
      </c>
      <c r="I879" s="96">
        <v>11650.6</v>
      </c>
      <c r="J879" s="99" t="s">
        <v>1409</v>
      </c>
      <c r="K879" s="99" t="s">
        <v>99</v>
      </c>
      <c r="L879" s="99">
        <v>100</v>
      </c>
      <c r="M879" s="99">
        <v>100</v>
      </c>
      <c r="N879" s="99">
        <v>100</v>
      </c>
      <c r="O879" s="1"/>
      <c r="Q879" s="71" t="s">
        <v>40</v>
      </c>
    </row>
    <row r="880" spans="1:17" ht="36" hidden="1" customHeight="1" x14ac:dyDescent="0.2">
      <c r="B880" s="183" t="s">
        <v>100</v>
      </c>
      <c r="C880" s="183" t="s">
        <v>100</v>
      </c>
      <c r="D880" s="183" t="s">
        <v>100</v>
      </c>
      <c r="E880" s="183"/>
      <c r="F880" s="184" t="s">
        <v>101</v>
      </c>
      <c r="G880" s="185">
        <v>11260.6</v>
      </c>
      <c r="H880" s="185">
        <v>11445.6</v>
      </c>
      <c r="I880" s="185">
        <v>11650.6</v>
      </c>
      <c r="J880" s="3" t="s">
        <v>1410</v>
      </c>
      <c r="K880" s="3" t="s">
        <v>99</v>
      </c>
      <c r="L880" s="3">
        <v>100</v>
      </c>
      <c r="M880" s="3">
        <v>100</v>
      </c>
      <c r="N880" s="3">
        <v>100</v>
      </c>
      <c r="O880" s="1"/>
      <c r="Q880" s="72" t="s">
        <v>34</v>
      </c>
    </row>
    <row r="881" spans="2:17" ht="24" hidden="1" customHeight="1" x14ac:dyDescent="0.2">
      <c r="B881" s="93" t="s">
        <v>1407</v>
      </c>
      <c r="C881" s="93" t="s">
        <v>1411</v>
      </c>
      <c r="D881" s="94"/>
      <c r="E881" s="94"/>
      <c r="F881" s="95" t="s">
        <v>1412</v>
      </c>
      <c r="G881" s="96">
        <v>31215.1</v>
      </c>
      <c r="H881" s="96">
        <v>31879.599999999999</v>
      </c>
      <c r="I881" s="96">
        <v>32541.1</v>
      </c>
      <c r="J881" s="99" t="s">
        <v>201</v>
      </c>
      <c r="K881" s="99" t="s">
        <v>99</v>
      </c>
      <c r="L881" s="111">
        <v>100</v>
      </c>
      <c r="M881" s="111">
        <v>100</v>
      </c>
      <c r="N881" s="111">
        <v>100</v>
      </c>
      <c r="O881" s="1"/>
      <c r="Q881" s="71" t="s">
        <v>40</v>
      </c>
    </row>
    <row r="882" spans="2:17" ht="48" hidden="1" customHeight="1" x14ac:dyDescent="0.2">
      <c r="B882" s="183" t="s">
        <v>100</v>
      </c>
      <c r="C882" s="183" t="s">
        <v>100</v>
      </c>
      <c r="D882" s="183" t="s">
        <v>100</v>
      </c>
      <c r="E882" s="183"/>
      <c r="F882" s="184" t="s">
        <v>1413</v>
      </c>
      <c r="G882" s="185">
        <v>31215.1</v>
      </c>
      <c r="H882" s="185">
        <v>31879.599999999999</v>
      </c>
      <c r="I882" s="185">
        <v>32541.1</v>
      </c>
      <c r="J882" s="3" t="s">
        <v>201</v>
      </c>
      <c r="K882" s="3" t="s">
        <v>99</v>
      </c>
      <c r="L882" s="14">
        <v>100</v>
      </c>
      <c r="M882" s="14">
        <v>100</v>
      </c>
      <c r="N882" s="14">
        <v>100</v>
      </c>
      <c r="O882" s="1"/>
      <c r="Q882" s="72" t="s">
        <v>34</v>
      </c>
    </row>
    <row r="883" spans="2:17" ht="15" hidden="1" customHeight="1" x14ac:dyDescent="0.2">
      <c r="B883" s="174" t="s">
        <v>112</v>
      </c>
      <c r="C883" s="175"/>
      <c r="D883" s="176"/>
      <c r="E883" s="176"/>
      <c r="F883" s="177"/>
      <c r="G883" s="178">
        <v>42475.7</v>
      </c>
      <c r="H883" s="178">
        <v>43325.2</v>
      </c>
      <c r="I883" s="178">
        <v>44191.7</v>
      </c>
      <c r="J883" s="179"/>
      <c r="K883" s="176"/>
      <c r="L883" s="176"/>
      <c r="M883" s="176"/>
      <c r="N883" s="177"/>
      <c r="O883" s="1"/>
      <c r="Q883" s="74" t="s">
        <v>46</v>
      </c>
    </row>
    <row r="884" spans="2:17" ht="15" hidden="1" customHeight="1" x14ac:dyDescent="0.2">
      <c r="C884"/>
      <c r="G884" s="32">
        <f>SUM(G883,G877,G873,G869,G857,G853,G849,G844,G840,G821,G817,G805,G799,G785,G781,G753,G748,G741,G728,G722,G714,G710,G695,G687,G691,G683,G674,G667,G655,G646,G638,G630,G597,G577,G545,G545,G538,G486,G482,G473,G411,G343,G325,G309,G250,G246,G189,G160,G151,G142,G124,G120,G115,G94,G86,G75,G58,G34,G28,G21,G15)</f>
        <v>593152147.30000007</v>
      </c>
      <c r="N884" s="49"/>
      <c r="Q884" s="75" t="s">
        <v>51</v>
      </c>
    </row>
    <row r="885" spans="2:17" ht="15" hidden="1" customHeight="1" x14ac:dyDescent="0.2">
      <c r="G885" s="32">
        <f>SUBTOTAL(9,G15:G883)</f>
        <v>42490471.600000009</v>
      </c>
      <c r="H885" s="32">
        <f>SUBTOTAL(9,H15:H883)</f>
        <v>40958142.899999999</v>
      </c>
    </row>
    <row r="886" spans="2:17" ht="15" hidden="1" customHeight="1" x14ac:dyDescent="0.2">
      <c r="H886">
        <f>H885/G885</f>
        <v>0.96393712184639513</v>
      </c>
    </row>
    <row r="887" spans="2:17" ht="15" hidden="1" customHeight="1" x14ac:dyDescent="0.2">
      <c r="H887">
        <f>1-H886</f>
        <v>3.6062878153604871E-2</v>
      </c>
    </row>
  </sheetData>
  <autoFilter ref="A5:N887" xr:uid="{3813AB7E-9DA8-B64E-A9D4-E6632B7117F6}">
    <filterColumn colId="5">
      <filters>
        <filter val="Реализация проектов государственных инвестиций"/>
      </filters>
    </filterColumn>
    <filterColumn colId="6" showButton="0"/>
    <filterColumn colId="7" showButton="0"/>
    <filterColumn colId="12" showButton="0"/>
  </autoFilter>
  <mergeCells count="11">
    <mergeCell ref="M5:N5"/>
    <mergeCell ref="J1:N1"/>
    <mergeCell ref="B3:N3"/>
    <mergeCell ref="B5:B6"/>
    <mergeCell ref="C5:C6"/>
    <mergeCell ref="D5:D6"/>
    <mergeCell ref="E5:E6"/>
    <mergeCell ref="F5:F6"/>
    <mergeCell ref="G5:I5"/>
    <mergeCell ref="J5:J6"/>
    <mergeCell ref="K5:K6"/>
  </mergeCells>
  <printOptions horizontalCentered="1"/>
  <pageMargins left="0.39370078740157483" right="0.39370078740157483" top="0.39370078740157483" bottom="0.39370078740157483" header="0.19685039370078741" footer="0.19685039370078741"/>
  <pageSetup paperSize="9" scale="63" fitToHeight="0" orientation="landscape"/>
  <headerFooter differentFirst="1">
    <oddFooter>&amp;R&amp;"Times New Roman,обычный"&amp;8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C6F4-E02C-FA4F-8612-EDAB067F8203}">
  <dimension ref="A1:B60"/>
  <sheetViews>
    <sheetView zoomScale="173" workbookViewId="0">
      <selection activeCell="A15" sqref="A15:B15"/>
    </sheetView>
  </sheetViews>
  <sheetFormatPr baseColWidth="10" defaultRowHeight="15" x14ac:dyDescent="0.2"/>
  <sheetData>
    <row r="1" spans="1:2" x14ac:dyDescent="0.2">
      <c r="A1" s="87" t="s">
        <v>94</v>
      </c>
      <c r="B1" s="88" t="s">
        <v>95</v>
      </c>
    </row>
    <row r="2" spans="1:2" x14ac:dyDescent="0.2">
      <c r="A2" s="87" t="s">
        <v>113</v>
      </c>
      <c r="B2" s="88" t="s">
        <v>114</v>
      </c>
    </row>
    <row r="3" spans="1:2" x14ac:dyDescent="0.2">
      <c r="A3" s="87" t="s">
        <v>127</v>
      </c>
      <c r="B3" s="88" t="s">
        <v>128</v>
      </c>
    </row>
    <row r="4" spans="1:2" x14ac:dyDescent="0.2">
      <c r="A4" s="87" t="s">
        <v>134</v>
      </c>
      <c r="B4" s="88" t="s">
        <v>135</v>
      </c>
    </row>
    <row r="5" spans="1:2" x14ac:dyDescent="0.2">
      <c r="A5" s="87" t="s">
        <v>142</v>
      </c>
      <c r="B5" s="88" t="s">
        <v>143</v>
      </c>
    </row>
    <row r="6" spans="1:2" x14ac:dyDescent="0.2">
      <c r="A6" s="87" t="s">
        <v>199</v>
      </c>
      <c r="B6" s="88" t="s">
        <v>200</v>
      </c>
    </row>
    <row r="7" spans="1:2" x14ac:dyDescent="0.2">
      <c r="A7" s="87" t="s">
        <v>234</v>
      </c>
      <c r="B7" s="88" t="s">
        <v>235</v>
      </c>
    </row>
    <row r="8" spans="1:2" x14ac:dyDescent="0.2">
      <c r="A8" s="87" t="s">
        <v>247</v>
      </c>
      <c r="B8" s="88" t="s">
        <v>248</v>
      </c>
    </row>
    <row r="9" spans="1:2" x14ac:dyDescent="0.2">
      <c r="A9" s="87" t="s">
        <v>261</v>
      </c>
      <c r="B9" s="88" t="s">
        <v>262</v>
      </c>
    </row>
    <row r="10" spans="1:2" x14ac:dyDescent="0.2">
      <c r="A10" s="87" t="s">
        <v>294</v>
      </c>
      <c r="B10" s="88" t="s">
        <v>295</v>
      </c>
    </row>
    <row r="11" spans="1:2" x14ac:dyDescent="0.2">
      <c r="A11" s="87" t="s">
        <v>299</v>
      </c>
      <c r="B11" s="88" t="s">
        <v>300</v>
      </c>
    </row>
    <row r="12" spans="1:2" x14ac:dyDescent="0.2">
      <c r="A12" s="87" t="s">
        <v>302</v>
      </c>
      <c r="B12" s="88" t="s">
        <v>303</v>
      </c>
    </row>
    <row r="13" spans="1:2" x14ac:dyDescent="0.2">
      <c r="A13" s="87" t="s">
        <v>334</v>
      </c>
      <c r="B13" s="88" t="s">
        <v>335</v>
      </c>
    </row>
    <row r="14" spans="1:2" x14ac:dyDescent="0.2">
      <c r="A14" s="87" t="s">
        <v>344</v>
      </c>
      <c r="B14" s="88" t="s">
        <v>345</v>
      </c>
    </row>
    <row r="15" spans="1:2" x14ac:dyDescent="0.2">
      <c r="A15" s="87" t="s">
        <v>360</v>
      </c>
      <c r="B15" s="88" t="s">
        <v>361</v>
      </c>
    </row>
    <row r="16" spans="1:2" x14ac:dyDescent="0.2">
      <c r="A16" s="87" t="s">
        <v>410</v>
      </c>
      <c r="B16" s="88" t="s">
        <v>411</v>
      </c>
    </row>
    <row r="17" spans="1:2" x14ac:dyDescent="0.2">
      <c r="A17" s="87" t="s">
        <v>450</v>
      </c>
      <c r="B17" s="88" t="s">
        <v>537</v>
      </c>
    </row>
    <row r="18" spans="1:2" x14ac:dyDescent="0.2">
      <c r="A18" s="87" t="s">
        <v>16</v>
      </c>
      <c r="B18" s="88" t="s">
        <v>542</v>
      </c>
    </row>
    <row r="19" spans="1:2" x14ac:dyDescent="0.2">
      <c r="A19" s="87" t="s">
        <v>622</v>
      </c>
      <c r="B19" s="88" t="s">
        <v>623</v>
      </c>
    </row>
    <row r="20" spans="1:2" x14ac:dyDescent="0.2">
      <c r="A20" s="87" t="s">
        <v>453</v>
      </c>
      <c r="B20" s="88" t="s">
        <v>648</v>
      </c>
    </row>
    <row r="21" spans="1:2" x14ac:dyDescent="0.2">
      <c r="A21" s="87" t="s">
        <v>456</v>
      </c>
      <c r="B21" s="88" t="s">
        <v>672</v>
      </c>
    </row>
    <row r="22" spans="1:2" x14ac:dyDescent="0.2">
      <c r="A22" s="87" t="s">
        <v>777</v>
      </c>
      <c r="B22" s="88" t="s">
        <v>778</v>
      </c>
    </row>
    <row r="23" spans="1:2" x14ac:dyDescent="0.2">
      <c r="A23" s="87" t="s">
        <v>459</v>
      </c>
      <c r="B23" s="88" t="s">
        <v>867</v>
      </c>
    </row>
    <row r="24" spans="1:2" x14ac:dyDescent="0.2">
      <c r="A24" s="87" t="s">
        <v>878</v>
      </c>
      <c r="B24" s="88" t="s">
        <v>879</v>
      </c>
    </row>
    <row r="25" spans="1:2" x14ac:dyDescent="0.2">
      <c r="A25" s="87" t="s">
        <v>884</v>
      </c>
      <c r="B25" s="88" t="s">
        <v>885</v>
      </c>
    </row>
    <row r="26" spans="1:2" x14ac:dyDescent="0.2">
      <c r="A26" s="87" t="s">
        <v>967</v>
      </c>
      <c r="B26" s="88" t="s">
        <v>968</v>
      </c>
    </row>
    <row r="27" spans="1:2" x14ac:dyDescent="0.2">
      <c r="A27" s="87" t="s">
        <v>976</v>
      </c>
      <c r="B27" s="88" t="s">
        <v>977</v>
      </c>
    </row>
    <row r="28" spans="1:2" x14ac:dyDescent="0.2">
      <c r="A28" s="87" t="s">
        <v>1018</v>
      </c>
      <c r="B28" s="88" t="s">
        <v>1019</v>
      </c>
    </row>
    <row r="29" spans="1:2" x14ac:dyDescent="0.2">
      <c r="A29" s="87" t="s">
        <v>464</v>
      </c>
      <c r="B29" s="88" t="s">
        <v>1044</v>
      </c>
    </row>
    <row r="30" spans="1:2" x14ac:dyDescent="0.2">
      <c r="A30" s="87" t="s">
        <v>466</v>
      </c>
      <c r="B30" s="88" t="s">
        <v>1091</v>
      </c>
    </row>
    <row r="31" spans="1:2" x14ac:dyDescent="0.2">
      <c r="A31" s="87" t="s">
        <v>1098</v>
      </c>
      <c r="B31" s="88" t="s">
        <v>1099</v>
      </c>
    </row>
    <row r="32" spans="1:2" x14ac:dyDescent="0.2">
      <c r="A32" s="87" t="s">
        <v>1107</v>
      </c>
      <c r="B32" s="88" t="s">
        <v>1108</v>
      </c>
    </row>
    <row r="33" spans="1:2" x14ac:dyDescent="0.2">
      <c r="A33" s="87" t="s">
        <v>1124</v>
      </c>
      <c r="B33" s="88" t="s">
        <v>1125</v>
      </c>
    </row>
    <row r="34" spans="1:2" x14ac:dyDescent="0.2">
      <c r="A34" s="87" t="s">
        <v>469</v>
      </c>
      <c r="B34" s="88" t="s">
        <v>1142</v>
      </c>
    </row>
    <row r="35" spans="1:2" x14ac:dyDescent="0.2">
      <c r="A35" s="87" t="s">
        <v>1148</v>
      </c>
      <c r="B35" s="88" t="s">
        <v>1149</v>
      </c>
    </row>
    <row r="36" spans="1:2" x14ac:dyDescent="0.2">
      <c r="A36" s="87" t="s">
        <v>1165</v>
      </c>
      <c r="B36" s="88" t="s">
        <v>1166</v>
      </c>
    </row>
    <row r="37" spans="1:2" x14ac:dyDescent="0.2">
      <c r="A37" s="87" t="s">
        <v>1172</v>
      </c>
      <c r="B37" s="88" t="s">
        <v>1173</v>
      </c>
    </row>
    <row r="38" spans="1:2" x14ac:dyDescent="0.2">
      <c r="A38" s="87" t="s">
        <v>471</v>
      </c>
      <c r="B38" s="88" t="s">
        <v>1178</v>
      </c>
    </row>
    <row r="39" spans="1:2" x14ac:dyDescent="0.2">
      <c r="A39" s="87" t="s">
        <v>1180</v>
      </c>
      <c r="B39" s="88" t="s">
        <v>1181</v>
      </c>
    </row>
    <row r="40" spans="1:2" x14ac:dyDescent="0.2">
      <c r="A40" s="87" t="s">
        <v>1200</v>
      </c>
      <c r="B40" s="88" t="s">
        <v>1201</v>
      </c>
    </row>
    <row r="41" spans="1:2" x14ac:dyDescent="0.2">
      <c r="A41" s="87" t="s">
        <v>1202</v>
      </c>
      <c r="B41" s="88" t="s">
        <v>1203</v>
      </c>
    </row>
    <row r="42" spans="1:2" x14ac:dyDescent="0.2">
      <c r="A42" s="87" t="s">
        <v>474</v>
      </c>
      <c r="B42" s="88" t="s">
        <v>1211</v>
      </c>
    </row>
    <row r="43" spans="1:2" x14ac:dyDescent="0.2">
      <c r="A43" s="87" t="s">
        <v>476</v>
      </c>
      <c r="B43" s="88" t="s">
        <v>1216</v>
      </c>
    </row>
    <row r="44" spans="1:2" x14ac:dyDescent="0.2">
      <c r="A44" s="87" t="s">
        <v>44</v>
      </c>
      <c r="B44" s="88" t="s">
        <v>1231</v>
      </c>
    </row>
    <row r="45" spans="1:2" x14ac:dyDescent="0.2">
      <c r="A45" s="87" t="s">
        <v>1236</v>
      </c>
      <c r="B45" s="88" t="s">
        <v>1237</v>
      </c>
    </row>
    <row r="46" spans="1:2" x14ac:dyDescent="0.2">
      <c r="A46" s="87" t="s">
        <v>1240</v>
      </c>
      <c r="B46" s="88" t="s">
        <v>1241</v>
      </c>
    </row>
    <row r="47" spans="1:2" x14ac:dyDescent="0.2">
      <c r="A47" s="87" t="s">
        <v>1277</v>
      </c>
      <c r="B47" s="88" t="s">
        <v>1278</v>
      </c>
    </row>
    <row r="48" spans="1:2" x14ac:dyDescent="0.2">
      <c r="A48" s="87" t="s">
        <v>485</v>
      </c>
      <c r="B48" s="88" t="s">
        <v>1281</v>
      </c>
    </row>
    <row r="49" spans="1:2" x14ac:dyDescent="0.2">
      <c r="A49" s="87" t="s">
        <v>1299</v>
      </c>
      <c r="B49" s="88" t="s">
        <v>1300</v>
      </c>
    </row>
    <row r="50" spans="1:2" x14ac:dyDescent="0.2">
      <c r="A50" s="87" t="s">
        <v>1307</v>
      </c>
      <c r="B50" s="88" t="s">
        <v>1308</v>
      </c>
    </row>
    <row r="51" spans="1:2" x14ac:dyDescent="0.2">
      <c r="A51" s="87" t="s">
        <v>497</v>
      </c>
      <c r="B51" s="88" t="s">
        <v>1322</v>
      </c>
    </row>
    <row r="52" spans="1:2" x14ac:dyDescent="0.2">
      <c r="A52" s="87" t="s">
        <v>1328</v>
      </c>
      <c r="B52" s="88" t="s">
        <v>1329</v>
      </c>
    </row>
    <row r="53" spans="1:2" x14ac:dyDescent="0.2">
      <c r="A53" s="87" t="s">
        <v>1360</v>
      </c>
      <c r="B53" s="88" t="s">
        <v>1361</v>
      </c>
    </row>
    <row r="54" spans="1:2" x14ac:dyDescent="0.2">
      <c r="A54" s="87" t="s">
        <v>1366</v>
      </c>
      <c r="B54" s="88" t="s">
        <v>1367</v>
      </c>
    </row>
    <row r="55" spans="1:2" x14ac:dyDescent="0.2">
      <c r="A55" s="87" t="s">
        <v>1368</v>
      </c>
      <c r="B55" s="88" t="s">
        <v>1369</v>
      </c>
    </row>
    <row r="56" spans="1:2" x14ac:dyDescent="0.2">
      <c r="A56" s="87" t="s">
        <v>1374</v>
      </c>
      <c r="B56" s="88" t="s">
        <v>1375</v>
      </c>
    </row>
    <row r="57" spans="1:2" x14ac:dyDescent="0.2">
      <c r="A57" s="87" t="s">
        <v>1380</v>
      </c>
      <c r="B57" s="88" t="s">
        <v>1381</v>
      </c>
    </row>
    <row r="58" spans="1:2" x14ac:dyDescent="0.2">
      <c r="A58" s="87" t="s">
        <v>1400</v>
      </c>
      <c r="B58" s="88" t="s">
        <v>1401</v>
      </c>
    </row>
    <row r="59" spans="1:2" x14ac:dyDescent="0.2">
      <c r="A59" s="87" t="s">
        <v>1404</v>
      </c>
      <c r="B59" s="88" t="s">
        <v>1405</v>
      </c>
    </row>
    <row r="60" spans="1:2" x14ac:dyDescent="0.2">
      <c r="A60" s="87" t="s">
        <v>1407</v>
      </c>
      <c r="B60" s="88" t="s">
        <v>1408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AE0BA-84D7-6B4F-BC9C-466366918EC3}">
  <dimension ref="A1:B388"/>
  <sheetViews>
    <sheetView topLeftCell="A14" zoomScale="177" workbookViewId="0">
      <selection activeCell="A2" sqref="A2:A343"/>
    </sheetView>
  </sheetViews>
  <sheetFormatPr baseColWidth="10" defaultRowHeight="15" x14ac:dyDescent="0.2"/>
  <sheetData>
    <row r="1" spans="1:2" x14ac:dyDescent="0.2">
      <c r="A1" s="161" t="s">
        <v>1487</v>
      </c>
      <c r="B1" s="162" t="s">
        <v>1488</v>
      </c>
    </row>
    <row r="2" spans="1:2" x14ac:dyDescent="0.2">
      <c r="A2" s="172" t="s">
        <v>508</v>
      </c>
      <c r="B2" s="173">
        <v>76517019.429999992</v>
      </c>
    </row>
    <row r="3" spans="1:2" x14ac:dyDescent="0.2">
      <c r="A3" s="172" t="s">
        <v>460</v>
      </c>
      <c r="B3" s="173">
        <v>50000000</v>
      </c>
    </row>
    <row r="4" spans="1:2" x14ac:dyDescent="0.2">
      <c r="A4" s="166" t="s">
        <v>658</v>
      </c>
      <c r="B4" s="167">
        <v>42158805.539999999</v>
      </c>
    </row>
    <row r="5" spans="1:2" x14ac:dyDescent="0.2">
      <c r="A5" s="172" t="s">
        <v>430</v>
      </c>
      <c r="B5" s="173">
        <v>37999512.479999989</v>
      </c>
    </row>
    <row r="6" spans="1:2" x14ac:dyDescent="0.2">
      <c r="A6" s="168" t="s">
        <v>415</v>
      </c>
      <c r="B6" s="169">
        <v>33574380.799999997</v>
      </c>
    </row>
    <row r="7" spans="1:2" x14ac:dyDescent="0.2">
      <c r="A7" s="172" t="s">
        <v>506</v>
      </c>
      <c r="B7" s="173">
        <v>27680000</v>
      </c>
    </row>
    <row r="8" spans="1:2" x14ac:dyDescent="0.2">
      <c r="A8" s="172" t="s">
        <v>446</v>
      </c>
      <c r="B8" s="173">
        <v>24355498</v>
      </c>
    </row>
    <row r="9" spans="1:2" x14ac:dyDescent="0.2">
      <c r="A9" s="166" t="s">
        <v>763</v>
      </c>
      <c r="B9" s="167">
        <v>12986410.83</v>
      </c>
    </row>
    <row r="10" spans="1:2" x14ac:dyDescent="0.2">
      <c r="A10" s="172" t="s">
        <v>462</v>
      </c>
      <c r="B10" s="173">
        <v>12811205</v>
      </c>
    </row>
    <row r="11" spans="1:2" x14ac:dyDescent="0.2">
      <c r="A11" s="172" t="s">
        <v>472</v>
      </c>
      <c r="B11" s="173">
        <v>12811205</v>
      </c>
    </row>
    <row r="12" spans="1:2" x14ac:dyDescent="0.2">
      <c r="A12" s="166" t="s">
        <v>752</v>
      </c>
      <c r="B12" s="167">
        <v>9303291.3699999992</v>
      </c>
    </row>
    <row r="13" spans="1:2" x14ac:dyDescent="0.2">
      <c r="A13" s="166" t="s">
        <v>785</v>
      </c>
      <c r="B13" s="167">
        <v>9046932.6999999993</v>
      </c>
    </row>
    <row r="14" spans="1:2" x14ac:dyDescent="0.2">
      <c r="A14" s="166" t="s">
        <v>652</v>
      </c>
      <c r="B14" s="167">
        <v>8891657.4700000007</v>
      </c>
    </row>
    <row r="15" spans="1:2" x14ac:dyDescent="0.2">
      <c r="A15" s="168" t="s">
        <v>418</v>
      </c>
      <c r="B15" s="169">
        <v>7233126.5</v>
      </c>
    </row>
    <row r="16" spans="1:2" x14ac:dyDescent="0.2">
      <c r="A16" s="172" t="s">
        <v>512</v>
      </c>
      <c r="B16" s="173">
        <v>7032817.2999999998</v>
      </c>
    </row>
    <row r="17" spans="1:2" x14ac:dyDescent="0.2">
      <c r="A17" s="168" t="s">
        <v>417</v>
      </c>
      <c r="B17" s="169">
        <v>5862840</v>
      </c>
    </row>
    <row r="18" spans="1:2" x14ac:dyDescent="0.2">
      <c r="A18" s="168" t="s">
        <v>390</v>
      </c>
      <c r="B18" s="169">
        <v>5113087</v>
      </c>
    </row>
    <row r="19" spans="1:2" x14ac:dyDescent="0.2">
      <c r="A19" s="166" t="s">
        <v>781</v>
      </c>
      <c r="B19" s="167">
        <v>4894246.5</v>
      </c>
    </row>
    <row r="20" spans="1:2" x14ac:dyDescent="0.2">
      <c r="A20" s="166" t="s">
        <v>934</v>
      </c>
      <c r="B20" s="167">
        <v>4890969.0999999996</v>
      </c>
    </row>
    <row r="21" spans="1:2" x14ac:dyDescent="0.2">
      <c r="A21" s="172" t="s">
        <v>492</v>
      </c>
      <c r="B21" s="173">
        <v>4420000</v>
      </c>
    </row>
    <row r="22" spans="1:2" x14ac:dyDescent="0.2">
      <c r="A22" s="168" t="s">
        <v>732</v>
      </c>
      <c r="B22" s="169">
        <v>4287450.5999999996</v>
      </c>
    </row>
    <row r="23" spans="1:2" x14ac:dyDescent="0.2">
      <c r="A23" s="166" t="s">
        <v>1076</v>
      </c>
      <c r="B23" s="167">
        <v>4150421</v>
      </c>
    </row>
    <row r="24" spans="1:2" x14ac:dyDescent="0.2">
      <c r="A24" s="168" t="s">
        <v>983</v>
      </c>
      <c r="B24" s="169">
        <v>4000000</v>
      </c>
    </row>
    <row r="25" spans="1:2" x14ac:dyDescent="0.2">
      <c r="A25" s="172" t="s">
        <v>501</v>
      </c>
      <c r="B25" s="173">
        <v>3500000</v>
      </c>
    </row>
    <row r="26" spans="1:2" x14ac:dyDescent="0.2">
      <c r="A26" s="172" t="s">
        <v>483</v>
      </c>
      <c r="B26" s="173">
        <v>3432282.63</v>
      </c>
    </row>
    <row r="27" spans="1:2" x14ac:dyDescent="0.2">
      <c r="A27" s="168" t="s">
        <v>1064</v>
      </c>
      <c r="B27" s="169">
        <v>3108523.3</v>
      </c>
    </row>
    <row r="28" spans="1:2" x14ac:dyDescent="0.2">
      <c r="A28" s="172" t="s">
        <v>428</v>
      </c>
      <c r="B28" s="173">
        <v>3107142.63</v>
      </c>
    </row>
    <row r="29" spans="1:2" x14ac:dyDescent="0.2">
      <c r="A29" s="166" t="s">
        <v>1022</v>
      </c>
      <c r="B29" s="167">
        <v>2935233.1</v>
      </c>
    </row>
    <row r="30" spans="1:2" x14ac:dyDescent="0.2">
      <c r="A30" s="166" t="s">
        <v>639</v>
      </c>
      <c r="B30" s="167">
        <v>2769737.3</v>
      </c>
    </row>
    <row r="31" spans="1:2" x14ac:dyDescent="0.2">
      <c r="A31" s="168" t="s">
        <v>394</v>
      </c>
      <c r="B31" s="169">
        <v>2559078.2000000002</v>
      </c>
    </row>
    <row r="32" spans="1:2" x14ac:dyDescent="0.2">
      <c r="A32" s="168" t="s">
        <v>1112</v>
      </c>
      <c r="B32" s="169">
        <v>2540465.4</v>
      </c>
    </row>
    <row r="33" spans="1:2" x14ac:dyDescent="0.2">
      <c r="A33" s="168" t="s">
        <v>775</v>
      </c>
      <c r="B33" s="169">
        <v>2530800</v>
      </c>
    </row>
    <row r="34" spans="1:2" x14ac:dyDescent="0.2">
      <c r="A34" s="172" t="s">
        <v>477</v>
      </c>
      <c r="B34" s="173">
        <v>2500000</v>
      </c>
    </row>
    <row r="35" spans="1:2" x14ac:dyDescent="0.2">
      <c r="A35" s="168" t="s">
        <v>338</v>
      </c>
      <c r="B35" s="169">
        <v>2408549.4</v>
      </c>
    </row>
    <row r="36" spans="1:2" x14ac:dyDescent="0.2">
      <c r="A36" s="168" t="s">
        <v>195</v>
      </c>
      <c r="B36" s="169">
        <v>2385292.09</v>
      </c>
    </row>
    <row r="37" spans="1:2" x14ac:dyDescent="0.2">
      <c r="A37" s="168" t="s">
        <v>101</v>
      </c>
      <c r="B37" s="169">
        <v>2260153.5</v>
      </c>
    </row>
    <row r="38" spans="1:2" x14ac:dyDescent="0.2">
      <c r="A38" s="168" t="s">
        <v>224</v>
      </c>
      <c r="B38" s="169">
        <v>2249862.4</v>
      </c>
    </row>
    <row r="39" spans="1:2" x14ac:dyDescent="0.2">
      <c r="A39" s="168" t="s">
        <v>1102</v>
      </c>
      <c r="B39" s="169">
        <v>2223278.2999999998</v>
      </c>
    </row>
    <row r="40" spans="1:2" x14ac:dyDescent="0.2">
      <c r="A40" s="166" t="s">
        <v>668</v>
      </c>
      <c r="B40" s="167">
        <v>2178080.7999999998</v>
      </c>
    </row>
    <row r="41" spans="1:2" x14ac:dyDescent="0.2">
      <c r="A41" s="172" t="s">
        <v>467</v>
      </c>
      <c r="B41" s="173">
        <v>2146396.1</v>
      </c>
    </row>
    <row r="42" spans="1:2" x14ac:dyDescent="0.2">
      <c r="A42" s="168" t="s">
        <v>985</v>
      </c>
      <c r="B42" s="169">
        <v>2097500.7000000002</v>
      </c>
    </row>
    <row r="43" spans="1:2" x14ac:dyDescent="0.2">
      <c r="A43" s="172" t="s">
        <v>518</v>
      </c>
      <c r="B43" s="173">
        <v>2074642.4</v>
      </c>
    </row>
    <row r="44" spans="1:2" x14ac:dyDescent="0.2">
      <c r="A44" s="168" t="s">
        <v>535</v>
      </c>
      <c r="B44" s="169">
        <v>2057870.4</v>
      </c>
    </row>
    <row r="45" spans="1:2" x14ac:dyDescent="0.2">
      <c r="A45" s="166" t="s">
        <v>139</v>
      </c>
      <c r="B45" s="167">
        <v>2000000</v>
      </c>
    </row>
    <row r="46" spans="1:2" x14ac:dyDescent="0.2">
      <c r="A46" s="168" t="s">
        <v>350</v>
      </c>
      <c r="B46" s="169">
        <v>1942918</v>
      </c>
    </row>
    <row r="47" spans="1:2" x14ac:dyDescent="0.2">
      <c r="A47" s="172" t="s">
        <v>510</v>
      </c>
      <c r="B47" s="173">
        <v>1870838.8</v>
      </c>
    </row>
    <row r="48" spans="1:2" x14ac:dyDescent="0.2">
      <c r="A48" s="168" t="s">
        <v>1152</v>
      </c>
      <c r="B48" s="169">
        <v>1859868.5</v>
      </c>
    </row>
    <row r="49" spans="1:2" x14ac:dyDescent="0.2">
      <c r="A49" s="168" t="s">
        <v>388</v>
      </c>
      <c r="B49" s="169">
        <v>1831785.7</v>
      </c>
    </row>
    <row r="50" spans="1:2" x14ac:dyDescent="0.2">
      <c r="A50" s="168" t="s">
        <v>352</v>
      </c>
      <c r="B50" s="169">
        <v>1819986.1</v>
      </c>
    </row>
    <row r="51" spans="1:2" x14ac:dyDescent="0.2">
      <c r="A51" s="168" t="s">
        <v>1040</v>
      </c>
      <c r="B51" s="169">
        <v>1651215.3</v>
      </c>
    </row>
    <row r="52" spans="1:2" x14ac:dyDescent="0.2">
      <c r="A52" s="168" t="s">
        <v>101</v>
      </c>
      <c r="B52" s="169">
        <v>1614854.3</v>
      </c>
    </row>
    <row r="53" spans="1:2" x14ac:dyDescent="0.2">
      <c r="A53" s="166" t="s">
        <v>833</v>
      </c>
      <c r="B53" s="167">
        <v>1604800</v>
      </c>
    </row>
    <row r="54" spans="1:2" x14ac:dyDescent="0.2">
      <c r="A54" s="172" t="s">
        <v>486</v>
      </c>
      <c r="B54" s="173">
        <v>1576370.4</v>
      </c>
    </row>
    <row r="55" spans="1:2" x14ac:dyDescent="0.2">
      <c r="A55" s="172" t="s">
        <v>432</v>
      </c>
      <c r="B55" s="173">
        <v>1500000</v>
      </c>
    </row>
    <row r="56" spans="1:2" x14ac:dyDescent="0.2">
      <c r="A56" s="172" t="s">
        <v>514</v>
      </c>
      <c r="B56" s="173">
        <v>1500000</v>
      </c>
    </row>
    <row r="57" spans="1:2" x14ac:dyDescent="0.2">
      <c r="A57" s="168" t="s">
        <v>203</v>
      </c>
      <c r="B57" s="169">
        <v>1415281.4</v>
      </c>
    </row>
    <row r="58" spans="1:2" x14ac:dyDescent="0.2">
      <c r="A58" s="166" t="s">
        <v>685</v>
      </c>
      <c r="B58" s="167">
        <v>1311682.2</v>
      </c>
    </row>
    <row r="59" spans="1:2" x14ac:dyDescent="0.2">
      <c r="A59" s="168" t="s">
        <v>101</v>
      </c>
      <c r="B59" s="169">
        <v>1308711</v>
      </c>
    </row>
    <row r="60" spans="1:2" x14ac:dyDescent="0.2">
      <c r="A60" s="166" t="s">
        <v>850</v>
      </c>
      <c r="B60" s="167">
        <v>1206773.2</v>
      </c>
    </row>
    <row r="61" spans="1:2" x14ac:dyDescent="0.2">
      <c r="A61" s="168" t="s">
        <v>167</v>
      </c>
      <c r="B61" s="169">
        <v>1193358</v>
      </c>
    </row>
    <row r="62" spans="1:2" x14ac:dyDescent="0.2">
      <c r="A62" s="168" t="s">
        <v>1170</v>
      </c>
      <c r="B62" s="169">
        <v>1105080.8999999999</v>
      </c>
    </row>
    <row r="63" spans="1:2" x14ac:dyDescent="0.2">
      <c r="A63" s="168" t="s">
        <v>348</v>
      </c>
      <c r="B63" s="169">
        <v>1100000.7</v>
      </c>
    </row>
    <row r="64" spans="1:2" x14ac:dyDescent="0.2">
      <c r="A64" s="168" t="s">
        <v>768</v>
      </c>
      <c r="B64" s="169">
        <v>1063198</v>
      </c>
    </row>
    <row r="65" spans="1:2" x14ac:dyDescent="0.2">
      <c r="A65" s="166" t="s">
        <v>101</v>
      </c>
      <c r="B65" s="167">
        <v>1047143.9</v>
      </c>
    </row>
    <row r="66" spans="1:2" x14ac:dyDescent="0.2">
      <c r="A66" s="166" t="s">
        <v>838</v>
      </c>
      <c r="B66" s="167">
        <v>1042206.2</v>
      </c>
    </row>
    <row r="67" spans="1:2" x14ac:dyDescent="0.2">
      <c r="A67" s="168" t="s">
        <v>750</v>
      </c>
      <c r="B67" s="169">
        <v>1030897</v>
      </c>
    </row>
    <row r="68" spans="1:2" x14ac:dyDescent="0.2">
      <c r="A68" s="168" t="s">
        <v>101</v>
      </c>
      <c r="B68" s="169">
        <v>1012484.2</v>
      </c>
    </row>
    <row r="69" spans="1:2" x14ac:dyDescent="0.2">
      <c r="A69" s="172" t="s">
        <v>426</v>
      </c>
      <c r="B69" s="173">
        <v>1000000</v>
      </c>
    </row>
    <row r="70" spans="1:2" x14ac:dyDescent="0.2">
      <c r="A70" s="172" t="s">
        <v>520</v>
      </c>
      <c r="B70" s="173">
        <v>1000000</v>
      </c>
    </row>
    <row r="71" spans="1:2" x14ac:dyDescent="0.2">
      <c r="A71" s="168" t="s">
        <v>988</v>
      </c>
      <c r="B71" s="169">
        <v>1000000</v>
      </c>
    </row>
    <row r="72" spans="1:2" x14ac:dyDescent="0.2">
      <c r="A72" s="166" t="s">
        <v>1028</v>
      </c>
      <c r="B72" s="167">
        <v>988885.9</v>
      </c>
    </row>
    <row r="73" spans="1:2" x14ac:dyDescent="0.2">
      <c r="A73" s="166" t="s">
        <v>1083</v>
      </c>
      <c r="B73" s="167">
        <v>916857.83</v>
      </c>
    </row>
    <row r="74" spans="1:2" x14ac:dyDescent="0.2">
      <c r="A74" s="168" t="s">
        <v>808</v>
      </c>
      <c r="B74" s="169">
        <v>915147.2</v>
      </c>
    </row>
    <row r="75" spans="1:2" x14ac:dyDescent="0.2">
      <c r="A75" s="166" t="s">
        <v>819</v>
      </c>
      <c r="B75" s="167">
        <v>905794</v>
      </c>
    </row>
    <row r="76" spans="1:2" x14ac:dyDescent="0.2">
      <c r="A76" s="168" t="s">
        <v>637</v>
      </c>
      <c r="B76" s="169">
        <v>899410.2</v>
      </c>
    </row>
    <row r="77" spans="1:2" x14ac:dyDescent="0.2">
      <c r="A77" s="168" t="s">
        <v>197</v>
      </c>
      <c r="B77" s="169">
        <v>882458.91</v>
      </c>
    </row>
    <row r="78" spans="1:2" x14ac:dyDescent="0.2">
      <c r="A78" s="168" t="s">
        <v>232</v>
      </c>
      <c r="B78" s="169">
        <v>865412.3</v>
      </c>
    </row>
    <row r="79" spans="1:2" x14ac:dyDescent="0.2">
      <c r="A79" s="172" t="s">
        <v>424</v>
      </c>
      <c r="B79" s="173">
        <v>800000</v>
      </c>
    </row>
    <row r="80" spans="1:2" x14ac:dyDescent="0.2">
      <c r="A80" s="166" t="s">
        <v>756</v>
      </c>
      <c r="B80" s="167">
        <v>770242.2</v>
      </c>
    </row>
    <row r="81" spans="1:2" x14ac:dyDescent="0.2">
      <c r="A81" s="168" t="s">
        <v>899</v>
      </c>
      <c r="B81" s="169">
        <v>765297.2</v>
      </c>
    </row>
    <row r="82" spans="1:2" x14ac:dyDescent="0.2">
      <c r="A82" s="168" t="s">
        <v>101</v>
      </c>
      <c r="B82" s="169">
        <v>737759.3</v>
      </c>
    </row>
    <row r="83" spans="1:2" x14ac:dyDescent="0.2">
      <c r="A83" s="166" t="s">
        <v>1005</v>
      </c>
      <c r="B83" s="167">
        <v>719785.6</v>
      </c>
    </row>
    <row r="84" spans="1:2" x14ac:dyDescent="0.2">
      <c r="A84" s="168" t="s">
        <v>730</v>
      </c>
      <c r="B84" s="169">
        <v>711079.8</v>
      </c>
    </row>
    <row r="85" spans="1:2" x14ac:dyDescent="0.2">
      <c r="A85" s="172" t="s">
        <v>442</v>
      </c>
      <c r="B85" s="173">
        <v>709432.35</v>
      </c>
    </row>
    <row r="86" spans="1:2" x14ac:dyDescent="0.2">
      <c r="A86" s="168" t="s">
        <v>992</v>
      </c>
      <c r="B86" s="169">
        <v>705900</v>
      </c>
    </row>
    <row r="87" spans="1:2" x14ac:dyDescent="0.2">
      <c r="A87" s="168" t="s">
        <v>396</v>
      </c>
      <c r="B87" s="169">
        <v>698265.4</v>
      </c>
    </row>
    <row r="88" spans="1:2" x14ac:dyDescent="0.2">
      <c r="A88" s="168" t="s">
        <v>174</v>
      </c>
      <c r="B88" s="169">
        <v>697100.80000000005</v>
      </c>
    </row>
    <row r="89" spans="1:2" x14ac:dyDescent="0.2">
      <c r="A89" s="166" t="s">
        <v>1058</v>
      </c>
      <c r="B89" s="167">
        <v>678450.9</v>
      </c>
    </row>
    <row r="90" spans="1:2" x14ac:dyDescent="0.2">
      <c r="A90" s="166" t="s">
        <v>860</v>
      </c>
      <c r="B90" s="167">
        <v>658998.1</v>
      </c>
    </row>
    <row r="91" spans="1:2" x14ac:dyDescent="0.2">
      <c r="A91" s="168" t="s">
        <v>203</v>
      </c>
      <c r="B91" s="169">
        <v>654158.4</v>
      </c>
    </row>
    <row r="92" spans="1:2" x14ac:dyDescent="0.2">
      <c r="A92" s="168" t="s">
        <v>119</v>
      </c>
      <c r="B92" s="169">
        <v>644791.19999999995</v>
      </c>
    </row>
    <row r="93" spans="1:2" x14ac:dyDescent="0.2">
      <c r="A93" s="168" t="s">
        <v>769</v>
      </c>
      <c r="B93" s="169">
        <v>630920.9</v>
      </c>
    </row>
    <row r="94" spans="1:2" x14ac:dyDescent="0.2">
      <c r="A94" s="168" t="s">
        <v>771</v>
      </c>
      <c r="B94" s="169">
        <v>569765.5</v>
      </c>
    </row>
    <row r="95" spans="1:2" x14ac:dyDescent="0.2">
      <c r="A95" s="168" t="s">
        <v>245</v>
      </c>
      <c r="B95" s="169">
        <v>561208.69999999995</v>
      </c>
    </row>
    <row r="96" spans="1:2" x14ac:dyDescent="0.2">
      <c r="A96" s="168" t="s">
        <v>806</v>
      </c>
      <c r="B96" s="169">
        <v>558172</v>
      </c>
    </row>
    <row r="97" spans="1:2" x14ac:dyDescent="0.2">
      <c r="A97" s="168" t="s">
        <v>203</v>
      </c>
      <c r="B97" s="169">
        <v>530311.5</v>
      </c>
    </row>
    <row r="98" spans="1:2" x14ac:dyDescent="0.2">
      <c r="A98" s="168" t="s">
        <v>1053</v>
      </c>
      <c r="B98" s="169">
        <v>527005.4</v>
      </c>
    </row>
    <row r="99" spans="1:2" x14ac:dyDescent="0.2">
      <c r="A99" s="168" t="s">
        <v>1031</v>
      </c>
      <c r="B99" s="169">
        <v>525461.4</v>
      </c>
    </row>
    <row r="100" spans="1:2" x14ac:dyDescent="0.2">
      <c r="A100" s="172" t="s">
        <v>451</v>
      </c>
      <c r="B100" s="173">
        <v>500000</v>
      </c>
    </row>
    <row r="101" spans="1:2" x14ac:dyDescent="0.2">
      <c r="A101" s="168" t="s">
        <v>1011</v>
      </c>
      <c r="B101" s="169">
        <v>499752.6</v>
      </c>
    </row>
    <row r="102" spans="1:2" x14ac:dyDescent="0.2">
      <c r="A102" s="172" t="s">
        <v>516</v>
      </c>
      <c r="B102" s="173">
        <v>499414.4</v>
      </c>
    </row>
    <row r="103" spans="1:2" x14ac:dyDescent="0.2">
      <c r="A103" s="168" t="s">
        <v>203</v>
      </c>
      <c r="B103" s="169">
        <v>462678</v>
      </c>
    </row>
    <row r="104" spans="1:2" x14ac:dyDescent="0.2">
      <c r="A104" s="166" t="s">
        <v>901</v>
      </c>
      <c r="B104" s="167">
        <v>434784.1</v>
      </c>
    </row>
    <row r="105" spans="1:2" x14ac:dyDescent="0.2">
      <c r="A105" s="168" t="s">
        <v>184</v>
      </c>
      <c r="B105" s="169">
        <v>431602</v>
      </c>
    </row>
    <row r="106" spans="1:2" x14ac:dyDescent="0.2">
      <c r="A106" s="168" t="s">
        <v>746</v>
      </c>
      <c r="B106" s="169">
        <v>429382.5</v>
      </c>
    </row>
    <row r="107" spans="1:2" x14ac:dyDescent="0.2">
      <c r="A107" s="168" t="s">
        <v>392</v>
      </c>
      <c r="B107" s="169">
        <v>412393.2</v>
      </c>
    </row>
    <row r="108" spans="1:2" x14ac:dyDescent="0.2">
      <c r="A108" s="172" t="s">
        <v>448</v>
      </c>
      <c r="B108" s="173">
        <v>411441</v>
      </c>
    </row>
    <row r="109" spans="1:2" x14ac:dyDescent="0.2">
      <c r="A109" s="172" t="s">
        <v>454</v>
      </c>
      <c r="B109" s="173">
        <v>404940</v>
      </c>
    </row>
    <row r="110" spans="1:2" x14ac:dyDescent="0.2">
      <c r="A110" s="168" t="s">
        <v>147</v>
      </c>
      <c r="B110" s="169">
        <v>395954.1</v>
      </c>
    </row>
    <row r="111" spans="1:2" x14ac:dyDescent="0.2">
      <c r="A111" s="168" t="s">
        <v>721</v>
      </c>
      <c r="B111" s="169">
        <v>395471.6</v>
      </c>
    </row>
    <row r="112" spans="1:2" x14ac:dyDescent="0.2">
      <c r="A112" s="168" t="s">
        <v>770</v>
      </c>
      <c r="B112" s="169">
        <v>388000</v>
      </c>
    </row>
    <row r="113" spans="1:2" x14ac:dyDescent="0.2">
      <c r="A113" s="166" t="s">
        <v>743</v>
      </c>
      <c r="B113" s="167">
        <v>376100.4</v>
      </c>
    </row>
    <row r="114" spans="1:2" x14ac:dyDescent="0.2">
      <c r="A114" s="168" t="s">
        <v>1074</v>
      </c>
      <c r="B114" s="169">
        <v>371826.8</v>
      </c>
    </row>
    <row r="115" spans="1:2" x14ac:dyDescent="0.2">
      <c r="A115" s="166" t="s">
        <v>270</v>
      </c>
      <c r="B115" s="167">
        <v>365908.9</v>
      </c>
    </row>
    <row r="116" spans="1:2" x14ac:dyDescent="0.2">
      <c r="A116" s="166" t="s">
        <v>697</v>
      </c>
      <c r="B116" s="167">
        <v>358227.7</v>
      </c>
    </row>
    <row r="117" spans="1:2" x14ac:dyDescent="0.2">
      <c r="A117" s="168" t="s">
        <v>101</v>
      </c>
      <c r="B117" s="169">
        <v>326940.5</v>
      </c>
    </row>
    <row r="118" spans="1:2" x14ac:dyDescent="0.2">
      <c r="A118" s="166" t="s">
        <v>1014</v>
      </c>
      <c r="B118" s="167">
        <v>320964.59999999998</v>
      </c>
    </row>
    <row r="119" spans="1:2" x14ac:dyDescent="0.2">
      <c r="A119" s="168" t="s">
        <v>228</v>
      </c>
      <c r="B119" s="169">
        <v>309258.59999999998</v>
      </c>
    </row>
    <row r="120" spans="1:2" x14ac:dyDescent="0.2">
      <c r="A120" s="168" t="s">
        <v>230</v>
      </c>
      <c r="B120" s="169">
        <v>306143.5</v>
      </c>
    </row>
    <row r="121" spans="1:2" x14ac:dyDescent="0.2">
      <c r="A121" s="168" t="s">
        <v>101</v>
      </c>
      <c r="B121" s="169">
        <v>304748.5</v>
      </c>
    </row>
    <row r="122" spans="1:2" x14ac:dyDescent="0.2">
      <c r="A122" s="172" t="s">
        <v>522</v>
      </c>
      <c r="B122" s="173">
        <v>300000</v>
      </c>
    </row>
    <row r="123" spans="1:2" x14ac:dyDescent="0.2">
      <c r="A123" s="168" t="s">
        <v>208</v>
      </c>
      <c r="B123" s="169">
        <v>290900.90000000002</v>
      </c>
    </row>
    <row r="124" spans="1:2" x14ac:dyDescent="0.2">
      <c r="A124" s="166" t="s">
        <v>713</v>
      </c>
      <c r="B124" s="167">
        <v>287214.40000000002</v>
      </c>
    </row>
    <row r="125" spans="1:2" x14ac:dyDescent="0.2">
      <c r="A125" s="168" t="s">
        <v>101</v>
      </c>
      <c r="B125" s="169">
        <v>282746</v>
      </c>
    </row>
    <row r="126" spans="1:2" x14ac:dyDescent="0.2">
      <c r="A126" s="166" t="s">
        <v>734</v>
      </c>
      <c r="B126" s="167">
        <v>278816.09999999998</v>
      </c>
    </row>
    <row r="127" spans="1:2" x14ac:dyDescent="0.2">
      <c r="A127" s="168" t="s">
        <v>1120</v>
      </c>
      <c r="B127" s="169">
        <v>275966.25</v>
      </c>
    </row>
    <row r="128" spans="1:2" x14ac:dyDescent="0.2">
      <c r="A128" s="168" t="s">
        <v>1122</v>
      </c>
      <c r="B128" s="169">
        <v>275966.25</v>
      </c>
    </row>
    <row r="129" spans="1:2" x14ac:dyDescent="0.2">
      <c r="A129" s="168" t="s">
        <v>322</v>
      </c>
      <c r="B129" s="169">
        <v>272664</v>
      </c>
    </row>
    <row r="130" spans="1:2" x14ac:dyDescent="0.2">
      <c r="A130" s="166" t="s">
        <v>101</v>
      </c>
      <c r="B130" s="167">
        <v>269739.3</v>
      </c>
    </row>
    <row r="131" spans="1:2" x14ac:dyDescent="0.2">
      <c r="A131" s="166" t="s">
        <v>171</v>
      </c>
      <c r="B131" s="167">
        <v>267975.8</v>
      </c>
    </row>
    <row r="132" spans="1:2" x14ac:dyDescent="0.2">
      <c r="A132" s="166" t="s">
        <v>910</v>
      </c>
      <c r="B132" s="167">
        <v>266420.59999999998</v>
      </c>
    </row>
    <row r="133" spans="1:2" x14ac:dyDescent="0.2">
      <c r="A133" s="168" t="s">
        <v>719</v>
      </c>
      <c r="B133" s="169">
        <v>254978.1</v>
      </c>
    </row>
    <row r="134" spans="1:2" x14ac:dyDescent="0.2">
      <c r="A134" s="166" t="s">
        <v>277</v>
      </c>
      <c r="B134" s="167">
        <v>248904.5</v>
      </c>
    </row>
    <row r="135" spans="1:2" x14ac:dyDescent="0.2">
      <c r="A135" s="168" t="s">
        <v>182</v>
      </c>
      <c r="B135" s="169">
        <v>247599.1</v>
      </c>
    </row>
    <row r="136" spans="1:2" x14ac:dyDescent="0.2">
      <c r="A136" s="168" t="s">
        <v>203</v>
      </c>
      <c r="B136" s="169">
        <v>247179.3</v>
      </c>
    </row>
    <row r="137" spans="1:2" x14ac:dyDescent="0.2">
      <c r="A137" s="168" t="s">
        <v>644</v>
      </c>
      <c r="B137" s="169">
        <v>241776</v>
      </c>
    </row>
    <row r="138" spans="1:2" x14ac:dyDescent="0.2">
      <c r="A138" s="168" t="s">
        <v>164</v>
      </c>
      <c r="B138" s="169">
        <v>239481.8</v>
      </c>
    </row>
    <row r="139" spans="1:2" x14ac:dyDescent="0.2">
      <c r="A139" s="168" t="s">
        <v>203</v>
      </c>
      <c r="B139" s="169">
        <v>237971.95</v>
      </c>
    </row>
    <row r="140" spans="1:2" x14ac:dyDescent="0.2">
      <c r="A140" s="168" t="s">
        <v>330</v>
      </c>
      <c r="B140" s="169">
        <v>237214.4</v>
      </c>
    </row>
    <row r="141" spans="1:2" x14ac:dyDescent="0.2">
      <c r="A141" s="168" t="s">
        <v>358</v>
      </c>
      <c r="B141" s="169">
        <v>236400</v>
      </c>
    </row>
    <row r="142" spans="1:2" x14ac:dyDescent="0.2">
      <c r="A142" s="166" t="s">
        <v>830</v>
      </c>
      <c r="B142" s="167">
        <v>225000</v>
      </c>
    </row>
    <row r="143" spans="1:2" x14ac:dyDescent="0.2">
      <c r="A143" s="168" t="s">
        <v>663</v>
      </c>
      <c r="B143" s="169">
        <v>221300.9</v>
      </c>
    </row>
    <row r="144" spans="1:2" x14ac:dyDescent="0.2">
      <c r="A144" s="168" t="s">
        <v>203</v>
      </c>
      <c r="B144" s="169">
        <v>214943.8</v>
      </c>
    </row>
    <row r="145" spans="1:2" x14ac:dyDescent="0.2">
      <c r="A145" s="166" t="s">
        <v>1245</v>
      </c>
      <c r="B145" s="167">
        <v>203829.3</v>
      </c>
    </row>
    <row r="146" spans="1:2" x14ac:dyDescent="0.2">
      <c r="A146" s="168" t="s">
        <v>203</v>
      </c>
      <c r="B146" s="169">
        <v>198375</v>
      </c>
    </row>
    <row r="147" spans="1:2" x14ac:dyDescent="0.2">
      <c r="A147" s="166" t="s">
        <v>203</v>
      </c>
      <c r="B147" s="167">
        <v>197633.9</v>
      </c>
    </row>
    <row r="148" spans="1:2" x14ac:dyDescent="0.2">
      <c r="A148" s="168" t="s">
        <v>961</v>
      </c>
      <c r="B148" s="169">
        <v>197503.3</v>
      </c>
    </row>
    <row r="149" spans="1:2" x14ac:dyDescent="0.2">
      <c r="A149" s="166" t="s">
        <v>826</v>
      </c>
      <c r="B149" s="167">
        <v>195358.6</v>
      </c>
    </row>
    <row r="150" spans="1:2" x14ac:dyDescent="0.2">
      <c r="A150" s="166" t="s">
        <v>1035</v>
      </c>
      <c r="B150" s="167">
        <v>193154.2</v>
      </c>
    </row>
    <row r="151" spans="1:2" x14ac:dyDescent="0.2">
      <c r="A151" s="168" t="s">
        <v>101</v>
      </c>
      <c r="B151" s="169">
        <v>191801.5</v>
      </c>
    </row>
    <row r="152" spans="1:2" x14ac:dyDescent="0.2">
      <c r="A152" s="168" t="s">
        <v>317</v>
      </c>
      <c r="B152" s="169">
        <v>191314.8</v>
      </c>
    </row>
    <row r="153" spans="1:2" x14ac:dyDescent="0.2">
      <c r="A153" s="166" t="s">
        <v>701</v>
      </c>
      <c r="B153" s="167">
        <v>189268.2</v>
      </c>
    </row>
    <row r="154" spans="1:2" x14ac:dyDescent="0.2">
      <c r="A154" s="168" t="s">
        <v>101</v>
      </c>
      <c r="B154" s="169">
        <v>188021.3</v>
      </c>
    </row>
    <row r="155" spans="1:2" x14ac:dyDescent="0.2">
      <c r="A155" s="166" t="s">
        <v>1000</v>
      </c>
      <c r="B155" s="167">
        <v>185038.9</v>
      </c>
    </row>
    <row r="156" spans="1:2" x14ac:dyDescent="0.2">
      <c r="A156" s="166" t="s">
        <v>690</v>
      </c>
      <c r="B156" s="167">
        <v>185035.7</v>
      </c>
    </row>
    <row r="157" spans="1:2" x14ac:dyDescent="0.2">
      <c r="A157" s="168" t="s">
        <v>101</v>
      </c>
      <c r="B157" s="169">
        <v>184945.8</v>
      </c>
    </row>
    <row r="158" spans="1:2" x14ac:dyDescent="0.2">
      <c r="A158" s="168" t="s">
        <v>964</v>
      </c>
      <c r="B158" s="169">
        <v>182382.5</v>
      </c>
    </row>
    <row r="159" spans="1:2" x14ac:dyDescent="0.2">
      <c r="A159" s="166" t="s">
        <v>1161</v>
      </c>
      <c r="B159" s="167">
        <v>182281.4</v>
      </c>
    </row>
    <row r="160" spans="1:2" x14ac:dyDescent="0.2">
      <c r="A160" s="168" t="s">
        <v>325</v>
      </c>
      <c r="B160" s="169">
        <v>181071.6</v>
      </c>
    </row>
    <row r="161" spans="1:2" x14ac:dyDescent="0.2">
      <c r="A161" s="166" t="s">
        <v>309</v>
      </c>
      <c r="B161" s="167">
        <v>176690.64</v>
      </c>
    </row>
    <row r="162" spans="1:2" x14ac:dyDescent="0.2">
      <c r="A162" s="168" t="s">
        <v>101</v>
      </c>
      <c r="B162" s="169">
        <v>174569</v>
      </c>
    </row>
    <row r="163" spans="1:2" x14ac:dyDescent="0.2">
      <c r="A163" s="166" t="s">
        <v>1104</v>
      </c>
      <c r="B163" s="167">
        <v>169676.79999999999</v>
      </c>
    </row>
    <row r="164" spans="1:2" x14ac:dyDescent="0.2">
      <c r="A164" s="172" t="s">
        <v>498</v>
      </c>
      <c r="B164" s="173">
        <v>162740</v>
      </c>
    </row>
    <row r="165" spans="1:2" x14ac:dyDescent="0.2">
      <c r="A165" s="168" t="s">
        <v>1114</v>
      </c>
      <c r="B165" s="169">
        <v>159465.70000000001</v>
      </c>
    </row>
    <row r="166" spans="1:2" x14ac:dyDescent="0.2">
      <c r="A166" s="166" t="s">
        <v>740</v>
      </c>
      <c r="B166" s="167">
        <v>156528.70000000001</v>
      </c>
    </row>
    <row r="167" spans="1:2" x14ac:dyDescent="0.2">
      <c r="A167" s="168" t="s">
        <v>101</v>
      </c>
      <c r="B167" s="169">
        <v>152097.1</v>
      </c>
    </row>
    <row r="168" spans="1:2" x14ac:dyDescent="0.2">
      <c r="A168" s="172" t="s">
        <v>422</v>
      </c>
      <c r="B168" s="173">
        <v>150000</v>
      </c>
    </row>
    <row r="169" spans="1:2" x14ac:dyDescent="0.2">
      <c r="A169" s="172" t="s">
        <v>526</v>
      </c>
      <c r="B169" s="173">
        <v>150000</v>
      </c>
    </row>
    <row r="170" spans="1:2" x14ac:dyDescent="0.2">
      <c r="A170" s="166" t="s">
        <v>857</v>
      </c>
      <c r="B170" s="167">
        <v>148213.9</v>
      </c>
    </row>
    <row r="171" spans="1:2" x14ac:dyDescent="0.2">
      <c r="A171" s="166" t="s">
        <v>101</v>
      </c>
      <c r="B171" s="167">
        <v>147639</v>
      </c>
    </row>
    <row r="172" spans="1:2" x14ac:dyDescent="0.2">
      <c r="A172" s="168" t="s">
        <v>1176</v>
      </c>
      <c r="B172" s="169">
        <v>147614.5</v>
      </c>
    </row>
    <row r="173" spans="1:2" x14ac:dyDescent="0.2">
      <c r="A173" s="168" t="s">
        <v>101</v>
      </c>
      <c r="B173" s="169">
        <v>136298.5</v>
      </c>
    </row>
    <row r="174" spans="1:2" x14ac:dyDescent="0.2">
      <c r="A174" s="168" t="s">
        <v>1051</v>
      </c>
      <c r="B174" s="169">
        <v>134368</v>
      </c>
    </row>
    <row r="175" spans="1:2" x14ac:dyDescent="0.2">
      <c r="A175" s="166" t="s">
        <v>1156</v>
      </c>
      <c r="B175" s="167">
        <v>131872.9</v>
      </c>
    </row>
    <row r="176" spans="1:2" x14ac:dyDescent="0.2">
      <c r="A176" s="168" t="s">
        <v>101</v>
      </c>
      <c r="B176" s="169">
        <v>128453.6</v>
      </c>
    </row>
    <row r="177" spans="1:2" x14ac:dyDescent="0.2">
      <c r="A177" s="168" t="s">
        <v>377</v>
      </c>
      <c r="B177" s="169">
        <v>126104.5</v>
      </c>
    </row>
    <row r="178" spans="1:2" x14ac:dyDescent="0.2">
      <c r="A178" s="166" t="s">
        <v>101</v>
      </c>
      <c r="B178" s="167">
        <v>124299.9</v>
      </c>
    </row>
    <row r="179" spans="1:2" x14ac:dyDescent="0.2">
      <c r="A179" s="172" t="s">
        <v>528</v>
      </c>
      <c r="B179" s="173">
        <v>124179</v>
      </c>
    </row>
    <row r="180" spans="1:2" x14ac:dyDescent="0.2">
      <c r="A180" s="166" t="s">
        <v>917</v>
      </c>
      <c r="B180" s="167">
        <v>121326.9</v>
      </c>
    </row>
    <row r="181" spans="1:2" x14ac:dyDescent="0.2">
      <c r="A181" s="168" t="s">
        <v>981</v>
      </c>
      <c r="B181" s="169">
        <v>120100</v>
      </c>
    </row>
    <row r="182" spans="1:2" x14ac:dyDescent="0.2">
      <c r="A182" s="168" t="s">
        <v>101</v>
      </c>
      <c r="B182" s="169">
        <v>119287.5</v>
      </c>
    </row>
    <row r="183" spans="1:2" x14ac:dyDescent="0.2">
      <c r="A183" s="168" t="s">
        <v>189</v>
      </c>
      <c r="B183" s="169">
        <v>116882.7</v>
      </c>
    </row>
    <row r="184" spans="1:2" x14ac:dyDescent="0.2">
      <c r="A184" s="168" t="s">
        <v>101</v>
      </c>
      <c r="B184" s="169">
        <v>115861.1</v>
      </c>
    </row>
    <row r="185" spans="1:2" x14ac:dyDescent="0.2">
      <c r="A185" s="166" t="s">
        <v>570</v>
      </c>
      <c r="B185" s="167">
        <v>107895.4</v>
      </c>
    </row>
    <row r="186" spans="1:2" x14ac:dyDescent="0.2">
      <c r="A186" s="168" t="s">
        <v>180</v>
      </c>
      <c r="B186" s="169">
        <v>105986.6</v>
      </c>
    </row>
    <row r="187" spans="1:2" x14ac:dyDescent="0.2">
      <c r="A187" s="168" t="s">
        <v>990</v>
      </c>
      <c r="B187" s="169">
        <v>102170</v>
      </c>
    </row>
    <row r="188" spans="1:2" x14ac:dyDescent="0.2">
      <c r="A188" s="172" t="s">
        <v>495</v>
      </c>
      <c r="B188" s="173">
        <v>100000</v>
      </c>
    </row>
    <row r="189" spans="1:2" x14ac:dyDescent="0.2">
      <c r="A189" s="166" t="s">
        <v>101</v>
      </c>
      <c r="B189" s="167">
        <v>99554.4</v>
      </c>
    </row>
    <row r="190" spans="1:2" x14ac:dyDescent="0.2">
      <c r="A190" s="168" t="s">
        <v>101</v>
      </c>
      <c r="B190" s="169">
        <v>93672.9</v>
      </c>
    </row>
    <row r="191" spans="1:2" x14ac:dyDescent="0.2">
      <c r="A191" s="168" t="s">
        <v>814</v>
      </c>
      <c r="B191" s="169">
        <v>90553.7</v>
      </c>
    </row>
    <row r="192" spans="1:2" x14ac:dyDescent="0.2">
      <c r="A192" s="168" t="s">
        <v>1235</v>
      </c>
      <c r="B192" s="169">
        <v>88484.5</v>
      </c>
    </row>
    <row r="193" spans="1:2" x14ac:dyDescent="0.2">
      <c r="A193" s="168" t="s">
        <v>958</v>
      </c>
      <c r="B193" s="169">
        <v>88400</v>
      </c>
    </row>
    <row r="194" spans="1:2" x14ac:dyDescent="0.2">
      <c r="A194" s="166" t="s">
        <v>694</v>
      </c>
      <c r="B194" s="167">
        <v>87313.2</v>
      </c>
    </row>
    <row r="195" spans="1:2" x14ac:dyDescent="0.2">
      <c r="A195" s="166" t="s">
        <v>559</v>
      </c>
      <c r="B195" s="167">
        <v>84302.6</v>
      </c>
    </row>
    <row r="196" spans="1:2" x14ac:dyDescent="0.2">
      <c r="A196" s="168" t="s">
        <v>541</v>
      </c>
      <c r="B196" s="169">
        <v>81635.399999999994</v>
      </c>
    </row>
    <row r="197" spans="1:2" x14ac:dyDescent="0.2">
      <c r="A197" s="168" t="s">
        <v>111</v>
      </c>
      <c r="B197" s="169">
        <v>80163</v>
      </c>
    </row>
    <row r="198" spans="1:2" x14ac:dyDescent="0.2">
      <c r="A198" s="172" t="s">
        <v>465</v>
      </c>
      <c r="B198" s="173">
        <v>76156.5</v>
      </c>
    </row>
    <row r="199" spans="1:2" x14ac:dyDescent="0.2">
      <c r="A199" s="166" t="s">
        <v>941</v>
      </c>
      <c r="B199" s="167">
        <v>74412.7</v>
      </c>
    </row>
    <row r="200" spans="1:2" x14ac:dyDescent="0.2">
      <c r="A200" s="168" t="s">
        <v>627</v>
      </c>
      <c r="B200" s="169">
        <v>74111.399999999994</v>
      </c>
    </row>
    <row r="201" spans="1:2" x14ac:dyDescent="0.2">
      <c r="A201" s="166" t="s">
        <v>599</v>
      </c>
      <c r="B201" s="167">
        <v>73548.2</v>
      </c>
    </row>
    <row r="202" spans="1:2" x14ac:dyDescent="0.2">
      <c r="A202" s="168" t="s">
        <v>1154</v>
      </c>
      <c r="B202" s="169">
        <v>72740</v>
      </c>
    </row>
    <row r="203" spans="1:2" x14ac:dyDescent="0.2">
      <c r="A203" s="168" t="s">
        <v>1192</v>
      </c>
      <c r="B203" s="169">
        <v>71785.3</v>
      </c>
    </row>
    <row r="204" spans="1:2" x14ac:dyDescent="0.2">
      <c r="A204" s="168" t="s">
        <v>101</v>
      </c>
      <c r="B204" s="169">
        <v>71643.5</v>
      </c>
    </row>
    <row r="205" spans="1:2" x14ac:dyDescent="0.2">
      <c r="A205" s="168" t="s">
        <v>1081</v>
      </c>
      <c r="B205" s="169">
        <v>68524</v>
      </c>
    </row>
    <row r="206" spans="1:2" x14ac:dyDescent="0.2">
      <c r="A206" s="168" t="s">
        <v>1033</v>
      </c>
      <c r="B206" s="169">
        <v>65863.3</v>
      </c>
    </row>
    <row r="207" spans="1:2" x14ac:dyDescent="0.2">
      <c r="A207" s="168" t="s">
        <v>380</v>
      </c>
      <c r="B207" s="169">
        <v>61872.7</v>
      </c>
    </row>
    <row r="208" spans="1:2" x14ac:dyDescent="0.2">
      <c r="A208" s="168" t="s">
        <v>956</v>
      </c>
      <c r="B208" s="169">
        <v>60112</v>
      </c>
    </row>
    <row r="209" spans="1:2" x14ac:dyDescent="0.2">
      <c r="A209" s="166" t="s">
        <v>795</v>
      </c>
      <c r="B209" s="167">
        <v>60000</v>
      </c>
    </row>
    <row r="210" spans="1:2" x14ac:dyDescent="0.2">
      <c r="A210" s="168" t="s">
        <v>254</v>
      </c>
      <c r="B210" s="169">
        <v>59137.4</v>
      </c>
    </row>
    <row r="211" spans="1:2" x14ac:dyDescent="0.2">
      <c r="A211" s="168" t="s">
        <v>203</v>
      </c>
      <c r="B211" s="169">
        <v>58886.7</v>
      </c>
    </row>
    <row r="212" spans="1:2" x14ac:dyDescent="0.2">
      <c r="A212" s="168" t="s">
        <v>629</v>
      </c>
      <c r="B212" s="169">
        <v>58580.6</v>
      </c>
    </row>
    <row r="213" spans="1:2" x14ac:dyDescent="0.2">
      <c r="A213" s="168" t="s">
        <v>101</v>
      </c>
      <c r="B213" s="169">
        <v>54957</v>
      </c>
    </row>
    <row r="214" spans="1:2" x14ac:dyDescent="0.2">
      <c r="A214" s="166" t="s">
        <v>724</v>
      </c>
      <c r="B214" s="167">
        <v>53219.7</v>
      </c>
    </row>
    <row r="215" spans="1:2" x14ac:dyDescent="0.2">
      <c r="A215" s="166" t="s">
        <v>823</v>
      </c>
      <c r="B215" s="167">
        <v>51000</v>
      </c>
    </row>
    <row r="216" spans="1:2" x14ac:dyDescent="0.2">
      <c r="A216" s="166" t="s">
        <v>589</v>
      </c>
      <c r="B216" s="167">
        <v>49889.599999999999</v>
      </c>
    </row>
    <row r="217" spans="1:2" x14ac:dyDescent="0.2">
      <c r="A217" s="168" t="s">
        <v>1042</v>
      </c>
      <c r="B217" s="169">
        <v>49625.599999999999</v>
      </c>
    </row>
    <row r="218" spans="1:2" x14ac:dyDescent="0.2">
      <c r="A218" s="168" t="s">
        <v>101</v>
      </c>
      <c r="B218" s="169">
        <v>49247.58</v>
      </c>
    </row>
    <row r="219" spans="1:2" x14ac:dyDescent="0.2">
      <c r="A219" s="168" t="s">
        <v>876</v>
      </c>
      <c r="B219" s="169">
        <v>48781.2</v>
      </c>
    </row>
    <row r="220" spans="1:2" x14ac:dyDescent="0.2">
      <c r="A220" s="168" t="s">
        <v>375</v>
      </c>
      <c r="B220" s="169">
        <v>48732.6</v>
      </c>
    </row>
    <row r="221" spans="1:2" x14ac:dyDescent="0.2">
      <c r="A221" s="168" t="s">
        <v>557</v>
      </c>
      <c r="B221" s="169">
        <v>47895.5</v>
      </c>
    </row>
    <row r="222" spans="1:2" x14ac:dyDescent="0.2">
      <c r="A222" s="166" t="s">
        <v>608</v>
      </c>
      <c r="B222" s="167">
        <v>47272</v>
      </c>
    </row>
    <row r="223" spans="1:2" x14ac:dyDescent="0.2">
      <c r="A223" s="168" t="s">
        <v>401</v>
      </c>
      <c r="B223" s="169">
        <v>46594.6</v>
      </c>
    </row>
    <row r="224" spans="1:2" x14ac:dyDescent="0.2">
      <c r="A224" s="168" t="s">
        <v>932</v>
      </c>
      <c r="B224" s="169">
        <v>46579.3</v>
      </c>
    </row>
    <row r="225" spans="1:2" x14ac:dyDescent="0.2">
      <c r="A225" s="166" t="s">
        <v>367</v>
      </c>
      <c r="B225" s="167">
        <v>45181.9</v>
      </c>
    </row>
    <row r="226" spans="1:2" x14ac:dyDescent="0.2">
      <c r="A226" s="172" t="s">
        <v>436</v>
      </c>
      <c r="B226" s="173">
        <v>45000</v>
      </c>
    </row>
    <row r="227" spans="1:2" x14ac:dyDescent="0.2">
      <c r="A227" s="168" t="s">
        <v>342</v>
      </c>
      <c r="B227" s="169">
        <v>44684.45</v>
      </c>
    </row>
    <row r="228" spans="1:2" x14ac:dyDescent="0.2">
      <c r="A228" s="168" t="s">
        <v>915</v>
      </c>
      <c r="B228" s="169">
        <v>43284.1</v>
      </c>
    </row>
    <row r="229" spans="1:2" x14ac:dyDescent="0.2">
      <c r="A229" s="168" t="s">
        <v>101</v>
      </c>
      <c r="B229" s="169">
        <v>43252.2</v>
      </c>
    </row>
    <row r="230" spans="1:2" x14ac:dyDescent="0.2">
      <c r="A230" s="166" t="s">
        <v>402</v>
      </c>
      <c r="B230" s="167">
        <v>42937.4</v>
      </c>
    </row>
    <row r="231" spans="1:2" x14ac:dyDescent="0.2">
      <c r="A231" s="172" t="s">
        <v>480</v>
      </c>
      <c r="B231" s="173">
        <v>42833.33</v>
      </c>
    </row>
    <row r="232" spans="1:2" x14ac:dyDescent="0.2">
      <c r="A232" s="168" t="s">
        <v>101</v>
      </c>
      <c r="B232" s="169">
        <v>42136.2</v>
      </c>
    </row>
    <row r="233" spans="1:2" x14ac:dyDescent="0.2">
      <c r="A233" s="166" t="s">
        <v>1184</v>
      </c>
      <c r="B233" s="167">
        <v>39360.199999999997</v>
      </c>
    </row>
    <row r="234" spans="1:2" x14ac:dyDescent="0.2">
      <c r="A234" s="168" t="s">
        <v>1188</v>
      </c>
      <c r="B234" s="169">
        <v>39360.199999999997</v>
      </c>
    </row>
    <row r="235" spans="1:2" x14ac:dyDescent="0.2">
      <c r="A235" s="168" t="s">
        <v>101</v>
      </c>
      <c r="B235" s="169">
        <v>39106.400000000001</v>
      </c>
    </row>
    <row r="236" spans="1:2" x14ac:dyDescent="0.2">
      <c r="A236" s="166" t="s">
        <v>705</v>
      </c>
      <c r="B236" s="167">
        <v>39007.1</v>
      </c>
    </row>
    <row r="237" spans="1:2" x14ac:dyDescent="0.2">
      <c r="A237" s="168" t="s">
        <v>553</v>
      </c>
      <c r="B237" s="169">
        <v>38342.5</v>
      </c>
    </row>
    <row r="238" spans="1:2" x14ac:dyDescent="0.2">
      <c r="A238" s="166" t="s">
        <v>716</v>
      </c>
      <c r="B238" s="167">
        <v>37088.5</v>
      </c>
    </row>
    <row r="239" spans="1:2" x14ac:dyDescent="0.2">
      <c r="A239" s="166" t="s">
        <v>790</v>
      </c>
      <c r="B239" s="167">
        <v>36000</v>
      </c>
    </row>
    <row r="240" spans="1:2" x14ac:dyDescent="0.2">
      <c r="A240" s="168" t="s">
        <v>101</v>
      </c>
      <c r="B240" s="169">
        <v>35953.599999999999</v>
      </c>
    </row>
    <row r="241" spans="1:2" x14ac:dyDescent="0.2">
      <c r="A241" s="166" t="s">
        <v>1136</v>
      </c>
      <c r="B241" s="167">
        <v>35307.300000000003</v>
      </c>
    </row>
    <row r="242" spans="1:2" x14ac:dyDescent="0.2">
      <c r="A242" s="168" t="s">
        <v>953</v>
      </c>
      <c r="B242" s="169">
        <v>35027.599999999999</v>
      </c>
    </row>
    <row r="243" spans="1:2" x14ac:dyDescent="0.2">
      <c r="A243" s="168" t="s">
        <v>221</v>
      </c>
      <c r="B243" s="169">
        <v>34466.199999999997</v>
      </c>
    </row>
    <row r="244" spans="1:2" x14ac:dyDescent="0.2">
      <c r="A244" s="166" t="s">
        <v>1086</v>
      </c>
      <c r="B244" s="167">
        <v>34376.769999999997</v>
      </c>
    </row>
    <row r="245" spans="1:2" x14ac:dyDescent="0.2">
      <c r="A245" s="168" t="s">
        <v>1068</v>
      </c>
      <c r="B245" s="169">
        <v>34056</v>
      </c>
    </row>
    <row r="246" spans="1:2" x14ac:dyDescent="0.2">
      <c r="A246" s="168" t="s">
        <v>604</v>
      </c>
      <c r="B246" s="169">
        <v>30440</v>
      </c>
    </row>
    <row r="247" spans="1:2" x14ac:dyDescent="0.2">
      <c r="A247" s="172" t="s">
        <v>434</v>
      </c>
      <c r="B247" s="173">
        <v>30300</v>
      </c>
    </row>
    <row r="248" spans="1:2" x14ac:dyDescent="0.2">
      <c r="A248" s="168" t="s">
        <v>141</v>
      </c>
      <c r="B248" s="169">
        <v>30000</v>
      </c>
    </row>
    <row r="249" spans="1:2" x14ac:dyDescent="0.2">
      <c r="A249" s="168" t="s">
        <v>354</v>
      </c>
      <c r="B249" s="169">
        <v>30000</v>
      </c>
    </row>
    <row r="250" spans="1:2" x14ac:dyDescent="0.2">
      <c r="A250" s="168" t="s">
        <v>356</v>
      </c>
      <c r="B250" s="169">
        <v>30000</v>
      </c>
    </row>
    <row r="251" spans="1:2" x14ac:dyDescent="0.2">
      <c r="A251" s="168" t="s">
        <v>906</v>
      </c>
      <c r="B251" s="169">
        <v>30000</v>
      </c>
    </row>
    <row r="252" spans="1:2" x14ac:dyDescent="0.2">
      <c r="A252" s="168" t="s">
        <v>193</v>
      </c>
      <c r="B252" s="169">
        <v>29988.7</v>
      </c>
    </row>
    <row r="253" spans="1:2" x14ac:dyDescent="0.2">
      <c r="A253" s="166" t="s">
        <v>1048</v>
      </c>
      <c r="B253" s="167">
        <v>29856.7</v>
      </c>
    </row>
    <row r="254" spans="1:2" x14ac:dyDescent="0.2">
      <c r="A254" s="166" t="s">
        <v>892</v>
      </c>
      <c r="B254" s="167">
        <v>29692.1</v>
      </c>
    </row>
    <row r="255" spans="1:2" x14ac:dyDescent="0.2">
      <c r="A255" s="168" t="s">
        <v>1070</v>
      </c>
      <c r="B255" s="169">
        <v>28976.6</v>
      </c>
    </row>
    <row r="256" spans="1:2" x14ac:dyDescent="0.2">
      <c r="A256" s="168" t="s">
        <v>865</v>
      </c>
      <c r="B256" s="169">
        <v>28651.200000000001</v>
      </c>
    </row>
    <row r="257" spans="1:2" x14ac:dyDescent="0.2">
      <c r="A257" s="166" t="s">
        <v>565</v>
      </c>
      <c r="B257" s="167">
        <v>28276.5</v>
      </c>
    </row>
    <row r="258" spans="1:2" x14ac:dyDescent="0.2">
      <c r="A258" s="168" t="s">
        <v>944</v>
      </c>
      <c r="B258" s="169">
        <v>27790.799999999999</v>
      </c>
    </row>
    <row r="259" spans="1:2" x14ac:dyDescent="0.2">
      <c r="A259" s="168" t="s">
        <v>365</v>
      </c>
      <c r="B259" s="169">
        <v>27771.200000000001</v>
      </c>
    </row>
    <row r="260" spans="1:2" x14ac:dyDescent="0.2">
      <c r="A260" s="168" t="s">
        <v>203</v>
      </c>
      <c r="B260" s="169">
        <v>27749.5</v>
      </c>
    </row>
    <row r="261" spans="1:2" x14ac:dyDescent="0.2">
      <c r="A261" s="166" t="s">
        <v>816</v>
      </c>
      <c r="B261" s="167">
        <v>27244.1</v>
      </c>
    </row>
    <row r="262" spans="1:2" x14ac:dyDescent="0.2">
      <c r="A262" s="168" t="s">
        <v>203</v>
      </c>
      <c r="B262" s="169">
        <v>27091.4</v>
      </c>
    </row>
    <row r="263" spans="1:2" x14ac:dyDescent="0.2">
      <c r="A263" s="168" t="s">
        <v>872</v>
      </c>
      <c r="B263" s="169">
        <v>26324.5</v>
      </c>
    </row>
    <row r="264" spans="1:2" x14ac:dyDescent="0.2">
      <c r="A264" s="168" t="s">
        <v>101</v>
      </c>
      <c r="B264" s="169">
        <v>26079.599999999999</v>
      </c>
    </row>
    <row r="265" spans="1:2" x14ac:dyDescent="0.2">
      <c r="A265" s="172" t="s">
        <v>475</v>
      </c>
      <c r="B265" s="173">
        <v>25840</v>
      </c>
    </row>
    <row r="266" spans="1:2" x14ac:dyDescent="0.2">
      <c r="A266" s="166" t="s">
        <v>896</v>
      </c>
      <c r="B266" s="167">
        <v>25190.799999999999</v>
      </c>
    </row>
    <row r="267" spans="1:2" x14ac:dyDescent="0.2">
      <c r="A267" s="168" t="s">
        <v>1145</v>
      </c>
      <c r="B267" s="169">
        <v>25037.3</v>
      </c>
    </row>
    <row r="268" spans="1:2" x14ac:dyDescent="0.2">
      <c r="A268" s="168" t="s">
        <v>974</v>
      </c>
      <c r="B268" s="169">
        <v>24578.1</v>
      </c>
    </row>
    <row r="269" spans="1:2" x14ac:dyDescent="0.2">
      <c r="A269" s="166" t="s">
        <v>924</v>
      </c>
      <c r="B269" s="167">
        <v>24398.7</v>
      </c>
    </row>
    <row r="270" spans="1:2" x14ac:dyDescent="0.2">
      <c r="A270" s="168" t="s">
        <v>595</v>
      </c>
      <c r="B270" s="169">
        <v>24358</v>
      </c>
    </row>
    <row r="271" spans="1:2" x14ac:dyDescent="0.2">
      <c r="A271" s="168" t="s">
        <v>153</v>
      </c>
      <c r="B271" s="169">
        <v>24285</v>
      </c>
    </row>
    <row r="272" spans="1:2" x14ac:dyDescent="0.2">
      <c r="A272" s="168" t="s">
        <v>1116</v>
      </c>
      <c r="B272" s="169">
        <v>24180.7</v>
      </c>
    </row>
    <row r="273" spans="1:2" x14ac:dyDescent="0.2">
      <c r="A273" s="168" t="s">
        <v>292</v>
      </c>
      <c r="B273" s="169">
        <v>24020.3</v>
      </c>
    </row>
    <row r="274" spans="1:2" x14ac:dyDescent="0.2">
      <c r="A274" s="168" t="s">
        <v>550</v>
      </c>
      <c r="B274" s="169">
        <v>23936.5</v>
      </c>
    </row>
    <row r="275" spans="1:2" x14ac:dyDescent="0.2">
      <c r="A275" s="168" t="s">
        <v>382</v>
      </c>
      <c r="B275" s="169">
        <v>23042</v>
      </c>
    </row>
    <row r="276" spans="1:2" x14ac:dyDescent="0.2">
      <c r="A276" s="166" t="s">
        <v>288</v>
      </c>
      <c r="B276" s="167">
        <v>22708.5</v>
      </c>
    </row>
    <row r="277" spans="1:2" x14ac:dyDescent="0.2">
      <c r="A277" s="168" t="s">
        <v>1096</v>
      </c>
      <c r="B277" s="169">
        <v>22582.9</v>
      </c>
    </row>
    <row r="278" spans="1:2" x14ac:dyDescent="0.2">
      <c r="A278" s="168" t="s">
        <v>597</v>
      </c>
      <c r="B278" s="169">
        <v>22534.2</v>
      </c>
    </row>
    <row r="279" spans="1:2" x14ac:dyDescent="0.2">
      <c r="A279" s="168" t="s">
        <v>203</v>
      </c>
      <c r="B279" s="169">
        <v>22427.7</v>
      </c>
    </row>
    <row r="280" spans="1:2" x14ac:dyDescent="0.2">
      <c r="A280" s="166" t="s">
        <v>284</v>
      </c>
      <c r="B280" s="167">
        <v>21986.7</v>
      </c>
    </row>
    <row r="281" spans="1:2" x14ac:dyDescent="0.2">
      <c r="A281" s="166" t="s">
        <v>1208</v>
      </c>
      <c r="B281" s="167">
        <v>20878.599999999999</v>
      </c>
    </row>
    <row r="282" spans="1:2" x14ac:dyDescent="0.2">
      <c r="A282" s="166" t="s">
        <v>1252</v>
      </c>
      <c r="B282" s="167">
        <v>20649.599999999999</v>
      </c>
    </row>
    <row r="283" spans="1:2" x14ac:dyDescent="0.2">
      <c r="A283" s="168" t="s">
        <v>1196</v>
      </c>
      <c r="B283" s="169">
        <v>20594.2</v>
      </c>
    </row>
    <row r="284" spans="1:2" x14ac:dyDescent="0.2">
      <c r="A284" s="168" t="s">
        <v>178</v>
      </c>
      <c r="B284" s="169">
        <v>20150.8</v>
      </c>
    </row>
    <row r="285" spans="1:2" x14ac:dyDescent="0.2">
      <c r="A285" s="166" t="s">
        <v>1139</v>
      </c>
      <c r="B285" s="167">
        <v>20055.099999999999</v>
      </c>
    </row>
    <row r="286" spans="1:2" x14ac:dyDescent="0.2">
      <c r="A286" s="172" t="s">
        <v>457</v>
      </c>
      <c r="B286" s="173">
        <v>20000</v>
      </c>
    </row>
    <row r="287" spans="1:2" x14ac:dyDescent="0.2">
      <c r="A287" s="168" t="s">
        <v>620</v>
      </c>
      <c r="B287" s="169">
        <v>19561.8</v>
      </c>
    </row>
    <row r="288" spans="1:2" x14ac:dyDescent="0.2">
      <c r="A288" s="168" t="s">
        <v>633</v>
      </c>
      <c r="B288" s="169">
        <v>19428.599999999999</v>
      </c>
    </row>
    <row r="289" spans="1:2" x14ac:dyDescent="0.2">
      <c r="A289" s="168" t="s">
        <v>226</v>
      </c>
      <c r="B289" s="169">
        <v>18389</v>
      </c>
    </row>
    <row r="290" spans="1:2" x14ac:dyDescent="0.2">
      <c r="A290" s="168" t="s">
        <v>555</v>
      </c>
      <c r="B290" s="169">
        <v>18089</v>
      </c>
    </row>
    <row r="291" spans="1:2" x14ac:dyDescent="0.2">
      <c r="A291" s="166" t="s">
        <v>101</v>
      </c>
      <c r="B291" s="167">
        <v>18086.2</v>
      </c>
    </row>
    <row r="292" spans="1:2" x14ac:dyDescent="0.2">
      <c r="A292" s="166" t="s">
        <v>927</v>
      </c>
      <c r="B292" s="167">
        <v>17680</v>
      </c>
    </row>
    <row r="293" spans="1:2" x14ac:dyDescent="0.2">
      <c r="A293" s="168" t="s">
        <v>203</v>
      </c>
      <c r="B293" s="169">
        <v>17394.099999999999</v>
      </c>
    </row>
    <row r="294" spans="1:2" x14ac:dyDescent="0.2">
      <c r="A294" s="168" t="s">
        <v>121</v>
      </c>
      <c r="B294" s="169">
        <v>17340</v>
      </c>
    </row>
    <row r="295" spans="1:2" x14ac:dyDescent="0.2">
      <c r="A295" s="166" t="s">
        <v>1249</v>
      </c>
      <c r="B295" s="167">
        <v>17041.7</v>
      </c>
    </row>
    <row r="296" spans="1:2" x14ac:dyDescent="0.2">
      <c r="A296" s="168" t="s">
        <v>1215</v>
      </c>
      <c r="B296" s="169">
        <v>16853.2</v>
      </c>
    </row>
    <row r="297" spans="1:2" x14ac:dyDescent="0.2">
      <c r="A297" s="166" t="s">
        <v>1061</v>
      </c>
      <c r="B297" s="167">
        <v>16617</v>
      </c>
    </row>
    <row r="298" spans="1:2" x14ac:dyDescent="0.2">
      <c r="A298" s="168" t="s">
        <v>1229</v>
      </c>
      <c r="B298" s="169">
        <v>16197.4</v>
      </c>
    </row>
    <row r="299" spans="1:2" x14ac:dyDescent="0.2">
      <c r="A299" s="168" t="s">
        <v>1132</v>
      </c>
      <c r="B299" s="169">
        <v>15873</v>
      </c>
    </row>
    <row r="300" spans="1:2" x14ac:dyDescent="0.2">
      <c r="A300" s="168" t="s">
        <v>161</v>
      </c>
      <c r="B300" s="169">
        <v>15619.3</v>
      </c>
    </row>
    <row r="301" spans="1:2" x14ac:dyDescent="0.2">
      <c r="A301" s="168" t="s">
        <v>259</v>
      </c>
      <c r="B301" s="169">
        <v>15000</v>
      </c>
    </row>
    <row r="302" spans="1:2" x14ac:dyDescent="0.2">
      <c r="A302" s="168" t="s">
        <v>101</v>
      </c>
      <c r="B302" s="169">
        <v>14991.7</v>
      </c>
    </row>
    <row r="303" spans="1:2" x14ac:dyDescent="0.2">
      <c r="A303" s="170" t="s">
        <v>406</v>
      </c>
      <c r="B303" s="171">
        <v>14735.8</v>
      </c>
    </row>
    <row r="304" spans="1:2" x14ac:dyDescent="0.2">
      <c r="A304" s="166" t="s">
        <v>1220</v>
      </c>
      <c r="B304" s="167">
        <v>14697.7</v>
      </c>
    </row>
    <row r="305" spans="1:2" x14ac:dyDescent="0.2">
      <c r="A305" s="168" t="s">
        <v>1147</v>
      </c>
      <c r="B305" s="169">
        <v>13617.1</v>
      </c>
    </row>
    <row r="306" spans="1:2" x14ac:dyDescent="0.2">
      <c r="A306" s="168" t="s">
        <v>587</v>
      </c>
      <c r="B306" s="169">
        <v>12595.4</v>
      </c>
    </row>
    <row r="307" spans="1:2" x14ac:dyDescent="0.2">
      <c r="A307" s="168" t="s">
        <v>844</v>
      </c>
      <c r="B307" s="169">
        <v>11875.5</v>
      </c>
    </row>
    <row r="308" spans="1:2" x14ac:dyDescent="0.2">
      <c r="A308" s="166" t="s">
        <v>1223</v>
      </c>
      <c r="B308" s="167">
        <v>10215.620000000001</v>
      </c>
    </row>
    <row r="309" spans="1:2" x14ac:dyDescent="0.2">
      <c r="A309" s="172" t="s">
        <v>470</v>
      </c>
      <c r="B309" s="173">
        <v>10200</v>
      </c>
    </row>
    <row r="310" spans="1:2" x14ac:dyDescent="0.2">
      <c r="A310" s="172" t="s">
        <v>489</v>
      </c>
      <c r="B310" s="173">
        <v>10000</v>
      </c>
    </row>
    <row r="311" spans="1:2" x14ac:dyDescent="0.2">
      <c r="A311" s="168" t="s">
        <v>870</v>
      </c>
      <c r="B311" s="169">
        <v>9830.6</v>
      </c>
    </row>
    <row r="312" spans="1:2" x14ac:dyDescent="0.2">
      <c r="A312" s="168" t="s">
        <v>954</v>
      </c>
      <c r="B312" s="169">
        <v>9723.9500000000007</v>
      </c>
    </row>
    <row r="313" spans="1:2" x14ac:dyDescent="0.2">
      <c r="A313" s="166" t="s">
        <v>798</v>
      </c>
      <c r="B313" s="167">
        <v>9283.5</v>
      </c>
    </row>
    <row r="314" spans="1:2" x14ac:dyDescent="0.2">
      <c r="A314" s="168" t="s">
        <v>890</v>
      </c>
      <c r="B314" s="169">
        <v>9111.5</v>
      </c>
    </row>
    <row r="315" spans="1:2" x14ac:dyDescent="0.2">
      <c r="A315" s="168" t="s">
        <v>1206</v>
      </c>
      <c r="B315" s="169">
        <v>8959.5</v>
      </c>
    </row>
    <row r="316" spans="1:2" x14ac:dyDescent="0.2">
      <c r="A316" s="168" t="s">
        <v>332</v>
      </c>
      <c r="B316" s="169">
        <v>8785.1</v>
      </c>
    </row>
    <row r="317" spans="1:2" x14ac:dyDescent="0.2">
      <c r="A317" s="172" t="s">
        <v>524</v>
      </c>
      <c r="B317" s="173">
        <v>8250</v>
      </c>
    </row>
    <row r="318" spans="1:2" x14ac:dyDescent="0.2">
      <c r="A318" s="168" t="s">
        <v>125</v>
      </c>
      <c r="B318" s="169">
        <v>7588</v>
      </c>
    </row>
    <row r="319" spans="1:2" x14ac:dyDescent="0.2">
      <c r="A319" s="168" t="s">
        <v>922</v>
      </c>
      <c r="B319" s="169">
        <v>6677.7</v>
      </c>
    </row>
    <row r="320" spans="1:2" x14ac:dyDescent="0.2">
      <c r="A320" s="166" t="s">
        <v>615</v>
      </c>
      <c r="B320" s="167">
        <v>6631</v>
      </c>
    </row>
    <row r="321" spans="1:2" x14ac:dyDescent="0.2">
      <c r="A321" s="166" t="s">
        <v>101</v>
      </c>
      <c r="B321" s="167">
        <v>6239.5</v>
      </c>
    </row>
    <row r="322" spans="1:2" x14ac:dyDescent="0.2">
      <c r="A322" s="166" t="s">
        <v>996</v>
      </c>
      <c r="B322" s="167">
        <v>6188</v>
      </c>
    </row>
    <row r="323" spans="1:2" x14ac:dyDescent="0.2">
      <c r="A323" s="168" t="s">
        <v>803</v>
      </c>
      <c r="B323" s="169">
        <v>6086.7</v>
      </c>
    </row>
    <row r="324" spans="1:2" x14ac:dyDescent="0.2">
      <c r="A324" s="166" t="s">
        <v>841</v>
      </c>
      <c r="B324" s="167">
        <v>6016.7</v>
      </c>
    </row>
    <row r="325" spans="1:2" x14ac:dyDescent="0.2">
      <c r="A325" s="172" t="s">
        <v>438</v>
      </c>
      <c r="B325" s="173">
        <v>5361.8</v>
      </c>
    </row>
    <row r="326" spans="1:2" x14ac:dyDescent="0.2">
      <c r="A326" s="166" t="s">
        <v>1128</v>
      </c>
      <c r="B326" s="167">
        <v>4794.6000000000004</v>
      </c>
    </row>
    <row r="327" spans="1:2" x14ac:dyDescent="0.2">
      <c r="A327" s="168" t="s">
        <v>962</v>
      </c>
      <c r="B327" s="169">
        <v>4420</v>
      </c>
    </row>
    <row r="328" spans="1:2" x14ac:dyDescent="0.2">
      <c r="A328" s="168" t="s">
        <v>220</v>
      </c>
      <c r="B328" s="169">
        <v>3938.5</v>
      </c>
    </row>
    <row r="329" spans="1:2" x14ac:dyDescent="0.2">
      <c r="A329" s="168" t="s">
        <v>1198</v>
      </c>
      <c r="B329" s="169">
        <v>3500</v>
      </c>
    </row>
    <row r="330" spans="1:2" x14ac:dyDescent="0.2">
      <c r="A330" s="168" t="s">
        <v>214</v>
      </c>
      <c r="B330" s="169">
        <v>3392.5</v>
      </c>
    </row>
    <row r="331" spans="1:2" x14ac:dyDescent="0.2">
      <c r="A331" s="168" t="s">
        <v>151</v>
      </c>
      <c r="B331" s="169">
        <v>3220</v>
      </c>
    </row>
    <row r="332" spans="1:2" x14ac:dyDescent="0.2">
      <c r="A332" s="168" t="s">
        <v>793</v>
      </c>
      <c r="B332" s="169">
        <v>2500</v>
      </c>
    </row>
    <row r="333" spans="1:2" x14ac:dyDescent="0.2">
      <c r="A333" s="168" t="s">
        <v>646</v>
      </c>
      <c r="B333" s="169">
        <v>2397</v>
      </c>
    </row>
    <row r="334" spans="1:2" x14ac:dyDescent="0.2">
      <c r="A334" s="168" t="s">
        <v>966</v>
      </c>
      <c r="B334" s="169">
        <v>2298.4</v>
      </c>
    </row>
    <row r="335" spans="1:2" x14ac:dyDescent="0.2">
      <c r="A335" s="168" t="s">
        <v>810</v>
      </c>
      <c r="B335" s="169">
        <v>1199.4000000000001</v>
      </c>
    </row>
    <row r="336" spans="1:2" x14ac:dyDescent="0.2">
      <c r="A336" s="168" t="s">
        <v>846</v>
      </c>
      <c r="B336" s="169">
        <v>1000</v>
      </c>
    </row>
    <row r="337" spans="1:2" x14ac:dyDescent="0.2">
      <c r="A337" s="168" t="s">
        <v>883</v>
      </c>
      <c r="B337" s="169">
        <v>739.4</v>
      </c>
    </row>
    <row r="338" spans="1:2" x14ac:dyDescent="0.2">
      <c r="A338" s="168" t="s">
        <v>157</v>
      </c>
      <c r="B338" s="169">
        <v>374</v>
      </c>
    </row>
    <row r="339" spans="1:2" x14ac:dyDescent="0.2">
      <c r="A339" s="172" t="s">
        <v>440</v>
      </c>
      <c r="B339" s="173">
        <v>0</v>
      </c>
    </row>
    <row r="340" spans="1:2" x14ac:dyDescent="0.2">
      <c r="A340" s="172" t="s">
        <v>444</v>
      </c>
      <c r="B340" s="173">
        <v>0</v>
      </c>
    </row>
    <row r="341" spans="1:2" x14ac:dyDescent="0.2">
      <c r="A341" s="168" t="s">
        <v>946</v>
      </c>
      <c r="B341" s="169">
        <v>0</v>
      </c>
    </row>
    <row r="342" spans="1:2" x14ac:dyDescent="0.2">
      <c r="A342" s="168" t="s">
        <v>948</v>
      </c>
      <c r="B342" s="169">
        <v>0</v>
      </c>
    </row>
    <row r="343" spans="1:2" x14ac:dyDescent="0.2">
      <c r="A343" s="168" t="s">
        <v>424</v>
      </c>
      <c r="B343" s="169">
        <v>0</v>
      </c>
    </row>
    <row r="344" spans="1:2" x14ac:dyDescent="0.2">
      <c r="A344" s="166" t="s">
        <v>1259</v>
      </c>
      <c r="B344" s="167" t="s">
        <v>1499</v>
      </c>
    </row>
    <row r="345" spans="1:2" x14ac:dyDescent="0.2">
      <c r="A345" s="166" t="s">
        <v>1267</v>
      </c>
      <c r="B345" s="167">
        <v>86522.26</v>
      </c>
    </row>
    <row r="346" spans="1:2" x14ac:dyDescent="0.2">
      <c r="A346" s="168" t="s">
        <v>1272</v>
      </c>
      <c r="B346" s="169">
        <v>13000</v>
      </c>
    </row>
    <row r="347" spans="1:2" x14ac:dyDescent="0.2">
      <c r="A347" s="166" t="s">
        <v>1274</v>
      </c>
      <c r="B347" s="167">
        <v>10000</v>
      </c>
    </row>
    <row r="348" spans="1:2" x14ac:dyDescent="0.2">
      <c r="A348" s="168" t="s">
        <v>101</v>
      </c>
      <c r="B348" s="169">
        <v>8993.7000000000007</v>
      </c>
    </row>
    <row r="349" spans="1:2" x14ac:dyDescent="0.2">
      <c r="A349" s="168" t="s">
        <v>101</v>
      </c>
      <c r="B349" s="169">
        <v>487435.1</v>
      </c>
    </row>
    <row r="350" spans="1:2" x14ac:dyDescent="0.2">
      <c r="A350" s="166" t="s">
        <v>1285</v>
      </c>
      <c r="B350" s="167">
        <v>101340.7</v>
      </c>
    </row>
    <row r="351" spans="1:2" x14ac:dyDescent="0.2">
      <c r="A351" s="168" t="s">
        <v>1291</v>
      </c>
      <c r="B351" s="169">
        <v>2100</v>
      </c>
    </row>
    <row r="352" spans="1:2" x14ac:dyDescent="0.2">
      <c r="A352" s="168" t="s">
        <v>1293</v>
      </c>
      <c r="B352" s="169">
        <v>132100</v>
      </c>
    </row>
    <row r="353" spans="1:2" x14ac:dyDescent="0.2">
      <c r="A353" s="168" t="s">
        <v>1297</v>
      </c>
      <c r="B353" s="169">
        <v>476116.2</v>
      </c>
    </row>
    <row r="354" spans="1:2" x14ac:dyDescent="0.2">
      <c r="A354" s="168" t="s">
        <v>101</v>
      </c>
      <c r="B354" s="169">
        <v>13560</v>
      </c>
    </row>
    <row r="355" spans="1:2" x14ac:dyDescent="0.2">
      <c r="A355" s="168" t="s">
        <v>1305</v>
      </c>
      <c r="B355" s="169">
        <v>42253.4</v>
      </c>
    </row>
    <row r="356" spans="1:2" x14ac:dyDescent="0.2">
      <c r="A356" s="168" t="s">
        <v>101</v>
      </c>
      <c r="B356" s="169">
        <v>192449.6</v>
      </c>
    </row>
    <row r="357" spans="1:2" x14ac:dyDescent="0.2">
      <c r="A357" s="168" t="s">
        <v>203</v>
      </c>
      <c r="B357" s="169">
        <v>423974.2</v>
      </c>
    </row>
    <row r="358" spans="1:2" x14ac:dyDescent="0.2">
      <c r="A358" s="168" t="s">
        <v>1313</v>
      </c>
      <c r="B358" s="169">
        <v>46576.4</v>
      </c>
    </row>
    <row r="359" spans="1:2" x14ac:dyDescent="0.2">
      <c r="A359" s="168" t="s">
        <v>1314</v>
      </c>
      <c r="B359" s="169">
        <v>19109.599999999999</v>
      </c>
    </row>
    <row r="360" spans="1:2" x14ac:dyDescent="0.2">
      <c r="A360" s="168" t="s">
        <v>1319</v>
      </c>
      <c r="B360" s="169">
        <v>11870</v>
      </c>
    </row>
    <row r="361" spans="1:2" x14ac:dyDescent="0.2">
      <c r="A361" s="168" t="s">
        <v>1320</v>
      </c>
      <c r="B361" s="169">
        <v>1291.7</v>
      </c>
    </row>
    <row r="362" spans="1:2" x14ac:dyDescent="0.2">
      <c r="A362" s="168" t="s">
        <v>1326</v>
      </c>
      <c r="B362" s="169">
        <v>6488.1</v>
      </c>
    </row>
    <row r="363" spans="1:2" x14ac:dyDescent="0.2">
      <c r="A363" s="166" t="s">
        <v>101</v>
      </c>
      <c r="B363" s="167">
        <v>60662.6</v>
      </c>
    </row>
    <row r="364" spans="1:2" x14ac:dyDescent="0.2">
      <c r="A364" s="168" t="s">
        <v>1336</v>
      </c>
      <c r="B364" s="169">
        <v>64269.5</v>
      </c>
    </row>
    <row r="365" spans="1:2" x14ac:dyDescent="0.2">
      <c r="A365" s="168" t="s">
        <v>1338</v>
      </c>
      <c r="B365" s="169">
        <v>44427.199999999997</v>
      </c>
    </row>
    <row r="366" spans="1:2" x14ac:dyDescent="0.2">
      <c r="A366" s="168" t="s">
        <v>1340</v>
      </c>
      <c r="B366" s="169">
        <v>92119.7</v>
      </c>
    </row>
    <row r="367" spans="1:2" x14ac:dyDescent="0.2">
      <c r="A367" s="168" t="s">
        <v>1342</v>
      </c>
      <c r="B367" s="169">
        <v>30791.8</v>
      </c>
    </row>
    <row r="368" spans="1:2" x14ac:dyDescent="0.2">
      <c r="A368" s="168" t="s">
        <v>1347</v>
      </c>
      <c r="B368" s="169">
        <v>131285.6</v>
      </c>
    </row>
    <row r="369" spans="1:2" x14ac:dyDescent="0.2">
      <c r="A369" s="168" t="s">
        <v>1349</v>
      </c>
      <c r="B369" s="169">
        <v>108724.9</v>
      </c>
    </row>
    <row r="370" spans="1:2" x14ac:dyDescent="0.2">
      <c r="A370" s="168" t="s">
        <v>1351</v>
      </c>
      <c r="B370" s="169">
        <v>14474.4</v>
      </c>
    </row>
    <row r="371" spans="1:2" x14ac:dyDescent="0.2">
      <c r="A371" s="168" t="s">
        <v>1355</v>
      </c>
      <c r="B371" s="169">
        <v>17629.400000000001</v>
      </c>
    </row>
    <row r="372" spans="1:2" x14ac:dyDescent="0.2">
      <c r="A372" s="168" t="s">
        <v>1356</v>
      </c>
      <c r="B372" s="169">
        <v>25185.4</v>
      </c>
    </row>
    <row r="373" spans="1:2" x14ac:dyDescent="0.2">
      <c r="A373" s="168" t="s">
        <v>1358</v>
      </c>
      <c r="B373" s="169">
        <v>53279.3</v>
      </c>
    </row>
    <row r="374" spans="1:2" x14ac:dyDescent="0.2">
      <c r="A374" s="168" t="s">
        <v>1365</v>
      </c>
      <c r="B374" s="169">
        <v>415289</v>
      </c>
    </row>
    <row r="375" spans="1:2" x14ac:dyDescent="0.2">
      <c r="A375" s="168" t="s">
        <v>101</v>
      </c>
      <c r="B375" s="169">
        <v>15201.9</v>
      </c>
    </row>
    <row r="376" spans="1:2" x14ac:dyDescent="0.2">
      <c r="A376" s="168" t="s">
        <v>203</v>
      </c>
      <c r="B376" s="169">
        <v>16889.5</v>
      </c>
    </row>
    <row r="377" spans="1:2" x14ac:dyDescent="0.2">
      <c r="A377" s="168" t="s">
        <v>1372</v>
      </c>
      <c r="B377" s="169">
        <v>33904.199999999997</v>
      </c>
    </row>
    <row r="378" spans="1:2" x14ac:dyDescent="0.2">
      <c r="A378" s="168" t="s">
        <v>1378</v>
      </c>
      <c r="B378" s="169">
        <v>6630.4</v>
      </c>
    </row>
    <row r="379" spans="1:2" x14ac:dyDescent="0.2">
      <c r="A379" s="168" t="s">
        <v>101</v>
      </c>
      <c r="B379" s="169">
        <v>208952.6</v>
      </c>
    </row>
    <row r="380" spans="1:2" x14ac:dyDescent="0.2">
      <c r="A380" s="168" t="s">
        <v>1386</v>
      </c>
      <c r="B380" s="169">
        <v>1150434.6000000001</v>
      </c>
    </row>
    <row r="381" spans="1:2" x14ac:dyDescent="0.2">
      <c r="A381" s="168" t="s">
        <v>1387</v>
      </c>
      <c r="B381" s="169">
        <v>93695.8</v>
      </c>
    </row>
    <row r="382" spans="1:2" x14ac:dyDescent="0.2">
      <c r="A382" s="168" t="s">
        <v>1392</v>
      </c>
      <c r="B382" s="169">
        <v>36532.800000000003</v>
      </c>
    </row>
    <row r="383" spans="1:2" x14ac:dyDescent="0.2">
      <c r="A383" s="168" t="s">
        <v>1394</v>
      </c>
      <c r="B383" s="169">
        <v>103717.6</v>
      </c>
    </row>
    <row r="384" spans="1:2" x14ac:dyDescent="0.2">
      <c r="A384" s="168" t="s">
        <v>1398</v>
      </c>
      <c r="B384" s="169">
        <v>77139.69</v>
      </c>
    </row>
    <row r="385" spans="1:2" x14ac:dyDescent="0.2">
      <c r="A385" s="168" t="s">
        <v>101</v>
      </c>
      <c r="B385" s="169">
        <v>70000</v>
      </c>
    </row>
    <row r="386" spans="1:2" x14ac:dyDescent="0.2">
      <c r="A386" s="168" t="s">
        <v>101</v>
      </c>
      <c r="B386" s="169">
        <v>39019.300000000003</v>
      </c>
    </row>
    <row r="387" spans="1:2" x14ac:dyDescent="0.2">
      <c r="A387" s="168" t="s">
        <v>101</v>
      </c>
      <c r="B387" s="169">
        <v>11260.6</v>
      </c>
    </row>
    <row r="388" spans="1:2" x14ac:dyDescent="0.2">
      <c r="A388" s="168" t="s">
        <v>1413</v>
      </c>
      <c r="B388" s="169">
        <v>31215.1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60380-D3A7-1544-B23B-C52278B8BE87}">
  <dimension ref="A2:I175"/>
  <sheetViews>
    <sheetView zoomScale="150" zoomScaleNormal="150" workbookViewId="0">
      <selection activeCell="A6" sqref="A6"/>
    </sheetView>
  </sheetViews>
  <sheetFormatPr baseColWidth="10" defaultRowHeight="15" x14ac:dyDescent="0.2"/>
  <cols>
    <col min="5" max="5" width="31.1640625" customWidth="1"/>
    <col min="9" max="9" width="12.1640625" bestFit="1" customWidth="1"/>
  </cols>
  <sheetData>
    <row r="2" spans="1:9" x14ac:dyDescent="0.2">
      <c r="A2" s="145" t="s">
        <v>1487</v>
      </c>
      <c r="B2" s="146" t="s">
        <v>1488</v>
      </c>
      <c r="C2" s="147" t="s">
        <v>1489</v>
      </c>
      <c r="D2" s="147" t="s">
        <v>1490</v>
      </c>
      <c r="E2" s="148" t="s">
        <v>1491</v>
      </c>
      <c r="F2" s="149" t="s">
        <v>1492</v>
      </c>
      <c r="G2" s="150" t="s">
        <v>1493</v>
      </c>
      <c r="H2" s="158" t="s">
        <v>1494</v>
      </c>
      <c r="I2" s="158" t="s">
        <v>1504</v>
      </c>
    </row>
    <row r="3" spans="1:9" x14ac:dyDescent="0.2">
      <c r="A3" s="137" t="s">
        <v>410</v>
      </c>
      <c r="B3" s="101" t="s">
        <v>419</v>
      </c>
      <c r="C3" s="123"/>
      <c r="D3" s="123"/>
      <c r="E3" s="124" t="s">
        <v>420</v>
      </c>
      <c r="F3" s="125">
        <v>164663857.22</v>
      </c>
      <c r="G3" s="141">
        <v>112194631.15000001</v>
      </c>
      <c r="H3">
        <f>(Table1[[#This Row],[2,027.0]]/Table1[[#This Row],[2,026.0]]) - 1</f>
        <v>-0.31864446124262846</v>
      </c>
      <c r="I3" s="32">
        <f>Table1[[#This Row],[2,027.0]]-Table1[[#This Row],[2,026.0]]</f>
        <v>-52469226.069999993</v>
      </c>
    </row>
    <row r="4" spans="1:9" hidden="1" x14ac:dyDescent="0.2">
      <c r="A4" s="140">
        <v>41</v>
      </c>
      <c r="B4" s="133" t="s">
        <v>408</v>
      </c>
      <c r="C4" s="136" t="s">
        <v>100</v>
      </c>
      <c r="D4" s="133"/>
      <c r="E4" s="134" t="s">
        <v>409</v>
      </c>
      <c r="F4" s="135">
        <v>10395765.5</v>
      </c>
      <c r="G4" s="144">
        <v>7466341.2000000002</v>
      </c>
      <c r="H4">
        <f>(Table1[[#This Row],[2,027.0]]/Table1[[#This Row],[2,026.0]]) - 1</f>
        <v>-0.28179014811367187</v>
      </c>
      <c r="I4" s="32">
        <f>Table1[[#This Row],[2,027.0]]-Table1[[#This Row],[2,026.0]]</f>
        <v>-2929424.3</v>
      </c>
    </row>
    <row r="5" spans="1:9" x14ac:dyDescent="0.2">
      <c r="A5" s="137" t="s">
        <v>884</v>
      </c>
      <c r="B5" s="101" t="s">
        <v>930</v>
      </c>
      <c r="C5" s="123"/>
      <c r="D5" s="123"/>
      <c r="E5" s="124" t="s">
        <v>931</v>
      </c>
      <c r="F5" s="125">
        <v>5039751.8999999994</v>
      </c>
      <c r="G5" s="141">
        <v>3774682.8</v>
      </c>
      <c r="H5">
        <f>(Table1[[#This Row],[2,027.0]]/Table1[[#This Row],[2,026.0]]) - 1</f>
        <v>-0.25101813047582755</v>
      </c>
      <c r="I5" s="32">
        <f>Table1[[#This Row],[2,027.0]]-Table1[[#This Row],[2,026.0]]</f>
        <v>-1265069.0999999996</v>
      </c>
    </row>
    <row r="6" spans="1:9" x14ac:dyDescent="0.2">
      <c r="A6" s="138" t="s">
        <v>360</v>
      </c>
      <c r="B6" s="126" t="s">
        <v>384</v>
      </c>
      <c r="C6" s="127"/>
      <c r="D6" s="127"/>
      <c r="E6" s="126" t="s">
        <v>385</v>
      </c>
      <c r="F6" s="128">
        <v>10614609.5</v>
      </c>
      <c r="G6" s="142">
        <v>9479566.7999999989</v>
      </c>
      <c r="H6">
        <f>(Table1[[#This Row],[2,027.0]]/Table1[[#This Row],[2,026.0]]) - 1</f>
        <v>-0.10693212030079868</v>
      </c>
      <c r="I6" s="32">
        <f>Table1[[#This Row],[2,027.0]]-Table1[[#This Row],[2,026.0]]</f>
        <v>-1135042.7000000011</v>
      </c>
    </row>
    <row r="7" spans="1:9" x14ac:dyDescent="0.2">
      <c r="A7" s="137" t="s">
        <v>199</v>
      </c>
      <c r="B7" s="101" t="s">
        <v>216</v>
      </c>
      <c r="C7" s="123"/>
      <c r="D7" s="123"/>
      <c r="E7" s="124" t="s">
        <v>217</v>
      </c>
      <c r="F7" s="125">
        <v>3787470.5</v>
      </c>
      <c r="G7" s="141">
        <v>3053203.4</v>
      </c>
      <c r="H7">
        <f>(Table1[[#This Row],[2,027.0]]/Table1[[#This Row],[2,026.0]]) - 1</f>
        <v>-0.19386741098049476</v>
      </c>
      <c r="I7" s="32">
        <f>Table1[[#This Row],[2,027.0]]-Table1[[#This Row],[2,026.0]]</f>
        <v>-734267.10000000009</v>
      </c>
    </row>
    <row r="8" spans="1:9" hidden="1" x14ac:dyDescent="0.2">
      <c r="A8" s="139">
        <v>28</v>
      </c>
      <c r="B8" s="111">
        <v>992</v>
      </c>
      <c r="C8" s="129" t="s">
        <v>100</v>
      </c>
      <c r="D8" s="130"/>
      <c r="E8" s="131" t="s">
        <v>409</v>
      </c>
      <c r="F8" s="132">
        <v>4345551.3</v>
      </c>
      <c r="G8" s="143">
        <v>3799801.6</v>
      </c>
      <c r="H8">
        <f>(Table1[[#This Row],[2,027.0]]/Table1[[#This Row],[2,026.0]]) - 1</f>
        <v>-0.12558813883982911</v>
      </c>
      <c r="I8" s="32">
        <f>Table1[[#This Row],[2,027.0]]-Table1[[#This Row],[2,026.0]]</f>
        <v>-545749.69999999972</v>
      </c>
    </row>
    <row r="9" spans="1:9" x14ac:dyDescent="0.2">
      <c r="A9" s="137" t="s">
        <v>884</v>
      </c>
      <c r="B9" s="101" t="s">
        <v>950</v>
      </c>
      <c r="C9" s="123"/>
      <c r="D9" s="123"/>
      <c r="E9" s="124" t="s">
        <v>951</v>
      </c>
      <c r="F9" s="125">
        <v>579867.75</v>
      </c>
      <c r="G9" s="141">
        <v>85800.299999999988</v>
      </c>
      <c r="H9">
        <f>(Table1[[#This Row],[2,027.0]]/Table1[[#This Row],[2,026.0]]) - 1</f>
        <v>-0.852034709638534</v>
      </c>
      <c r="I9" s="32">
        <f>Table1[[#This Row],[2,027.0]]-Table1[[#This Row],[2,026.0]]</f>
        <v>-494067.45</v>
      </c>
    </row>
    <row r="10" spans="1:9" x14ac:dyDescent="0.2">
      <c r="A10" s="137" t="s">
        <v>1380</v>
      </c>
      <c r="B10" s="101" t="s">
        <v>1382</v>
      </c>
      <c r="C10" s="123"/>
      <c r="D10" s="123"/>
      <c r="E10" s="124" t="s">
        <v>1383</v>
      </c>
      <c r="F10" s="125">
        <v>1244130.3999999999</v>
      </c>
      <c r="G10" s="141">
        <v>798566.5</v>
      </c>
      <c r="H10">
        <f>(Table1[[#This Row],[2,027.0]]/Table1[[#This Row],[2,026.0]]) - 1</f>
        <v>-0.35813279701227452</v>
      </c>
      <c r="I10" s="32">
        <f>Table1[[#This Row],[2,027.0]]-Table1[[#This Row],[2,026.0]]</f>
        <v>-445563.89999999991</v>
      </c>
    </row>
    <row r="11" spans="1:9" hidden="1" x14ac:dyDescent="0.2">
      <c r="A11" s="140" t="s">
        <v>44</v>
      </c>
      <c r="B11" s="133" t="s">
        <v>408</v>
      </c>
      <c r="C11" s="133" t="s">
        <v>100</v>
      </c>
      <c r="D11" s="133"/>
      <c r="E11" s="134" t="s">
        <v>409</v>
      </c>
      <c r="F11" s="135">
        <v>2026039.1</v>
      </c>
      <c r="G11" s="144">
        <v>1682974.6</v>
      </c>
      <c r="H11">
        <f>(Table1[[#This Row],[2,027.0]]/Table1[[#This Row],[2,026.0]]) - 1</f>
        <v>-0.16932767980637686</v>
      </c>
      <c r="I11" s="32">
        <f>Table1[[#This Row],[2,027.0]]-Table1[[#This Row],[2,026.0]]</f>
        <v>-343064.5</v>
      </c>
    </row>
    <row r="12" spans="1:9" x14ac:dyDescent="0.2">
      <c r="A12" s="137" t="s">
        <v>485</v>
      </c>
      <c r="B12" s="101" t="s">
        <v>96</v>
      </c>
      <c r="C12" s="123"/>
      <c r="D12" s="123"/>
      <c r="E12" s="124" t="s">
        <v>97</v>
      </c>
      <c r="F12" s="125">
        <v>487435.1</v>
      </c>
      <c r="G12" s="141">
        <v>188447.3</v>
      </c>
      <c r="H12">
        <f>(Table1[[#This Row],[2,027.0]]/Table1[[#This Row],[2,026.0]]) - 1</f>
        <v>-0.61338996719768435</v>
      </c>
      <c r="I12" s="32">
        <f>Table1[[#This Row],[2,027.0]]-Table1[[#This Row],[2,026.0]]</f>
        <v>-298987.8</v>
      </c>
    </row>
    <row r="13" spans="1:9" hidden="1" x14ac:dyDescent="0.2">
      <c r="A13" s="140" t="s">
        <v>456</v>
      </c>
      <c r="B13" s="133" t="s">
        <v>408</v>
      </c>
      <c r="C13" s="136" t="s">
        <v>100</v>
      </c>
      <c r="D13" s="133"/>
      <c r="E13" s="134" t="s">
        <v>409</v>
      </c>
      <c r="F13" s="135">
        <v>2588023.2000000002</v>
      </c>
      <c r="G13" s="144">
        <v>2298385.6</v>
      </c>
      <c r="H13">
        <f>(Table1[[#This Row],[2,027.0]]/Table1[[#This Row],[2,026.0]]) - 1</f>
        <v>-0.11191460725699831</v>
      </c>
      <c r="I13" s="32">
        <f>Table1[[#This Row],[2,027.0]]-Table1[[#This Row],[2,026.0]]</f>
        <v>-289637.60000000009</v>
      </c>
    </row>
    <row r="14" spans="1:9" x14ac:dyDescent="0.2">
      <c r="A14" s="137" t="s">
        <v>1107</v>
      </c>
      <c r="B14" s="101" t="s">
        <v>1109</v>
      </c>
      <c r="C14" s="123"/>
      <c r="D14" s="123"/>
      <c r="E14" s="124" t="s">
        <v>1110</v>
      </c>
      <c r="F14" s="125">
        <v>2724111.8000000012</v>
      </c>
      <c r="G14" s="141">
        <v>2445747.7000000002</v>
      </c>
      <c r="H14">
        <f>(Table1[[#This Row],[2,027.0]]/Table1[[#This Row],[2,026.0]]) - 1</f>
        <v>-0.10218527007592015</v>
      </c>
      <c r="I14" s="32">
        <f>Table1[[#This Row],[2,027.0]]-Table1[[#This Row],[2,026.0]]</f>
        <v>-278364.10000000102</v>
      </c>
    </row>
    <row r="15" spans="1:9" x14ac:dyDescent="0.2">
      <c r="A15" s="137" t="s">
        <v>142</v>
      </c>
      <c r="B15" s="101" t="s">
        <v>144</v>
      </c>
      <c r="C15" s="123"/>
      <c r="D15" s="123"/>
      <c r="E15" s="124" t="s">
        <v>145</v>
      </c>
      <c r="F15" s="125">
        <v>2837368.8</v>
      </c>
      <c r="G15" s="141">
        <v>2571414.9</v>
      </c>
      <c r="H15">
        <f>(Table1[[#This Row],[2,027.0]]/Table1[[#This Row],[2,026.0]]) - 1</f>
        <v>-9.3732580692365342E-2</v>
      </c>
      <c r="I15" s="32">
        <f>Table1[[#This Row],[2,027.0]]-Table1[[#This Row],[2,026.0]]</f>
        <v>-265953.89999999991</v>
      </c>
    </row>
    <row r="16" spans="1:9" hidden="1" x14ac:dyDescent="0.2">
      <c r="A16" s="140">
        <v>38</v>
      </c>
      <c r="B16" s="133" t="s">
        <v>408</v>
      </c>
      <c r="C16" s="136" t="s">
        <v>100</v>
      </c>
      <c r="D16" s="133"/>
      <c r="E16" s="134" t="s">
        <v>409</v>
      </c>
      <c r="F16" s="135">
        <v>521560</v>
      </c>
      <c r="G16" s="144">
        <v>267900</v>
      </c>
      <c r="H16">
        <f>(Table1[[#This Row],[2,027.0]]/Table1[[#This Row],[2,026.0]]) - 1</f>
        <v>-0.48634864636858655</v>
      </c>
      <c r="I16" s="32">
        <f>Table1[[#This Row],[2,027.0]]-Table1[[#This Row],[2,026.0]]</f>
        <v>-253660</v>
      </c>
    </row>
    <row r="17" spans="1:9" x14ac:dyDescent="0.2">
      <c r="A17" s="137" t="s">
        <v>456</v>
      </c>
      <c r="B17" s="101" t="s">
        <v>748</v>
      </c>
      <c r="C17" s="123"/>
      <c r="D17" s="123"/>
      <c r="E17" s="124" t="s">
        <v>749</v>
      </c>
      <c r="F17" s="125">
        <v>11104430.57</v>
      </c>
      <c r="G17" s="141">
        <v>10923007.970000001</v>
      </c>
      <c r="H17">
        <f>(Table1[[#This Row],[2,027.0]]/Table1[[#This Row],[2,026.0]]) - 1</f>
        <v>-1.6337857115351406E-2</v>
      </c>
      <c r="I17" s="32">
        <f>Table1[[#This Row],[2,027.0]]-Table1[[#This Row],[2,026.0]]</f>
        <v>-181422.59999999963</v>
      </c>
    </row>
    <row r="18" spans="1:9" x14ac:dyDescent="0.2">
      <c r="A18" s="137" t="s">
        <v>1018</v>
      </c>
      <c r="B18" s="101" t="s">
        <v>96</v>
      </c>
      <c r="C18" s="123"/>
      <c r="D18" s="123"/>
      <c r="E18" s="124" t="s">
        <v>97</v>
      </c>
      <c r="F18" s="125">
        <v>574119.80000000005</v>
      </c>
      <c r="G18" s="141">
        <v>406225</v>
      </c>
      <c r="H18">
        <f>(Table1[[#This Row],[2,027.0]]/Table1[[#This Row],[2,026.0]]) - 1</f>
        <v>-0.2924386164699424</v>
      </c>
      <c r="I18" s="32">
        <f>Table1[[#This Row],[2,027.0]]-Table1[[#This Row],[2,026.0]]</f>
        <v>-167894.80000000005</v>
      </c>
    </row>
    <row r="19" spans="1:9" hidden="1" x14ac:dyDescent="0.2">
      <c r="A19" s="137" t="s">
        <v>360</v>
      </c>
      <c r="B19" s="101" t="s">
        <v>408</v>
      </c>
      <c r="C19" s="101" t="s">
        <v>100</v>
      </c>
      <c r="D19" s="101"/>
      <c r="E19" s="124" t="s">
        <v>409</v>
      </c>
      <c r="F19" s="125">
        <v>2418048.5</v>
      </c>
      <c r="G19" s="141">
        <v>2322126.7999999998</v>
      </c>
      <c r="H19">
        <f>(Table1[[#This Row],[2,027.0]]/Table1[[#This Row],[2,026.0]]) - 1</f>
        <v>-3.9669055438714351E-2</v>
      </c>
      <c r="I19" s="32">
        <f>Table1[[#This Row],[2,027.0]]-Table1[[#This Row],[2,026.0]]</f>
        <v>-95921.700000000186</v>
      </c>
    </row>
    <row r="20" spans="1:9" x14ac:dyDescent="0.2">
      <c r="A20" s="137" t="s">
        <v>1380</v>
      </c>
      <c r="B20" s="101" t="s">
        <v>1389</v>
      </c>
      <c r="C20" s="123"/>
      <c r="D20" s="123"/>
      <c r="E20" s="124" t="s">
        <v>1390</v>
      </c>
      <c r="F20" s="125">
        <v>140250.4</v>
      </c>
      <c r="G20" s="141">
        <v>53760.3</v>
      </c>
      <c r="H20">
        <f>(Table1[[#This Row],[2,027.0]]/Table1[[#This Row],[2,026.0]]) - 1</f>
        <v>-0.61668344617911952</v>
      </c>
      <c r="I20" s="32">
        <f>Table1[[#This Row],[2,027.0]]-Table1[[#This Row],[2,026.0]]</f>
        <v>-86490.099999999991</v>
      </c>
    </row>
    <row r="21" spans="1:9" x14ac:dyDescent="0.2">
      <c r="A21" s="137" t="s">
        <v>1018</v>
      </c>
      <c r="B21" s="101" t="s">
        <v>1038</v>
      </c>
      <c r="C21" s="123"/>
      <c r="D21" s="123"/>
      <c r="E21" s="124" t="s">
        <v>1039</v>
      </c>
      <c r="F21" s="125">
        <v>1700840.9</v>
      </c>
      <c r="G21" s="141">
        <v>1615240.6</v>
      </c>
      <c r="H21">
        <f>(Table1[[#This Row],[2,027.0]]/Table1[[#This Row],[2,026.0]]) - 1</f>
        <v>-5.0328222939605816E-2</v>
      </c>
      <c r="I21" s="32">
        <f>Table1[[#This Row],[2,027.0]]-Table1[[#This Row],[2,026.0]]</f>
        <v>-85600.299999999814</v>
      </c>
    </row>
    <row r="22" spans="1:9" x14ac:dyDescent="0.2">
      <c r="A22" s="137" t="s">
        <v>1018</v>
      </c>
      <c r="B22" s="101" t="s">
        <v>1020</v>
      </c>
      <c r="C22" s="123"/>
      <c r="D22" s="123"/>
      <c r="E22" s="124" t="s">
        <v>1021</v>
      </c>
      <c r="F22" s="125">
        <v>4708597.9000000004</v>
      </c>
      <c r="G22" s="141">
        <v>4624342.5899999989</v>
      </c>
      <c r="H22">
        <f>(Table1[[#This Row],[2,027.0]]/Table1[[#This Row],[2,026.0]]) - 1</f>
        <v>-1.7893927616966732E-2</v>
      </c>
      <c r="I22" s="32">
        <f>Table1[[#This Row],[2,027.0]]-Table1[[#This Row],[2,026.0]]</f>
        <v>-84255.310000001453</v>
      </c>
    </row>
    <row r="23" spans="1:9" x14ac:dyDescent="0.2">
      <c r="A23" s="137" t="s">
        <v>1148</v>
      </c>
      <c r="B23" s="101" t="s">
        <v>1150</v>
      </c>
      <c r="C23" s="123"/>
      <c r="D23" s="123"/>
      <c r="E23" s="124" t="s">
        <v>1151</v>
      </c>
      <c r="F23" s="125">
        <v>2246762.7999999998</v>
      </c>
      <c r="G23" s="141">
        <v>2173251.2999999998</v>
      </c>
      <c r="H23">
        <f>(Table1[[#This Row],[2,027.0]]/Table1[[#This Row],[2,026.0]]) - 1</f>
        <v>-3.2718852208163729E-2</v>
      </c>
      <c r="I23" s="32">
        <f>Table1[[#This Row],[2,027.0]]-Table1[[#This Row],[2,026.0]]</f>
        <v>-73511.5</v>
      </c>
    </row>
    <row r="24" spans="1:9" hidden="1" x14ac:dyDescent="0.2">
      <c r="A24" s="140">
        <v>74</v>
      </c>
      <c r="B24" s="133" t="s">
        <v>408</v>
      </c>
      <c r="C24" s="136" t="s">
        <v>100</v>
      </c>
      <c r="D24" s="133"/>
      <c r="E24" s="134" t="s">
        <v>409</v>
      </c>
      <c r="F24" s="135">
        <v>160216.20000000001</v>
      </c>
      <c r="G24" s="144">
        <v>103980.9</v>
      </c>
      <c r="H24">
        <f>(Table1[[#This Row],[2,027.0]]/Table1[[#This Row],[2,026.0]]) - 1</f>
        <v>-0.35099634119396173</v>
      </c>
      <c r="I24" s="32">
        <f>Table1[[#This Row],[2,027.0]]-Table1[[#This Row],[2,026.0]]</f>
        <v>-56235.300000000017</v>
      </c>
    </row>
    <row r="25" spans="1:9" x14ac:dyDescent="0.2">
      <c r="A25" s="137" t="s">
        <v>456</v>
      </c>
      <c r="B25" s="101" t="s">
        <v>682</v>
      </c>
      <c r="C25" s="123"/>
      <c r="D25" s="123"/>
      <c r="E25" s="124" t="s">
        <v>683</v>
      </c>
      <c r="F25" s="125">
        <v>2170534.1</v>
      </c>
      <c r="G25" s="141">
        <v>2120832</v>
      </c>
      <c r="H25">
        <f>(Table1[[#This Row],[2,027.0]]/Table1[[#This Row],[2,026.0]]) - 1</f>
        <v>-2.2898557548577614E-2</v>
      </c>
      <c r="I25" s="32">
        <f>Table1[[#This Row],[2,027.0]]-Table1[[#This Row],[2,026.0]]</f>
        <v>-49702.100000000093</v>
      </c>
    </row>
    <row r="26" spans="1:9" x14ac:dyDescent="0.2">
      <c r="A26" s="137" t="s">
        <v>1328</v>
      </c>
      <c r="B26" s="101" t="s">
        <v>1344</v>
      </c>
      <c r="C26" s="123"/>
      <c r="D26" s="123"/>
      <c r="E26" s="124" t="s">
        <v>1345</v>
      </c>
      <c r="F26" s="125">
        <v>254484.9</v>
      </c>
      <c r="G26" s="141">
        <v>204791.4</v>
      </c>
      <c r="H26">
        <f>(Table1[[#This Row],[2,027.0]]/Table1[[#This Row],[2,026.0]]) - 1</f>
        <v>-0.19527091784227668</v>
      </c>
      <c r="I26" s="32">
        <f>Table1[[#This Row],[2,027.0]]-Table1[[#This Row],[2,026.0]]</f>
        <v>-49693.5</v>
      </c>
    </row>
    <row r="27" spans="1:9" x14ac:dyDescent="0.2">
      <c r="A27" s="137" t="s">
        <v>464</v>
      </c>
      <c r="B27" s="101" t="s">
        <v>1046</v>
      </c>
      <c r="C27" s="123"/>
      <c r="D27" s="123"/>
      <c r="E27" s="124" t="s">
        <v>1047</v>
      </c>
      <c r="F27" s="125">
        <v>691230.10000000009</v>
      </c>
      <c r="G27" s="141">
        <v>656849.10000000009</v>
      </c>
      <c r="H27">
        <f>(Table1[[#This Row],[2,027.0]]/Table1[[#This Row],[2,026.0]]) - 1</f>
        <v>-4.9738864091711243E-2</v>
      </c>
      <c r="I27" s="32">
        <f>Table1[[#This Row],[2,027.0]]-Table1[[#This Row],[2,026.0]]</f>
        <v>-34381</v>
      </c>
    </row>
    <row r="28" spans="1:9" x14ac:dyDescent="0.2">
      <c r="A28" s="137" t="s">
        <v>1328</v>
      </c>
      <c r="B28" s="101" t="s">
        <v>1333</v>
      </c>
      <c r="C28" s="123"/>
      <c r="D28" s="123"/>
      <c r="E28" s="124" t="s">
        <v>1334</v>
      </c>
      <c r="F28" s="125">
        <v>231608.2</v>
      </c>
      <c r="G28" s="141">
        <v>211964.3</v>
      </c>
      <c r="H28">
        <f>(Table1[[#This Row],[2,027.0]]/Table1[[#This Row],[2,026.0]]) - 1</f>
        <v>-8.4815218114039248E-2</v>
      </c>
      <c r="I28" s="32">
        <f>Table1[[#This Row],[2,027.0]]-Table1[[#This Row],[2,026.0]]</f>
        <v>-19643.900000000023</v>
      </c>
    </row>
    <row r="29" spans="1:9" x14ac:dyDescent="0.2">
      <c r="A29" s="137" t="s">
        <v>302</v>
      </c>
      <c r="B29" s="101" t="s">
        <v>96</v>
      </c>
      <c r="C29" s="123"/>
      <c r="D29" s="123"/>
      <c r="E29" s="124" t="s">
        <v>97</v>
      </c>
      <c r="F29" s="125">
        <v>282746</v>
      </c>
      <c r="G29" s="141">
        <v>266500.3</v>
      </c>
      <c r="H29">
        <f>(Table1[[#This Row],[2,027.0]]/Table1[[#This Row],[2,026.0]]) - 1</f>
        <v>-5.7456869416366629E-2</v>
      </c>
      <c r="I29" s="32">
        <f>Table1[[#This Row],[2,027.0]]-Table1[[#This Row],[2,026.0]]</f>
        <v>-16245.700000000012</v>
      </c>
    </row>
    <row r="30" spans="1:9" x14ac:dyDescent="0.2">
      <c r="A30" s="137" t="s">
        <v>294</v>
      </c>
      <c r="B30" s="101" t="s">
        <v>96</v>
      </c>
      <c r="C30" s="123"/>
      <c r="D30" s="123"/>
      <c r="E30" s="124" t="s">
        <v>97</v>
      </c>
      <c r="F30" s="125">
        <v>152559.6</v>
      </c>
      <c r="G30" s="141">
        <v>136463.5</v>
      </c>
      <c r="H30">
        <f>(Table1[[#This Row],[2,027.0]]/Table1[[#This Row],[2,026.0]]) - 1</f>
        <v>-0.10550696252480996</v>
      </c>
      <c r="I30" s="32">
        <f>Table1[[#This Row],[2,027.0]]-Table1[[#This Row],[2,026.0]]</f>
        <v>-16096.100000000006</v>
      </c>
    </row>
    <row r="31" spans="1:9" x14ac:dyDescent="0.2">
      <c r="A31" s="137" t="s">
        <v>302</v>
      </c>
      <c r="B31" s="101" t="s">
        <v>323</v>
      </c>
      <c r="C31" s="123"/>
      <c r="D31" s="123"/>
      <c r="E31" s="124" t="s">
        <v>324</v>
      </c>
      <c r="F31" s="125">
        <v>181071.6</v>
      </c>
      <c r="G31" s="141">
        <v>165221.1</v>
      </c>
      <c r="H31">
        <f>(Table1[[#This Row],[2,027.0]]/Table1[[#This Row],[2,026.0]]) - 1</f>
        <v>-8.7537195231057741E-2</v>
      </c>
      <c r="I31" s="32">
        <f>Table1[[#This Row],[2,027.0]]-Table1[[#This Row],[2,026.0]]</f>
        <v>-15850.5</v>
      </c>
    </row>
    <row r="32" spans="1:9" x14ac:dyDescent="0.2">
      <c r="A32" s="137" t="s">
        <v>1124</v>
      </c>
      <c r="B32" s="101" t="s">
        <v>1134</v>
      </c>
      <c r="C32" s="123"/>
      <c r="D32" s="123"/>
      <c r="E32" s="124" t="s">
        <v>1135</v>
      </c>
      <c r="F32" s="125">
        <v>55362.400000000001</v>
      </c>
      <c r="G32" s="141">
        <v>41101.4</v>
      </c>
      <c r="H32">
        <f>(Table1[[#This Row],[2,027.0]]/Table1[[#This Row],[2,026.0]]) - 1</f>
        <v>-0.25759360143346388</v>
      </c>
      <c r="I32" s="32">
        <f>Table1[[#This Row],[2,027.0]]-Table1[[#This Row],[2,026.0]]</f>
        <v>-14261</v>
      </c>
    </row>
    <row r="33" spans="1:9" x14ac:dyDescent="0.2">
      <c r="A33" s="137" t="s">
        <v>16</v>
      </c>
      <c r="B33" s="101" t="s">
        <v>585</v>
      </c>
      <c r="C33" s="123"/>
      <c r="D33" s="123"/>
      <c r="E33" s="124" t="s">
        <v>586</v>
      </c>
      <c r="F33" s="125">
        <v>213365.4</v>
      </c>
      <c r="G33" s="141">
        <v>200269.7</v>
      </c>
      <c r="H33">
        <f>(Table1[[#This Row],[2,027.0]]/Table1[[#This Row],[2,026.0]]) - 1</f>
        <v>-6.1376868039522692E-2</v>
      </c>
      <c r="I33" s="32">
        <f>Table1[[#This Row],[2,027.0]]-Table1[[#This Row],[2,026.0]]</f>
        <v>-13095.699999999983</v>
      </c>
    </row>
    <row r="34" spans="1:9" x14ac:dyDescent="0.2">
      <c r="A34" s="137" t="s">
        <v>1328</v>
      </c>
      <c r="B34" s="101" t="s">
        <v>1352</v>
      </c>
      <c r="C34" s="123"/>
      <c r="D34" s="123"/>
      <c r="E34" s="124" t="s">
        <v>1353</v>
      </c>
      <c r="F34" s="125">
        <v>96094.1</v>
      </c>
      <c r="G34" s="141">
        <v>83855.3</v>
      </c>
      <c r="H34">
        <f>(Table1[[#This Row],[2,027.0]]/Table1[[#This Row],[2,026.0]]) - 1</f>
        <v>-0.12736265806121294</v>
      </c>
      <c r="I34" s="32">
        <f>Table1[[#This Row],[2,027.0]]-Table1[[#This Row],[2,026.0]]</f>
        <v>-12238.800000000003</v>
      </c>
    </row>
    <row r="35" spans="1:9" x14ac:dyDescent="0.2">
      <c r="A35" s="137" t="s">
        <v>1380</v>
      </c>
      <c r="B35" s="101" t="s">
        <v>1396</v>
      </c>
      <c r="C35" s="123"/>
      <c r="D35" s="123"/>
      <c r="E35" s="124" t="s">
        <v>1397</v>
      </c>
      <c r="F35" s="125">
        <v>77139.69</v>
      </c>
      <c r="G35" s="141">
        <v>68343.199999999997</v>
      </c>
      <c r="H35">
        <f>(Table1[[#This Row],[2,027.0]]/Table1[[#This Row],[2,026.0]]) - 1</f>
        <v>-0.1140332557727417</v>
      </c>
      <c r="I35" s="32">
        <f>Table1[[#This Row],[2,027.0]]-Table1[[#This Row],[2,026.0]]</f>
        <v>-8796.4900000000052</v>
      </c>
    </row>
    <row r="36" spans="1:9" x14ac:dyDescent="0.2">
      <c r="A36" s="137" t="s">
        <v>1307</v>
      </c>
      <c r="B36" s="101" t="s">
        <v>1310</v>
      </c>
      <c r="C36" s="123"/>
      <c r="D36" s="123"/>
      <c r="E36" s="124" t="s">
        <v>1311</v>
      </c>
      <c r="F36" s="125">
        <v>65686</v>
      </c>
      <c r="G36" s="141">
        <v>57372.4</v>
      </c>
      <c r="H36">
        <f>(Table1[[#This Row],[2,027.0]]/Table1[[#This Row],[2,026.0]]) - 1</f>
        <v>-0.12656578266297225</v>
      </c>
      <c r="I36" s="32">
        <f>Table1[[#This Row],[2,027.0]]-Table1[[#This Row],[2,026.0]]</f>
        <v>-8313.5999999999985</v>
      </c>
    </row>
    <row r="37" spans="1:9" x14ac:dyDescent="0.2">
      <c r="A37" s="137" t="s">
        <v>1299</v>
      </c>
      <c r="B37" s="101" t="s">
        <v>1302</v>
      </c>
      <c r="C37" s="123"/>
      <c r="D37" s="123"/>
      <c r="E37" s="124" t="s">
        <v>1303</v>
      </c>
      <c r="F37" s="125">
        <v>42253.4</v>
      </c>
      <c r="G37" s="141">
        <v>36639.199999999997</v>
      </c>
      <c r="H37">
        <f>(Table1[[#This Row],[2,027.0]]/Table1[[#This Row],[2,026.0]]) - 1</f>
        <v>-0.13286978089337198</v>
      </c>
      <c r="I37" s="32">
        <f>Table1[[#This Row],[2,027.0]]-Table1[[#This Row],[2,026.0]]</f>
        <v>-5614.2000000000044</v>
      </c>
    </row>
    <row r="38" spans="1:9" x14ac:dyDescent="0.2">
      <c r="A38" s="137" t="s">
        <v>1124</v>
      </c>
      <c r="B38" s="101" t="s">
        <v>1126</v>
      </c>
      <c r="C38" s="123"/>
      <c r="D38" s="123"/>
      <c r="E38" s="124" t="s">
        <v>1127</v>
      </c>
      <c r="F38" s="125">
        <v>20667.599999999999</v>
      </c>
      <c r="G38" s="141">
        <v>15879</v>
      </c>
      <c r="H38">
        <f>(Table1[[#This Row],[2,027.0]]/Table1[[#This Row],[2,026.0]]) - 1</f>
        <v>-0.23169598792312596</v>
      </c>
      <c r="I38" s="32">
        <f>Table1[[#This Row],[2,027.0]]-Table1[[#This Row],[2,026.0]]</f>
        <v>-4788.5999999999985</v>
      </c>
    </row>
    <row r="39" spans="1:9" x14ac:dyDescent="0.2">
      <c r="A39" s="137" t="s">
        <v>261</v>
      </c>
      <c r="B39" s="101" t="s">
        <v>96</v>
      </c>
      <c r="C39" s="123"/>
      <c r="D39" s="123"/>
      <c r="E39" s="124" t="s">
        <v>97</v>
      </c>
      <c r="F39" s="125">
        <v>666610</v>
      </c>
      <c r="G39" s="141">
        <v>662126.57000000007</v>
      </c>
      <c r="H39">
        <f>(Table1[[#This Row],[2,027.0]]/Table1[[#This Row],[2,026.0]]) - 1</f>
        <v>-6.7257166859182593E-3</v>
      </c>
      <c r="I39" s="32">
        <f>Table1[[#This Row],[2,027.0]]-Table1[[#This Row],[2,026.0]]</f>
        <v>-4483.4299999999348</v>
      </c>
    </row>
    <row r="40" spans="1:9" x14ac:dyDescent="0.2">
      <c r="A40" s="137" t="s">
        <v>777</v>
      </c>
      <c r="B40" s="101" t="s">
        <v>848</v>
      </c>
      <c r="C40" s="123"/>
      <c r="D40" s="123"/>
      <c r="E40" s="124" t="s">
        <v>849</v>
      </c>
      <c r="F40" s="125">
        <v>2013985.2</v>
      </c>
      <c r="G40" s="141">
        <v>2010984.9</v>
      </c>
      <c r="H40">
        <f>(Table1[[#This Row],[2,027.0]]/Table1[[#This Row],[2,026.0]]) - 1</f>
        <v>-1.4897328937670817E-3</v>
      </c>
      <c r="I40" s="32">
        <f>Table1[[#This Row],[2,027.0]]-Table1[[#This Row],[2,026.0]]</f>
        <v>-3000.3000000000466</v>
      </c>
    </row>
    <row r="41" spans="1:9" x14ac:dyDescent="0.2">
      <c r="A41" s="137" t="s">
        <v>476</v>
      </c>
      <c r="B41" s="101" t="s">
        <v>1227</v>
      </c>
      <c r="C41" s="123"/>
      <c r="D41" s="123"/>
      <c r="E41" s="124" t="s">
        <v>1228</v>
      </c>
      <c r="F41" s="125">
        <v>16197.4</v>
      </c>
      <c r="G41" s="141">
        <v>15144.4</v>
      </c>
      <c r="H41">
        <f>(Table1[[#This Row],[2,027.0]]/Table1[[#This Row],[2,026.0]]) - 1</f>
        <v>-6.5010433773321608E-2</v>
      </c>
      <c r="I41" s="32">
        <f>Table1[[#This Row],[2,027.0]]-Table1[[#This Row],[2,026.0]]</f>
        <v>-1053</v>
      </c>
    </row>
    <row r="42" spans="1:9" x14ac:dyDescent="0.2">
      <c r="A42" s="137" t="s">
        <v>459</v>
      </c>
      <c r="B42" s="101" t="s">
        <v>96</v>
      </c>
      <c r="C42" s="123"/>
      <c r="D42" s="123"/>
      <c r="E42" s="124" t="s">
        <v>97</v>
      </c>
      <c r="F42" s="125">
        <v>35953.599999999999</v>
      </c>
      <c r="G42" s="141">
        <v>34962</v>
      </c>
      <c r="H42">
        <f>(Table1[[#This Row],[2,027.0]]/Table1[[#This Row],[2,026.0]]) - 1</f>
        <v>-2.7579991989675534E-2</v>
      </c>
      <c r="I42" s="32">
        <f>Table1[[#This Row],[2,027.0]]-Table1[[#This Row],[2,026.0]]</f>
        <v>-991.59999999999854</v>
      </c>
    </row>
    <row r="43" spans="1:9" x14ac:dyDescent="0.2">
      <c r="A43" s="137" t="s">
        <v>299</v>
      </c>
      <c r="B43" s="101" t="s">
        <v>96</v>
      </c>
      <c r="C43" s="123"/>
      <c r="D43" s="123"/>
      <c r="E43" s="124" t="s">
        <v>97</v>
      </c>
      <c r="F43" s="125">
        <v>115861.1</v>
      </c>
      <c r="G43" s="141">
        <v>114914.3</v>
      </c>
      <c r="H43">
        <f>(Table1[[#This Row],[2,027.0]]/Table1[[#This Row],[2,026.0]]) - 1</f>
        <v>-8.171854056279515E-3</v>
      </c>
      <c r="I43" s="32">
        <f>Table1[[#This Row],[2,027.0]]-Table1[[#This Row],[2,026.0]]</f>
        <v>-946.80000000000291</v>
      </c>
    </row>
    <row r="44" spans="1:9" x14ac:dyDescent="0.2">
      <c r="A44" s="137" t="s">
        <v>459</v>
      </c>
      <c r="B44" s="101" t="s">
        <v>874</v>
      </c>
      <c r="C44" s="123"/>
      <c r="D44" s="123"/>
      <c r="E44" s="124" t="s">
        <v>875</v>
      </c>
      <c r="F44" s="125">
        <v>48781.2</v>
      </c>
      <c r="G44" s="141">
        <v>48527.7</v>
      </c>
      <c r="H44">
        <f>(Table1[[#This Row],[2,027.0]]/Table1[[#This Row],[2,026.0]]) - 1</f>
        <v>-5.1966741285577323E-3</v>
      </c>
      <c r="I44" s="32">
        <f>Table1[[#This Row],[2,027.0]]-Table1[[#This Row],[2,026.0]]</f>
        <v>-253.5</v>
      </c>
    </row>
    <row r="45" spans="1:9" x14ac:dyDescent="0.2">
      <c r="A45" s="137" t="s">
        <v>466</v>
      </c>
      <c r="B45" s="101" t="s">
        <v>96</v>
      </c>
      <c r="C45" s="123"/>
      <c r="D45" s="123"/>
      <c r="E45" s="124" t="s">
        <v>97</v>
      </c>
      <c r="F45" s="125">
        <v>6239.5</v>
      </c>
      <c r="G45" s="141">
        <v>6173.6</v>
      </c>
      <c r="H45">
        <f>(Table1[[#This Row],[2,027.0]]/Table1[[#This Row],[2,026.0]]) - 1</f>
        <v>-1.0561743729465389E-2</v>
      </c>
      <c r="I45" s="32">
        <f>Table1[[#This Row],[2,027.0]]-Table1[[#This Row],[2,026.0]]</f>
        <v>-65.899999999999636</v>
      </c>
    </row>
    <row r="46" spans="1:9" x14ac:dyDescent="0.2">
      <c r="A46" s="137" t="s">
        <v>464</v>
      </c>
      <c r="B46" s="101" t="s">
        <v>419</v>
      </c>
      <c r="C46" s="123"/>
      <c r="D46" s="123"/>
      <c r="E46" s="124" t="s">
        <v>420</v>
      </c>
      <c r="F46" s="125">
        <v>0</v>
      </c>
      <c r="G46" s="141">
        <v>0</v>
      </c>
      <c r="H46" t="e">
        <f>(Table1[[#This Row],[2,027.0]]/Table1[[#This Row],[2,026.0]]) - 1</f>
        <v>#DIV/0!</v>
      </c>
      <c r="I46" s="32">
        <f>Table1[[#This Row],[2,027.0]]-Table1[[#This Row],[2,026.0]]</f>
        <v>0</v>
      </c>
    </row>
    <row r="47" spans="1:9" x14ac:dyDescent="0.2">
      <c r="A47" s="137" t="s">
        <v>94</v>
      </c>
      <c r="B47" s="101" t="s">
        <v>108</v>
      </c>
      <c r="C47" s="123"/>
      <c r="D47" s="123"/>
      <c r="E47" s="124" t="s">
        <v>109</v>
      </c>
      <c r="F47" s="125">
        <v>80163</v>
      </c>
      <c r="G47" s="141">
        <v>80163</v>
      </c>
      <c r="H47">
        <f>(Table1[[#This Row],[2,027.0]]/Table1[[#This Row],[2,026.0]]) - 1</f>
        <v>0</v>
      </c>
      <c r="I47" s="32">
        <f>Table1[[#This Row],[2,027.0]]-Table1[[#This Row],[2,026.0]]</f>
        <v>0</v>
      </c>
    </row>
    <row r="48" spans="1:9" x14ac:dyDescent="0.2">
      <c r="A48" s="137" t="s">
        <v>134</v>
      </c>
      <c r="B48" s="101" t="s">
        <v>136</v>
      </c>
      <c r="C48" s="123"/>
      <c r="D48" s="123"/>
      <c r="E48" s="124" t="s">
        <v>137</v>
      </c>
      <c r="F48" s="125">
        <v>2030000</v>
      </c>
      <c r="G48" s="141">
        <v>2030000</v>
      </c>
      <c r="H48">
        <f>(Table1[[#This Row],[2,027.0]]/Table1[[#This Row],[2,026.0]]) - 1</f>
        <v>0</v>
      </c>
      <c r="I48" s="32">
        <f>Table1[[#This Row],[2,027.0]]-Table1[[#This Row],[2,026.0]]</f>
        <v>0</v>
      </c>
    </row>
    <row r="49" spans="1:9" x14ac:dyDescent="0.2">
      <c r="A49" s="137" t="s">
        <v>247</v>
      </c>
      <c r="B49" s="101" t="s">
        <v>256</v>
      </c>
      <c r="C49" s="123"/>
      <c r="D49" s="123"/>
      <c r="E49" s="124" t="s">
        <v>257</v>
      </c>
      <c r="F49" s="125">
        <v>15000</v>
      </c>
      <c r="G49" s="141">
        <v>15000</v>
      </c>
      <c r="H49">
        <f>(Table1[[#This Row],[2,027.0]]/Table1[[#This Row],[2,026.0]]) - 1</f>
        <v>0</v>
      </c>
      <c r="I49" s="32">
        <f>Table1[[#This Row],[2,027.0]]-Table1[[#This Row],[2,026.0]]</f>
        <v>0</v>
      </c>
    </row>
    <row r="50" spans="1:9" x14ac:dyDescent="0.2">
      <c r="A50" s="137" t="s">
        <v>410</v>
      </c>
      <c r="B50" s="101" t="s">
        <v>412</v>
      </c>
      <c r="C50" s="123"/>
      <c r="D50" s="123"/>
      <c r="E50" s="124" t="s">
        <v>413</v>
      </c>
      <c r="F50" s="125">
        <v>46670347.299999997</v>
      </c>
      <c r="G50" s="141">
        <v>46670347.299999997</v>
      </c>
      <c r="H50">
        <f>(Table1[[#This Row],[2,027.0]]/Table1[[#This Row],[2,026.0]]) - 1</f>
        <v>0</v>
      </c>
      <c r="I50" s="32">
        <f>Table1[[#This Row],[2,027.0]]-Table1[[#This Row],[2,026.0]]</f>
        <v>0</v>
      </c>
    </row>
    <row r="51" spans="1:9" x14ac:dyDescent="0.2">
      <c r="A51" s="138" t="s">
        <v>410</v>
      </c>
      <c r="B51" s="126" t="s">
        <v>530</v>
      </c>
      <c r="C51" s="127"/>
      <c r="D51" s="127"/>
      <c r="E51" s="126" t="s">
        <v>531</v>
      </c>
      <c r="F51" s="128">
        <v>2057870.4</v>
      </c>
      <c r="G51" s="142">
        <v>2057870.4</v>
      </c>
      <c r="H51">
        <f>(Table1[[#This Row],[2,027.0]]/Table1[[#This Row],[2,026.0]]) - 1</f>
        <v>0</v>
      </c>
      <c r="I51" s="32">
        <f>Table1[[#This Row],[2,027.0]]-Table1[[#This Row],[2,026.0]]</f>
        <v>0</v>
      </c>
    </row>
    <row r="52" spans="1:9" x14ac:dyDescent="0.2">
      <c r="A52" s="137" t="s">
        <v>16</v>
      </c>
      <c r="B52" s="101" t="s">
        <v>96</v>
      </c>
      <c r="C52" s="123"/>
      <c r="D52" s="123"/>
      <c r="E52" s="124" t="s">
        <v>97</v>
      </c>
      <c r="F52" s="125">
        <v>269739.3</v>
      </c>
      <c r="G52" s="141">
        <v>269739.3</v>
      </c>
      <c r="H52">
        <f>(Table1[[#This Row],[2,027.0]]/Table1[[#This Row],[2,026.0]]) - 1</f>
        <v>0</v>
      </c>
      <c r="I52" s="32">
        <f>Table1[[#This Row],[2,027.0]]-Table1[[#This Row],[2,026.0]]</f>
        <v>0</v>
      </c>
    </row>
    <row r="53" spans="1:9" x14ac:dyDescent="0.2">
      <c r="A53" s="137" t="s">
        <v>16</v>
      </c>
      <c r="B53" s="101" t="s">
        <v>618</v>
      </c>
      <c r="C53" s="123"/>
      <c r="D53" s="123"/>
      <c r="E53" s="124" t="s">
        <v>619</v>
      </c>
      <c r="F53" s="125">
        <v>19561.8</v>
      </c>
      <c r="G53" s="141">
        <v>19561.8</v>
      </c>
      <c r="H53">
        <f>(Table1[[#This Row],[2,027.0]]/Table1[[#This Row],[2,026.0]]) - 1</f>
        <v>0</v>
      </c>
      <c r="I53" s="32">
        <f>Table1[[#This Row],[2,027.0]]-Table1[[#This Row],[2,026.0]]</f>
        <v>0</v>
      </c>
    </row>
    <row r="54" spans="1:9" x14ac:dyDescent="0.2">
      <c r="A54" s="137" t="s">
        <v>622</v>
      </c>
      <c r="B54" s="101" t="s">
        <v>631</v>
      </c>
      <c r="C54" s="123"/>
      <c r="D54" s="123"/>
      <c r="E54" s="124" t="s">
        <v>632</v>
      </c>
      <c r="F54" s="125">
        <v>19428.599999999999</v>
      </c>
      <c r="G54" s="141">
        <v>19428.599999999999</v>
      </c>
      <c r="H54">
        <f>(Table1[[#This Row],[2,027.0]]/Table1[[#This Row],[2,026.0]]) - 1</f>
        <v>0</v>
      </c>
      <c r="I54" s="32">
        <f>Table1[[#This Row],[2,027.0]]-Table1[[#This Row],[2,026.0]]</f>
        <v>0</v>
      </c>
    </row>
    <row r="55" spans="1:9" x14ac:dyDescent="0.2">
      <c r="A55" s="137" t="s">
        <v>456</v>
      </c>
      <c r="B55" s="101" t="s">
        <v>772</v>
      </c>
      <c r="C55" s="123"/>
      <c r="D55" s="123"/>
      <c r="E55" s="124" t="s">
        <v>773</v>
      </c>
      <c r="F55" s="125">
        <v>2530800</v>
      </c>
      <c r="G55" s="141">
        <v>2530800</v>
      </c>
      <c r="H55">
        <f>(Table1[[#This Row],[2,027.0]]/Table1[[#This Row],[2,026.0]]) - 1</f>
        <v>0</v>
      </c>
      <c r="I55" s="32">
        <f>Table1[[#This Row],[2,027.0]]-Table1[[#This Row],[2,026.0]]</f>
        <v>0</v>
      </c>
    </row>
    <row r="56" spans="1:9" x14ac:dyDescent="0.2">
      <c r="A56" s="137" t="s">
        <v>777</v>
      </c>
      <c r="B56" s="101" t="s">
        <v>96</v>
      </c>
      <c r="C56" s="123"/>
      <c r="D56" s="123"/>
      <c r="E56" s="124" t="s">
        <v>97</v>
      </c>
      <c r="F56" s="125">
        <v>1567378.5</v>
      </c>
      <c r="G56" s="141">
        <v>1567378.5</v>
      </c>
      <c r="H56">
        <f>(Table1[[#This Row],[2,027.0]]/Table1[[#This Row],[2,026.0]]) - 1</f>
        <v>0</v>
      </c>
      <c r="I56" s="32">
        <f>Table1[[#This Row],[2,027.0]]-Table1[[#This Row],[2,026.0]]</f>
        <v>0</v>
      </c>
    </row>
    <row r="57" spans="1:9" x14ac:dyDescent="0.2">
      <c r="A57" s="137" t="s">
        <v>777</v>
      </c>
      <c r="B57" s="101" t="s">
        <v>836</v>
      </c>
      <c r="C57" s="123"/>
      <c r="D57" s="123"/>
      <c r="E57" s="124" t="s">
        <v>837</v>
      </c>
      <c r="F57" s="125">
        <v>1061098.3999999999</v>
      </c>
      <c r="G57" s="141">
        <v>1061098.3999999999</v>
      </c>
      <c r="H57">
        <f>(Table1[[#This Row],[2,027.0]]/Table1[[#This Row],[2,026.0]]) - 1</f>
        <v>0</v>
      </c>
      <c r="I57" s="32">
        <f>Table1[[#This Row],[2,027.0]]-Table1[[#This Row],[2,026.0]]</f>
        <v>0</v>
      </c>
    </row>
    <row r="58" spans="1:9" x14ac:dyDescent="0.2">
      <c r="A58" s="137" t="s">
        <v>777</v>
      </c>
      <c r="B58" s="101" t="s">
        <v>863</v>
      </c>
      <c r="C58" s="123"/>
      <c r="D58" s="123"/>
      <c r="E58" s="124" t="s">
        <v>864</v>
      </c>
      <c r="F58" s="125">
        <v>28651.200000000001</v>
      </c>
      <c r="G58" s="141">
        <v>28651.200000000001</v>
      </c>
      <c r="H58">
        <f>(Table1[[#This Row],[2,027.0]]/Table1[[#This Row],[2,026.0]]) - 1</f>
        <v>0</v>
      </c>
      <c r="I58" s="32">
        <f>Table1[[#This Row],[2,027.0]]-Table1[[#This Row],[2,026.0]]</f>
        <v>0</v>
      </c>
    </row>
    <row r="59" spans="1:9" x14ac:dyDescent="0.2">
      <c r="A59" s="137" t="s">
        <v>459</v>
      </c>
      <c r="B59" s="101" t="s">
        <v>868</v>
      </c>
      <c r="C59" s="123"/>
      <c r="D59" s="123"/>
      <c r="E59" s="124" t="s">
        <v>869</v>
      </c>
      <c r="F59" s="125">
        <v>36155.1</v>
      </c>
      <c r="G59" s="141">
        <v>36155.1</v>
      </c>
      <c r="H59">
        <f>(Table1[[#This Row],[2,027.0]]/Table1[[#This Row],[2,026.0]]) - 1</f>
        <v>0</v>
      </c>
      <c r="I59" s="32">
        <f>Table1[[#This Row],[2,027.0]]-Table1[[#This Row],[2,026.0]]</f>
        <v>0</v>
      </c>
    </row>
    <row r="60" spans="1:9" x14ac:dyDescent="0.2">
      <c r="A60" s="137" t="s">
        <v>878</v>
      </c>
      <c r="B60" s="101" t="s">
        <v>880</v>
      </c>
      <c r="C60" s="123"/>
      <c r="D60" s="123"/>
      <c r="E60" s="124" t="s">
        <v>881</v>
      </c>
      <c r="F60" s="125">
        <v>739.4</v>
      </c>
      <c r="G60" s="141">
        <v>739.4</v>
      </c>
      <c r="H60">
        <f>(Table1[[#This Row],[2,027.0]]/Table1[[#This Row],[2,026.0]]) - 1</f>
        <v>0</v>
      </c>
      <c r="I60" s="32">
        <f>Table1[[#This Row],[2,027.0]]-Table1[[#This Row],[2,026.0]]</f>
        <v>0</v>
      </c>
    </row>
    <row r="61" spans="1:9" x14ac:dyDescent="0.2">
      <c r="A61" s="137" t="s">
        <v>1098</v>
      </c>
      <c r="B61" s="101" t="s">
        <v>96</v>
      </c>
      <c r="C61" s="123"/>
      <c r="D61" s="123"/>
      <c r="E61" s="124" t="s">
        <v>97</v>
      </c>
      <c r="F61" s="125">
        <v>54957</v>
      </c>
      <c r="G61" s="141">
        <v>54957</v>
      </c>
      <c r="H61">
        <f>(Table1[[#This Row],[2,027.0]]/Table1[[#This Row],[2,026.0]]) - 1</f>
        <v>0</v>
      </c>
      <c r="I61" s="32">
        <f>Table1[[#This Row],[2,027.0]]-Table1[[#This Row],[2,026.0]]</f>
        <v>0</v>
      </c>
    </row>
    <row r="62" spans="1:9" x14ac:dyDescent="0.2">
      <c r="A62" s="137" t="s">
        <v>474</v>
      </c>
      <c r="B62" s="101" t="s">
        <v>1213</v>
      </c>
      <c r="C62" s="123"/>
      <c r="D62" s="123"/>
      <c r="E62" s="124" t="s">
        <v>1214</v>
      </c>
      <c r="F62" s="125">
        <v>16853.2</v>
      </c>
      <c r="G62" s="141">
        <v>16853.2</v>
      </c>
      <c r="H62">
        <f>(Table1[[#This Row],[2,027.0]]/Table1[[#This Row],[2,026.0]]) - 1</f>
        <v>0</v>
      </c>
      <c r="I62" s="32">
        <f>Table1[[#This Row],[2,027.0]]-Table1[[#This Row],[2,026.0]]</f>
        <v>0</v>
      </c>
    </row>
    <row r="63" spans="1:9" x14ac:dyDescent="0.2">
      <c r="A63" s="137" t="s">
        <v>1240</v>
      </c>
      <c r="B63" s="101" t="s">
        <v>1270</v>
      </c>
      <c r="C63" s="123"/>
      <c r="D63" s="123"/>
      <c r="E63" s="124" t="s">
        <v>1271</v>
      </c>
      <c r="F63" s="125">
        <v>23000</v>
      </c>
      <c r="G63" s="141">
        <v>23000</v>
      </c>
      <c r="H63">
        <f>(Table1[[#This Row],[2,027.0]]/Table1[[#This Row],[2,026.0]]) - 1</f>
        <v>0</v>
      </c>
      <c r="I63" s="32">
        <f>Table1[[#This Row],[2,027.0]]-Table1[[#This Row],[2,026.0]]</f>
        <v>0</v>
      </c>
    </row>
    <row r="64" spans="1:9" x14ac:dyDescent="0.2">
      <c r="A64" s="137" t="s">
        <v>1400</v>
      </c>
      <c r="B64" s="101" t="s">
        <v>96</v>
      </c>
      <c r="C64" s="123"/>
      <c r="D64" s="123"/>
      <c r="E64" s="124" t="s">
        <v>97</v>
      </c>
      <c r="F64" s="125">
        <v>70000</v>
      </c>
      <c r="G64" s="141">
        <v>70000</v>
      </c>
      <c r="H64">
        <f>(Table1[[#This Row],[2,027.0]]/Table1[[#This Row],[2,026.0]]) - 1</f>
        <v>0</v>
      </c>
      <c r="I64" s="32">
        <f>Table1[[#This Row],[2,027.0]]-Table1[[#This Row],[2,026.0]]</f>
        <v>0</v>
      </c>
    </row>
    <row r="65" spans="1:9" x14ac:dyDescent="0.2">
      <c r="A65" s="137" t="s">
        <v>1404</v>
      </c>
      <c r="B65" s="101" t="s">
        <v>96</v>
      </c>
      <c r="C65" s="123"/>
      <c r="D65" s="123"/>
      <c r="E65" s="124" t="s">
        <v>97</v>
      </c>
      <c r="F65" s="125">
        <v>39019.300000000003</v>
      </c>
      <c r="G65" s="141">
        <v>39019.300000000003</v>
      </c>
      <c r="H65">
        <f>(Table1[[#This Row],[2,027.0]]/Table1[[#This Row],[2,026.0]]) - 1</f>
        <v>0</v>
      </c>
      <c r="I65" s="32">
        <f>Table1[[#This Row],[2,027.0]]-Table1[[#This Row],[2,026.0]]</f>
        <v>0</v>
      </c>
    </row>
    <row r="66" spans="1:9" x14ac:dyDescent="0.2">
      <c r="A66" s="137" t="s">
        <v>453</v>
      </c>
      <c r="B66" s="101" t="s">
        <v>665</v>
      </c>
      <c r="C66" s="123"/>
      <c r="D66" s="123"/>
      <c r="E66" s="124" t="s">
        <v>666</v>
      </c>
      <c r="F66" s="125">
        <v>2178080.7999999998</v>
      </c>
      <c r="G66" s="141">
        <v>2178083.4</v>
      </c>
      <c r="H66">
        <f>(Table1[[#This Row],[2,027.0]]/Table1[[#This Row],[2,026.0]]) - 1</f>
        <v>1.1937114545723659E-6</v>
      </c>
      <c r="I66" s="32">
        <f>Table1[[#This Row],[2,027.0]]-Table1[[#This Row],[2,026.0]]</f>
        <v>2.6000000000931323</v>
      </c>
    </row>
    <row r="67" spans="1:9" x14ac:dyDescent="0.2">
      <c r="A67" s="137" t="s">
        <v>622</v>
      </c>
      <c r="B67" s="101" t="s">
        <v>642</v>
      </c>
      <c r="C67" s="123"/>
      <c r="D67" s="123"/>
      <c r="E67" s="124" t="s">
        <v>643</v>
      </c>
      <c r="F67" s="125">
        <v>244173</v>
      </c>
      <c r="G67" s="141">
        <v>244196.9</v>
      </c>
      <c r="H67">
        <f>(Table1[[#This Row],[2,027.0]]/Table1[[#This Row],[2,026.0]]) - 1</f>
        <v>9.7881420140666364E-5</v>
      </c>
      <c r="I67" s="32">
        <f>Table1[[#This Row],[2,027.0]]-Table1[[#This Row],[2,026.0]]</f>
        <v>23.899999999994179</v>
      </c>
    </row>
    <row r="68" spans="1:9" x14ac:dyDescent="0.2">
      <c r="A68" s="137" t="s">
        <v>497</v>
      </c>
      <c r="B68" s="101" t="s">
        <v>1323</v>
      </c>
      <c r="C68" s="123"/>
      <c r="D68" s="123"/>
      <c r="E68" s="124" t="s">
        <v>1324</v>
      </c>
      <c r="F68" s="125">
        <v>6488.1</v>
      </c>
      <c r="G68" s="141">
        <v>6617.9</v>
      </c>
      <c r="H68">
        <f>(Table1[[#This Row],[2,027.0]]/Table1[[#This Row],[2,026.0]]) - 1</f>
        <v>2.0005856876435191E-2</v>
      </c>
      <c r="I68" s="32">
        <f>Table1[[#This Row],[2,027.0]]-Table1[[#This Row],[2,026.0]]</f>
        <v>129.79999999999927</v>
      </c>
    </row>
    <row r="69" spans="1:9" x14ac:dyDescent="0.2">
      <c r="A69" s="137" t="s">
        <v>1374</v>
      </c>
      <c r="B69" s="101" t="s">
        <v>1376</v>
      </c>
      <c r="C69" s="123"/>
      <c r="D69" s="123"/>
      <c r="E69" s="124" t="s">
        <v>1377</v>
      </c>
      <c r="F69" s="125">
        <v>6630.4</v>
      </c>
      <c r="G69" s="141">
        <v>6763</v>
      </c>
      <c r="H69">
        <f>(Table1[[#This Row],[2,027.0]]/Table1[[#This Row],[2,026.0]]) - 1</f>
        <v>1.9998793436293516E-2</v>
      </c>
      <c r="I69" s="32">
        <f>Table1[[#This Row],[2,027.0]]-Table1[[#This Row],[2,026.0]]</f>
        <v>132.60000000000036</v>
      </c>
    </row>
    <row r="70" spans="1:9" x14ac:dyDescent="0.2">
      <c r="A70" s="137" t="s">
        <v>1307</v>
      </c>
      <c r="B70" s="101" t="s">
        <v>1316</v>
      </c>
      <c r="C70" s="123"/>
      <c r="D70" s="123"/>
      <c r="E70" s="124" t="s">
        <v>1317</v>
      </c>
      <c r="F70" s="125">
        <v>13161.7</v>
      </c>
      <c r="G70" s="141">
        <v>13332.8</v>
      </c>
      <c r="H70">
        <f>(Table1[[#This Row],[2,027.0]]/Table1[[#This Row],[2,026.0]]) - 1</f>
        <v>1.2999840446142885E-2</v>
      </c>
      <c r="I70" s="32">
        <f>Table1[[#This Row],[2,027.0]]-Table1[[#This Row],[2,026.0]]</f>
        <v>171.09999999999854</v>
      </c>
    </row>
    <row r="71" spans="1:9" x14ac:dyDescent="0.2">
      <c r="A71" s="137" t="s">
        <v>1277</v>
      </c>
      <c r="B71" s="101" t="s">
        <v>96</v>
      </c>
      <c r="C71" s="123"/>
      <c r="D71" s="123"/>
      <c r="E71" s="124" t="s">
        <v>97</v>
      </c>
      <c r="F71" s="125">
        <v>8993.7000000000007</v>
      </c>
      <c r="G71" s="141">
        <v>9173.6</v>
      </c>
      <c r="H71">
        <f>(Table1[[#This Row],[2,027.0]]/Table1[[#This Row],[2,026.0]]) - 1</f>
        <v>2.0002890912527604E-2</v>
      </c>
      <c r="I71" s="32">
        <f>Table1[[#This Row],[2,027.0]]-Table1[[#This Row],[2,026.0]]</f>
        <v>179.89999999999964</v>
      </c>
    </row>
    <row r="72" spans="1:9" x14ac:dyDescent="0.2">
      <c r="A72" s="137" t="s">
        <v>1407</v>
      </c>
      <c r="B72" s="101" t="s">
        <v>96</v>
      </c>
      <c r="C72" s="123"/>
      <c r="D72" s="123"/>
      <c r="E72" s="124" t="s">
        <v>97</v>
      </c>
      <c r="F72" s="125">
        <v>11260.6</v>
      </c>
      <c r="G72" s="141">
        <v>11445.6</v>
      </c>
      <c r="H72">
        <f>(Table1[[#This Row],[2,027.0]]/Table1[[#This Row],[2,026.0]]) - 1</f>
        <v>1.6428964708807614E-2</v>
      </c>
      <c r="I72" s="32">
        <f>Table1[[#This Row],[2,027.0]]-Table1[[#This Row],[2,026.0]]</f>
        <v>185</v>
      </c>
    </row>
    <row r="73" spans="1:9" x14ac:dyDescent="0.2">
      <c r="A73" s="137" t="s">
        <v>199</v>
      </c>
      <c r="B73" s="101" t="s">
        <v>210</v>
      </c>
      <c r="C73" s="123"/>
      <c r="D73" s="123"/>
      <c r="E73" s="124" t="s">
        <v>211</v>
      </c>
      <c r="F73" s="125">
        <v>3392.5</v>
      </c>
      <c r="G73" s="141">
        <v>3664.5</v>
      </c>
      <c r="H73">
        <f>(Table1[[#This Row],[2,027.0]]/Table1[[#This Row],[2,026.0]]) - 1</f>
        <v>8.0176860722181331E-2</v>
      </c>
      <c r="I73" s="32">
        <f>Table1[[#This Row],[2,027.0]]-Table1[[#This Row],[2,026.0]]</f>
        <v>272</v>
      </c>
    </row>
    <row r="74" spans="1:9" x14ac:dyDescent="0.2">
      <c r="A74" s="137" t="s">
        <v>471</v>
      </c>
      <c r="B74" s="101" t="s">
        <v>96</v>
      </c>
      <c r="C74" s="123"/>
      <c r="D74" s="123"/>
      <c r="E74" s="124" t="s">
        <v>97</v>
      </c>
      <c r="F74" s="125">
        <v>14991.7</v>
      </c>
      <c r="G74" s="141">
        <v>15291.53</v>
      </c>
      <c r="H74">
        <f>(Table1[[#This Row],[2,027.0]]/Table1[[#This Row],[2,026.0]]) - 1</f>
        <v>1.9999733185696034E-2</v>
      </c>
      <c r="I74" s="32">
        <f>Table1[[#This Row],[2,027.0]]-Table1[[#This Row],[2,026.0]]</f>
        <v>299.82999999999993</v>
      </c>
    </row>
    <row r="75" spans="1:9" x14ac:dyDescent="0.2">
      <c r="A75" s="137" t="s">
        <v>127</v>
      </c>
      <c r="B75" s="101" t="s">
        <v>96</v>
      </c>
      <c r="C75" s="123"/>
      <c r="D75" s="123"/>
      <c r="E75" s="124" t="s">
        <v>97</v>
      </c>
      <c r="F75" s="125">
        <v>18086.2</v>
      </c>
      <c r="G75" s="141">
        <v>18447.900000000001</v>
      </c>
      <c r="H75">
        <f>(Table1[[#This Row],[2,027.0]]/Table1[[#This Row],[2,026.0]]) - 1</f>
        <v>1.9998673021419666E-2</v>
      </c>
      <c r="I75" s="32">
        <f>Table1[[#This Row],[2,027.0]]-Table1[[#This Row],[2,026.0]]</f>
        <v>361.70000000000073</v>
      </c>
    </row>
    <row r="76" spans="1:9" x14ac:dyDescent="0.2">
      <c r="A76" s="137" t="s">
        <v>967</v>
      </c>
      <c r="B76" s="101" t="s">
        <v>972</v>
      </c>
      <c r="C76" s="123"/>
      <c r="D76" s="123"/>
      <c r="E76" s="124" t="s">
        <v>973</v>
      </c>
      <c r="F76" s="125">
        <v>24578.1</v>
      </c>
      <c r="G76" s="141">
        <v>25069.7</v>
      </c>
      <c r="H76">
        <f>(Table1[[#This Row],[2,027.0]]/Table1[[#This Row],[2,026.0]]) - 1</f>
        <v>2.0001546091846123E-2</v>
      </c>
      <c r="I76" s="32">
        <f>Table1[[#This Row],[2,027.0]]-Table1[[#This Row],[2,026.0]]</f>
        <v>491.60000000000218</v>
      </c>
    </row>
    <row r="77" spans="1:9" x14ac:dyDescent="0.2">
      <c r="A77" s="137" t="s">
        <v>469</v>
      </c>
      <c r="B77" s="101" t="s">
        <v>1143</v>
      </c>
      <c r="C77" s="123"/>
      <c r="D77" s="123"/>
      <c r="E77" s="124" t="s">
        <v>1144</v>
      </c>
      <c r="F77" s="125">
        <v>38654.400000000001</v>
      </c>
      <c r="G77" s="141">
        <v>39236.300000000003</v>
      </c>
      <c r="H77">
        <f>(Table1[[#This Row],[2,027.0]]/Table1[[#This Row],[2,026.0]]) - 1</f>
        <v>1.5053913655366458E-2</v>
      </c>
      <c r="I77" s="32">
        <f>Table1[[#This Row],[2,027.0]]-Table1[[#This Row],[2,026.0]]</f>
        <v>581.90000000000146</v>
      </c>
    </row>
    <row r="78" spans="1:9" x14ac:dyDescent="0.2">
      <c r="A78" s="137" t="s">
        <v>1366</v>
      </c>
      <c r="B78" s="101" t="s">
        <v>96</v>
      </c>
      <c r="C78" s="123"/>
      <c r="D78" s="123"/>
      <c r="E78" s="124" t="s">
        <v>97</v>
      </c>
      <c r="F78" s="125">
        <v>32091.4</v>
      </c>
      <c r="G78" s="141">
        <v>32733.200000000001</v>
      </c>
      <c r="H78">
        <f>(Table1[[#This Row],[2,027.0]]/Table1[[#This Row],[2,026.0]]) - 1</f>
        <v>1.9999127492100754E-2</v>
      </c>
      <c r="I78" s="32">
        <f>Table1[[#This Row],[2,027.0]]-Table1[[#This Row],[2,026.0]]</f>
        <v>641.79999999999927</v>
      </c>
    </row>
    <row r="79" spans="1:9" x14ac:dyDescent="0.2">
      <c r="A79" s="137" t="s">
        <v>466</v>
      </c>
      <c r="B79" s="101" t="s">
        <v>1094</v>
      </c>
      <c r="C79" s="123"/>
      <c r="D79" s="123"/>
      <c r="E79" s="124" t="s">
        <v>1095</v>
      </c>
      <c r="F79" s="125">
        <v>22582.9</v>
      </c>
      <c r="G79" s="141">
        <v>23225.200000000001</v>
      </c>
      <c r="H79">
        <f>(Table1[[#This Row],[2,027.0]]/Table1[[#This Row],[2,026.0]]) - 1</f>
        <v>2.8441874161422964E-2</v>
      </c>
      <c r="I79" s="32">
        <f>Table1[[#This Row],[2,027.0]]-Table1[[#This Row],[2,026.0]]</f>
        <v>642.29999999999927</v>
      </c>
    </row>
    <row r="80" spans="1:9" x14ac:dyDescent="0.2">
      <c r="A80" s="137" t="s">
        <v>469</v>
      </c>
      <c r="B80" s="101" t="s">
        <v>96</v>
      </c>
      <c r="C80" s="123"/>
      <c r="D80" s="123"/>
      <c r="E80" s="124" t="s">
        <v>97</v>
      </c>
      <c r="F80" s="125">
        <v>26079.599999999999</v>
      </c>
      <c r="G80" s="141">
        <v>26742.400000000001</v>
      </c>
      <c r="H80">
        <f>(Table1[[#This Row],[2,027.0]]/Table1[[#This Row],[2,026.0]]) - 1</f>
        <v>2.5414500222396219E-2</v>
      </c>
      <c r="I80" s="32">
        <f>Table1[[#This Row],[2,027.0]]-Table1[[#This Row],[2,026.0]]</f>
        <v>662.80000000000291</v>
      </c>
    </row>
    <row r="81" spans="1:9" x14ac:dyDescent="0.2">
      <c r="A81" s="137" t="s">
        <v>1407</v>
      </c>
      <c r="B81" s="101" t="s">
        <v>1411</v>
      </c>
      <c r="C81" s="123"/>
      <c r="D81" s="123"/>
      <c r="E81" s="124" t="s">
        <v>1412</v>
      </c>
      <c r="F81" s="125">
        <v>31215.1</v>
      </c>
      <c r="G81" s="141">
        <v>31879.599999999999</v>
      </c>
      <c r="H81">
        <f>(Table1[[#This Row],[2,027.0]]/Table1[[#This Row],[2,026.0]]) - 1</f>
        <v>2.1287774186211195E-2</v>
      </c>
      <c r="I81" s="32">
        <f>Table1[[#This Row],[2,027.0]]-Table1[[#This Row],[2,026.0]]</f>
        <v>664.5</v>
      </c>
    </row>
    <row r="82" spans="1:9" x14ac:dyDescent="0.2">
      <c r="A82" s="137" t="s">
        <v>1368</v>
      </c>
      <c r="B82" s="101" t="s">
        <v>1370</v>
      </c>
      <c r="C82" s="123"/>
      <c r="D82" s="123"/>
      <c r="E82" s="124" t="s">
        <v>1371</v>
      </c>
      <c r="F82" s="125">
        <v>33904.199999999997</v>
      </c>
      <c r="G82" s="141">
        <v>34582.300000000003</v>
      </c>
      <c r="H82">
        <f>(Table1[[#This Row],[2,027.0]]/Table1[[#This Row],[2,026.0]]) - 1</f>
        <v>2.0000471917933638E-2</v>
      </c>
      <c r="I82" s="32">
        <f>Table1[[#This Row],[2,027.0]]-Table1[[#This Row],[2,026.0]]</f>
        <v>678.10000000000582</v>
      </c>
    </row>
    <row r="83" spans="1:9" x14ac:dyDescent="0.2">
      <c r="A83" s="137" t="s">
        <v>453</v>
      </c>
      <c r="B83" s="101" t="s">
        <v>649</v>
      </c>
      <c r="C83" s="123"/>
      <c r="D83" s="123"/>
      <c r="E83" s="124" t="s">
        <v>650</v>
      </c>
      <c r="F83" s="125">
        <v>8891657.4700000007</v>
      </c>
      <c r="G83" s="141">
        <v>8892351.4700000007</v>
      </c>
      <c r="H83">
        <f>(Table1[[#This Row],[2,027.0]]/Table1[[#This Row],[2,026.0]]) - 1</f>
        <v>7.8050689912512183E-5</v>
      </c>
      <c r="I83" s="32">
        <f>Table1[[#This Row],[2,027.0]]-Table1[[#This Row],[2,026.0]]</f>
        <v>694</v>
      </c>
    </row>
    <row r="84" spans="1:9" x14ac:dyDescent="0.2">
      <c r="A84" s="137" t="s">
        <v>1202</v>
      </c>
      <c r="B84" s="101" t="s">
        <v>1204</v>
      </c>
      <c r="C84" s="123"/>
      <c r="D84" s="123"/>
      <c r="E84" s="124" t="s">
        <v>1205</v>
      </c>
      <c r="F84" s="125">
        <v>29838.1</v>
      </c>
      <c r="G84" s="141">
        <v>30571.4</v>
      </c>
      <c r="H84">
        <f>(Table1[[#This Row],[2,027.0]]/Table1[[#This Row],[2,026.0]]) - 1</f>
        <v>2.4575961606134511E-2</v>
      </c>
      <c r="I84" s="32">
        <f>Table1[[#This Row],[2,027.0]]-Table1[[#This Row],[2,026.0]]</f>
        <v>733.30000000000291</v>
      </c>
    </row>
    <row r="85" spans="1:9" x14ac:dyDescent="0.2">
      <c r="A85" s="137" t="s">
        <v>474</v>
      </c>
      <c r="B85" s="101" t="s">
        <v>96</v>
      </c>
      <c r="C85" s="123"/>
      <c r="D85" s="123"/>
      <c r="E85" s="124" t="s">
        <v>97</v>
      </c>
      <c r="F85" s="125">
        <v>43252.2</v>
      </c>
      <c r="G85" s="141">
        <v>44058.96</v>
      </c>
      <c r="H85">
        <f>(Table1[[#This Row],[2,027.0]]/Table1[[#This Row],[2,026.0]]) - 1</f>
        <v>1.8652461608889226E-2</v>
      </c>
      <c r="I85" s="32">
        <f>Table1[[#This Row],[2,027.0]]-Table1[[#This Row],[2,026.0]]</f>
        <v>806.76000000000204</v>
      </c>
    </row>
    <row r="86" spans="1:9" x14ac:dyDescent="0.2">
      <c r="A86" s="137" t="s">
        <v>1200</v>
      </c>
      <c r="B86" s="101" t="s">
        <v>96</v>
      </c>
      <c r="C86" s="123"/>
      <c r="D86" s="123"/>
      <c r="E86" s="124" t="s">
        <v>97</v>
      </c>
      <c r="F86" s="125">
        <v>42136.2</v>
      </c>
      <c r="G86" s="141">
        <v>42978.9</v>
      </c>
      <c r="H86">
        <f>(Table1[[#This Row],[2,027.0]]/Table1[[#This Row],[2,026.0]]) - 1</f>
        <v>1.9999430418500053E-2</v>
      </c>
      <c r="I86" s="32">
        <f>Table1[[#This Row],[2,027.0]]-Table1[[#This Row],[2,026.0]]</f>
        <v>842.70000000000437</v>
      </c>
    </row>
    <row r="87" spans="1:9" x14ac:dyDescent="0.2">
      <c r="A87" s="137" t="s">
        <v>1299</v>
      </c>
      <c r="B87" s="101" t="s">
        <v>96</v>
      </c>
      <c r="C87" s="123"/>
      <c r="D87" s="123"/>
      <c r="E87" s="124" t="s">
        <v>97</v>
      </c>
      <c r="F87" s="125">
        <v>13560</v>
      </c>
      <c r="G87" s="141">
        <v>14490</v>
      </c>
      <c r="H87">
        <f>(Table1[[#This Row],[2,027.0]]/Table1[[#This Row],[2,026.0]]) - 1</f>
        <v>6.8584070796460228E-2</v>
      </c>
      <c r="I87" s="32">
        <f>Table1[[#This Row],[2,027.0]]-Table1[[#This Row],[2,026.0]]</f>
        <v>930</v>
      </c>
    </row>
    <row r="88" spans="1:9" x14ac:dyDescent="0.2">
      <c r="A88" s="137" t="s">
        <v>334</v>
      </c>
      <c r="B88" s="101" t="s">
        <v>340</v>
      </c>
      <c r="C88" s="123"/>
      <c r="D88" s="123"/>
      <c r="E88" s="124" t="s">
        <v>341</v>
      </c>
      <c r="F88" s="125">
        <v>44684.45</v>
      </c>
      <c r="G88" s="141">
        <v>45702.400000000001</v>
      </c>
      <c r="H88">
        <f>(Table1[[#This Row],[2,027.0]]/Table1[[#This Row],[2,026.0]]) - 1</f>
        <v>2.2780855532517519E-2</v>
      </c>
      <c r="I88" s="32">
        <f>Table1[[#This Row],[2,027.0]]-Table1[[#This Row],[2,026.0]]</f>
        <v>1017.9500000000044</v>
      </c>
    </row>
    <row r="89" spans="1:9" x14ac:dyDescent="0.2">
      <c r="A89" s="137" t="s">
        <v>16</v>
      </c>
      <c r="B89" s="101" t="s">
        <v>606</v>
      </c>
      <c r="C89" s="123"/>
      <c r="D89" s="123"/>
      <c r="E89" s="124" t="s">
        <v>607</v>
      </c>
      <c r="F89" s="125">
        <v>53903</v>
      </c>
      <c r="G89" s="141">
        <v>54981.100000000013</v>
      </c>
      <c r="H89">
        <f>(Table1[[#This Row],[2,027.0]]/Table1[[#This Row],[2,026.0]]) - 1</f>
        <v>2.0000742073725375E-2</v>
      </c>
      <c r="I89" s="32">
        <f>Table1[[#This Row],[2,027.0]]-Table1[[#This Row],[2,026.0]]</f>
        <v>1078.1000000000131</v>
      </c>
    </row>
    <row r="90" spans="1:9" x14ac:dyDescent="0.2">
      <c r="A90" s="137" t="s">
        <v>1180</v>
      </c>
      <c r="B90" s="101" t="s">
        <v>1190</v>
      </c>
      <c r="C90" s="123"/>
      <c r="D90" s="123"/>
      <c r="E90" s="124" t="s">
        <v>1191</v>
      </c>
      <c r="F90" s="125">
        <v>71785.3</v>
      </c>
      <c r="G90" s="141">
        <v>72914</v>
      </c>
      <c r="H90">
        <f>(Table1[[#This Row],[2,027.0]]/Table1[[#This Row],[2,026.0]]) - 1</f>
        <v>1.5723274820889532E-2</v>
      </c>
      <c r="I90" s="32">
        <f>Table1[[#This Row],[2,027.0]]-Table1[[#This Row],[2,026.0]]</f>
        <v>1128.6999999999971</v>
      </c>
    </row>
    <row r="91" spans="1:9" x14ac:dyDescent="0.2">
      <c r="A91" s="137" t="s">
        <v>1202</v>
      </c>
      <c r="B91" s="101" t="s">
        <v>96</v>
      </c>
      <c r="C91" s="123"/>
      <c r="D91" s="123"/>
      <c r="E91" s="124" t="s">
        <v>97</v>
      </c>
      <c r="F91" s="125">
        <v>71643.5</v>
      </c>
      <c r="G91" s="141">
        <v>72793</v>
      </c>
      <c r="H91">
        <f>(Table1[[#This Row],[2,027.0]]/Table1[[#This Row],[2,026.0]]) - 1</f>
        <v>1.6044721433207565E-2</v>
      </c>
      <c r="I91" s="32">
        <f>Table1[[#This Row],[2,027.0]]-Table1[[#This Row],[2,026.0]]</f>
        <v>1149.5</v>
      </c>
    </row>
    <row r="92" spans="1:9" x14ac:dyDescent="0.2">
      <c r="A92" s="137" t="s">
        <v>1107</v>
      </c>
      <c r="B92" s="101" t="s">
        <v>1118</v>
      </c>
      <c r="C92" s="123"/>
      <c r="D92" s="123"/>
      <c r="E92" s="124" t="s">
        <v>1119</v>
      </c>
      <c r="F92" s="125">
        <v>551932.5</v>
      </c>
      <c r="G92" s="141">
        <v>553267.80000000005</v>
      </c>
      <c r="H92">
        <f>(Table1[[#This Row],[2,027.0]]/Table1[[#This Row],[2,026.0]]) - 1</f>
        <v>2.4193175795954591E-3</v>
      </c>
      <c r="I92" s="32">
        <f>Table1[[#This Row],[2,027.0]]-Table1[[#This Row],[2,026.0]]</f>
        <v>1335.3000000000466</v>
      </c>
    </row>
    <row r="93" spans="1:9" x14ac:dyDescent="0.2">
      <c r="A93" s="137" t="s">
        <v>476</v>
      </c>
      <c r="B93" s="101" t="s">
        <v>1218</v>
      </c>
      <c r="C93" s="123"/>
      <c r="D93" s="123"/>
      <c r="E93" s="124" t="s">
        <v>1219</v>
      </c>
      <c r="F93" s="125">
        <v>24913.32</v>
      </c>
      <c r="G93" s="141">
        <v>26275.52</v>
      </c>
      <c r="H93">
        <f>(Table1[[#This Row],[2,027.0]]/Table1[[#This Row],[2,026.0]]) - 1</f>
        <v>5.4677578098784041E-2</v>
      </c>
      <c r="I93" s="32">
        <f>Table1[[#This Row],[2,027.0]]-Table1[[#This Row],[2,026.0]]</f>
        <v>1362.2000000000007</v>
      </c>
    </row>
    <row r="94" spans="1:9" x14ac:dyDescent="0.2">
      <c r="A94" s="137" t="s">
        <v>261</v>
      </c>
      <c r="B94" s="101" t="s">
        <v>281</v>
      </c>
      <c r="C94" s="123"/>
      <c r="D94" s="123"/>
      <c r="E94" s="124" t="s">
        <v>282</v>
      </c>
      <c r="F94" s="125">
        <v>68715.5</v>
      </c>
      <c r="G94" s="141">
        <v>70089.8</v>
      </c>
      <c r="H94">
        <f>(Table1[[#This Row],[2,027.0]]/Table1[[#This Row],[2,026.0]]) - 1</f>
        <v>1.9999854472426248E-2</v>
      </c>
      <c r="I94" s="32">
        <f>Table1[[#This Row],[2,027.0]]-Table1[[#This Row],[2,026.0]]</f>
        <v>1374.3000000000029</v>
      </c>
    </row>
    <row r="95" spans="1:9" x14ac:dyDescent="0.2">
      <c r="A95" s="137" t="s">
        <v>247</v>
      </c>
      <c r="B95" s="101" t="s">
        <v>251</v>
      </c>
      <c r="C95" s="123"/>
      <c r="D95" s="123"/>
      <c r="E95" s="124" t="s">
        <v>252</v>
      </c>
      <c r="F95" s="125">
        <v>59137.4</v>
      </c>
      <c r="G95" s="141">
        <v>60620.1</v>
      </c>
      <c r="H95">
        <f>(Table1[[#This Row],[2,027.0]]/Table1[[#This Row],[2,026.0]]) - 1</f>
        <v>2.5072120181137469E-2</v>
      </c>
      <c r="I95" s="32">
        <f>Table1[[#This Row],[2,027.0]]-Table1[[#This Row],[2,026.0]]</f>
        <v>1482.6999999999971</v>
      </c>
    </row>
    <row r="96" spans="1:9" x14ac:dyDescent="0.2">
      <c r="A96" s="137" t="s">
        <v>464</v>
      </c>
      <c r="B96" s="101" t="s">
        <v>1066</v>
      </c>
      <c r="C96" s="123"/>
      <c r="D96" s="123"/>
      <c r="E96" s="124" t="s">
        <v>1067</v>
      </c>
      <c r="F96" s="125">
        <v>63032.6</v>
      </c>
      <c r="G96" s="141">
        <v>64644.800000000003</v>
      </c>
      <c r="H96">
        <f>(Table1[[#This Row],[2,027.0]]/Table1[[#This Row],[2,026.0]]) - 1</f>
        <v>2.5577240983237326E-2</v>
      </c>
      <c r="I96" s="32">
        <f>Table1[[#This Row],[2,027.0]]-Table1[[#This Row],[2,026.0]]</f>
        <v>1612.2000000000044</v>
      </c>
    </row>
    <row r="97" spans="1:9" x14ac:dyDescent="0.2">
      <c r="A97" s="137" t="s">
        <v>450</v>
      </c>
      <c r="B97" s="101" t="s">
        <v>538</v>
      </c>
      <c r="C97" s="123"/>
      <c r="D97" s="123"/>
      <c r="E97" s="124" t="s">
        <v>539</v>
      </c>
      <c r="F97" s="125">
        <v>81635.399999999994</v>
      </c>
      <c r="G97" s="141">
        <v>83268.11</v>
      </c>
      <c r="H97">
        <f>(Table1[[#This Row],[2,027.0]]/Table1[[#This Row],[2,026.0]]) - 1</f>
        <v>2.0000024499175595E-2</v>
      </c>
      <c r="I97" s="32">
        <f>Table1[[#This Row],[2,027.0]]-Table1[[#This Row],[2,026.0]]</f>
        <v>1632.7100000000064</v>
      </c>
    </row>
    <row r="98" spans="1:9" x14ac:dyDescent="0.2">
      <c r="A98" s="137" t="s">
        <v>1180</v>
      </c>
      <c r="B98" s="101" t="s">
        <v>1194</v>
      </c>
      <c r="C98" s="123"/>
      <c r="D98" s="123"/>
      <c r="E98" s="124" t="s">
        <v>1195</v>
      </c>
      <c r="F98" s="125">
        <v>24094.2</v>
      </c>
      <c r="G98" s="141">
        <v>25803.8</v>
      </c>
      <c r="H98">
        <f>(Table1[[#This Row],[2,027.0]]/Table1[[#This Row],[2,026.0]]) - 1</f>
        <v>7.0954835603589173E-2</v>
      </c>
      <c r="I98" s="32">
        <f>Table1[[#This Row],[2,027.0]]-Table1[[#This Row],[2,026.0]]</f>
        <v>1709.5999999999985</v>
      </c>
    </row>
    <row r="99" spans="1:9" x14ac:dyDescent="0.2">
      <c r="A99" s="137" t="s">
        <v>1240</v>
      </c>
      <c r="B99" s="101" t="s">
        <v>1265</v>
      </c>
      <c r="C99" s="123"/>
      <c r="D99" s="123"/>
      <c r="E99" s="124" t="s">
        <v>1266</v>
      </c>
      <c r="F99" s="125">
        <v>86522.26</v>
      </c>
      <c r="G99" s="141">
        <v>88286.36</v>
      </c>
      <c r="H99">
        <f>(Table1[[#This Row],[2,027.0]]/Table1[[#This Row],[2,026.0]]) - 1</f>
        <v>2.0388972733722088E-2</v>
      </c>
      <c r="I99" s="32">
        <f>Table1[[#This Row],[2,027.0]]-Table1[[#This Row],[2,026.0]]</f>
        <v>1764.1000000000058</v>
      </c>
    </row>
    <row r="100" spans="1:9" x14ac:dyDescent="0.2">
      <c r="A100" s="137" t="s">
        <v>44</v>
      </c>
      <c r="B100" s="101" t="s">
        <v>1232</v>
      </c>
      <c r="C100" s="123"/>
      <c r="D100" s="123"/>
      <c r="E100" s="124" t="s">
        <v>1233</v>
      </c>
      <c r="F100" s="125">
        <v>88484.5</v>
      </c>
      <c r="G100" s="141">
        <v>90254.2</v>
      </c>
      <c r="H100">
        <f>(Table1[[#This Row],[2,027.0]]/Table1[[#This Row],[2,026.0]]) - 1</f>
        <v>2.0000113014143617E-2</v>
      </c>
      <c r="I100" s="32">
        <f>Table1[[#This Row],[2,027.0]]-Table1[[#This Row],[2,026.0]]</f>
        <v>1769.6999999999971</v>
      </c>
    </row>
    <row r="101" spans="1:9" x14ac:dyDescent="0.2">
      <c r="A101" s="137" t="s">
        <v>967</v>
      </c>
      <c r="B101" s="101" t="s">
        <v>96</v>
      </c>
      <c r="C101" s="123"/>
      <c r="D101" s="123"/>
      <c r="E101" s="124" t="s">
        <v>97</v>
      </c>
      <c r="F101" s="125">
        <v>99554.4</v>
      </c>
      <c r="G101" s="141">
        <v>101545.56</v>
      </c>
      <c r="H101">
        <f>(Table1[[#This Row],[2,027.0]]/Table1[[#This Row],[2,026.0]]) - 1</f>
        <v>2.0000723222680206E-2</v>
      </c>
      <c r="I101" s="32">
        <f>Table1[[#This Row],[2,027.0]]-Table1[[#This Row],[2,026.0]]</f>
        <v>1991.1600000000035</v>
      </c>
    </row>
    <row r="102" spans="1:9" x14ac:dyDescent="0.2">
      <c r="A102" s="137" t="s">
        <v>476</v>
      </c>
      <c r="B102" s="101" t="s">
        <v>96</v>
      </c>
      <c r="C102" s="123"/>
      <c r="D102" s="123"/>
      <c r="E102" s="124" t="s">
        <v>97</v>
      </c>
      <c r="F102" s="125">
        <v>76997.08</v>
      </c>
      <c r="G102" s="141">
        <v>79050.080000000002</v>
      </c>
      <c r="H102">
        <f>(Table1[[#This Row],[2,027.0]]/Table1[[#This Row],[2,026.0]]) - 1</f>
        <v>2.666334879192811E-2</v>
      </c>
      <c r="I102" s="32">
        <f>Table1[[#This Row],[2,027.0]]-Table1[[#This Row],[2,026.0]]</f>
        <v>2053</v>
      </c>
    </row>
    <row r="103" spans="1:9" x14ac:dyDescent="0.2">
      <c r="A103" s="137" t="s">
        <v>360</v>
      </c>
      <c r="B103" s="101" t="s">
        <v>398</v>
      </c>
      <c r="C103" s="123"/>
      <c r="D103" s="123"/>
      <c r="E103" s="124" t="s">
        <v>399</v>
      </c>
      <c r="F103" s="125">
        <v>104267.8</v>
      </c>
      <c r="G103" s="141">
        <v>106329.2</v>
      </c>
      <c r="H103">
        <f>(Table1[[#This Row],[2,027.0]]/Table1[[#This Row],[2,026.0]]) - 1</f>
        <v>1.9770245464083791E-2</v>
      </c>
      <c r="I103" s="32">
        <f>Table1[[#This Row],[2,027.0]]-Table1[[#This Row],[2,026.0]]</f>
        <v>2061.3999999999942</v>
      </c>
    </row>
    <row r="104" spans="1:9" x14ac:dyDescent="0.2">
      <c r="A104" s="137" t="s">
        <v>1240</v>
      </c>
      <c r="B104" s="101" t="s">
        <v>1242</v>
      </c>
      <c r="C104" s="123"/>
      <c r="D104" s="123"/>
      <c r="E104" s="124" t="s">
        <v>1243</v>
      </c>
      <c r="F104" s="125">
        <v>241520.6</v>
      </c>
      <c r="G104" s="141">
        <v>243998.3</v>
      </c>
      <c r="H104">
        <f>(Table1[[#This Row],[2,027.0]]/Table1[[#This Row],[2,026.0]]) - 1</f>
        <v>1.0258752255501102E-2</v>
      </c>
      <c r="I104" s="32">
        <f>Table1[[#This Row],[2,027.0]]-Table1[[#This Row],[2,026.0]]</f>
        <v>2477.6999999999825</v>
      </c>
    </row>
    <row r="105" spans="1:9" x14ac:dyDescent="0.2">
      <c r="A105" s="137" t="s">
        <v>199</v>
      </c>
      <c r="B105" s="101" t="s">
        <v>96</v>
      </c>
      <c r="C105" s="123"/>
      <c r="D105" s="123"/>
      <c r="E105" s="124" t="s">
        <v>97</v>
      </c>
      <c r="F105" s="125">
        <v>406745.3</v>
      </c>
      <c r="G105" s="141">
        <v>409477.6</v>
      </c>
      <c r="H105">
        <f>(Table1[[#This Row],[2,027.0]]/Table1[[#This Row],[2,026.0]]) - 1</f>
        <v>6.717471597090352E-3</v>
      </c>
      <c r="I105" s="32">
        <f>Table1[[#This Row],[2,027.0]]-Table1[[#This Row],[2,026.0]]</f>
        <v>2732.2999999999884</v>
      </c>
    </row>
    <row r="106" spans="1:9" x14ac:dyDescent="0.2">
      <c r="A106" s="137" t="s">
        <v>1180</v>
      </c>
      <c r="B106" s="101" t="s">
        <v>1182</v>
      </c>
      <c r="C106" s="123"/>
      <c r="D106" s="123"/>
      <c r="E106" s="124" t="s">
        <v>1183</v>
      </c>
      <c r="F106" s="125">
        <v>78720.399999999994</v>
      </c>
      <c r="G106" s="141">
        <v>81620.399999999994</v>
      </c>
      <c r="H106">
        <f>(Table1[[#This Row],[2,027.0]]/Table1[[#This Row],[2,026.0]]) - 1</f>
        <v>3.6839243703030045E-2</v>
      </c>
      <c r="I106" s="32">
        <f>Table1[[#This Row],[2,027.0]]-Table1[[#This Row],[2,026.0]]</f>
        <v>2900</v>
      </c>
    </row>
    <row r="107" spans="1:9" x14ac:dyDescent="0.2">
      <c r="A107" s="137" t="s">
        <v>142</v>
      </c>
      <c r="B107" s="101" t="s">
        <v>187</v>
      </c>
      <c r="C107" s="123"/>
      <c r="D107" s="123"/>
      <c r="E107" s="124" t="s">
        <v>188</v>
      </c>
      <c r="F107" s="125">
        <v>116882.7</v>
      </c>
      <c r="G107" s="141">
        <v>119819.9</v>
      </c>
      <c r="H107">
        <f>(Table1[[#This Row],[2,027.0]]/Table1[[#This Row],[2,026.0]]) - 1</f>
        <v>2.512946740621147E-2</v>
      </c>
      <c r="I107" s="32">
        <f>Table1[[#This Row],[2,027.0]]-Table1[[#This Row],[2,026.0]]</f>
        <v>2937.1999999999971</v>
      </c>
    </row>
    <row r="108" spans="1:9" x14ac:dyDescent="0.2">
      <c r="A108" s="137" t="s">
        <v>1172</v>
      </c>
      <c r="B108" s="101" t="s">
        <v>1174</v>
      </c>
      <c r="C108" s="123"/>
      <c r="D108" s="123"/>
      <c r="E108" s="124" t="s">
        <v>1175</v>
      </c>
      <c r="F108" s="125">
        <v>147614.5</v>
      </c>
      <c r="G108" s="141">
        <v>150566.79</v>
      </c>
      <c r="H108">
        <f>(Table1[[#This Row],[2,027.0]]/Table1[[#This Row],[2,026.0]]) - 1</f>
        <v>2.0000000000000018E-2</v>
      </c>
      <c r="I108" s="32">
        <f>Table1[[#This Row],[2,027.0]]-Table1[[#This Row],[2,026.0]]</f>
        <v>2952.2900000000081</v>
      </c>
    </row>
    <row r="109" spans="1:9" x14ac:dyDescent="0.2">
      <c r="A109" s="137" t="s">
        <v>1236</v>
      </c>
      <c r="B109" s="101" t="s">
        <v>96</v>
      </c>
      <c r="C109" s="123"/>
      <c r="D109" s="123"/>
      <c r="E109" s="124" t="s">
        <v>97</v>
      </c>
      <c r="F109" s="125">
        <v>61534.100000000013</v>
      </c>
      <c r="G109" s="141">
        <v>64812.69</v>
      </c>
      <c r="H109">
        <f>(Table1[[#This Row],[2,027.0]]/Table1[[#This Row],[2,026.0]]) - 1</f>
        <v>5.3280863781220322E-2</v>
      </c>
      <c r="I109" s="32">
        <f>Table1[[#This Row],[2,027.0]]-Table1[[#This Row],[2,026.0]]</f>
        <v>3278.5899999999892</v>
      </c>
    </row>
    <row r="110" spans="1:9" x14ac:dyDescent="0.2">
      <c r="A110" s="137" t="s">
        <v>1380</v>
      </c>
      <c r="B110" s="101" t="s">
        <v>96</v>
      </c>
      <c r="C110" s="123"/>
      <c r="D110" s="123"/>
      <c r="E110" s="124" t="s">
        <v>97</v>
      </c>
      <c r="F110" s="125">
        <v>208952.6</v>
      </c>
      <c r="G110" s="141">
        <v>212277.1</v>
      </c>
      <c r="H110">
        <f>(Table1[[#This Row],[2,027.0]]/Table1[[#This Row],[2,026.0]]) - 1</f>
        <v>1.5910306930854157E-2</v>
      </c>
      <c r="I110" s="32">
        <f>Table1[[#This Row],[2,027.0]]-Table1[[#This Row],[2,026.0]]</f>
        <v>3324.5</v>
      </c>
    </row>
    <row r="111" spans="1:9" x14ac:dyDescent="0.2">
      <c r="A111" s="137" t="s">
        <v>247</v>
      </c>
      <c r="B111" s="101" t="s">
        <v>96</v>
      </c>
      <c r="C111" s="123"/>
      <c r="D111" s="123"/>
      <c r="E111" s="124" t="s">
        <v>97</v>
      </c>
      <c r="F111" s="125">
        <v>174569</v>
      </c>
      <c r="G111" s="141">
        <v>178060.4</v>
      </c>
      <c r="H111">
        <f>(Table1[[#This Row],[2,027.0]]/Table1[[#This Row],[2,026.0]]) - 1</f>
        <v>2.0000114567878535E-2</v>
      </c>
      <c r="I111" s="32">
        <f>Table1[[#This Row],[2,027.0]]-Table1[[#This Row],[2,026.0]]</f>
        <v>3491.3999999999942</v>
      </c>
    </row>
    <row r="112" spans="1:9" hidden="1" x14ac:dyDescent="0.2">
      <c r="A112" s="140">
        <v>65</v>
      </c>
      <c r="B112" s="133" t="s">
        <v>408</v>
      </c>
      <c r="C112" s="136" t="s">
        <v>100</v>
      </c>
      <c r="D112" s="133"/>
      <c r="E112" s="134" t="s">
        <v>409</v>
      </c>
      <c r="F112" s="135">
        <v>353600</v>
      </c>
      <c r="G112" s="144">
        <v>357200</v>
      </c>
      <c r="H112">
        <f>(Table1[[#This Row],[2,027.0]]/Table1[[#This Row],[2,026.0]]) - 1</f>
        <v>1.0180995475113086E-2</v>
      </c>
      <c r="I112" s="32">
        <f>Table1[[#This Row],[2,027.0]]-Table1[[#This Row],[2,026.0]]</f>
        <v>3600</v>
      </c>
    </row>
    <row r="113" spans="1:9" x14ac:dyDescent="0.2">
      <c r="A113" s="137" t="s">
        <v>464</v>
      </c>
      <c r="B113" s="101" t="s">
        <v>96</v>
      </c>
      <c r="C113" s="123"/>
      <c r="D113" s="123"/>
      <c r="E113" s="124" t="s">
        <v>97</v>
      </c>
      <c r="F113" s="125">
        <v>184945.8</v>
      </c>
      <c r="G113" s="141">
        <v>188644.6</v>
      </c>
      <c r="H113">
        <f>(Table1[[#This Row],[2,027.0]]/Table1[[#This Row],[2,026.0]]) - 1</f>
        <v>1.9999372789217151E-2</v>
      </c>
      <c r="I113" s="32">
        <f>Table1[[#This Row],[2,027.0]]-Table1[[#This Row],[2,026.0]]</f>
        <v>3698.8000000000175</v>
      </c>
    </row>
    <row r="114" spans="1:9" x14ac:dyDescent="0.2">
      <c r="A114" s="137" t="s">
        <v>360</v>
      </c>
      <c r="B114" s="101" t="s">
        <v>362</v>
      </c>
      <c r="C114" s="123"/>
      <c r="D114" s="123"/>
      <c r="E114" s="124" t="s">
        <v>363</v>
      </c>
      <c r="F114" s="125">
        <v>332704.90000000002</v>
      </c>
      <c r="G114" s="141">
        <v>336444.9</v>
      </c>
      <c r="H114">
        <f>(Table1[[#This Row],[2,027.0]]/Table1[[#This Row],[2,026.0]]) - 1</f>
        <v>1.1241193021202855E-2</v>
      </c>
      <c r="I114" s="32">
        <f>Table1[[#This Row],[2,027.0]]-Table1[[#This Row],[2,026.0]]</f>
        <v>3740</v>
      </c>
    </row>
    <row r="115" spans="1:9" x14ac:dyDescent="0.2">
      <c r="A115" s="137" t="s">
        <v>234</v>
      </c>
      <c r="B115" s="101" t="s">
        <v>96</v>
      </c>
      <c r="C115" s="123"/>
      <c r="D115" s="123"/>
      <c r="E115" s="124" t="s">
        <v>97</v>
      </c>
      <c r="F115" s="125">
        <v>165033.1</v>
      </c>
      <c r="G115" s="141">
        <v>168890.84</v>
      </c>
      <c r="H115">
        <f>(Table1[[#This Row],[2,027.0]]/Table1[[#This Row],[2,026.0]]) - 1</f>
        <v>2.3375553146611106E-2</v>
      </c>
      <c r="I115" s="32">
        <f>Table1[[#This Row],[2,027.0]]-Table1[[#This Row],[2,026.0]]</f>
        <v>3857.7399999999907</v>
      </c>
    </row>
    <row r="116" spans="1:9" x14ac:dyDescent="0.2">
      <c r="A116" s="137" t="s">
        <v>622</v>
      </c>
      <c r="B116" s="101" t="s">
        <v>625</v>
      </c>
      <c r="C116" s="123"/>
      <c r="D116" s="123"/>
      <c r="E116" s="124" t="s">
        <v>626</v>
      </c>
      <c r="F116" s="125">
        <v>132692</v>
      </c>
      <c r="G116" s="141">
        <v>136834.62</v>
      </c>
      <c r="H116">
        <f>(Table1[[#This Row],[2,027.0]]/Table1[[#This Row],[2,026.0]]) - 1</f>
        <v>3.1219817321315402E-2</v>
      </c>
      <c r="I116" s="32">
        <f>Table1[[#This Row],[2,027.0]]-Table1[[#This Row],[2,026.0]]</f>
        <v>4142.6199999999953</v>
      </c>
    </row>
    <row r="117" spans="1:9" x14ac:dyDescent="0.2">
      <c r="A117" s="137" t="s">
        <v>16</v>
      </c>
      <c r="B117" s="101" t="s">
        <v>548</v>
      </c>
      <c r="C117" s="123"/>
      <c r="D117" s="123"/>
      <c r="E117" s="124" t="s">
        <v>549</v>
      </c>
      <c r="F117" s="125">
        <v>240842.6</v>
      </c>
      <c r="G117" s="141">
        <v>245180.7</v>
      </c>
      <c r="H117">
        <f>(Table1[[#This Row],[2,027.0]]/Table1[[#This Row],[2,026.0]]) - 1</f>
        <v>1.801217890854856E-2</v>
      </c>
      <c r="I117" s="32">
        <f>Table1[[#This Row],[2,027.0]]-Table1[[#This Row],[2,026.0]]</f>
        <v>4338.1000000000058</v>
      </c>
    </row>
    <row r="118" spans="1:9" x14ac:dyDescent="0.2">
      <c r="A118" s="137" t="s">
        <v>302</v>
      </c>
      <c r="B118" s="101" t="s">
        <v>314</v>
      </c>
      <c r="C118" s="123"/>
      <c r="D118" s="123"/>
      <c r="E118" s="124" t="s">
        <v>315</v>
      </c>
      <c r="F118" s="125">
        <v>191314.8</v>
      </c>
      <c r="G118" s="141">
        <v>195752.1</v>
      </c>
      <c r="H118">
        <f>(Table1[[#This Row],[2,027.0]]/Table1[[#This Row],[2,026.0]]) - 1</f>
        <v>2.3193710052750838E-2</v>
      </c>
      <c r="I118" s="32">
        <f>Table1[[#This Row],[2,027.0]]-Table1[[#This Row],[2,026.0]]</f>
        <v>4437.3000000000175</v>
      </c>
    </row>
    <row r="119" spans="1:9" x14ac:dyDescent="0.2">
      <c r="A119" s="137" t="s">
        <v>1180</v>
      </c>
      <c r="B119" s="101" t="s">
        <v>96</v>
      </c>
      <c r="C119" s="123"/>
      <c r="D119" s="123"/>
      <c r="E119" s="124" t="s">
        <v>97</v>
      </c>
      <c r="F119" s="125">
        <v>128453.6</v>
      </c>
      <c r="G119" s="141">
        <v>132913.5</v>
      </c>
      <c r="H119">
        <f>(Table1[[#This Row],[2,027.0]]/Table1[[#This Row],[2,026.0]]) - 1</f>
        <v>3.4719929998069388E-2</v>
      </c>
      <c r="I119" s="32">
        <f>Table1[[#This Row],[2,027.0]]-Table1[[#This Row],[2,026.0]]</f>
        <v>4459.8999999999942</v>
      </c>
    </row>
    <row r="120" spans="1:9" x14ac:dyDescent="0.2">
      <c r="A120" s="137" t="s">
        <v>456</v>
      </c>
      <c r="B120" s="101" t="s">
        <v>96</v>
      </c>
      <c r="C120" s="123"/>
      <c r="D120" s="123"/>
      <c r="E120" s="124" t="s">
        <v>97</v>
      </c>
      <c r="F120" s="125">
        <v>321933.8</v>
      </c>
      <c r="G120" s="141">
        <v>326433.8</v>
      </c>
      <c r="H120">
        <f>(Table1[[#This Row],[2,027.0]]/Table1[[#This Row],[2,026.0]]) - 1</f>
        <v>1.3978029023358207E-2</v>
      </c>
      <c r="I120" s="32">
        <f>Table1[[#This Row],[2,027.0]]-Table1[[#This Row],[2,026.0]]</f>
        <v>4500</v>
      </c>
    </row>
    <row r="121" spans="1:9" x14ac:dyDescent="0.2">
      <c r="A121" s="137" t="s">
        <v>453</v>
      </c>
      <c r="B121" s="101" t="s">
        <v>96</v>
      </c>
      <c r="C121" s="123"/>
      <c r="D121" s="123"/>
      <c r="E121" s="124" t="s">
        <v>97</v>
      </c>
      <c r="F121" s="125">
        <v>1962869.4</v>
      </c>
      <c r="G121" s="141">
        <v>1967522</v>
      </c>
      <c r="H121">
        <f>(Table1[[#This Row],[2,027.0]]/Table1[[#This Row],[2,026.0]]) - 1</f>
        <v>2.370305431426134E-3</v>
      </c>
      <c r="I121" s="32">
        <f>Table1[[#This Row],[2,027.0]]-Table1[[#This Row],[2,026.0]]</f>
        <v>4652.6000000000931</v>
      </c>
    </row>
    <row r="122" spans="1:9" x14ac:dyDescent="0.2">
      <c r="A122" s="137" t="s">
        <v>302</v>
      </c>
      <c r="B122" s="101" t="s">
        <v>319</v>
      </c>
      <c r="C122" s="123"/>
      <c r="D122" s="123"/>
      <c r="E122" s="124" t="s">
        <v>320</v>
      </c>
      <c r="F122" s="125">
        <v>272664</v>
      </c>
      <c r="G122" s="141">
        <v>277496.3</v>
      </c>
      <c r="H122">
        <f>(Table1[[#This Row],[2,027.0]]/Table1[[#This Row],[2,026.0]]) - 1</f>
        <v>1.7722544963764797E-2</v>
      </c>
      <c r="I122" s="32">
        <f>Table1[[#This Row],[2,027.0]]-Table1[[#This Row],[2,026.0]]</f>
        <v>4832.2999999999884</v>
      </c>
    </row>
    <row r="123" spans="1:9" x14ac:dyDescent="0.2">
      <c r="A123" s="137" t="s">
        <v>302</v>
      </c>
      <c r="B123" s="101" t="s">
        <v>327</v>
      </c>
      <c r="C123" s="123"/>
      <c r="D123" s="123"/>
      <c r="E123" s="124" t="s">
        <v>328</v>
      </c>
      <c r="F123" s="125">
        <v>245999.5</v>
      </c>
      <c r="G123" s="141">
        <v>250919.5</v>
      </c>
      <c r="H123">
        <f>(Table1[[#This Row],[2,027.0]]/Table1[[#This Row],[2,026.0]]) - 1</f>
        <v>2.0000040650489215E-2</v>
      </c>
      <c r="I123" s="32">
        <f>Table1[[#This Row],[2,027.0]]-Table1[[#This Row],[2,026.0]]</f>
        <v>4920</v>
      </c>
    </row>
    <row r="124" spans="1:9" x14ac:dyDescent="0.2">
      <c r="A124" s="137" t="s">
        <v>261</v>
      </c>
      <c r="B124" s="101" t="s">
        <v>274</v>
      </c>
      <c r="C124" s="123"/>
      <c r="D124" s="123"/>
      <c r="E124" s="124" t="s">
        <v>275</v>
      </c>
      <c r="F124" s="125">
        <v>248904.5</v>
      </c>
      <c r="G124" s="141">
        <v>253882.6</v>
      </c>
      <c r="H124">
        <f>(Table1[[#This Row],[2,027.0]]/Table1[[#This Row],[2,026.0]]) - 1</f>
        <v>2.0000040176051392E-2</v>
      </c>
      <c r="I124" s="32">
        <f>Table1[[#This Row],[2,027.0]]-Table1[[#This Row],[2,026.0]]</f>
        <v>4978.1000000000058</v>
      </c>
    </row>
    <row r="125" spans="1:9" x14ac:dyDescent="0.2">
      <c r="A125" s="137" t="s">
        <v>622</v>
      </c>
      <c r="B125" s="101" t="s">
        <v>635</v>
      </c>
      <c r="C125" s="123"/>
      <c r="D125" s="123"/>
      <c r="E125" s="124" t="s">
        <v>636</v>
      </c>
      <c r="F125" s="125">
        <v>3669147.5</v>
      </c>
      <c r="G125" s="141">
        <v>3674725</v>
      </c>
      <c r="H125">
        <f>(Table1[[#This Row],[2,027.0]]/Table1[[#This Row],[2,026.0]]) - 1</f>
        <v>1.5201078724689232E-3</v>
      </c>
      <c r="I125" s="32">
        <f>Table1[[#This Row],[2,027.0]]-Table1[[#This Row],[2,026.0]]</f>
        <v>5577.5</v>
      </c>
    </row>
    <row r="126" spans="1:9" x14ac:dyDescent="0.2">
      <c r="A126" s="137" t="s">
        <v>199</v>
      </c>
      <c r="B126" s="101" t="s">
        <v>205</v>
      </c>
      <c r="C126" s="123"/>
      <c r="D126" s="123"/>
      <c r="E126" s="124" t="s">
        <v>206</v>
      </c>
      <c r="F126" s="125">
        <v>290900.90000000002</v>
      </c>
      <c r="G126" s="141">
        <v>296718.90000000002</v>
      </c>
      <c r="H126">
        <f>(Table1[[#This Row],[2,027.0]]/Table1[[#This Row],[2,026.0]]) - 1</f>
        <v>1.9999938123257843E-2</v>
      </c>
      <c r="I126" s="32">
        <f>Table1[[#This Row],[2,027.0]]-Table1[[#This Row],[2,026.0]]</f>
        <v>5818</v>
      </c>
    </row>
    <row r="127" spans="1:9" x14ac:dyDescent="0.2">
      <c r="A127" s="137" t="s">
        <v>142</v>
      </c>
      <c r="B127" s="101" t="s">
        <v>191</v>
      </c>
      <c r="C127" s="123"/>
      <c r="D127" s="123"/>
      <c r="E127" s="124" t="s">
        <v>192</v>
      </c>
      <c r="F127" s="125">
        <v>3297739.7</v>
      </c>
      <c r="G127" s="141">
        <v>3303809</v>
      </c>
      <c r="H127">
        <f>(Table1[[#This Row],[2,027.0]]/Table1[[#This Row],[2,026.0]]) - 1</f>
        <v>1.8404424096905014E-3</v>
      </c>
      <c r="I127" s="32">
        <f>Table1[[#This Row],[2,027.0]]-Table1[[#This Row],[2,026.0]]</f>
        <v>6069.2999999998137</v>
      </c>
    </row>
    <row r="128" spans="1:9" x14ac:dyDescent="0.2">
      <c r="A128" s="137" t="s">
        <v>976</v>
      </c>
      <c r="B128" s="101" t="s">
        <v>1012</v>
      </c>
      <c r="C128" s="123"/>
      <c r="D128" s="123"/>
      <c r="E128" s="124" t="s">
        <v>1013</v>
      </c>
      <c r="F128" s="125">
        <v>320964.59999999998</v>
      </c>
      <c r="G128" s="141">
        <v>328106.59999999998</v>
      </c>
      <c r="H128">
        <f>(Table1[[#This Row],[2,027.0]]/Table1[[#This Row],[2,026.0]]) - 1</f>
        <v>2.2251675106849778E-2</v>
      </c>
      <c r="I128" s="32">
        <f>Table1[[#This Row],[2,027.0]]-Table1[[#This Row],[2,026.0]]</f>
        <v>7142</v>
      </c>
    </row>
    <row r="129" spans="1:9" x14ac:dyDescent="0.2">
      <c r="A129" s="137" t="s">
        <v>777</v>
      </c>
      <c r="B129" s="101" t="s">
        <v>812</v>
      </c>
      <c r="C129" s="123"/>
      <c r="D129" s="123"/>
      <c r="E129" s="124" t="s">
        <v>813</v>
      </c>
      <c r="F129" s="125">
        <v>3099750.3999999999</v>
      </c>
      <c r="G129" s="141">
        <v>3106928.9</v>
      </c>
      <c r="H129">
        <f>(Table1[[#This Row],[2,027.0]]/Table1[[#This Row],[2,026.0]]) - 1</f>
        <v>2.315831623088016E-3</v>
      </c>
      <c r="I129" s="32">
        <f>Table1[[#This Row],[2,027.0]]-Table1[[#This Row],[2,026.0]]</f>
        <v>7178.5</v>
      </c>
    </row>
    <row r="130" spans="1:9" x14ac:dyDescent="0.2">
      <c r="A130" s="137" t="s">
        <v>261</v>
      </c>
      <c r="B130" s="101" t="s">
        <v>266</v>
      </c>
      <c r="C130" s="123"/>
      <c r="D130" s="123"/>
      <c r="E130" s="124" t="s">
        <v>267</v>
      </c>
      <c r="F130" s="125">
        <v>365908.9</v>
      </c>
      <c r="G130" s="141">
        <v>373227</v>
      </c>
      <c r="H130">
        <f>(Table1[[#This Row],[2,027.0]]/Table1[[#This Row],[2,026.0]]) - 1</f>
        <v>1.9999786832186839E-2</v>
      </c>
      <c r="I130" s="32">
        <f>Table1[[#This Row],[2,027.0]]-Table1[[#This Row],[2,026.0]]</f>
        <v>7318.0999999999767</v>
      </c>
    </row>
    <row r="131" spans="1:9" x14ac:dyDescent="0.2">
      <c r="A131" s="137" t="s">
        <v>1240</v>
      </c>
      <c r="B131" s="101" t="s">
        <v>1256</v>
      </c>
      <c r="C131" s="123"/>
      <c r="D131" s="123"/>
      <c r="E131" s="124" t="s">
        <v>1257</v>
      </c>
      <c r="F131" s="125">
        <v>309621.3</v>
      </c>
      <c r="G131" s="141">
        <v>316994.3</v>
      </c>
      <c r="H131">
        <f>(Table1[[#This Row],[2,027.0]]/Table1[[#This Row],[2,026.0]]) - 1</f>
        <v>2.3812961188393711E-2</v>
      </c>
      <c r="I131" s="32">
        <f>Table1[[#This Row],[2,027.0]]-Table1[[#This Row],[2,026.0]]</f>
        <v>7373</v>
      </c>
    </row>
    <row r="132" spans="1:9" x14ac:dyDescent="0.2">
      <c r="A132" s="137" t="s">
        <v>16</v>
      </c>
      <c r="B132" s="101" t="s">
        <v>568</v>
      </c>
      <c r="C132" s="123"/>
      <c r="D132" s="123"/>
      <c r="E132" s="124" t="s">
        <v>569</v>
      </c>
      <c r="F132" s="125">
        <v>107895.4</v>
      </c>
      <c r="G132" s="141">
        <v>115448.1</v>
      </c>
      <c r="H132">
        <f>(Table1[[#This Row],[2,027.0]]/Table1[[#This Row],[2,026.0]]) - 1</f>
        <v>7.0000203901185998E-2</v>
      </c>
      <c r="I132" s="32">
        <f>Table1[[#This Row],[2,027.0]]-Table1[[#This Row],[2,026.0]]</f>
        <v>7552.7000000000116</v>
      </c>
    </row>
    <row r="133" spans="1:9" x14ac:dyDescent="0.2">
      <c r="A133" s="137" t="s">
        <v>485</v>
      </c>
      <c r="B133" s="101" t="s">
        <v>1282</v>
      </c>
      <c r="C133" s="123"/>
      <c r="D133" s="123"/>
      <c r="E133" s="124" t="s">
        <v>1283</v>
      </c>
      <c r="F133" s="125">
        <v>235540.7</v>
      </c>
      <c r="G133" s="141">
        <v>243207.82</v>
      </c>
      <c r="H133">
        <f>(Table1[[#This Row],[2,027.0]]/Table1[[#This Row],[2,026.0]]) - 1</f>
        <v>3.2551147211500986E-2</v>
      </c>
      <c r="I133" s="32">
        <f>Table1[[#This Row],[2,027.0]]-Table1[[#This Row],[2,026.0]]</f>
        <v>7667.1199999999953</v>
      </c>
    </row>
    <row r="134" spans="1:9" x14ac:dyDescent="0.2">
      <c r="A134" s="137" t="s">
        <v>1240</v>
      </c>
      <c r="B134" s="101" t="s">
        <v>96</v>
      </c>
      <c r="C134" s="123"/>
      <c r="D134" s="123"/>
      <c r="E134" s="124" t="s">
        <v>97</v>
      </c>
      <c r="F134" s="125">
        <v>1210859.2</v>
      </c>
      <c r="G134" s="141">
        <v>1219071.57</v>
      </c>
      <c r="H134">
        <f>(Table1[[#This Row],[2,027.0]]/Table1[[#This Row],[2,026.0]]) - 1</f>
        <v>6.7822666747712201E-3</v>
      </c>
      <c r="I134" s="32">
        <f>Table1[[#This Row],[2,027.0]]-Table1[[#This Row],[2,026.0]]</f>
        <v>8212.3700000001118</v>
      </c>
    </row>
    <row r="135" spans="1:9" x14ac:dyDescent="0.2">
      <c r="A135" s="137" t="s">
        <v>485</v>
      </c>
      <c r="B135" s="101" t="s">
        <v>1295</v>
      </c>
      <c r="C135" s="123"/>
      <c r="D135" s="123"/>
      <c r="E135" s="124" t="s">
        <v>1296</v>
      </c>
      <c r="F135" s="125">
        <v>476116.2</v>
      </c>
      <c r="G135" s="141">
        <v>484548.06</v>
      </c>
      <c r="H135">
        <f>(Table1[[#This Row],[2,027.0]]/Table1[[#This Row],[2,026.0]]) - 1</f>
        <v>1.7709668354069841E-2</v>
      </c>
      <c r="I135" s="32">
        <f>Table1[[#This Row],[2,027.0]]-Table1[[#This Row],[2,026.0]]</f>
        <v>8431.859999999986</v>
      </c>
    </row>
    <row r="136" spans="1:9" x14ac:dyDescent="0.2">
      <c r="A136" s="137" t="s">
        <v>884</v>
      </c>
      <c r="B136" s="101" t="s">
        <v>96</v>
      </c>
      <c r="C136" s="123"/>
      <c r="D136" s="123"/>
      <c r="E136" s="124" t="s">
        <v>97</v>
      </c>
      <c r="F136" s="125">
        <v>425993.25</v>
      </c>
      <c r="G136" s="141">
        <v>435960.8</v>
      </c>
      <c r="H136">
        <f>(Table1[[#This Row],[2,027.0]]/Table1[[#This Row],[2,026.0]]) - 1</f>
        <v>2.3398375443742347E-2</v>
      </c>
      <c r="I136" s="32">
        <f>Table1[[#This Row],[2,027.0]]-Table1[[#This Row],[2,026.0]]</f>
        <v>9967.5499999999884</v>
      </c>
    </row>
    <row r="137" spans="1:9" x14ac:dyDescent="0.2">
      <c r="A137" s="137" t="s">
        <v>1307</v>
      </c>
      <c r="B137" s="101" t="s">
        <v>96</v>
      </c>
      <c r="C137" s="123"/>
      <c r="D137" s="123"/>
      <c r="E137" s="124" t="s">
        <v>97</v>
      </c>
      <c r="F137" s="125">
        <v>616423.80000000005</v>
      </c>
      <c r="G137" s="141">
        <v>627457.30000000005</v>
      </c>
      <c r="H137">
        <f>(Table1[[#This Row],[2,027.0]]/Table1[[#This Row],[2,026.0]]) - 1</f>
        <v>1.7899211548937588E-2</v>
      </c>
      <c r="I137" s="32">
        <f>Table1[[#This Row],[2,027.0]]-Table1[[#This Row],[2,026.0]]</f>
        <v>11033.5</v>
      </c>
    </row>
    <row r="138" spans="1:9" x14ac:dyDescent="0.2">
      <c r="A138" s="137" t="s">
        <v>234</v>
      </c>
      <c r="B138" s="101" t="s">
        <v>242</v>
      </c>
      <c r="C138" s="123"/>
      <c r="D138" s="123"/>
      <c r="E138" s="124" t="s">
        <v>243</v>
      </c>
      <c r="F138" s="125">
        <v>561208.69999999995</v>
      </c>
      <c r="G138" s="141">
        <v>572339.1</v>
      </c>
      <c r="H138">
        <f>(Table1[[#This Row],[2,027.0]]/Table1[[#This Row],[2,026.0]]) - 1</f>
        <v>1.9832907080734818E-2</v>
      </c>
      <c r="I138" s="32">
        <f>Table1[[#This Row],[2,027.0]]-Table1[[#This Row],[2,026.0]]</f>
        <v>11130.400000000023</v>
      </c>
    </row>
    <row r="139" spans="1:9" x14ac:dyDescent="0.2">
      <c r="A139" s="137" t="s">
        <v>1360</v>
      </c>
      <c r="B139" s="101" t="s">
        <v>1362</v>
      </c>
      <c r="C139" s="123"/>
      <c r="D139" s="123"/>
      <c r="E139" s="124" t="s">
        <v>1363</v>
      </c>
      <c r="F139" s="125">
        <v>415289</v>
      </c>
      <c r="G139" s="141">
        <v>427634.8</v>
      </c>
      <c r="H139">
        <f>(Table1[[#This Row],[2,027.0]]/Table1[[#This Row],[2,026.0]]) - 1</f>
        <v>2.9728213364669021E-2</v>
      </c>
      <c r="I139" s="32">
        <f>Table1[[#This Row],[2,027.0]]-Table1[[#This Row],[2,026.0]]</f>
        <v>12345.799999999988</v>
      </c>
    </row>
    <row r="140" spans="1:9" x14ac:dyDescent="0.2">
      <c r="A140" s="137" t="s">
        <v>113</v>
      </c>
      <c r="B140" s="101" t="s">
        <v>115</v>
      </c>
      <c r="C140" s="123"/>
      <c r="D140" s="123"/>
      <c r="E140" s="124" t="s">
        <v>116</v>
      </c>
      <c r="F140" s="125">
        <v>669719.19999999995</v>
      </c>
      <c r="G140" s="141">
        <v>683113.60000000009</v>
      </c>
      <c r="H140">
        <f>(Table1[[#This Row],[2,027.0]]/Table1[[#This Row],[2,026.0]]) - 1</f>
        <v>2.0000023890609953E-2</v>
      </c>
      <c r="I140" s="32">
        <f>Table1[[#This Row],[2,027.0]]-Table1[[#This Row],[2,026.0]]</f>
        <v>13394.40000000014</v>
      </c>
    </row>
    <row r="141" spans="1:9" x14ac:dyDescent="0.2">
      <c r="A141" s="137" t="s">
        <v>142</v>
      </c>
      <c r="B141" s="101" t="s">
        <v>176</v>
      </c>
      <c r="C141" s="123"/>
      <c r="D141" s="123"/>
      <c r="E141" s="124" t="s">
        <v>177</v>
      </c>
      <c r="F141" s="125">
        <v>805338.5</v>
      </c>
      <c r="G141" s="141">
        <v>819431.39999999991</v>
      </c>
      <c r="H141">
        <f>(Table1[[#This Row],[2,027.0]]/Table1[[#This Row],[2,026.0]]) - 1</f>
        <v>1.7499349652351004E-2</v>
      </c>
      <c r="I141" s="32">
        <f>Table1[[#This Row],[2,027.0]]-Table1[[#This Row],[2,026.0]]</f>
        <v>14092.899999999907</v>
      </c>
    </row>
    <row r="142" spans="1:9" x14ac:dyDescent="0.2">
      <c r="A142" s="137" t="s">
        <v>456</v>
      </c>
      <c r="B142" s="101" t="s">
        <v>737</v>
      </c>
      <c r="C142" s="123"/>
      <c r="D142" s="123"/>
      <c r="E142" s="124" t="s">
        <v>738</v>
      </c>
      <c r="F142" s="125">
        <v>962011.60000000009</v>
      </c>
      <c r="G142" s="141">
        <v>976420.60000000009</v>
      </c>
      <c r="H142">
        <f>(Table1[[#This Row],[2,027.0]]/Table1[[#This Row],[2,026.0]]) - 1</f>
        <v>1.4977989870392339E-2</v>
      </c>
      <c r="I142" s="32">
        <f>Table1[[#This Row],[2,027.0]]-Table1[[#This Row],[2,026.0]]</f>
        <v>14409</v>
      </c>
    </row>
    <row r="143" spans="1:9" x14ac:dyDescent="0.2">
      <c r="A143" s="137" t="s">
        <v>884</v>
      </c>
      <c r="B143" s="101" t="s">
        <v>888</v>
      </c>
      <c r="C143" s="123"/>
      <c r="D143" s="123"/>
      <c r="E143" s="124" t="s">
        <v>889</v>
      </c>
      <c r="F143" s="125">
        <v>1294075.7</v>
      </c>
      <c r="G143" s="141">
        <v>1312981.8999999999</v>
      </c>
      <c r="H143">
        <f>(Table1[[#This Row],[2,027.0]]/Table1[[#This Row],[2,026.0]]) - 1</f>
        <v>1.4609809920702377E-2</v>
      </c>
      <c r="I143" s="32">
        <f>Table1[[#This Row],[2,027.0]]-Table1[[#This Row],[2,026.0]]</f>
        <v>18906.199999999953</v>
      </c>
    </row>
    <row r="144" spans="1:9" x14ac:dyDescent="0.2">
      <c r="A144" s="137" t="s">
        <v>44</v>
      </c>
      <c r="B144" s="101" t="s">
        <v>96</v>
      </c>
      <c r="C144" s="123"/>
      <c r="D144" s="123"/>
      <c r="E144" s="124" t="s">
        <v>97</v>
      </c>
      <c r="F144" s="125">
        <v>304748.5</v>
      </c>
      <c r="G144" s="141">
        <v>324376.7</v>
      </c>
      <c r="H144">
        <f>(Table1[[#This Row],[2,027.0]]/Table1[[#This Row],[2,026.0]]) - 1</f>
        <v>6.4407864189651498E-2</v>
      </c>
      <c r="I144" s="32">
        <f>Table1[[#This Row],[2,027.0]]-Table1[[#This Row],[2,026.0]]</f>
        <v>19628.200000000012</v>
      </c>
    </row>
    <row r="145" spans="1:9" x14ac:dyDescent="0.2">
      <c r="A145" s="137" t="s">
        <v>94</v>
      </c>
      <c r="B145" s="101" t="s">
        <v>96</v>
      </c>
      <c r="C145" s="123"/>
      <c r="D145" s="123"/>
      <c r="E145" s="124" t="s">
        <v>97</v>
      </c>
      <c r="F145" s="125">
        <v>1047143.9</v>
      </c>
      <c r="G145" s="141">
        <v>1069070</v>
      </c>
      <c r="H145">
        <f>(Table1[[#This Row],[2,027.0]]/Table1[[#This Row],[2,026.0]]) - 1</f>
        <v>2.0938955954382221E-2</v>
      </c>
      <c r="I145" s="32">
        <f>Table1[[#This Row],[2,027.0]]-Table1[[#This Row],[2,026.0]]</f>
        <v>21926.099999999977</v>
      </c>
    </row>
    <row r="146" spans="1:9" x14ac:dyDescent="0.2">
      <c r="A146" s="137" t="s">
        <v>360</v>
      </c>
      <c r="B146" s="101" t="s">
        <v>96</v>
      </c>
      <c r="C146" s="123"/>
      <c r="D146" s="123"/>
      <c r="E146" s="124" t="s">
        <v>97</v>
      </c>
      <c r="F146" s="125">
        <v>2077532.3</v>
      </c>
      <c r="G146" s="141">
        <v>2100402.2400000002</v>
      </c>
      <c r="H146">
        <f>(Table1[[#This Row],[2,027.0]]/Table1[[#This Row],[2,026.0]]) - 1</f>
        <v>1.1008223554454633E-2</v>
      </c>
      <c r="I146" s="32">
        <f>Table1[[#This Row],[2,027.0]]-Table1[[#This Row],[2,026.0]]</f>
        <v>22869.940000000177</v>
      </c>
    </row>
    <row r="147" spans="1:9" x14ac:dyDescent="0.2">
      <c r="A147" s="137" t="s">
        <v>302</v>
      </c>
      <c r="B147" s="101" t="s">
        <v>306</v>
      </c>
      <c r="C147" s="123"/>
      <c r="D147" s="123"/>
      <c r="E147" s="124" t="s">
        <v>307</v>
      </c>
      <c r="F147" s="125">
        <v>176690.64</v>
      </c>
      <c r="G147" s="141">
        <v>199769.7</v>
      </c>
      <c r="H147">
        <f>(Table1[[#This Row],[2,027.0]]/Table1[[#This Row],[2,026.0]]) - 1</f>
        <v>0.13061846400013044</v>
      </c>
      <c r="I147" s="32">
        <f>Table1[[#This Row],[2,027.0]]-Table1[[#This Row],[2,026.0]]</f>
        <v>23079.059999999998</v>
      </c>
    </row>
    <row r="148" spans="1:9" hidden="1" x14ac:dyDescent="0.2">
      <c r="A148" s="140">
        <v>43</v>
      </c>
      <c r="B148" s="133" t="s">
        <v>408</v>
      </c>
      <c r="C148" s="136" t="s">
        <v>100</v>
      </c>
      <c r="D148" s="133"/>
      <c r="E148" s="134" t="s">
        <v>409</v>
      </c>
      <c r="F148" s="135">
        <v>7005240.2000000011</v>
      </c>
      <c r="G148" s="144">
        <v>7030645.3000000007</v>
      </c>
      <c r="H148">
        <f>(Table1[[#This Row],[2,027.0]]/Table1[[#This Row],[2,026.0]]) - 1</f>
        <v>3.6265851383654457E-3</v>
      </c>
      <c r="I148" s="32">
        <f>Table1[[#This Row],[2,027.0]]-Table1[[#This Row],[2,026.0]]</f>
        <v>25405.099999999627</v>
      </c>
    </row>
    <row r="149" spans="1:9" x14ac:dyDescent="0.2">
      <c r="A149" s="137" t="s">
        <v>464</v>
      </c>
      <c r="B149" s="101" t="s">
        <v>1079</v>
      </c>
      <c r="C149" s="123"/>
      <c r="D149" s="123"/>
      <c r="E149" s="124" t="s">
        <v>1080</v>
      </c>
      <c r="F149" s="125">
        <v>1019758.6</v>
      </c>
      <c r="G149" s="141">
        <v>1047802.4</v>
      </c>
      <c r="H149">
        <f>(Table1[[#This Row],[2,027.0]]/Table1[[#This Row],[2,026.0]]) - 1</f>
        <v>2.7500430003728482E-2</v>
      </c>
      <c r="I149" s="32">
        <f>Table1[[#This Row],[2,027.0]]-Table1[[#This Row],[2,026.0]]</f>
        <v>28043.800000000047</v>
      </c>
    </row>
    <row r="150" spans="1:9" x14ac:dyDescent="0.2">
      <c r="A150" s="137" t="s">
        <v>976</v>
      </c>
      <c r="B150" s="101" t="s">
        <v>96</v>
      </c>
      <c r="C150" s="123"/>
      <c r="D150" s="123"/>
      <c r="E150" s="124" t="s">
        <v>97</v>
      </c>
      <c r="F150" s="125">
        <v>119287.5</v>
      </c>
      <c r="G150" s="141">
        <v>149718.29999999999</v>
      </c>
      <c r="H150">
        <f>(Table1[[#This Row],[2,027.0]]/Table1[[#This Row],[2,026.0]]) - 1</f>
        <v>0.25510468406161579</v>
      </c>
      <c r="I150" s="32">
        <f>Table1[[#This Row],[2,027.0]]-Table1[[#This Row],[2,026.0]]</f>
        <v>30430.799999999988</v>
      </c>
    </row>
    <row r="151" spans="1:9" x14ac:dyDescent="0.2">
      <c r="A151" s="137" t="s">
        <v>622</v>
      </c>
      <c r="B151" s="101" t="s">
        <v>96</v>
      </c>
      <c r="C151" s="123"/>
      <c r="D151" s="123"/>
      <c r="E151" s="124" t="s">
        <v>97</v>
      </c>
      <c r="F151" s="125">
        <v>737759.3</v>
      </c>
      <c r="G151" s="141">
        <v>769728.88</v>
      </c>
      <c r="H151">
        <f>(Table1[[#This Row],[2,027.0]]/Table1[[#This Row],[2,026.0]]) - 1</f>
        <v>4.3333347339708173E-2</v>
      </c>
      <c r="I151" s="32">
        <f>Table1[[#This Row],[2,027.0]]-Table1[[#This Row],[2,026.0]]</f>
        <v>31969.579999999958</v>
      </c>
    </row>
    <row r="152" spans="1:9" x14ac:dyDescent="0.2">
      <c r="A152" s="137" t="s">
        <v>456</v>
      </c>
      <c r="B152" s="101" t="s">
        <v>761</v>
      </c>
      <c r="C152" s="123"/>
      <c r="D152" s="123"/>
      <c r="E152" s="124" t="s">
        <v>762</v>
      </c>
      <c r="F152" s="125">
        <v>15638295.23</v>
      </c>
      <c r="G152" s="141">
        <v>15671462.300000001</v>
      </c>
      <c r="H152">
        <f>(Table1[[#This Row],[2,027.0]]/Table1[[#This Row],[2,026.0]]) - 1</f>
        <v>2.1208878277456655E-3</v>
      </c>
      <c r="I152" s="32">
        <f>Table1[[#This Row],[2,027.0]]-Table1[[#This Row],[2,026.0]]</f>
        <v>33167.070000000298</v>
      </c>
    </row>
    <row r="153" spans="1:9" x14ac:dyDescent="0.2">
      <c r="A153" s="137" t="s">
        <v>344</v>
      </c>
      <c r="B153" s="101" t="s">
        <v>346</v>
      </c>
      <c r="C153" s="123"/>
      <c r="D153" s="123"/>
      <c r="E153" s="124" t="s">
        <v>345</v>
      </c>
      <c r="F153" s="125">
        <v>5159304.8000000007</v>
      </c>
      <c r="G153" s="141">
        <v>5198766.8000000007</v>
      </c>
      <c r="H153">
        <f>(Table1[[#This Row],[2,027.0]]/Table1[[#This Row],[2,026.0]]) - 1</f>
        <v>7.6487049185385292E-3</v>
      </c>
      <c r="I153" s="32">
        <f>Table1[[#This Row],[2,027.0]]-Table1[[#This Row],[2,026.0]]</f>
        <v>39462</v>
      </c>
    </row>
    <row r="154" spans="1:9" x14ac:dyDescent="0.2">
      <c r="A154" s="137" t="s">
        <v>334</v>
      </c>
      <c r="B154" s="101" t="s">
        <v>336</v>
      </c>
      <c r="C154" s="123"/>
      <c r="D154" s="123"/>
      <c r="E154" s="124" t="s">
        <v>337</v>
      </c>
      <c r="F154" s="125">
        <v>2408549.4</v>
      </c>
      <c r="G154" s="141">
        <v>2450711.7999999998</v>
      </c>
      <c r="H154">
        <f>(Table1[[#This Row],[2,027.0]]/Table1[[#This Row],[2,026.0]]) - 1</f>
        <v>1.7505308381883244E-2</v>
      </c>
      <c r="I154" s="32">
        <f>Table1[[#This Row],[2,027.0]]-Table1[[#This Row],[2,026.0]]</f>
        <v>42162.399999999907</v>
      </c>
    </row>
    <row r="155" spans="1:9" x14ac:dyDescent="0.2">
      <c r="A155" s="137" t="s">
        <v>334</v>
      </c>
      <c r="B155" s="101" t="s">
        <v>96</v>
      </c>
      <c r="C155" s="123"/>
      <c r="D155" s="123"/>
      <c r="E155" s="124" t="s">
        <v>97</v>
      </c>
      <c r="F155" s="125">
        <v>2287244.9</v>
      </c>
      <c r="G155" s="141">
        <v>2331345.1</v>
      </c>
      <c r="H155">
        <f>(Table1[[#This Row],[2,027.0]]/Table1[[#This Row],[2,026.0]]) - 1</f>
        <v>1.9280926148310673E-2</v>
      </c>
      <c r="I155" s="32">
        <f>Table1[[#This Row],[2,027.0]]-Table1[[#This Row],[2,026.0]]</f>
        <v>44100.200000000186</v>
      </c>
    </row>
    <row r="156" spans="1:9" x14ac:dyDescent="0.2">
      <c r="A156" s="137" t="s">
        <v>1098</v>
      </c>
      <c r="B156" s="101" t="s">
        <v>1100</v>
      </c>
      <c r="C156" s="123"/>
      <c r="D156" s="123"/>
      <c r="E156" s="124" t="s">
        <v>1101</v>
      </c>
      <c r="F156" s="125">
        <v>2392955.1</v>
      </c>
      <c r="G156" s="141">
        <v>2445991.31</v>
      </c>
      <c r="H156">
        <f>(Table1[[#This Row],[2,027.0]]/Table1[[#This Row],[2,026.0]]) - 1</f>
        <v>2.2163478955371962E-2</v>
      </c>
      <c r="I156" s="32">
        <f>Table1[[#This Row],[2,027.0]]-Table1[[#This Row],[2,026.0]]</f>
        <v>53036.209999999963</v>
      </c>
    </row>
    <row r="157" spans="1:9" hidden="1" x14ac:dyDescent="0.2">
      <c r="A157" s="140">
        <v>45</v>
      </c>
      <c r="B157" s="133" t="s">
        <v>408</v>
      </c>
      <c r="C157" s="136" t="s">
        <v>100</v>
      </c>
      <c r="D157" s="133"/>
      <c r="E157" s="134" t="s">
        <v>409</v>
      </c>
      <c r="F157" s="135">
        <v>3680878.8</v>
      </c>
      <c r="G157" s="144">
        <v>3737633.7</v>
      </c>
      <c r="H157">
        <f>(Table1[[#This Row],[2,027.0]]/Table1[[#This Row],[2,026.0]]) - 1</f>
        <v>1.5418845086667909E-2</v>
      </c>
      <c r="I157" s="32">
        <f>Table1[[#This Row],[2,027.0]]-Table1[[#This Row],[2,026.0]]</f>
        <v>56754.900000000373</v>
      </c>
    </row>
    <row r="158" spans="1:9" x14ac:dyDescent="0.2">
      <c r="A158" s="137" t="s">
        <v>464</v>
      </c>
      <c r="B158" s="101" t="s">
        <v>1056</v>
      </c>
      <c r="C158" s="123"/>
      <c r="D158" s="123"/>
      <c r="E158" s="124" t="s">
        <v>1057</v>
      </c>
      <c r="F158" s="125">
        <v>3803591.2</v>
      </c>
      <c r="G158" s="141">
        <v>3881073.5</v>
      </c>
      <c r="H158">
        <f>(Table1[[#This Row],[2,027.0]]/Table1[[#This Row],[2,026.0]]) - 1</f>
        <v>2.0370827443285666E-2</v>
      </c>
      <c r="I158" s="32">
        <f>Table1[[#This Row],[2,027.0]]-Table1[[#This Row],[2,026.0]]</f>
        <v>77482.299999999814</v>
      </c>
    </row>
    <row r="159" spans="1:9" x14ac:dyDescent="0.2">
      <c r="A159" s="137" t="s">
        <v>1328</v>
      </c>
      <c r="B159" s="101" t="s">
        <v>96</v>
      </c>
      <c r="C159" s="123"/>
      <c r="D159" s="123"/>
      <c r="E159" s="124" t="s">
        <v>97</v>
      </c>
      <c r="F159" s="125">
        <v>60662.6</v>
      </c>
      <c r="G159" s="141">
        <v>141699.67000000001</v>
      </c>
      <c r="H159">
        <f>(Table1[[#This Row],[2,027.0]]/Table1[[#This Row],[2,026.0]]) - 1</f>
        <v>1.3358654261439504</v>
      </c>
      <c r="I159" s="32">
        <f>Table1[[#This Row],[2,027.0]]-Table1[[#This Row],[2,026.0]]</f>
        <v>81037.070000000007</v>
      </c>
    </row>
    <row r="160" spans="1:9" x14ac:dyDescent="0.2">
      <c r="A160" s="137" t="s">
        <v>1165</v>
      </c>
      <c r="B160" s="101" t="s">
        <v>1167</v>
      </c>
      <c r="C160" s="123"/>
      <c r="D160" s="123"/>
      <c r="E160" s="124" t="s">
        <v>1168</v>
      </c>
      <c r="F160" s="125">
        <v>1105080.8999999999</v>
      </c>
      <c r="G160" s="141">
        <v>1205298.5</v>
      </c>
      <c r="H160">
        <f>(Table1[[#This Row],[2,027.0]]/Table1[[#This Row],[2,026.0]]) - 1</f>
        <v>9.068802112134966E-2</v>
      </c>
      <c r="I160" s="32">
        <f>Table1[[#This Row],[2,027.0]]-Table1[[#This Row],[2,026.0]]</f>
        <v>100217.60000000009</v>
      </c>
    </row>
    <row r="161" spans="1:9" x14ac:dyDescent="0.2">
      <c r="A161" s="137" t="s">
        <v>464</v>
      </c>
      <c r="B161" s="101" t="s">
        <v>1072</v>
      </c>
      <c r="C161" s="123"/>
      <c r="D161" s="123"/>
      <c r="E161" s="124" t="s">
        <v>1073</v>
      </c>
      <c r="F161" s="125">
        <v>4522247.8</v>
      </c>
      <c r="G161" s="141">
        <v>4631889.5</v>
      </c>
      <c r="H161">
        <f>(Table1[[#This Row],[2,027.0]]/Table1[[#This Row],[2,026.0]]) - 1</f>
        <v>2.4244956236144422E-2</v>
      </c>
      <c r="I161" s="32">
        <f>Table1[[#This Row],[2,027.0]]-Table1[[#This Row],[2,026.0]]</f>
        <v>109641.70000000019</v>
      </c>
    </row>
    <row r="162" spans="1:9" hidden="1" x14ac:dyDescent="0.2">
      <c r="A162" s="137" t="s">
        <v>453</v>
      </c>
      <c r="B162" s="101" t="s">
        <v>408</v>
      </c>
      <c r="C162" s="133" t="s">
        <v>100</v>
      </c>
      <c r="D162" s="133"/>
      <c r="E162" s="134" t="s">
        <v>409</v>
      </c>
      <c r="F162" s="135">
        <v>1012180</v>
      </c>
      <c r="G162" s="144">
        <v>1169830</v>
      </c>
      <c r="H162">
        <f>(Table1[[#This Row],[2,027.0]]/Table1[[#This Row],[2,026.0]]) - 1</f>
        <v>0.1557529293208717</v>
      </c>
      <c r="I162" s="32">
        <f>Table1[[#This Row],[2,027.0]]-Table1[[#This Row],[2,026.0]]</f>
        <v>157650</v>
      </c>
    </row>
    <row r="163" spans="1:9" x14ac:dyDescent="0.2">
      <c r="A163" s="137" t="s">
        <v>884</v>
      </c>
      <c r="B163" s="101" t="s">
        <v>908</v>
      </c>
      <c r="C163" s="123"/>
      <c r="D163" s="123"/>
      <c r="E163" s="124" t="s">
        <v>909</v>
      </c>
      <c r="F163" s="125">
        <v>479788</v>
      </c>
      <c r="G163" s="141">
        <v>643477.47</v>
      </c>
      <c r="H163">
        <f>(Table1[[#This Row],[2,027.0]]/Table1[[#This Row],[2,026.0]]) - 1</f>
        <v>0.34117041276563809</v>
      </c>
      <c r="I163" s="32">
        <f>Table1[[#This Row],[2,027.0]]-Table1[[#This Row],[2,026.0]]</f>
        <v>163689.46999999997</v>
      </c>
    </row>
    <row r="164" spans="1:9" x14ac:dyDescent="0.2">
      <c r="A164" s="137" t="s">
        <v>777</v>
      </c>
      <c r="B164" s="101" t="s">
        <v>779</v>
      </c>
      <c r="C164" s="123"/>
      <c r="D164" s="123"/>
      <c r="E164" s="124" t="s">
        <v>780</v>
      </c>
      <c r="F164" s="125">
        <v>15529568</v>
      </c>
      <c r="G164" s="141">
        <v>15990640.699999999</v>
      </c>
      <c r="H164">
        <f>(Table1[[#This Row],[2,027.0]]/Table1[[#This Row],[2,026.0]]) - 1</f>
        <v>2.9689988800718714E-2</v>
      </c>
      <c r="I164" s="32">
        <f>Table1[[#This Row],[2,027.0]]-Table1[[#This Row],[2,026.0]]</f>
        <v>461072.69999999925</v>
      </c>
    </row>
    <row r="165" spans="1:9" x14ac:dyDescent="0.2">
      <c r="A165" s="137" t="s">
        <v>976</v>
      </c>
      <c r="B165" s="101" t="s">
        <v>994</v>
      </c>
      <c r="C165" s="123"/>
      <c r="D165" s="123"/>
      <c r="E165" s="124" t="s">
        <v>995</v>
      </c>
      <c r="F165" s="125">
        <v>1410765.1</v>
      </c>
      <c r="G165" s="141">
        <v>1957135.5</v>
      </c>
      <c r="H165">
        <f>(Table1[[#This Row],[2,027.0]]/Table1[[#This Row],[2,026.0]]) - 1</f>
        <v>0.38728658654796599</v>
      </c>
      <c r="I165" s="32">
        <f>Table1[[#This Row],[2,027.0]]-Table1[[#This Row],[2,026.0]]</f>
        <v>546370.39999999991</v>
      </c>
    </row>
    <row r="166" spans="1:9" x14ac:dyDescent="0.2">
      <c r="A166" s="137" t="s">
        <v>976</v>
      </c>
      <c r="B166" s="101" t="s">
        <v>978</v>
      </c>
      <c r="C166" s="123"/>
      <c r="D166" s="123"/>
      <c r="E166" s="124" t="s">
        <v>979</v>
      </c>
      <c r="F166" s="125">
        <v>8025670.7000000002</v>
      </c>
      <c r="G166" s="141">
        <v>8614356.5</v>
      </c>
      <c r="H166">
        <f>(Table1[[#This Row],[2,027.0]]/Table1[[#This Row],[2,026.0]]) - 1</f>
        <v>7.3350355628221786E-2</v>
      </c>
      <c r="I166" s="32">
        <f>Table1[[#This Row],[2,027.0]]-Table1[[#This Row],[2,026.0]]</f>
        <v>588685.79999999981</v>
      </c>
    </row>
    <row r="167" spans="1:9" x14ac:dyDescent="0.2">
      <c r="A167" s="137" t="s">
        <v>456</v>
      </c>
      <c r="B167" s="101" t="s">
        <v>710</v>
      </c>
      <c r="C167" s="123"/>
      <c r="D167" s="123"/>
      <c r="E167" s="124" t="s">
        <v>711</v>
      </c>
      <c r="F167" s="125">
        <v>6305318.7999999989</v>
      </c>
      <c r="G167" s="141">
        <v>7072644.6900000004</v>
      </c>
      <c r="H167">
        <f>(Table1[[#This Row],[2,027.0]]/Table1[[#This Row],[2,026.0]]) - 1</f>
        <v>0.12169501881490929</v>
      </c>
      <c r="I167" s="32">
        <f>Table1[[#This Row],[2,027.0]]-Table1[[#This Row],[2,026.0]]</f>
        <v>767325.89000000153</v>
      </c>
    </row>
    <row r="168" spans="1:9" x14ac:dyDescent="0.2">
      <c r="A168" s="137" t="s">
        <v>453</v>
      </c>
      <c r="B168" s="101" t="s">
        <v>655</v>
      </c>
      <c r="C168" s="123"/>
      <c r="D168" s="123"/>
      <c r="E168" s="124" t="s">
        <v>656</v>
      </c>
      <c r="F168" s="125">
        <v>42380106.439999998</v>
      </c>
      <c r="G168" s="141">
        <v>43462341.140000001</v>
      </c>
      <c r="H168">
        <f>(Table1[[#This Row],[2,027.0]]/Table1[[#This Row],[2,026.0]]) - 1</f>
        <v>2.5536384660387546E-2</v>
      </c>
      <c r="I168" s="32">
        <f>Table1[[#This Row],[2,027.0]]-Table1[[#This Row],[2,026.0]]</f>
        <v>1082234.700000003</v>
      </c>
    </row>
    <row r="169" spans="1:9" hidden="1" x14ac:dyDescent="0.2">
      <c r="A169" s="140">
        <v>55</v>
      </c>
      <c r="B169" s="133" t="s">
        <v>408</v>
      </c>
      <c r="C169" s="136" t="s">
        <v>100</v>
      </c>
      <c r="D169" s="133"/>
      <c r="E169" s="134" t="s">
        <v>409</v>
      </c>
      <c r="F169" s="135">
        <v>7983368.7999999998</v>
      </c>
      <c r="G169" s="144">
        <v>10721323.199999999</v>
      </c>
      <c r="H169">
        <f>(Table1[[#This Row],[2,027.0]]/Table1[[#This Row],[2,026.0]]) - 1</f>
        <v>0.34295727387666219</v>
      </c>
      <c r="I169" s="32">
        <f>Table1[[#This Row],[2,027.0]]-Table1[[#This Row],[2,026.0]]</f>
        <v>2737954.3999999994</v>
      </c>
    </row>
    <row r="170" spans="1:9" x14ac:dyDescent="0.2">
      <c r="A170" s="151" t="s">
        <v>410</v>
      </c>
      <c r="B170" s="152" t="s">
        <v>503</v>
      </c>
      <c r="C170" s="153"/>
      <c r="D170" s="153"/>
      <c r="E170" s="154" t="s">
        <v>504</v>
      </c>
      <c r="F170" s="155">
        <v>118757161.33</v>
      </c>
      <c r="G170" s="156">
        <v>131802316.2</v>
      </c>
      <c r="H170">
        <f>(Table1[[#This Row],[2,027.0]]/Table1[[#This Row],[2,026.0]]) - 1</f>
        <v>0.10984731130235081</v>
      </c>
      <c r="I170" s="32">
        <f>Table1[[#This Row],[2,027.0]]-Table1[[#This Row],[2,026.0]]</f>
        <v>13045154.870000005</v>
      </c>
    </row>
    <row r="171" spans="1:9" x14ac:dyDescent="0.2">
      <c r="A171" s="151" t="s">
        <v>1496</v>
      </c>
      <c r="B171" s="152"/>
      <c r="C171" s="153"/>
      <c r="D171" s="153"/>
      <c r="E171" s="154">
        <f>SUBTOTAL(103,Table1[Column5])</f>
        <v>156</v>
      </c>
      <c r="F171" s="155">
        <f>SUBTOTAL(109,Table1[2,026.0])</f>
        <v>550537543.29999995</v>
      </c>
      <c r="G171" s="159"/>
      <c r="H171" s="157">
        <f>SUBTOTAL(103,Table1[diff])</f>
        <v>156</v>
      </c>
      <c r="I171" s="157"/>
    </row>
    <row r="173" spans="1:9" x14ac:dyDescent="0.2">
      <c r="F173">
        <f>F175/Table1[[#Totals],[2,026.0]]</f>
        <v>0.60331804831883118</v>
      </c>
    </row>
    <row r="175" spans="1:9" x14ac:dyDescent="0.2">
      <c r="F175" s="92">
        <v>332149236.14999998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29689-CE06-3840-A5C6-8F399E5094E2}">
  <dimension ref="A1:BL1766"/>
  <sheetViews>
    <sheetView zoomScale="140" zoomScaleNormal="140" workbookViewId="0">
      <selection activeCell="A8" sqref="A8"/>
    </sheetView>
  </sheetViews>
  <sheetFormatPr baseColWidth="10" defaultRowHeight="15" x14ac:dyDescent="0.2"/>
  <cols>
    <col min="1" max="1" width="13.33203125" customWidth="1"/>
    <col min="2" max="5" width="28.1640625" hidden="1" customWidth="1"/>
    <col min="6" max="8" width="28.1640625" style="122" customWidth="1"/>
    <col min="9" max="9" width="28.1640625" hidden="1" customWidth="1"/>
    <col min="10" max="10" width="9.1640625" customWidth="1"/>
    <col min="11" max="11" width="28.1640625" style="122" customWidth="1"/>
    <col min="12" max="12" width="28.1640625" customWidth="1"/>
    <col min="13" max="13" width="67" bestFit="1" customWidth="1"/>
    <col min="14" max="14" width="80.6640625" bestFit="1" customWidth="1"/>
    <col min="15" max="15" width="11.83203125" bestFit="1" customWidth="1"/>
    <col min="16" max="16" width="37.83203125" bestFit="1" customWidth="1"/>
    <col min="17" max="17" width="12.33203125" bestFit="1" customWidth="1"/>
    <col min="18" max="18" width="10.1640625" bestFit="1" customWidth="1"/>
    <col min="19" max="19" width="9.1640625" bestFit="1" customWidth="1"/>
    <col min="20" max="20" width="7.6640625" bestFit="1" customWidth="1"/>
    <col min="21" max="21" width="12.83203125" bestFit="1" customWidth="1"/>
    <col min="22" max="22" width="80.6640625" bestFit="1" customWidth="1"/>
    <col min="23" max="24" width="9.1640625" bestFit="1" customWidth="1"/>
    <col min="25" max="25" width="8.1640625" bestFit="1" customWidth="1"/>
    <col min="26" max="26" width="4.1640625" bestFit="1" customWidth="1"/>
    <col min="27" max="27" width="10.1640625" bestFit="1" customWidth="1"/>
    <col min="28" max="28" width="9.1640625" bestFit="1" customWidth="1"/>
    <col min="29" max="29" width="3.1640625" bestFit="1" customWidth="1"/>
    <col min="30" max="30" width="9.1640625" bestFit="1" customWidth="1"/>
    <col min="31" max="31" width="4.1640625" bestFit="1" customWidth="1"/>
    <col min="32" max="32" width="9.1640625" bestFit="1" customWidth="1"/>
    <col min="33" max="33" width="4.1640625" bestFit="1" customWidth="1"/>
    <col min="34" max="34" width="11.1640625" bestFit="1" customWidth="1"/>
    <col min="35" max="35" width="3.1640625" bestFit="1" customWidth="1"/>
    <col min="36" max="36" width="15.1640625" bestFit="1" customWidth="1"/>
    <col min="37" max="59" width="3.1640625" bestFit="1" customWidth="1"/>
    <col min="60" max="60" width="4.6640625" bestFit="1" customWidth="1"/>
    <col min="61" max="61" width="6.1640625" bestFit="1" customWidth="1"/>
    <col min="62" max="62" width="2.1640625" bestFit="1" customWidth="1"/>
    <col min="63" max="63" width="80.6640625" bestFit="1" customWidth="1"/>
    <col min="64" max="64" width="6.1640625" bestFit="1" customWidth="1"/>
  </cols>
  <sheetData>
    <row r="1" spans="1:12" ht="16" x14ac:dyDescent="0.2">
      <c r="A1" t="s">
        <v>3308</v>
      </c>
      <c r="B1" t="s">
        <v>3979</v>
      </c>
      <c r="C1" t="s">
        <v>3980</v>
      </c>
      <c r="D1" t="s">
        <v>3981</v>
      </c>
      <c r="E1" t="s">
        <v>3982</v>
      </c>
      <c r="F1" s="122" t="s">
        <v>3983</v>
      </c>
      <c r="G1" s="122" t="s">
        <v>3984</v>
      </c>
      <c r="H1" s="122" t="s">
        <v>3985</v>
      </c>
      <c r="I1" t="s">
        <v>3986</v>
      </c>
      <c r="J1" t="s">
        <v>3987</v>
      </c>
      <c r="K1" s="122" t="s">
        <v>3988</v>
      </c>
      <c r="L1" t="s">
        <v>3989</v>
      </c>
    </row>
    <row r="2" spans="1:12" ht="64" x14ac:dyDescent="0.2">
      <c r="A2" t="s">
        <v>3990</v>
      </c>
      <c r="B2" t="s">
        <v>3991</v>
      </c>
      <c r="C2">
        <v>1</v>
      </c>
      <c r="D2" t="s">
        <v>1420</v>
      </c>
      <c r="E2" t="s">
        <v>1421</v>
      </c>
      <c r="F2" s="122" t="s">
        <v>1422</v>
      </c>
      <c r="G2" s="122" t="s">
        <v>1423</v>
      </c>
      <c r="H2" s="122" t="s">
        <v>3992</v>
      </c>
      <c r="I2">
        <v>7863</v>
      </c>
      <c r="J2">
        <v>0</v>
      </c>
      <c r="K2" s="122" t="s">
        <v>3993</v>
      </c>
      <c r="L2">
        <v>2000</v>
      </c>
    </row>
    <row r="3" spans="1:12" ht="64" x14ac:dyDescent="0.2">
      <c r="A3" t="s">
        <v>3990</v>
      </c>
      <c r="B3" t="s">
        <v>3991</v>
      </c>
      <c r="C3">
        <v>2</v>
      </c>
      <c r="D3" t="s">
        <v>1420</v>
      </c>
      <c r="E3" t="s">
        <v>1421</v>
      </c>
      <c r="F3" s="122" t="s">
        <v>1425</v>
      </c>
      <c r="G3" s="122">
        <v>8</v>
      </c>
      <c r="H3" s="122" t="s">
        <v>3994</v>
      </c>
      <c r="I3">
        <v>7969</v>
      </c>
      <c r="J3">
        <v>0</v>
      </c>
      <c r="K3" s="122" t="s">
        <v>3995</v>
      </c>
      <c r="L3">
        <v>2000</v>
      </c>
    </row>
    <row r="4" spans="1:12" ht="64" x14ac:dyDescent="0.2">
      <c r="A4" t="s">
        <v>3990</v>
      </c>
      <c r="B4" t="s">
        <v>3991</v>
      </c>
      <c r="C4">
        <v>3</v>
      </c>
      <c r="D4" t="s">
        <v>1420</v>
      </c>
      <c r="E4" t="s">
        <v>1421</v>
      </c>
      <c r="F4" s="122" t="s">
        <v>1427</v>
      </c>
      <c r="G4" s="122" t="s">
        <v>1428</v>
      </c>
      <c r="H4" s="122" t="s">
        <v>3996</v>
      </c>
      <c r="I4">
        <v>7895</v>
      </c>
      <c r="J4">
        <v>0</v>
      </c>
      <c r="K4" s="122" t="s">
        <v>3997</v>
      </c>
      <c r="L4">
        <v>2000</v>
      </c>
    </row>
    <row r="5" spans="1:12" ht="64" x14ac:dyDescent="0.2">
      <c r="A5" t="s">
        <v>3990</v>
      </c>
      <c r="B5" t="s">
        <v>3991</v>
      </c>
      <c r="C5">
        <v>4</v>
      </c>
      <c r="D5" t="s">
        <v>1420</v>
      </c>
      <c r="E5" t="s">
        <v>1429</v>
      </c>
      <c r="F5" s="122" t="s">
        <v>1430</v>
      </c>
      <c r="G5" s="122">
        <v>88</v>
      </c>
      <c r="H5" s="122">
        <v>56</v>
      </c>
      <c r="I5">
        <v>7965</v>
      </c>
      <c r="J5">
        <v>2</v>
      </c>
      <c r="K5" s="122" t="s">
        <v>3998</v>
      </c>
      <c r="L5">
        <v>2000</v>
      </c>
    </row>
    <row r="6" spans="1:12" ht="80" x14ac:dyDescent="0.2">
      <c r="A6" t="s">
        <v>3990</v>
      </c>
      <c r="B6" t="s">
        <v>3991</v>
      </c>
      <c r="C6">
        <v>5</v>
      </c>
      <c r="D6" t="s">
        <v>1420</v>
      </c>
      <c r="E6" t="s">
        <v>1421</v>
      </c>
      <c r="F6" s="122" t="s">
        <v>1431</v>
      </c>
      <c r="G6" s="122" t="s">
        <v>1432</v>
      </c>
      <c r="H6" s="122" t="s">
        <v>3999</v>
      </c>
      <c r="I6">
        <v>7967</v>
      </c>
      <c r="J6">
        <v>3</v>
      </c>
      <c r="K6" s="122" t="s">
        <v>4000</v>
      </c>
      <c r="L6">
        <v>2000</v>
      </c>
    </row>
    <row r="7" spans="1:12" ht="112" x14ac:dyDescent="0.2">
      <c r="A7" t="s">
        <v>3990</v>
      </c>
      <c r="B7" t="s">
        <v>3991</v>
      </c>
      <c r="C7">
        <v>6</v>
      </c>
      <c r="D7" t="s">
        <v>1433</v>
      </c>
      <c r="E7" t="s">
        <v>1434</v>
      </c>
      <c r="F7" s="122" t="s">
        <v>1435</v>
      </c>
      <c r="G7" s="122" t="s">
        <v>1436</v>
      </c>
      <c r="H7" s="122" t="s">
        <v>4001</v>
      </c>
      <c r="I7">
        <v>7916</v>
      </c>
      <c r="J7">
        <v>3</v>
      </c>
      <c r="K7" s="122" t="s">
        <v>4002</v>
      </c>
      <c r="L7">
        <v>2000</v>
      </c>
    </row>
    <row r="8" spans="1:12" ht="64" x14ac:dyDescent="0.2">
      <c r="A8" t="s">
        <v>3990</v>
      </c>
      <c r="B8" t="s">
        <v>3991</v>
      </c>
      <c r="C8">
        <v>7</v>
      </c>
      <c r="D8" t="s">
        <v>1433</v>
      </c>
      <c r="E8" t="s">
        <v>1434</v>
      </c>
      <c r="F8" s="122" t="s">
        <v>1438</v>
      </c>
      <c r="G8" s="122" t="s">
        <v>1469</v>
      </c>
      <c r="H8" s="122" t="s">
        <v>4003</v>
      </c>
      <c r="I8">
        <v>7955</v>
      </c>
      <c r="J8">
        <v>0</v>
      </c>
      <c r="K8" s="122" t="s">
        <v>4004</v>
      </c>
      <c r="L8">
        <v>2000</v>
      </c>
    </row>
    <row r="9" spans="1:12" ht="80" x14ac:dyDescent="0.2">
      <c r="A9" t="s">
        <v>3990</v>
      </c>
      <c r="B9" t="s">
        <v>3991</v>
      </c>
      <c r="C9">
        <v>8</v>
      </c>
      <c r="D9" t="s">
        <v>1433</v>
      </c>
      <c r="E9" t="s">
        <v>1440</v>
      </c>
      <c r="F9" s="122" t="s">
        <v>1441</v>
      </c>
      <c r="G9" s="122" t="s">
        <v>1470</v>
      </c>
      <c r="H9" s="122" t="s">
        <v>4005</v>
      </c>
      <c r="I9">
        <v>7816</v>
      </c>
      <c r="J9">
        <v>0</v>
      </c>
      <c r="K9" s="122" t="s">
        <v>4006</v>
      </c>
      <c r="L9">
        <v>2000</v>
      </c>
    </row>
    <row r="10" spans="1:12" ht="80" x14ac:dyDescent="0.2">
      <c r="A10" t="s">
        <v>3990</v>
      </c>
      <c r="B10" t="s">
        <v>3991</v>
      </c>
      <c r="C10">
        <v>9</v>
      </c>
      <c r="D10" t="s">
        <v>1433</v>
      </c>
      <c r="E10" t="s">
        <v>1440</v>
      </c>
      <c r="F10" s="122" t="s">
        <v>1443</v>
      </c>
      <c r="G10" s="122" t="s">
        <v>1477</v>
      </c>
      <c r="H10" s="122" t="s">
        <v>4007</v>
      </c>
      <c r="I10">
        <v>7962</v>
      </c>
      <c r="J10">
        <v>0</v>
      </c>
      <c r="K10" s="122" t="s">
        <v>4008</v>
      </c>
      <c r="L10">
        <v>2000</v>
      </c>
    </row>
    <row r="11" spans="1:12" ht="128" x14ac:dyDescent="0.2">
      <c r="A11" t="s">
        <v>3990</v>
      </c>
      <c r="B11" t="s">
        <v>3991</v>
      </c>
      <c r="C11">
        <v>10</v>
      </c>
      <c r="D11" t="s">
        <v>1433</v>
      </c>
      <c r="E11" t="s">
        <v>1421</v>
      </c>
      <c r="F11" s="122" t="s">
        <v>1445</v>
      </c>
      <c r="G11" s="122" t="s">
        <v>1446</v>
      </c>
      <c r="H11" s="122" t="s">
        <v>4009</v>
      </c>
      <c r="I11">
        <v>7994</v>
      </c>
      <c r="J11">
        <v>0</v>
      </c>
      <c r="K11" s="122" t="s">
        <v>4010</v>
      </c>
      <c r="L11">
        <v>2000</v>
      </c>
    </row>
    <row r="12" spans="1:12" ht="64" x14ac:dyDescent="0.2">
      <c r="A12" t="s">
        <v>3990</v>
      </c>
      <c r="B12" t="s">
        <v>3991</v>
      </c>
      <c r="C12">
        <v>11</v>
      </c>
      <c r="D12" t="s">
        <v>1433</v>
      </c>
      <c r="E12" t="s">
        <v>1447</v>
      </c>
      <c r="F12" s="122" t="s">
        <v>1448</v>
      </c>
      <c r="G12" s="122" t="s">
        <v>4011</v>
      </c>
      <c r="H12" s="122" t="s">
        <v>4012</v>
      </c>
      <c r="I12">
        <v>7908</v>
      </c>
      <c r="J12">
        <v>3</v>
      </c>
      <c r="K12" s="122" t="s">
        <v>4013</v>
      </c>
      <c r="L12">
        <v>2000</v>
      </c>
    </row>
    <row r="13" spans="1:12" ht="64" x14ac:dyDescent="0.2">
      <c r="A13" t="s">
        <v>3990</v>
      </c>
      <c r="B13" t="s">
        <v>3991</v>
      </c>
      <c r="C13">
        <v>12</v>
      </c>
      <c r="D13" t="s">
        <v>1433</v>
      </c>
      <c r="E13" t="s">
        <v>1434</v>
      </c>
      <c r="F13" s="122" t="s">
        <v>1450</v>
      </c>
      <c r="G13" s="196">
        <v>16881928.100000001</v>
      </c>
      <c r="H13" s="122" t="s">
        <v>4014</v>
      </c>
      <c r="I13">
        <v>7985</v>
      </c>
      <c r="J13">
        <v>0</v>
      </c>
      <c r="K13" s="122" t="s">
        <v>4015</v>
      </c>
      <c r="L13">
        <v>2000</v>
      </c>
    </row>
    <row r="14" spans="1:12" ht="64" x14ac:dyDescent="0.2">
      <c r="A14" t="s">
        <v>3990</v>
      </c>
      <c r="B14" t="s">
        <v>3991</v>
      </c>
      <c r="C14">
        <v>13</v>
      </c>
      <c r="D14" t="s">
        <v>1452</v>
      </c>
      <c r="E14" t="s">
        <v>1453</v>
      </c>
      <c r="F14" s="122" t="s">
        <v>1454</v>
      </c>
      <c r="G14" s="122">
        <v>19</v>
      </c>
      <c r="H14" s="122" t="s">
        <v>4016</v>
      </c>
      <c r="I14">
        <v>7969</v>
      </c>
      <c r="J14">
        <v>0</v>
      </c>
      <c r="K14" s="122" t="s">
        <v>4017</v>
      </c>
      <c r="L14">
        <v>2000</v>
      </c>
    </row>
    <row r="15" spans="1:12" ht="48" x14ac:dyDescent="0.2">
      <c r="A15" t="s">
        <v>3990</v>
      </c>
      <c r="B15" t="s">
        <v>3991</v>
      </c>
      <c r="C15">
        <v>14</v>
      </c>
      <c r="D15" t="s">
        <v>1452</v>
      </c>
      <c r="E15" t="s">
        <v>1453</v>
      </c>
      <c r="F15" s="122" t="s">
        <v>1455</v>
      </c>
      <c r="G15" s="122">
        <v>9</v>
      </c>
      <c r="H15" s="122" t="s">
        <v>4018</v>
      </c>
    </row>
    <row r="16" spans="1:12" x14ac:dyDescent="0.2">
      <c r="A16" t="s">
        <v>4019</v>
      </c>
      <c r="B16" t="s">
        <v>4020</v>
      </c>
      <c r="C16" t="s">
        <v>4021</v>
      </c>
    </row>
    <row r="17" spans="1:12" x14ac:dyDescent="0.2">
      <c r="A17" t="s">
        <v>4022</v>
      </c>
      <c r="B17" t="s">
        <v>4023</v>
      </c>
      <c r="C17" t="s">
        <v>4024</v>
      </c>
    </row>
    <row r="18" spans="1:12" x14ac:dyDescent="0.2">
      <c r="A18" t="s">
        <v>4025</v>
      </c>
      <c r="B18" t="s">
        <v>4026</v>
      </c>
      <c r="C18" t="s">
        <v>4027</v>
      </c>
      <c r="D18" t="s">
        <v>4028</v>
      </c>
      <c r="E18" t="s">
        <v>4029</v>
      </c>
    </row>
    <row r="20" spans="1:12" x14ac:dyDescent="0.2">
      <c r="A20" t="s">
        <v>1578</v>
      </c>
    </row>
    <row r="21" spans="1:12" x14ac:dyDescent="0.2">
      <c r="A21" t="s">
        <v>4030</v>
      </c>
      <c r="B21" t="s">
        <v>4020</v>
      </c>
      <c r="C21" t="s">
        <v>4031</v>
      </c>
    </row>
    <row r="22" spans="1:12" ht="64" x14ac:dyDescent="0.2">
      <c r="A22" t="s">
        <v>4032</v>
      </c>
      <c r="B22" t="s">
        <v>4023</v>
      </c>
      <c r="C22" t="s">
        <v>4033</v>
      </c>
      <c r="D22">
        <v>7912</v>
      </c>
      <c r="E22">
        <v>2</v>
      </c>
      <c r="F22" s="122" t="s">
        <v>4034</v>
      </c>
      <c r="G22" s="122">
        <v>2000</v>
      </c>
    </row>
    <row r="23" spans="1:12" ht="48" x14ac:dyDescent="0.2">
      <c r="A23" t="s">
        <v>3990</v>
      </c>
      <c r="B23" t="s">
        <v>3991</v>
      </c>
      <c r="C23">
        <v>15</v>
      </c>
      <c r="D23" t="s">
        <v>1452</v>
      </c>
      <c r="E23" t="s">
        <v>1447</v>
      </c>
      <c r="F23" s="122" t="s">
        <v>1457</v>
      </c>
      <c r="G23" s="122">
        <v>50</v>
      </c>
      <c r="H23" s="122">
        <v>11</v>
      </c>
      <c r="I23">
        <v>7876</v>
      </c>
      <c r="J23">
        <v>0</v>
      </c>
      <c r="K23" s="122" t="s">
        <v>4035</v>
      </c>
      <c r="L23">
        <v>2000</v>
      </c>
    </row>
    <row r="24" spans="1:12" ht="96" x14ac:dyDescent="0.2">
      <c r="A24" t="s">
        <v>3990</v>
      </c>
      <c r="B24" t="s">
        <v>3991</v>
      </c>
      <c r="C24">
        <v>16</v>
      </c>
      <c r="D24" t="s">
        <v>1452</v>
      </c>
      <c r="E24" t="s">
        <v>1434</v>
      </c>
      <c r="F24" s="122" t="s">
        <v>1458</v>
      </c>
      <c r="G24" s="122" t="s">
        <v>1497</v>
      </c>
      <c r="H24" s="122" t="s">
        <v>4036</v>
      </c>
      <c r="I24">
        <v>7883</v>
      </c>
      <c r="J24">
        <v>0</v>
      </c>
      <c r="K24" s="122" t="s">
        <v>4037</v>
      </c>
      <c r="L24">
        <v>2000</v>
      </c>
    </row>
    <row r="25" spans="1:12" ht="64" x14ac:dyDescent="0.2">
      <c r="A25" t="s">
        <v>3990</v>
      </c>
      <c r="B25" t="s">
        <v>3991</v>
      </c>
      <c r="C25">
        <v>17</v>
      </c>
      <c r="D25" t="s">
        <v>1452</v>
      </c>
      <c r="E25" t="s">
        <v>1421</v>
      </c>
      <c r="F25" s="122" t="s">
        <v>1460</v>
      </c>
      <c r="G25" s="122" t="s">
        <v>1500</v>
      </c>
      <c r="H25" s="122" t="s">
        <v>4038</v>
      </c>
      <c r="I25">
        <v>7899</v>
      </c>
      <c r="J25">
        <v>0</v>
      </c>
      <c r="K25" s="122" t="s">
        <v>4039</v>
      </c>
      <c r="L25">
        <v>2000</v>
      </c>
    </row>
    <row r="26" spans="1:12" ht="128" x14ac:dyDescent="0.2">
      <c r="A26" t="s">
        <v>3990</v>
      </c>
      <c r="B26" t="s">
        <v>3991</v>
      </c>
      <c r="C26">
        <v>18</v>
      </c>
      <c r="D26" t="s">
        <v>1452</v>
      </c>
      <c r="E26" t="s">
        <v>1440</v>
      </c>
      <c r="F26" s="122" t="s">
        <v>1462</v>
      </c>
      <c r="G26" s="122" t="s">
        <v>1502</v>
      </c>
      <c r="H26" s="122" t="s">
        <v>4040</v>
      </c>
      <c r="I26">
        <v>7942</v>
      </c>
      <c r="J26">
        <v>0</v>
      </c>
      <c r="K26" s="122" t="s">
        <v>4041</v>
      </c>
      <c r="L26">
        <v>2000</v>
      </c>
    </row>
    <row r="27" spans="1:12" ht="64" x14ac:dyDescent="0.2">
      <c r="A27" t="s">
        <v>3990</v>
      </c>
      <c r="B27" t="s">
        <v>3991</v>
      </c>
      <c r="C27">
        <v>19</v>
      </c>
      <c r="D27" t="s">
        <v>1452</v>
      </c>
      <c r="E27" t="s">
        <v>1464</v>
      </c>
      <c r="F27" s="122" t="s">
        <v>1465</v>
      </c>
      <c r="G27" s="122" t="s">
        <v>1503</v>
      </c>
      <c r="H27" s="122" t="s">
        <v>4042</v>
      </c>
      <c r="I27">
        <v>7849</v>
      </c>
      <c r="J27">
        <v>0</v>
      </c>
      <c r="K27" s="122" t="s">
        <v>4043</v>
      </c>
      <c r="L27">
        <v>2000</v>
      </c>
    </row>
    <row r="28" spans="1:12" ht="128" x14ac:dyDescent="0.2">
      <c r="A28" t="s">
        <v>3990</v>
      </c>
      <c r="B28" t="s">
        <v>3991</v>
      </c>
      <c r="C28">
        <v>20</v>
      </c>
      <c r="D28" t="s">
        <v>1452</v>
      </c>
      <c r="E28" t="s">
        <v>1464</v>
      </c>
      <c r="F28" s="122" t="s">
        <v>1467</v>
      </c>
      <c r="G28" s="122" t="s">
        <v>1513</v>
      </c>
      <c r="H28" s="122" t="s">
        <v>4044</v>
      </c>
      <c r="I28">
        <v>7934</v>
      </c>
      <c r="J28">
        <v>0</v>
      </c>
      <c r="K28" s="122" t="s">
        <v>4045</v>
      </c>
      <c r="L28">
        <v>2000</v>
      </c>
    </row>
    <row r="29" spans="1:12" ht="64" x14ac:dyDescent="0.2">
      <c r="A29" t="s">
        <v>3990</v>
      </c>
      <c r="B29" t="s">
        <v>4046</v>
      </c>
      <c r="C29">
        <v>1</v>
      </c>
      <c r="D29" t="s">
        <v>1420</v>
      </c>
      <c r="E29" t="s">
        <v>1421</v>
      </c>
      <c r="F29" s="122" t="s">
        <v>1422</v>
      </c>
      <c r="G29" s="122" t="s">
        <v>1423</v>
      </c>
      <c r="H29" s="122" t="s">
        <v>4047</v>
      </c>
      <c r="I29">
        <v>7938</v>
      </c>
      <c r="J29">
        <v>0</v>
      </c>
      <c r="K29" s="122" t="s">
        <v>4048</v>
      </c>
      <c r="L29">
        <v>2000</v>
      </c>
    </row>
    <row r="30" spans="1:12" ht="48" x14ac:dyDescent="0.2">
      <c r="A30" t="s">
        <v>3990</v>
      </c>
      <c r="B30" t="s">
        <v>4046</v>
      </c>
      <c r="C30">
        <v>2</v>
      </c>
      <c r="D30" t="s">
        <v>1420</v>
      </c>
      <c r="E30" t="s">
        <v>1421</v>
      </c>
      <c r="F30" s="122" t="s">
        <v>1425</v>
      </c>
      <c r="G30" s="122">
        <v>8</v>
      </c>
      <c r="H30" s="122" t="s">
        <v>4049</v>
      </c>
      <c r="I30">
        <v>7938</v>
      </c>
      <c r="J30">
        <v>0</v>
      </c>
      <c r="K30" s="122" t="s">
        <v>4050</v>
      </c>
      <c r="L30">
        <v>2000</v>
      </c>
    </row>
    <row r="31" spans="1:12" ht="64" x14ac:dyDescent="0.2">
      <c r="A31" t="s">
        <v>3990</v>
      </c>
      <c r="B31" t="s">
        <v>4046</v>
      </c>
      <c r="C31">
        <v>3</v>
      </c>
      <c r="D31" t="s">
        <v>1420</v>
      </c>
      <c r="E31" t="s">
        <v>1421</v>
      </c>
      <c r="F31" s="122" t="s">
        <v>1427</v>
      </c>
      <c r="G31" s="122" t="s">
        <v>1428</v>
      </c>
      <c r="H31" s="122" t="s">
        <v>4051</v>
      </c>
      <c r="I31">
        <v>7938</v>
      </c>
      <c r="J31">
        <v>0</v>
      </c>
      <c r="K31" s="122" t="s">
        <v>3997</v>
      </c>
      <c r="L31">
        <v>2000</v>
      </c>
    </row>
    <row r="32" spans="1:12" ht="48" x14ac:dyDescent="0.2">
      <c r="A32" t="s">
        <v>3990</v>
      </c>
      <c r="B32" t="s">
        <v>4046</v>
      </c>
      <c r="C32">
        <v>4</v>
      </c>
      <c r="D32" t="s">
        <v>1420</v>
      </c>
      <c r="E32" t="s">
        <v>1429</v>
      </c>
      <c r="F32" s="122" t="s">
        <v>1430</v>
      </c>
      <c r="G32" s="122">
        <v>88</v>
      </c>
      <c r="H32" s="122">
        <v>6</v>
      </c>
      <c r="I32">
        <v>7938</v>
      </c>
      <c r="J32">
        <v>0</v>
      </c>
      <c r="K32" s="122" t="s">
        <v>4052</v>
      </c>
      <c r="L32">
        <v>2000</v>
      </c>
    </row>
    <row r="33" spans="1:12" ht="48" x14ac:dyDescent="0.2">
      <c r="A33" t="s">
        <v>3990</v>
      </c>
      <c r="B33" t="s">
        <v>4046</v>
      </c>
      <c r="C33">
        <v>5</v>
      </c>
      <c r="D33" t="s">
        <v>1420</v>
      </c>
      <c r="E33" t="s">
        <v>1421</v>
      </c>
      <c r="F33" s="122" t="s">
        <v>1431</v>
      </c>
      <c r="G33" s="122" t="s">
        <v>1432</v>
      </c>
      <c r="H33" s="122" t="s">
        <v>4053</v>
      </c>
      <c r="I33">
        <v>7938</v>
      </c>
      <c r="J33">
        <v>3</v>
      </c>
      <c r="K33" s="122" t="s">
        <v>4054</v>
      </c>
      <c r="L33">
        <v>2000</v>
      </c>
    </row>
    <row r="34" spans="1:12" ht="64" x14ac:dyDescent="0.2">
      <c r="A34" t="s">
        <v>3990</v>
      </c>
      <c r="B34" t="s">
        <v>4046</v>
      </c>
      <c r="C34">
        <v>6</v>
      </c>
      <c r="D34" t="s">
        <v>1433</v>
      </c>
      <c r="E34" t="s">
        <v>1434</v>
      </c>
      <c r="F34" s="122" t="s">
        <v>1435</v>
      </c>
      <c r="G34" s="122" t="s">
        <v>1436</v>
      </c>
      <c r="H34" s="122" t="s">
        <v>4055</v>
      </c>
      <c r="I34">
        <v>7938</v>
      </c>
      <c r="J34">
        <v>0</v>
      </c>
      <c r="K34" s="122" t="s">
        <v>4056</v>
      </c>
      <c r="L34">
        <v>2000</v>
      </c>
    </row>
    <row r="35" spans="1:12" ht="80" x14ac:dyDescent="0.2">
      <c r="A35" t="s">
        <v>3990</v>
      </c>
      <c r="B35" t="s">
        <v>4046</v>
      </c>
      <c r="C35">
        <v>7</v>
      </c>
      <c r="D35" t="s">
        <v>1433</v>
      </c>
      <c r="E35" t="s">
        <v>1434</v>
      </c>
      <c r="F35" s="122" t="s">
        <v>1438</v>
      </c>
      <c r="G35" s="122" t="s">
        <v>1469</v>
      </c>
      <c r="H35" s="122" t="s">
        <v>4057</v>
      </c>
      <c r="I35">
        <v>7938</v>
      </c>
      <c r="J35">
        <v>0</v>
      </c>
      <c r="K35" s="122" t="s">
        <v>4058</v>
      </c>
      <c r="L35">
        <v>2000</v>
      </c>
    </row>
    <row r="36" spans="1:12" ht="64" x14ac:dyDescent="0.2">
      <c r="A36" t="s">
        <v>3990</v>
      </c>
      <c r="B36" t="s">
        <v>4046</v>
      </c>
      <c r="C36">
        <v>8</v>
      </c>
      <c r="D36" t="s">
        <v>1433</v>
      </c>
      <c r="E36" t="s">
        <v>1440</v>
      </c>
      <c r="F36" s="122" t="s">
        <v>1441</v>
      </c>
      <c r="G36" s="122" t="s">
        <v>1470</v>
      </c>
      <c r="H36" s="122" t="s">
        <v>4059</v>
      </c>
      <c r="I36">
        <v>7938</v>
      </c>
      <c r="J36">
        <v>0</v>
      </c>
      <c r="K36" s="122" t="s">
        <v>4060</v>
      </c>
      <c r="L36">
        <v>2000</v>
      </c>
    </row>
    <row r="37" spans="1:12" ht="64" x14ac:dyDescent="0.2">
      <c r="A37" t="s">
        <v>3990</v>
      </c>
      <c r="B37" t="s">
        <v>4046</v>
      </c>
      <c r="C37">
        <v>9</v>
      </c>
      <c r="D37" t="s">
        <v>1433</v>
      </c>
      <c r="E37" t="s">
        <v>1440</v>
      </c>
      <c r="F37" s="122" t="s">
        <v>1443</v>
      </c>
      <c r="G37" s="122" t="s">
        <v>1477</v>
      </c>
      <c r="H37" s="122" t="s">
        <v>4061</v>
      </c>
    </row>
    <row r="39" spans="1:12" x14ac:dyDescent="0.2">
      <c r="A39" t="s">
        <v>1626</v>
      </c>
    </row>
    <row r="40" spans="1:12" x14ac:dyDescent="0.2">
      <c r="A40" t="s">
        <v>4062</v>
      </c>
      <c r="B40">
        <v>47</v>
      </c>
      <c r="C40">
        <v>143.9</v>
      </c>
    </row>
    <row r="41" spans="1:12" x14ac:dyDescent="0.2">
      <c r="A41" t="s">
        <v>4063</v>
      </c>
      <c r="B41">
        <v>163</v>
      </c>
    </row>
    <row r="42" spans="1:12" x14ac:dyDescent="0.2">
      <c r="A42" t="s">
        <v>4064</v>
      </c>
      <c r="B42">
        <v>719.2</v>
      </c>
    </row>
    <row r="43" spans="1:12" x14ac:dyDescent="0.2">
      <c r="A43" t="s">
        <v>4065</v>
      </c>
      <c r="B43">
        <v>86.2</v>
      </c>
    </row>
    <row r="44" spans="1:12" x14ac:dyDescent="0.2">
      <c r="A44" t="s">
        <v>4066</v>
      </c>
      <c r="B44">
        <v>30</v>
      </c>
      <c r="C44">
        <v>0</v>
      </c>
    </row>
    <row r="45" spans="1:12" x14ac:dyDescent="0.2">
      <c r="A45" t="s">
        <v>4067</v>
      </c>
      <c r="B45">
        <v>837</v>
      </c>
      <c r="C45">
        <v>368.8</v>
      </c>
    </row>
    <row r="46" spans="1:12" x14ac:dyDescent="0.2">
      <c r="A46" t="s">
        <v>4068</v>
      </c>
      <c r="B46">
        <v>338.5</v>
      </c>
    </row>
    <row r="47" spans="1:12" x14ac:dyDescent="0.2">
      <c r="A47" t="s">
        <v>4069</v>
      </c>
      <c r="B47">
        <v>882.7</v>
      </c>
    </row>
    <row r="48" spans="1:12" x14ac:dyDescent="0.2">
      <c r="A48" t="s">
        <v>4070</v>
      </c>
      <c r="B48">
        <v>297</v>
      </c>
      <c r="C48">
        <v>739.7</v>
      </c>
    </row>
    <row r="49" spans="1:3" x14ac:dyDescent="0.2">
      <c r="A49" t="s">
        <v>4071</v>
      </c>
      <c r="B49">
        <v>745.3</v>
      </c>
    </row>
    <row r="50" spans="1:3" x14ac:dyDescent="0.2">
      <c r="A50" t="s">
        <v>4072</v>
      </c>
      <c r="B50">
        <v>900.9</v>
      </c>
    </row>
    <row r="51" spans="1:3" x14ac:dyDescent="0.2">
      <c r="A51" t="s">
        <v>4073</v>
      </c>
      <c r="B51">
        <v>392.5</v>
      </c>
    </row>
    <row r="52" spans="1:3" x14ac:dyDescent="0.2">
      <c r="A52" t="s">
        <v>4074</v>
      </c>
      <c r="B52">
        <v>603</v>
      </c>
      <c r="C52" t="s">
        <v>4075</v>
      </c>
    </row>
    <row r="54" spans="1:3" x14ac:dyDescent="0.2">
      <c r="A54" t="s">
        <v>1640</v>
      </c>
    </row>
    <row r="55" spans="1:3" x14ac:dyDescent="0.2">
      <c r="A55" t="s">
        <v>4062</v>
      </c>
      <c r="B55">
        <v>69</v>
      </c>
      <c r="C55">
        <v>70</v>
      </c>
    </row>
    <row r="56" spans="1:3" x14ac:dyDescent="0.2">
      <c r="A56" t="s">
        <v>4063</v>
      </c>
      <c r="B56">
        <v>163</v>
      </c>
    </row>
    <row r="57" spans="1:3" x14ac:dyDescent="0.2">
      <c r="A57" t="s">
        <v>4076</v>
      </c>
      <c r="B57">
        <v>113.6</v>
      </c>
    </row>
    <row r="58" spans="1:3" x14ac:dyDescent="0.2">
      <c r="A58" t="s">
        <v>4065</v>
      </c>
      <c r="B58">
        <v>447.9</v>
      </c>
    </row>
    <row r="59" spans="1:3" x14ac:dyDescent="0.2">
      <c r="A59" t="s">
        <v>4066</v>
      </c>
      <c r="B59">
        <v>30</v>
      </c>
      <c r="C59">
        <v>0</v>
      </c>
    </row>
    <row r="60" spans="1:3" x14ac:dyDescent="0.2">
      <c r="A60" t="s">
        <v>4067</v>
      </c>
      <c r="B60">
        <v>571</v>
      </c>
      <c r="C60">
        <v>414.9</v>
      </c>
    </row>
    <row r="61" spans="1:3" x14ac:dyDescent="0.2">
      <c r="A61" t="s">
        <v>4077</v>
      </c>
      <c r="B61">
        <v>431.4</v>
      </c>
    </row>
    <row r="62" spans="1:3" x14ac:dyDescent="0.2">
      <c r="A62" t="s">
        <v>4078</v>
      </c>
      <c r="B62">
        <v>819.9</v>
      </c>
    </row>
    <row r="63" spans="1:3" x14ac:dyDescent="0.2">
      <c r="A63" t="s">
        <v>4070</v>
      </c>
      <c r="B63">
        <v>303</v>
      </c>
      <c r="C63">
        <v>809</v>
      </c>
    </row>
    <row r="64" spans="1:3" x14ac:dyDescent="0.2">
      <c r="A64" t="s">
        <v>4079</v>
      </c>
      <c r="B64">
        <v>477.6</v>
      </c>
    </row>
    <row r="65" spans="1:12" x14ac:dyDescent="0.2">
      <c r="A65" t="s">
        <v>4080</v>
      </c>
      <c r="B65">
        <v>718.9</v>
      </c>
    </row>
    <row r="66" spans="1:12" x14ac:dyDescent="0.2">
      <c r="A66" t="s">
        <v>4073</v>
      </c>
      <c r="B66">
        <v>664.5</v>
      </c>
    </row>
    <row r="67" spans="1:12" x14ac:dyDescent="0.2">
      <c r="A67" t="s">
        <v>4081</v>
      </c>
      <c r="B67">
        <v>405</v>
      </c>
      <c r="C67" t="s">
        <v>4082</v>
      </c>
    </row>
    <row r="69" spans="1:12" x14ac:dyDescent="0.2">
      <c r="A69" t="s">
        <v>1652</v>
      </c>
    </row>
    <row r="70" spans="1:12" ht="48" x14ac:dyDescent="0.2">
      <c r="A70" t="s">
        <v>4083</v>
      </c>
      <c r="B70" t="s">
        <v>4084</v>
      </c>
      <c r="C70" t="s">
        <v>4085</v>
      </c>
      <c r="D70">
        <v>7938</v>
      </c>
      <c r="E70">
        <v>2</v>
      </c>
      <c r="F70" s="122" t="s">
        <v>4086</v>
      </c>
      <c r="G70" s="122">
        <v>2000</v>
      </c>
    </row>
    <row r="71" spans="1:12" ht="112" x14ac:dyDescent="0.2">
      <c r="A71" t="s">
        <v>3990</v>
      </c>
      <c r="B71" t="s">
        <v>4046</v>
      </c>
      <c r="C71">
        <v>10</v>
      </c>
      <c r="D71" t="s">
        <v>1433</v>
      </c>
      <c r="E71" t="s">
        <v>1421</v>
      </c>
      <c r="F71" s="122" t="s">
        <v>1445</v>
      </c>
      <c r="G71" s="122" t="s">
        <v>1446</v>
      </c>
      <c r="H71" s="122" t="s">
        <v>4087</v>
      </c>
      <c r="I71">
        <v>7938</v>
      </c>
      <c r="J71">
        <v>0</v>
      </c>
      <c r="K71" s="122" t="s">
        <v>4088</v>
      </c>
      <c r="L71">
        <v>2000</v>
      </c>
    </row>
    <row r="72" spans="1:12" ht="144" x14ac:dyDescent="0.2">
      <c r="A72" t="s">
        <v>3990</v>
      </c>
      <c r="B72" t="s">
        <v>4046</v>
      </c>
      <c r="C72">
        <v>11</v>
      </c>
      <c r="D72" t="s">
        <v>1433</v>
      </c>
      <c r="E72" t="s">
        <v>1447</v>
      </c>
      <c r="F72" s="122" t="s">
        <v>1448</v>
      </c>
      <c r="G72" s="122" t="s">
        <v>4011</v>
      </c>
      <c r="H72" s="122" t="s">
        <v>4089</v>
      </c>
      <c r="I72">
        <v>7938</v>
      </c>
      <c r="J72">
        <v>0</v>
      </c>
      <c r="K72" s="122" t="s">
        <v>4090</v>
      </c>
      <c r="L72">
        <v>2000</v>
      </c>
    </row>
    <row r="73" spans="1:12" ht="64" x14ac:dyDescent="0.2">
      <c r="A73" t="s">
        <v>3990</v>
      </c>
      <c r="B73" t="s">
        <v>4046</v>
      </c>
      <c r="C73">
        <v>12</v>
      </c>
      <c r="D73" t="s">
        <v>1433</v>
      </c>
      <c r="E73" t="s">
        <v>1434</v>
      </c>
      <c r="F73" s="122" t="s">
        <v>1450</v>
      </c>
      <c r="G73" s="196">
        <v>16881928.100000001</v>
      </c>
      <c r="H73" s="122" t="s">
        <v>4091</v>
      </c>
      <c r="I73">
        <v>7938</v>
      </c>
      <c r="J73">
        <v>0</v>
      </c>
      <c r="K73" s="122" t="s">
        <v>4092</v>
      </c>
      <c r="L73">
        <v>2000</v>
      </c>
    </row>
    <row r="74" spans="1:12" ht="80" x14ac:dyDescent="0.2">
      <c r="A74" t="s">
        <v>3990</v>
      </c>
      <c r="B74" t="s">
        <v>4046</v>
      </c>
      <c r="C74">
        <v>13</v>
      </c>
      <c r="D74" t="s">
        <v>1452</v>
      </c>
      <c r="E74" t="s">
        <v>1453</v>
      </c>
      <c r="F74" s="122" t="s">
        <v>1454</v>
      </c>
      <c r="G74" s="122">
        <v>19</v>
      </c>
      <c r="H74" s="122" t="s">
        <v>4093</v>
      </c>
      <c r="I74">
        <v>7938</v>
      </c>
      <c r="J74">
        <v>0</v>
      </c>
      <c r="K74" s="122" t="s">
        <v>4094</v>
      </c>
      <c r="L74">
        <v>2000</v>
      </c>
    </row>
    <row r="75" spans="1:12" ht="48" x14ac:dyDescent="0.2">
      <c r="A75" t="s">
        <v>3990</v>
      </c>
      <c r="B75" t="s">
        <v>4046</v>
      </c>
      <c r="C75">
        <v>14</v>
      </c>
      <c r="D75" t="s">
        <v>1452</v>
      </c>
      <c r="E75" t="s">
        <v>1453</v>
      </c>
      <c r="F75" s="122" t="s">
        <v>1455</v>
      </c>
      <c r="G75" s="122">
        <v>9</v>
      </c>
      <c r="H75" s="122">
        <v>0</v>
      </c>
      <c r="I75">
        <v>7938</v>
      </c>
      <c r="J75">
        <v>0</v>
      </c>
      <c r="K75" s="122" t="s">
        <v>4095</v>
      </c>
      <c r="L75">
        <v>2000</v>
      </c>
    </row>
    <row r="76" spans="1:12" ht="64" x14ac:dyDescent="0.2">
      <c r="A76" t="s">
        <v>3990</v>
      </c>
      <c r="B76" t="s">
        <v>4046</v>
      </c>
      <c r="C76">
        <v>15</v>
      </c>
      <c r="D76" t="s">
        <v>1452</v>
      </c>
      <c r="E76" t="s">
        <v>1447</v>
      </c>
      <c r="F76" s="122" t="s">
        <v>1457</v>
      </c>
      <c r="G76" s="122">
        <v>50</v>
      </c>
      <c r="H76" s="122" t="s">
        <v>4096</v>
      </c>
      <c r="I76">
        <v>7938</v>
      </c>
      <c r="J76">
        <v>0</v>
      </c>
      <c r="K76" s="122" t="s">
        <v>4097</v>
      </c>
      <c r="L76">
        <v>2000</v>
      </c>
    </row>
    <row r="77" spans="1:12" ht="64" x14ac:dyDescent="0.2">
      <c r="A77" t="s">
        <v>3990</v>
      </c>
      <c r="B77" t="s">
        <v>4046</v>
      </c>
      <c r="C77">
        <v>16</v>
      </c>
      <c r="D77" t="s">
        <v>1452</v>
      </c>
      <c r="E77" t="s">
        <v>1434</v>
      </c>
      <c r="F77" s="122" t="s">
        <v>1458</v>
      </c>
      <c r="G77" s="122" t="s">
        <v>1497</v>
      </c>
      <c r="H77" s="122" t="s">
        <v>4098</v>
      </c>
      <c r="I77">
        <v>7938</v>
      </c>
      <c r="J77">
        <v>0</v>
      </c>
      <c r="K77" s="122" t="s">
        <v>4099</v>
      </c>
      <c r="L77">
        <v>2000</v>
      </c>
    </row>
    <row r="78" spans="1:12" ht="48" x14ac:dyDescent="0.2">
      <c r="A78" t="s">
        <v>3990</v>
      </c>
      <c r="B78" t="s">
        <v>4046</v>
      </c>
      <c r="C78">
        <v>17</v>
      </c>
      <c r="D78" t="s">
        <v>1452</v>
      </c>
      <c r="E78" t="s">
        <v>1421</v>
      </c>
      <c r="F78" s="122" t="s">
        <v>1460</v>
      </c>
      <c r="G78" s="122" t="s">
        <v>1500</v>
      </c>
      <c r="H78" s="122" t="s">
        <v>4100</v>
      </c>
      <c r="I78">
        <v>7938</v>
      </c>
      <c r="J78">
        <v>0</v>
      </c>
      <c r="K78" s="122" t="s">
        <v>4101</v>
      </c>
      <c r="L78">
        <v>2000</v>
      </c>
    </row>
    <row r="79" spans="1:12" ht="64" x14ac:dyDescent="0.2">
      <c r="A79" t="s">
        <v>3990</v>
      </c>
      <c r="B79" t="s">
        <v>4046</v>
      </c>
      <c r="C79">
        <v>18</v>
      </c>
      <c r="D79" t="s">
        <v>1452</v>
      </c>
      <c r="E79" t="s">
        <v>1440</v>
      </c>
      <c r="F79" s="122" t="s">
        <v>1462</v>
      </c>
      <c r="G79" s="122" t="s">
        <v>1502</v>
      </c>
      <c r="H79" s="122" t="s">
        <v>4102</v>
      </c>
      <c r="I79">
        <v>7938</v>
      </c>
      <c r="J79">
        <v>0</v>
      </c>
      <c r="K79" s="122" t="s">
        <v>4103</v>
      </c>
      <c r="L79">
        <v>2000</v>
      </c>
    </row>
    <row r="80" spans="1:12" ht="48" x14ac:dyDescent="0.2">
      <c r="A80" t="s">
        <v>3990</v>
      </c>
      <c r="B80" t="s">
        <v>4046</v>
      </c>
      <c r="C80">
        <v>19</v>
      </c>
      <c r="D80" t="s">
        <v>1452</v>
      </c>
      <c r="E80" t="s">
        <v>1464</v>
      </c>
      <c r="F80" s="122" t="s">
        <v>1465</v>
      </c>
      <c r="G80" s="122" t="s">
        <v>1503</v>
      </c>
      <c r="H80" s="122" t="s">
        <v>4104</v>
      </c>
    </row>
    <row r="81" spans="1:12" x14ac:dyDescent="0.2">
      <c r="A81" t="s">
        <v>4105</v>
      </c>
      <c r="B81">
        <v>7938</v>
      </c>
      <c r="C81">
        <v>0</v>
      </c>
      <c r="D81" t="s">
        <v>4106</v>
      </c>
      <c r="E81">
        <v>2000</v>
      </c>
    </row>
    <row r="82" spans="1:12" ht="128" x14ac:dyDescent="0.2">
      <c r="A82" t="s">
        <v>3990</v>
      </c>
      <c r="B82" t="s">
        <v>4046</v>
      </c>
      <c r="C82">
        <v>20</v>
      </c>
      <c r="D82" t="s">
        <v>1452</v>
      </c>
      <c r="E82" t="s">
        <v>1464</v>
      </c>
      <c r="F82" s="122" t="s">
        <v>1467</v>
      </c>
      <c r="G82" s="122" t="s">
        <v>1513</v>
      </c>
      <c r="H82" s="122" t="s">
        <v>4107</v>
      </c>
    </row>
    <row r="83" spans="1:12" x14ac:dyDescent="0.2">
      <c r="A83" t="s">
        <v>4108</v>
      </c>
      <c r="B83">
        <v>7938</v>
      </c>
      <c r="C83">
        <v>0</v>
      </c>
      <c r="D83" t="s">
        <v>4109</v>
      </c>
      <c r="E83">
        <v>2000</v>
      </c>
    </row>
    <row r="84" spans="1:12" ht="64" x14ac:dyDescent="0.2">
      <c r="A84" t="s">
        <v>3990</v>
      </c>
      <c r="B84" t="s">
        <v>4110</v>
      </c>
      <c r="C84">
        <v>1</v>
      </c>
      <c r="D84" t="s">
        <v>1420</v>
      </c>
      <c r="E84" t="s">
        <v>1421</v>
      </c>
      <c r="F84" s="122" t="s">
        <v>1422</v>
      </c>
      <c r="G84" s="122" t="s">
        <v>1423</v>
      </c>
      <c r="H84" s="122" t="s">
        <v>4111</v>
      </c>
      <c r="I84">
        <v>31934</v>
      </c>
      <c r="J84">
        <v>0</v>
      </c>
      <c r="K84" s="122" t="s">
        <v>4112</v>
      </c>
      <c r="L84">
        <v>8000</v>
      </c>
    </row>
    <row r="85" spans="1:12" ht="64" x14ac:dyDescent="0.2">
      <c r="A85" t="s">
        <v>3990</v>
      </c>
      <c r="B85" t="s">
        <v>4110</v>
      </c>
      <c r="C85">
        <v>2</v>
      </c>
      <c r="D85" t="s">
        <v>1420</v>
      </c>
      <c r="E85" t="s">
        <v>1421</v>
      </c>
      <c r="F85" s="122" t="s">
        <v>1425</v>
      </c>
      <c r="G85" s="122">
        <v>8</v>
      </c>
      <c r="H85" s="122" t="s">
        <v>4113</v>
      </c>
    </row>
    <row r="86" spans="1:12" x14ac:dyDescent="0.2">
      <c r="A86" t="s">
        <v>1688</v>
      </c>
    </row>
    <row r="87" spans="1:12" x14ac:dyDescent="0.2">
      <c r="A87" t="s">
        <v>1689</v>
      </c>
    </row>
    <row r="88" spans="1:12" x14ac:dyDescent="0.2">
      <c r="A88" t="s">
        <v>4114</v>
      </c>
      <c r="B88">
        <v>31923</v>
      </c>
      <c r="C88">
        <v>2</v>
      </c>
      <c r="D88" t="s">
        <v>4115</v>
      </c>
      <c r="E88">
        <v>8000</v>
      </c>
    </row>
    <row r="89" spans="1:12" ht="112" x14ac:dyDescent="0.2">
      <c r="A89" t="s">
        <v>3990</v>
      </c>
      <c r="B89" t="s">
        <v>4110</v>
      </c>
      <c r="C89">
        <v>3</v>
      </c>
      <c r="D89" t="s">
        <v>1420</v>
      </c>
      <c r="E89" t="s">
        <v>1421</v>
      </c>
      <c r="F89" s="122" t="s">
        <v>1427</v>
      </c>
      <c r="G89" s="122" t="s">
        <v>1428</v>
      </c>
      <c r="H89" s="122" t="s">
        <v>4116</v>
      </c>
      <c r="I89">
        <v>28496</v>
      </c>
      <c r="J89">
        <v>0</v>
      </c>
      <c r="K89" s="122" t="s">
        <v>3997</v>
      </c>
      <c r="L89">
        <v>8000</v>
      </c>
    </row>
    <row r="90" spans="1:12" ht="80" x14ac:dyDescent="0.2">
      <c r="A90" t="s">
        <v>3990</v>
      </c>
      <c r="B90" t="s">
        <v>4110</v>
      </c>
      <c r="C90">
        <v>4</v>
      </c>
      <c r="D90" t="s">
        <v>1420</v>
      </c>
      <c r="E90" t="s">
        <v>1429</v>
      </c>
      <c r="F90" s="122" t="s">
        <v>1430</v>
      </c>
      <c r="G90" s="122">
        <v>88</v>
      </c>
      <c r="H90" s="122" t="s">
        <v>4117</v>
      </c>
      <c r="I90">
        <v>29451</v>
      </c>
      <c r="J90">
        <v>3</v>
      </c>
      <c r="K90" s="122" t="s">
        <v>4118</v>
      </c>
      <c r="L90">
        <v>8000</v>
      </c>
    </row>
    <row r="91" spans="1:12" ht="64" x14ac:dyDescent="0.2">
      <c r="A91" t="s">
        <v>3990</v>
      </c>
      <c r="B91" t="s">
        <v>4110</v>
      </c>
      <c r="C91">
        <v>5</v>
      </c>
      <c r="D91" t="s">
        <v>1420</v>
      </c>
      <c r="E91" t="s">
        <v>1421</v>
      </c>
      <c r="F91" s="122" t="s">
        <v>1431</v>
      </c>
      <c r="G91" s="122" t="s">
        <v>1432</v>
      </c>
      <c r="H91" s="122" t="s">
        <v>3999</v>
      </c>
      <c r="I91">
        <v>27738</v>
      </c>
      <c r="J91">
        <v>3</v>
      </c>
      <c r="K91" s="122" t="s">
        <v>4119</v>
      </c>
      <c r="L91">
        <v>8000</v>
      </c>
    </row>
    <row r="92" spans="1:12" ht="80" x14ac:dyDescent="0.2">
      <c r="A92" t="s">
        <v>3990</v>
      </c>
      <c r="B92" t="s">
        <v>4110</v>
      </c>
      <c r="C92">
        <v>6</v>
      </c>
      <c r="D92" t="s">
        <v>1433</v>
      </c>
      <c r="E92" t="s">
        <v>1434</v>
      </c>
      <c r="F92" s="122" t="s">
        <v>1435</v>
      </c>
      <c r="G92" s="122" t="s">
        <v>1436</v>
      </c>
      <c r="H92" s="122" t="s">
        <v>4120</v>
      </c>
      <c r="I92">
        <v>31889</v>
      </c>
      <c r="J92">
        <v>3</v>
      </c>
      <c r="K92" s="122" t="s">
        <v>4121</v>
      </c>
      <c r="L92">
        <v>8000</v>
      </c>
    </row>
    <row r="93" spans="1:12" ht="64" x14ac:dyDescent="0.2">
      <c r="A93" t="s">
        <v>3990</v>
      </c>
      <c r="B93" t="s">
        <v>4110</v>
      </c>
      <c r="C93">
        <v>7</v>
      </c>
      <c r="D93" t="s">
        <v>1433</v>
      </c>
      <c r="E93" t="s">
        <v>1434</v>
      </c>
      <c r="F93" s="122" t="s">
        <v>1438</v>
      </c>
      <c r="G93" s="122" t="s">
        <v>1469</v>
      </c>
      <c r="H93" s="122" t="s">
        <v>4003</v>
      </c>
      <c r="I93">
        <v>26064</v>
      </c>
      <c r="J93">
        <v>0</v>
      </c>
      <c r="K93" s="122" t="s">
        <v>4004</v>
      </c>
      <c r="L93">
        <v>8000</v>
      </c>
    </row>
    <row r="94" spans="1:12" ht="160" x14ac:dyDescent="0.2">
      <c r="A94" t="s">
        <v>3990</v>
      </c>
      <c r="B94" t="s">
        <v>4110</v>
      </c>
      <c r="C94">
        <v>8</v>
      </c>
      <c r="D94" t="s">
        <v>1433</v>
      </c>
      <c r="E94" t="s">
        <v>1440</v>
      </c>
      <c r="F94" s="122" t="s">
        <v>1441</v>
      </c>
      <c r="G94" s="122" t="s">
        <v>1470</v>
      </c>
      <c r="H94" s="122" t="s">
        <v>4122</v>
      </c>
      <c r="I94">
        <v>31856</v>
      </c>
      <c r="J94">
        <v>3</v>
      </c>
      <c r="K94" s="122" t="s">
        <v>4123</v>
      </c>
      <c r="L94">
        <v>8000</v>
      </c>
    </row>
    <row r="95" spans="1:12" ht="112" x14ac:dyDescent="0.2">
      <c r="A95" t="s">
        <v>3990</v>
      </c>
      <c r="B95" t="s">
        <v>4110</v>
      </c>
      <c r="C95">
        <v>9</v>
      </c>
      <c r="D95" t="s">
        <v>1433</v>
      </c>
      <c r="E95" t="s">
        <v>1440</v>
      </c>
      <c r="F95" s="122" t="s">
        <v>1443</v>
      </c>
      <c r="G95" s="122" t="s">
        <v>1477</v>
      </c>
      <c r="H95" s="122" t="s">
        <v>4124</v>
      </c>
      <c r="I95">
        <v>26225</v>
      </c>
      <c r="J95">
        <v>0</v>
      </c>
      <c r="K95" s="122" t="s">
        <v>4125</v>
      </c>
      <c r="L95">
        <v>8000</v>
      </c>
    </row>
    <row r="96" spans="1:12" ht="80" x14ac:dyDescent="0.2">
      <c r="A96" t="s">
        <v>3990</v>
      </c>
      <c r="B96" t="s">
        <v>4110</v>
      </c>
      <c r="C96">
        <v>10</v>
      </c>
      <c r="D96" t="s">
        <v>1433</v>
      </c>
      <c r="E96" t="s">
        <v>1421</v>
      </c>
      <c r="F96" s="122" t="s">
        <v>1445</v>
      </c>
      <c r="G96" s="122" t="s">
        <v>1446</v>
      </c>
      <c r="H96" s="122" t="s">
        <v>4126</v>
      </c>
      <c r="I96">
        <v>28942</v>
      </c>
      <c r="J96">
        <v>3</v>
      </c>
      <c r="K96" s="122" t="s">
        <v>4127</v>
      </c>
      <c r="L96">
        <v>8000</v>
      </c>
    </row>
    <row r="97" spans="1:12" ht="64" x14ac:dyDescent="0.2">
      <c r="A97" t="s">
        <v>3990</v>
      </c>
      <c r="B97" t="s">
        <v>4110</v>
      </c>
      <c r="C97">
        <v>11</v>
      </c>
      <c r="D97" t="s">
        <v>1433</v>
      </c>
      <c r="E97" t="s">
        <v>1447</v>
      </c>
      <c r="F97" s="122" t="s">
        <v>1448</v>
      </c>
      <c r="G97" s="122" t="s">
        <v>4011</v>
      </c>
      <c r="H97" s="122" t="s">
        <v>4012</v>
      </c>
      <c r="I97">
        <v>31899</v>
      </c>
      <c r="J97">
        <v>3</v>
      </c>
      <c r="K97" s="122" t="s">
        <v>4013</v>
      </c>
      <c r="L97">
        <v>8000</v>
      </c>
    </row>
    <row r="98" spans="1:12" ht="64" x14ac:dyDescent="0.2">
      <c r="A98" t="s">
        <v>3990</v>
      </c>
      <c r="B98" t="s">
        <v>4110</v>
      </c>
      <c r="C98">
        <v>12</v>
      </c>
      <c r="D98" t="s">
        <v>1433</v>
      </c>
      <c r="E98" t="s">
        <v>1434</v>
      </c>
      <c r="F98" s="122" t="s">
        <v>1450</v>
      </c>
      <c r="G98" s="196">
        <v>16881928.100000001</v>
      </c>
      <c r="H98" s="122" t="s">
        <v>4128</v>
      </c>
      <c r="I98">
        <v>29453</v>
      </c>
      <c r="J98">
        <v>3</v>
      </c>
      <c r="K98" s="122" t="s">
        <v>4129</v>
      </c>
      <c r="L98">
        <v>8000</v>
      </c>
    </row>
    <row r="99" spans="1:12" ht="32" x14ac:dyDescent="0.2">
      <c r="A99" t="s">
        <v>3990</v>
      </c>
      <c r="B99" t="s">
        <v>4110</v>
      </c>
      <c r="C99">
        <v>13</v>
      </c>
      <c r="D99" t="s">
        <v>1452</v>
      </c>
      <c r="E99" t="s">
        <v>1453</v>
      </c>
      <c r="F99" s="122" t="s">
        <v>1454</v>
      </c>
      <c r="G99" s="122">
        <v>19</v>
      </c>
      <c r="H99" s="122" t="s">
        <v>4130</v>
      </c>
    </row>
    <row r="100" spans="1:12" x14ac:dyDescent="0.2">
      <c r="A100" t="s">
        <v>1712</v>
      </c>
    </row>
    <row r="101" spans="1:12" x14ac:dyDescent="0.2">
      <c r="A101" t="s">
        <v>1713</v>
      </c>
    </row>
    <row r="102" spans="1:12" x14ac:dyDescent="0.2">
      <c r="A102" t="s">
        <v>4131</v>
      </c>
      <c r="B102" t="s">
        <v>4132</v>
      </c>
    </row>
    <row r="103" spans="1:12" x14ac:dyDescent="0.2">
      <c r="A103" t="s">
        <v>1715</v>
      </c>
    </row>
    <row r="104" spans="1:12" x14ac:dyDescent="0.2">
      <c r="A104" t="s">
        <v>1716</v>
      </c>
    </row>
    <row r="105" spans="1:12" x14ac:dyDescent="0.2">
      <c r="A105" t="s">
        <v>4133</v>
      </c>
      <c r="B105" t="s">
        <v>4132</v>
      </c>
    </row>
    <row r="106" spans="1:12" x14ac:dyDescent="0.2">
      <c r="A106" t="s">
        <v>1718</v>
      </c>
    </row>
    <row r="107" spans="1:12" x14ac:dyDescent="0.2">
      <c r="A107" t="s">
        <v>1719</v>
      </c>
    </row>
    <row r="108" spans="1:12" x14ac:dyDescent="0.2">
      <c r="A108" t="s">
        <v>4134</v>
      </c>
      <c r="B108" t="s">
        <v>4132</v>
      </c>
    </row>
    <row r="109" spans="1:12" x14ac:dyDescent="0.2">
      <c r="A109" t="s">
        <v>1721</v>
      </c>
    </row>
    <row r="110" spans="1:12" x14ac:dyDescent="0.2">
      <c r="A110" t="s">
        <v>1722</v>
      </c>
    </row>
    <row r="111" spans="1:12" x14ac:dyDescent="0.2">
      <c r="A111" t="s">
        <v>1723</v>
      </c>
    </row>
    <row r="112" spans="1:12" x14ac:dyDescent="0.2">
      <c r="A112" t="s">
        <v>1724</v>
      </c>
    </row>
    <row r="113" spans="1:8" x14ac:dyDescent="0.2">
      <c r="A113" t="s">
        <v>1725</v>
      </c>
    </row>
    <row r="114" spans="1:8" x14ac:dyDescent="0.2">
      <c r="A114" t="s">
        <v>4135</v>
      </c>
      <c r="B114" t="s">
        <v>4136</v>
      </c>
    </row>
    <row r="115" spans="1:8" x14ac:dyDescent="0.2">
      <c r="A115" t="s">
        <v>1727</v>
      </c>
    </row>
    <row r="116" spans="1:8" x14ac:dyDescent="0.2">
      <c r="A116" t="s">
        <v>1728</v>
      </c>
    </row>
    <row r="117" spans="1:8" x14ac:dyDescent="0.2">
      <c r="A117" t="s">
        <v>1729</v>
      </c>
    </row>
    <row r="118" spans="1:8" x14ac:dyDescent="0.2">
      <c r="A118" t="s">
        <v>1730</v>
      </c>
    </row>
    <row r="119" spans="1:8" x14ac:dyDescent="0.2">
      <c r="A119" t="s">
        <v>1731</v>
      </c>
    </row>
    <row r="120" spans="1:8" x14ac:dyDescent="0.2">
      <c r="A120" t="s">
        <v>1732</v>
      </c>
    </row>
    <row r="121" spans="1:8" x14ac:dyDescent="0.2">
      <c r="A121" t="s">
        <v>1733</v>
      </c>
    </row>
    <row r="122" spans="1:8" x14ac:dyDescent="0.2">
      <c r="A122" t="s">
        <v>1734</v>
      </c>
    </row>
    <row r="124" spans="1:8" x14ac:dyDescent="0.2">
      <c r="A124" t="s">
        <v>4137</v>
      </c>
      <c r="B124">
        <v>31839</v>
      </c>
      <c r="C124">
        <v>2</v>
      </c>
      <c r="D124" t="s">
        <v>4138</v>
      </c>
      <c r="E124">
        <v>8000</v>
      </c>
    </row>
    <row r="125" spans="1:8" ht="64" x14ac:dyDescent="0.2">
      <c r="A125" t="s">
        <v>3990</v>
      </c>
      <c r="B125" t="s">
        <v>4110</v>
      </c>
      <c r="C125">
        <v>14</v>
      </c>
      <c r="D125" t="s">
        <v>1452</v>
      </c>
      <c r="E125" t="s">
        <v>1453</v>
      </c>
      <c r="F125" s="122" t="s">
        <v>1455</v>
      </c>
      <c r="G125" s="122">
        <v>9</v>
      </c>
      <c r="H125" s="122" t="s">
        <v>4139</v>
      </c>
    </row>
    <row r="127" spans="1:8" x14ac:dyDescent="0.2">
      <c r="A127" t="s">
        <v>4140</v>
      </c>
      <c r="B127" t="s">
        <v>4020</v>
      </c>
      <c r="C127" t="s">
        <v>4021</v>
      </c>
    </row>
    <row r="128" spans="1:8" x14ac:dyDescent="0.2">
      <c r="A128" t="s">
        <v>4141</v>
      </c>
      <c r="B128" t="s">
        <v>4023</v>
      </c>
      <c r="C128" t="s">
        <v>4024</v>
      </c>
    </row>
    <row r="129" spans="1:12" ht="64" x14ac:dyDescent="0.2">
      <c r="A129" t="s">
        <v>4142</v>
      </c>
      <c r="B129" t="s">
        <v>4143</v>
      </c>
      <c r="C129" t="s">
        <v>4144</v>
      </c>
      <c r="D129">
        <v>26917</v>
      </c>
      <c r="E129">
        <v>2</v>
      </c>
      <c r="F129" s="122" t="s">
        <v>4145</v>
      </c>
      <c r="G129" s="122">
        <v>8000</v>
      </c>
    </row>
    <row r="130" spans="1:12" ht="48" x14ac:dyDescent="0.2">
      <c r="A130" t="s">
        <v>3990</v>
      </c>
      <c r="B130" t="s">
        <v>4110</v>
      </c>
      <c r="C130">
        <v>15</v>
      </c>
      <c r="D130" t="s">
        <v>1452</v>
      </c>
      <c r="E130" t="s">
        <v>1447</v>
      </c>
      <c r="F130" s="122" t="s">
        <v>1457</v>
      </c>
      <c r="G130" s="122">
        <v>50</v>
      </c>
      <c r="H130" s="122">
        <v>16</v>
      </c>
      <c r="I130">
        <v>31901</v>
      </c>
      <c r="J130">
        <v>0</v>
      </c>
      <c r="K130" s="122" t="s">
        <v>4146</v>
      </c>
      <c r="L130">
        <v>8000</v>
      </c>
    </row>
    <row r="131" spans="1:12" ht="64" x14ac:dyDescent="0.2">
      <c r="A131" t="s">
        <v>3990</v>
      </c>
      <c r="B131" t="s">
        <v>4110</v>
      </c>
      <c r="C131">
        <v>16</v>
      </c>
      <c r="D131" t="s">
        <v>1452</v>
      </c>
      <c r="E131" t="s">
        <v>1434</v>
      </c>
      <c r="F131" s="122" t="s">
        <v>1458</v>
      </c>
      <c r="G131" s="122" t="s">
        <v>1497</v>
      </c>
      <c r="H131" s="122" t="s">
        <v>4147</v>
      </c>
      <c r="I131">
        <v>29800</v>
      </c>
      <c r="J131">
        <v>0</v>
      </c>
      <c r="K131" s="122" t="s">
        <v>4148</v>
      </c>
      <c r="L131">
        <v>8000</v>
      </c>
    </row>
    <row r="132" spans="1:12" ht="64" x14ac:dyDescent="0.2">
      <c r="A132" t="s">
        <v>3990</v>
      </c>
      <c r="B132" t="s">
        <v>4110</v>
      </c>
      <c r="C132">
        <v>17</v>
      </c>
      <c r="D132" t="s">
        <v>1452</v>
      </c>
      <c r="E132" t="s">
        <v>1421</v>
      </c>
      <c r="F132" s="122" t="s">
        <v>1460</v>
      </c>
      <c r="G132" s="122" t="s">
        <v>1500</v>
      </c>
      <c r="H132" s="122" t="s">
        <v>4149</v>
      </c>
      <c r="I132">
        <v>29348</v>
      </c>
      <c r="J132">
        <v>3</v>
      </c>
      <c r="K132" s="122" t="s">
        <v>4150</v>
      </c>
      <c r="L132">
        <v>8000</v>
      </c>
    </row>
    <row r="133" spans="1:12" ht="64" x14ac:dyDescent="0.2">
      <c r="A133" t="s">
        <v>3990</v>
      </c>
      <c r="B133" t="s">
        <v>4110</v>
      </c>
      <c r="C133">
        <v>18</v>
      </c>
      <c r="D133" t="s">
        <v>1452</v>
      </c>
      <c r="E133" t="s">
        <v>1440</v>
      </c>
      <c r="F133" s="122" t="s">
        <v>1462</v>
      </c>
      <c r="G133" s="122" t="s">
        <v>1502</v>
      </c>
      <c r="H133" s="122" t="s">
        <v>4151</v>
      </c>
      <c r="I133">
        <v>31609</v>
      </c>
      <c r="J133">
        <v>0</v>
      </c>
      <c r="K133" s="122" t="s">
        <v>3997</v>
      </c>
      <c r="L133">
        <v>8000</v>
      </c>
    </row>
    <row r="134" spans="1:12" ht="80" x14ac:dyDescent="0.2">
      <c r="A134" t="s">
        <v>3990</v>
      </c>
      <c r="B134" t="s">
        <v>4110</v>
      </c>
      <c r="C134">
        <v>19</v>
      </c>
      <c r="D134" t="s">
        <v>1452</v>
      </c>
      <c r="E134" t="s">
        <v>1464</v>
      </c>
      <c r="F134" s="122" t="s">
        <v>1465</v>
      </c>
      <c r="G134" s="122" t="s">
        <v>1503</v>
      </c>
      <c r="H134" s="122" t="s">
        <v>4152</v>
      </c>
      <c r="I134">
        <v>29254</v>
      </c>
      <c r="J134">
        <v>0</v>
      </c>
      <c r="K134" s="122" t="s">
        <v>4043</v>
      </c>
      <c r="L134">
        <v>8000</v>
      </c>
    </row>
    <row r="135" spans="1:12" ht="128" x14ac:dyDescent="0.2">
      <c r="A135" t="s">
        <v>3990</v>
      </c>
      <c r="B135" t="s">
        <v>4110</v>
      </c>
      <c r="C135">
        <v>20</v>
      </c>
      <c r="D135" t="s">
        <v>1452</v>
      </c>
      <c r="E135" t="s">
        <v>1464</v>
      </c>
      <c r="F135" s="122" t="s">
        <v>1467</v>
      </c>
      <c r="G135" s="122" t="s">
        <v>1513</v>
      </c>
      <c r="H135" s="122" t="s">
        <v>4153</v>
      </c>
      <c r="I135">
        <v>31914</v>
      </c>
      <c r="J135">
        <v>0</v>
      </c>
      <c r="K135" s="122" t="s">
        <v>4154</v>
      </c>
      <c r="L135">
        <v>8000</v>
      </c>
    </row>
    <row r="136" spans="1:12" ht="64" x14ac:dyDescent="0.2">
      <c r="A136" t="s">
        <v>3990</v>
      </c>
      <c r="B136" t="s">
        <v>4155</v>
      </c>
      <c r="C136">
        <v>1</v>
      </c>
      <c r="D136" t="s">
        <v>1420</v>
      </c>
      <c r="E136" t="s">
        <v>1421</v>
      </c>
      <c r="F136" s="122" t="s">
        <v>1422</v>
      </c>
      <c r="G136" s="122" t="s">
        <v>1423</v>
      </c>
      <c r="H136" s="122" t="s">
        <v>4047</v>
      </c>
      <c r="I136">
        <v>31863</v>
      </c>
      <c r="J136">
        <v>0</v>
      </c>
      <c r="K136" s="122" t="s">
        <v>4092</v>
      </c>
      <c r="L136">
        <v>8000</v>
      </c>
    </row>
    <row r="137" spans="1:12" ht="64" x14ac:dyDescent="0.2">
      <c r="A137" t="s">
        <v>3990</v>
      </c>
      <c r="B137" t="s">
        <v>4155</v>
      </c>
      <c r="C137">
        <v>2</v>
      </c>
      <c r="D137" t="s">
        <v>1420</v>
      </c>
      <c r="E137" t="s">
        <v>1421</v>
      </c>
      <c r="F137" s="122" t="s">
        <v>1425</v>
      </c>
      <c r="G137" s="122">
        <v>8</v>
      </c>
      <c r="H137" s="122" t="s">
        <v>4049</v>
      </c>
      <c r="I137">
        <v>31863</v>
      </c>
      <c r="J137">
        <v>0</v>
      </c>
      <c r="K137" s="122" t="s">
        <v>4156</v>
      </c>
      <c r="L137">
        <v>8000</v>
      </c>
    </row>
    <row r="138" spans="1:12" ht="112" x14ac:dyDescent="0.2">
      <c r="A138" t="s">
        <v>3990</v>
      </c>
      <c r="B138" t="s">
        <v>4155</v>
      </c>
      <c r="C138">
        <v>3</v>
      </c>
      <c r="D138" t="s">
        <v>1420</v>
      </c>
      <c r="E138" t="s">
        <v>1421</v>
      </c>
      <c r="F138" s="122" t="s">
        <v>1427</v>
      </c>
      <c r="G138" s="122" t="s">
        <v>1428</v>
      </c>
      <c r="H138" s="122" t="s">
        <v>4157</v>
      </c>
      <c r="I138">
        <v>31863</v>
      </c>
      <c r="J138">
        <v>3</v>
      </c>
      <c r="K138" s="122" t="s">
        <v>4158</v>
      </c>
      <c r="L138">
        <v>8000</v>
      </c>
    </row>
    <row r="139" spans="1:12" ht="64" x14ac:dyDescent="0.2">
      <c r="A139" t="s">
        <v>3990</v>
      </c>
      <c r="B139" t="s">
        <v>4155</v>
      </c>
      <c r="C139">
        <v>4</v>
      </c>
      <c r="D139" t="s">
        <v>1420</v>
      </c>
      <c r="E139" t="s">
        <v>1429</v>
      </c>
      <c r="F139" s="122" t="s">
        <v>1430</v>
      </c>
      <c r="G139" s="122">
        <v>88</v>
      </c>
      <c r="H139" s="122">
        <v>13</v>
      </c>
      <c r="I139">
        <v>31863</v>
      </c>
      <c r="J139">
        <v>2</v>
      </c>
      <c r="K139" s="122" t="s">
        <v>4159</v>
      </c>
      <c r="L139">
        <v>8000</v>
      </c>
    </row>
    <row r="140" spans="1:12" ht="48" x14ac:dyDescent="0.2">
      <c r="A140" t="s">
        <v>3990</v>
      </c>
      <c r="B140" t="s">
        <v>4155</v>
      </c>
      <c r="C140">
        <v>5</v>
      </c>
      <c r="D140" t="s">
        <v>1420</v>
      </c>
      <c r="E140" t="s">
        <v>1421</v>
      </c>
      <c r="F140" s="122" t="s">
        <v>1431</v>
      </c>
      <c r="G140" s="122" t="s">
        <v>1432</v>
      </c>
      <c r="H140" s="122" t="s">
        <v>4053</v>
      </c>
      <c r="I140">
        <v>31863</v>
      </c>
      <c r="J140">
        <v>3</v>
      </c>
      <c r="K140" s="122" t="s">
        <v>4160</v>
      </c>
      <c r="L140">
        <v>8000</v>
      </c>
    </row>
    <row r="141" spans="1:12" ht="64" x14ac:dyDescent="0.2">
      <c r="A141" t="s">
        <v>3990</v>
      </c>
      <c r="B141" t="s">
        <v>4155</v>
      </c>
      <c r="C141">
        <v>6</v>
      </c>
      <c r="D141" t="s">
        <v>1433</v>
      </c>
      <c r="E141" t="s">
        <v>1434</v>
      </c>
      <c r="F141" s="122" t="s">
        <v>1435</v>
      </c>
      <c r="G141" s="122" t="s">
        <v>1436</v>
      </c>
      <c r="H141" s="122" t="s">
        <v>4055</v>
      </c>
      <c r="I141">
        <v>31863</v>
      </c>
      <c r="J141">
        <v>0</v>
      </c>
      <c r="K141" s="122" t="s">
        <v>4056</v>
      </c>
      <c r="L141">
        <v>8000</v>
      </c>
    </row>
    <row r="142" spans="1:12" ht="80" x14ac:dyDescent="0.2">
      <c r="A142" t="s">
        <v>3990</v>
      </c>
      <c r="B142" t="s">
        <v>4155</v>
      </c>
      <c r="C142">
        <v>7</v>
      </c>
      <c r="D142" t="s">
        <v>1433</v>
      </c>
      <c r="E142" t="s">
        <v>1434</v>
      </c>
      <c r="F142" s="122" t="s">
        <v>1438</v>
      </c>
      <c r="G142" s="122" t="s">
        <v>1469</v>
      </c>
      <c r="H142" s="122" t="s">
        <v>4161</v>
      </c>
      <c r="I142">
        <v>31863</v>
      </c>
      <c r="J142">
        <v>0</v>
      </c>
      <c r="K142" s="122" t="s">
        <v>4162</v>
      </c>
      <c r="L142">
        <v>8000</v>
      </c>
    </row>
    <row r="143" spans="1:12" ht="80" x14ac:dyDescent="0.2">
      <c r="A143" t="s">
        <v>3990</v>
      </c>
      <c r="B143" t="s">
        <v>4155</v>
      </c>
      <c r="C143">
        <v>8</v>
      </c>
      <c r="D143" t="s">
        <v>1433</v>
      </c>
      <c r="E143" t="s">
        <v>1440</v>
      </c>
      <c r="F143" s="122" t="s">
        <v>1441</v>
      </c>
      <c r="G143" s="122" t="s">
        <v>1470</v>
      </c>
      <c r="H143" s="122" t="s">
        <v>4059</v>
      </c>
      <c r="I143">
        <v>31863</v>
      </c>
      <c r="J143">
        <v>0</v>
      </c>
      <c r="K143" s="122" t="s">
        <v>4163</v>
      </c>
      <c r="L143">
        <v>8000</v>
      </c>
    </row>
    <row r="144" spans="1:12" ht="112" x14ac:dyDescent="0.2">
      <c r="A144" t="s">
        <v>3990</v>
      </c>
      <c r="B144" t="s">
        <v>4155</v>
      </c>
      <c r="C144">
        <v>9</v>
      </c>
      <c r="D144" t="s">
        <v>1433</v>
      </c>
      <c r="E144" t="s">
        <v>1440</v>
      </c>
      <c r="F144" s="122" t="s">
        <v>1443</v>
      </c>
      <c r="G144" s="122" t="s">
        <v>1477</v>
      </c>
      <c r="H144" s="122" t="s">
        <v>4164</v>
      </c>
      <c r="I144">
        <v>31863</v>
      </c>
      <c r="J144">
        <v>0</v>
      </c>
      <c r="K144" s="122" t="s">
        <v>4165</v>
      </c>
      <c r="L144">
        <v>8000</v>
      </c>
    </row>
    <row r="145" spans="1:12" ht="112" x14ac:dyDescent="0.2">
      <c r="A145" t="s">
        <v>3990</v>
      </c>
      <c r="B145" t="s">
        <v>4155</v>
      </c>
      <c r="C145">
        <v>10</v>
      </c>
      <c r="D145" t="s">
        <v>1433</v>
      </c>
      <c r="E145" t="s">
        <v>1421</v>
      </c>
      <c r="F145" s="122" t="s">
        <v>1445</v>
      </c>
      <c r="G145" s="122" t="s">
        <v>1446</v>
      </c>
      <c r="H145" s="122" t="s">
        <v>4087</v>
      </c>
      <c r="I145">
        <v>31863</v>
      </c>
      <c r="J145">
        <v>0</v>
      </c>
      <c r="K145" s="122" t="s">
        <v>4088</v>
      </c>
      <c r="L145">
        <v>8000</v>
      </c>
    </row>
    <row r="146" spans="1:12" ht="96" x14ac:dyDescent="0.2">
      <c r="A146" t="s">
        <v>3990</v>
      </c>
      <c r="B146" t="s">
        <v>4155</v>
      </c>
      <c r="C146">
        <v>11</v>
      </c>
      <c r="D146" t="s">
        <v>1433</v>
      </c>
      <c r="E146" t="s">
        <v>1447</v>
      </c>
      <c r="F146" s="122" t="s">
        <v>1448</v>
      </c>
      <c r="G146" s="122" t="s">
        <v>4011</v>
      </c>
      <c r="H146" s="122" t="s">
        <v>4166</v>
      </c>
      <c r="I146">
        <v>31863</v>
      </c>
      <c r="J146">
        <v>0</v>
      </c>
      <c r="K146" s="122" t="s">
        <v>4167</v>
      </c>
      <c r="L146">
        <v>8000</v>
      </c>
    </row>
    <row r="147" spans="1:12" ht="64" x14ac:dyDescent="0.2">
      <c r="A147" t="s">
        <v>3990</v>
      </c>
      <c r="B147" t="s">
        <v>4155</v>
      </c>
      <c r="C147">
        <v>12</v>
      </c>
      <c r="D147" t="s">
        <v>1433</v>
      </c>
      <c r="E147" t="s">
        <v>1434</v>
      </c>
      <c r="F147" s="122" t="s">
        <v>1450</v>
      </c>
      <c r="G147" s="196">
        <v>16881928.100000001</v>
      </c>
      <c r="H147" s="122" t="s">
        <v>4091</v>
      </c>
      <c r="I147">
        <v>31863</v>
      </c>
      <c r="J147">
        <v>0</v>
      </c>
      <c r="K147" s="122" t="s">
        <v>4168</v>
      </c>
      <c r="L147">
        <v>8000</v>
      </c>
    </row>
    <row r="148" spans="1:12" ht="160" x14ac:dyDescent="0.2">
      <c r="A148" t="s">
        <v>3990</v>
      </c>
      <c r="B148" t="s">
        <v>4155</v>
      </c>
      <c r="C148">
        <v>13</v>
      </c>
      <c r="D148" t="s">
        <v>1452</v>
      </c>
      <c r="E148" t="s">
        <v>1453</v>
      </c>
      <c r="F148" s="122" t="s">
        <v>1454</v>
      </c>
      <c r="G148" s="122">
        <v>19</v>
      </c>
      <c r="H148" s="122" t="s">
        <v>4169</v>
      </c>
      <c r="I148">
        <v>31863</v>
      </c>
      <c r="J148">
        <v>2</v>
      </c>
      <c r="K148" s="122" t="s">
        <v>4170</v>
      </c>
      <c r="L148">
        <v>8000</v>
      </c>
    </row>
    <row r="149" spans="1:12" ht="48" x14ac:dyDescent="0.2">
      <c r="A149" t="s">
        <v>3990</v>
      </c>
      <c r="B149" t="s">
        <v>4155</v>
      </c>
      <c r="C149">
        <v>14</v>
      </c>
      <c r="D149" t="s">
        <v>1452</v>
      </c>
      <c r="E149" t="s">
        <v>1453</v>
      </c>
      <c r="F149" s="122" t="s">
        <v>1455</v>
      </c>
      <c r="G149" s="122">
        <v>9</v>
      </c>
      <c r="H149" s="122">
        <v>0</v>
      </c>
      <c r="I149">
        <v>31863</v>
      </c>
      <c r="J149">
        <v>0</v>
      </c>
      <c r="K149" s="122" t="s">
        <v>4095</v>
      </c>
      <c r="L149">
        <v>8000</v>
      </c>
    </row>
    <row r="150" spans="1:12" ht="48" x14ac:dyDescent="0.2">
      <c r="A150" t="s">
        <v>3990</v>
      </c>
      <c r="B150" t="s">
        <v>4155</v>
      </c>
      <c r="C150">
        <v>15</v>
      </c>
      <c r="D150" t="s">
        <v>1452</v>
      </c>
      <c r="E150" t="s">
        <v>1447</v>
      </c>
      <c r="F150" s="122" t="s">
        <v>1457</v>
      </c>
      <c r="G150" s="122">
        <v>50</v>
      </c>
      <c r="H150" s="122">
        <v>0</v>
      </c>
      <c r="I150">
        <v>31863</v>
      </c>
      <c r="J150">
        <v>0</v>
      </c>
      <c r="K150" s="122" t="s">
        <v>4171</v>
      </c>
      <c r="L150">
        <v>8000</v>
      </c>
    </row>
    <row r="151" spans="1:12" ht="96" x14ac:dyDescent="0.2">
      <c r="A151" t="s">
        <v>3990</v>
      </c>
      <c r="B151" t="s">
        <v>4155</v>
      </c>
      <c r="C151">
        <v>16</v>
      </c>
      <c r="D151" t="s">
        <v>1452</v>
      </c>
      <c r="E151" t="s">
        <v>1434</v>
      </c>
      <c r="F151" s="122" t="s">
        <v>1458</v>
      </c>
      <c r="G151" s="122" t="s">
        <v>1497</v>
      </c>
      <c r="H151" s="122" t="s">
        <v>4172</v>
      </c>
      <c r="I151">
        <v>31863</v>
      </c>
      <c r="J151">
        <v>0</v>
      </c>
      <c r="K151" s="122" t="s">
        <v>4173</v>
      </c>
      <c r="L151">
        <v>8000</v>
      </c>
    </row>
    <row r="152" spans="1:12" ht="48" x14ac:dyDescent="0.2">
      <c r="A152" t="s">
        <v>3990</v>
      </c>
      <c r="B152" t="s">
        <v>4155</v>
      </c>
      <c r="C152">
        <v>17</v>
      </c>
      <c r="D152" t="s">
        <v>1452</v>
      </c>
      <c r="E152" t="s">
        <v>1421</v>
      </c>
      <c r="F152" s="122" t="s">
        <v>1460</v>
      </c>
      <c r="G152" s="122" t="s">
        <v>1500</v>
      </c>
      <c r="H152" s="122" t="s">
        <v>4174</v>
      </c>
      <c r="I152">
        <v>31863</v>
      </c>
      <c r="J152">
        <v>0</v>
      </c>
      <c r="K152" s="122" t="s">
        <v>4101</v>
      </c>
      <c r="L152">
        <v>8000</v>
      </c>
    </row>
    <row r="153" spans="1:12" ht="64" x14ac:dyDescent="0.2">
      <c r="A153" t="s">
        <v>3990</v>
      </c>
      <c r="B153" t="s">
        <v>4155</v>
      </c>
      <c r="C153">
        <v>18</v>
      </c>
      <c r="D153" t="s">
        <v>1452</v>
      </c>
      <c r="E153" t="s">
        <v>1440</v>
      </c>
      <c r="F153" s="122" t="s">
        <v>1462</v>
      </c>
      <c r="G153" s="122" t="s">
        <v>1502</v>
      </c>
      <c r="H153" s="122" t="s">
        <v>4102</v>
      </c>
      <c r="I153">
        <v>31863</v>
      </c>
      <c r="J153">
        <v>0</v>
      </c>
      <c r="K153" s="122" t="s">
        <v>4041</v>
      </c>
      <c r="L153">
        <v>8000</v>
      </c>
    </row>
    <row r="154" spans="1:12" ht="48" x14ac:dyDescent="0.2">
      <c r="A154" t="s">
        <v>3990</v>
      </c>
      <c r="B154" t="s">
        <v>4155</v>
      </c>
      <c r="C154">
        <v>19</v>
      </c>
      <c r="D154" t="s">
        <v>1452</v>
      </c>
      <c r="E154" t="s">
        <v>1464</v>
      </c>
      <c r="F154" s="122" t="s">
        <v>1465</v>
      </c>
      <c r="G154" s="122" t="s">
        <v>1503</v>
      </c>
      <c r="H154" s="122" t="s">
        <v>4175</v>
      </c>
    </row>
    <row r="155" spans="1:12" x14ac:dyDescent="0.2">
      <c r="A155" t="s">
        <v>4176</v>
      </c>
      <c r="B155">
        <v>31863</v>
      </c>
      <c r="C155">
        <v>0</v>
      </c>
      <c r="D155" t="s">
        <v>4177</v>
      </c>
      <c r="E155">
        <v>8000</v>
      </c>
    </row>
    <row r="156" spans="1:12" ht="128" x14ac:dyDescent="0.2">
      <c r="A156" t="s">
        <v>3990</v>
      </c>
      <c r="B156" t="s">
        <v>4155</v>
      </c>
      <c r="C156">
        <v>20</v>
      </c>
      <c r="D156" t="s">
        <v>1452</v>
      </c>
      <c r="E156" t="s">
        <v>1464</v>
      </c>
      <c r="F156" s="122" t="s">
        <v>1467</v>
      </c>
      <c r="G156" s="122" t="s">
        <v>1513</v>
      </c>
      <c r="H156" s="122" t="s">
        <v>4178</v>
      </c>
    </row>
    <row r="157" spans="1:12" x14ac:dyDescent="0.2">
      <c r="A157" t="s">
        <v>4179</v>
      </c>
      <c r="B157">
        <v>134</v>
      </c>
      <c r="C157" t="s">
        <v>4180</v>
      </c>
    </row>
    <row r="158" spans="1:12" x14ac:dyDescent="0.2">
      <c r="A158" t="s">
        <v>4181</v>
      </c>
      <c r="B158" t="s">
        <v>4182</v>
      </c>
      <c r="C158">
        <v>31863</v>
      </c>
      <c r="D158">
        <v>1</v>
      </c>
      <c r="E158" t="s">
        <v>4183</v>
      </c>
      <c r="F158" s="122">
        <v>8000</v>
      </c>
    </row>
    <row r="159" spans="1:12" ht="64" x14ac:dyDescent="0.2">
      <c r="A159" t="s">
        <v>3990</v>
      </c>
      <c r="B159" t="s">
        <v>4184</v>
      </c>
      <c r="C159">
        <v>1</v>
      </c>
      <c r="D159" t="s">
        <v>1420</v>
      </c>
      <c r="E159" t="s">
        <v>1421</v>
      </c>
      <c r="F159" s="122" t="s">
        <v>1422</v>
      </c>
      <c r="G159" s="122" t="s">
        <v>1423</v>
      </c>
      <c r="H159" s="122" t="s">
        <v>4111</v>
      </c>
      <c r="I159">
        <v>32265</v>
      </c>
      <c r="J159">
        <v>0</v>
      </c>
      <c r="K159" s="122" t="s">
        <v>4092</v>
      </c>
      <c r="L159">
        <v>16000</v>
      </c>
    </row>
    <row r="160" spans="1:12" ht="64" x14ac:dyDescent="0.2">
      <c r="A160" t="s">
        <v>3990</v>
      </c>
      <c r="B160" t="s">
        <v>4184</v>
      </c>
      <c r="C160">
        <v>2</v>
      </c>
      <c r="D160" t="s">
        <v>1420</v>
      </c>
      <c r="E160" t="s">
        <v>1421</v>
      </c>
      <c r="F160" s="122" t="s">
        <v>1425</v>
      </c>
      <c r="G160" s="122">
        <v>8</v>
      </c>
      <c r="H160" s="122" t="s">
        <v>4185</v>
      </c>
    </row>
    <row r="161" spans="1:12" x14ac:dyDescent="0.2">
      <c r="A161" t="s">
        <v>1688</v>
      </c>
    </row>
    <row r="162" spans="1:12" x14ac:dyDescent="0.2">
      <c r="A162" t="s">
        <v>1689</v>
      </c>
    </row>
    <row r="163" spans="1:12" x14ac:dyDescent="0.2">
      <c r="A163" t="s">
        <v>1816</v>
      </c>
    </row>
    <row r="164" spans="1:12" x14ac:dyDescent="0.2">
      <c r="A164" t="s">
        <v>1817</v>
      </c>
    </row>
    <row r="165" spans="1:12" x14ac:dyDescent="0.2">
      <c r="A165" t="s">
        <v>1818</v>
      </c>
    </row>
    <row r="166" spans="1:12" x14ac:dyDescent="0.2">
      <c r="A166" t="s">
        <v>4186</v>
      </c>
      <c r="B166">
        <v>44203</v>
      </c>
      <c r="C166">
        <v>2</v>
      </c>
      <c r="D166" t="s">
        <v>4187</v>
      </c>
      <c r="E166">
        <v>16000</v>
      </c>
    </row>
    <row r="167" spans="1:12" ht="112" x14ac:dyDescent="0.2">
      <c r="A167" t="s">
        <v>3990</v>
      </c>
      <c r="B167" t="s">
        <v>4184</v>
      </c>
      <c r="C167">
        <v>3</v>
      </c>
      <c r="D167" t="s">
        <v>1420</v>
      </c>
      <c r="E167" t="s">
        <v>1421</v>
      </c>
      <c r="F167" s="122" t="s">
        <v>1427</v>
      </c>
      <c r="G167" s="122" t="s">
        <v>1428</v>
      </c>
      <c r="H167" s="122" t="s">
        <v>4116</v>
      </c>
      <c r="I167">
        <v>28496</v>
      </c>
      <c r="J167">
        <v>0</v>
      </c>
      <c r="K167" s="122" t="s">
        <v>3997</v>
      </c>
      <c r="L167">
        <v>16000</v>
      </c>
    </row>
    <row r="168" spans="1:12" ht="80" x14ac:dyDescent="0.2">
      <c r="A168" t="s">
        <v>3990</v>
      </c>
      <c r="B168" t="s">
        <v>4184</v>
      </c>
      <c r="C168">
        <v>4</v>
      </c>
      <c r="D168" t="s">
        <v>1420</v>
      </c>
      <c r="E168" t="s">
        <v>1429</v>
      </c>
      <c r="F168" s="122" t="s">
        <v>1430</v>
      </c>
      <c r="G168" s="122">
        <v>88</v>
      </c>
      <c r="H168" s="122" t="s">
        <v>4117</v>
      </c>
      <c r="I168">
        <v>29451</v>
      </c>
      <c r="J168">
        <v>3</v>
      </c>
      <c r="K168" s="122" t="s">
        <v>4188</v>
      </c>
      <c r="L168">
        <v>16000</v>
      </c>
    </row>
    <row r="169" spans="1:12" ht="64" x14ac:dyDescent="0.2">
      <c r="A169" t="s">
        <v>3990</v>
      </c>
      <c r="B169" t="s">
        <v>4184</v>
      </c>
      <c r="C169">
        <v>5</v>
      </c>
      <c r="D169" t="s">
        <v>1420</v>
      </c>
      <c r="E169" t="s">
        <v>1421</v>
      </c>
      <c r="F169" s="122" t="s">
        <v>1431</v>
      </c>
      <c r="G169" s="122" t="s">
        <v>1432</v>
      </c>
      <c r="H169" s="122" t="s">
        <v>3999</v>
      </c>
      <c r="I169">
        <v>27738</v>
      </c>
      <c r="J169">
        <v>3</v>
      </c>
      <c r="K169" s="122" t="s">
        <v>4189</v>
      </c>
      <c r="L169">
        <v>16000</v>
      </c>
    </row>
    <row r="170" spans="1:12" ht="80" x14ac:dyDescent="0.2">
      <c r="A170" t="s">
        <v>3990</v>
      </c>
      <c r="B170" t="s">
        <v>4184</v>
      </c>
      <c r="C170">
        <v>6</v>
      </c>
      <c r="D170" t="s">
        <v>1433</v>
      </c>
      <c r="E170" t="s">
        <v>1434</v>
      </c>
      <c r="F170" s="122" t="s">
        <v>1435</v>
      </c>
      <c r="G170" s="122" t="s">
        <v>1436</v>
      </c>
      <c r="H170" s="122" t="s">
        <v>4120</v>
      </c>
      <c r="I170">
        <v>32711</v>
      </c>
      <c r="J170">
        <v>3</v>
      </c>
      <c r="K170" s="122" t="s">
        <v>4190</v>
      </c>
      <c r="L170">
        <v>16000</v>
      </c>
    </row>
    <row r="171" spans="1:12" ht="64" x14ac:dyDescent="0.2">
      <c r="A171" t="s">
        <v>3990</v>
      </c>
      <c r="B171" t="s">
        <v>4184</v>
      </c>
      <c r="C171">
        <v>7</v>
      </c>
      <c r="D171" t="s">
        <v>1433</v>
      </c>
      <c r="E171" t="s">
        <v>1434</v>
      </c>
      <c r="F171" s="122" t="s">
        <v>1438</v>
      </c>
      <c r="G171" s="122" t="s">
        <v>1469</v>
      </c>
      <c r="H171" s="122" t="s">
        <v>4003</v>
      </c>
      <c r="I171">
        <v>26064</v>
      </c>
      <c r="J171">
        <v>0</v>
      </c>
      <c r="K171" s="122" t="s">
        <v>4191</v>
      </c>
      <c r="L171">
        <v>16000</v>
      </c>
    </row>
    <row r="172" spans="1:12" ht="160" x14ac:dyDescent="0.2">
      <c r="A172" t="s">
        <v>3990</v>
      </c>
      <c r="B172" t="s">
        <v>4184</v>
      </c>
      <c r="C172">
        <v>8</v>
      </c>
      <c r="D172" t="s">
        <v>1433</v>
      </c>
      <c r="E172" t="s">
        <v>1440</v>
      </c>
      <c r="F172" s="122" t="s">
        <v>1441</v>
      </c>
      <c r="G172" s="122" t="s">
        <v>1470</v>
      </c>
      <c r="H172" s="122" t="s">
        <v>4122</v>
      </c>
      <c r="I172">
        <v>41486</v>
      </c>
      <c r="J172">
        <v>3</v>
      </c>
      <c r="K172" s="122" t="s">
        <v>4123</v>
      </c>
      <c r="L172">
        <v>16000</v>
      </c>
    </row>
    <row r="173" spans="1:12" ht="112" x14ac:dyDescent="0.2">
      <c r="A173" t="s">
        <v>3990</v>
      </c>
      <c r="B173" t="s">
        <v>4184</v>
      </c>
      <c r="C173">
        <v>9</v>
      </c>
      <c r="D173" t="s">
        <v>1433</v>
      </c>
      <c r="E173" t="s">
        <v>1440</v>
      </c>
      <c r="F173" s="122" t="s">
        <v>1443</v>
      </c>
      <c r="G173" s="122" t="s">
        <v>1477</v>
      </c>
      <c r="H173" s="122" t="s">
        <v>4124</v>
      </c>
      <c r="I173">
        <v>26225</v>
      </c>
      <c r="J173">
        <v>0</v>
      </c>
      <c r="K173" s="122" t="s">
        <v>4125</v>
      </c>
      <c r="L173">
        <v>16000</v>
      </c>
    </row>
    <row r="174" spans="1:12" ht="80" x14ac:dyDescent="0.2">
      <c r="A174" t="s">
        <v>3990</v>
      </c>
      <c r="B174" t="s">
        <v>4184</v>
      </c>
      <c r="C174">
        <v>10</v>
      </c>
      <c r="D174" t="s">
        <v>1433</v>
      </c>
      <c r="E174" t="s">
        <v>1421</v>
      </c>
      <c r="F174" s="122" t="s">
        <v>1445</v>
      </c>
      <c r="G174" s="122" t="s">
        <v>1446</v>
      </c>
      <c r="H174" s="122" t="s">
        <v>4192</v>
      </c>
      <c r="I174">
        <v>28942</v>
      </c>
      <c r="J174">
        <v>3</v>
      </c>
      <c r="K174" s="122" t="s">
        <v>4193</v>
      </c>
      <c r="L174">
        <v>16000</v>
      </c>
    </row>
    <row r="175" spans="1:12" ht="64" x14ac:dyDescent="0.2">
      <c r="A175" t="s">
        <v>3990</v>
      </c>
      <c r="B175" t="s">
        <v>4184</v>
      </c>
      <c r="C175">
        <v>11</v>
      </c>
      <c r="D175" t="s">
        <v>1433</v>
      </c>
      <c r="E175" t="s">
        <v>1447</v>
      </c>
      <c r="F175" s="122" t="s">
        <v>1448</v>
      </c>
      <c r="G175" s="122" t="s">
        <v>4011</v>
      </c>
      <c r="H175" s="122" t="s">
        <v>4012</v>
      </c>
      <c r="I175">
        <v>34521</v>
      </c>
      <c r="J175">
        <v>3</v>
      </c>
      <c r="K175" s="122" t="s">
        <v>4194</v>
      </c>
      <c r="L175">
        <v>16000</v>
      </c>
    </row>
    <row r="176" spans="1:12" ht="80" x14ac:dyDescent="0.2">
      <c r="A176" t="s">
        <v>3990</v>
      </c>
      <c r="B176" t="s">
        <v>4184</v>
      </c>
      <c r="C176">
        <v>12</v>
      </c>
      <c r="D176" t="s">
        <v>1433</v>
      </c>
      <c r="E176" t="s">
        <v>1434</v>
      </c>
      <c r="F176" s="122" t="s">
        <v>1450</v>
      </c>
      <c r="G176" s="196">
        <v>16881928.100000001</v>
      </c>
      <c r="H176" s="122" t="s">
        <v>4128</v>
      </c>
      <c r="I176">
        <v>29453</v>
      </c>
      <c r="J176">
        <v>3</v>
      </c>
      <c r="K176" s="122" t="s">
        <v>4195</v>
      </c>
      <c r="L176">
        <v>16000</v>
      </c>
    </row>
    <row r="177" spans="1:8" ht="48" x14ac:dyDescent="0.2">
      <c r="A177" t="s">
        <v>3990</v>
      </c>
      <c r="B177" t="s">
        <v>4184</v>
      </c>
      <c r="C177">
        <v>13</v>
      </c>
      <c r="D177" t="s">
        <v>1452</v>
      </c>
      <c r="E177" t="s">
        <v>1453</v>
      </c>
      <c r="F177" s="122" t="s">
        <v>1454</v>
      </c>
      <c r="G177" s="122">
        <v>19</v>
      </c>
      <c r="H177" s="122" t="s">
        <v>4196</v>
      </c>
    </row>
    <row r="179" spans="1:8" x14ac:dyDescent="0.2">
      <c r="A179" t="s">
        <v>1712</v>
      </c>
    </row>
    <row r="180" spans="1:8" x14ac:dyDescent="0.2">
      <c r="A180" t="s">
        <v>1713</v>
      </c>
    </row>
    <row r="181" spans="1:8" x14ac:dyDescent="0.2">
      <c r="A181" t="s">
        <v>4131</v>
      </c>
      <c r="B181" t="s">
        <v>4132</v>
      </c>
    </row>
    <row r="182" spans="1:8" x14ac:dyDescent="0.2">
      <c r="A182" t="s">
        <v>1715</v>
      </c>
    </row>
    <row r="183" spans="1:8" x14ac:dyDescent="0.2">
      <c r="A183" t="s">
        <v>1716</v>
      </c>
    </row>
    <row r="184" spans="1:8" x14ac:dyDescent="0.2">
      <c r="A184" t="s">
        <v>4133</v>
      </c>
      <c r="B184" t="s">
        <v>4132</v>
      </c>
    </row>
    <row r="185" spans="1:8" x14ac:dyDescent="0.2">
      <c r="A185" t="s">
        <v>1718</v>
      </c>
    </row>
    <row r="186" spans="1:8" x14ac:dyDescent="0.2">
      <c r="A186" t="s">
        <v>1719</v>
      </c>
    </row>
    <row r="187" spans="1:8" x14ac:dyDescent="0.2">
      <c r="A187" t="s">
        <v>4134</v>
      </c>
      <c r="B187" t="s">
        <v>4132</v>
      </c>
    </row>
    <row r="188" spans="1:8" x14ac:dyDescent="0.2">
      <c r="A188" t="s">
        <v>1721</v>
      </c>
    </row>
    <row r="189" spans="1:8" x14ac:dyDescent="0.2">
      <c r="A189" t="s">
        <v>1722</v>
      </c>
    </row>
    <row r="190" spans="1:8" x14ac:dyDescent="0.2">
      <c r="A190" t="s">
        <v>1723</v>
      </c>
    </row>
    <row r="191" spans="1:8" x14ac:dyDescent="0.2">
      <c r="A191" t="s">
        <v>1724</v>
      </c>
    </row>
    <row r="192" spans="1:8" x14ac:dyDescent="0.2">
      <c r="A192" t="s">
        <v>1725</v>
      </c>
    </row>
    <row r="193" spans="1:8" x14ac:dyDescent="0.2">
      <c r="A193" t="s">
        <v>4135</v>
      </c>
      <c r="B193" t="s">
        <v>4136</v>
      </c>
    </row>
    <row r="194" spans="1:8" x14ac:dyDescent="0.2">
      <c r="A194" t="s">
        <v>1727</v>
      </c>
    </row>
    <row r="195" spans="1:8" x14ac:dyDescent="0.2">
      <c r="A195" t="s">
        <v>1728</v>
      </c>
    </row>
    <row r="196" spans="1:8" x14ac:dyDescent="0.2">
      <c r="A196" t="s">
        <v>1729</v>
      </c>
    </row>
    <row r="197" spans="1:8" x14ac:dyDescent="0.2">
      <c r="A197" t="s">
        <v>1730</v>
      </c>
    </row>
    <row r="198" spans="1:8" x14ac:dyDescent="0.2">
      <c r="A198" t="s">
        <v>1731</v>
      </c>
    </row>
    <row r="199" spans="1:8" x14ac:dyDescent="0.2">
      <c r="A199" t="s">
        <v>1732</v>
      </c>
    </row>
    <row r="200" spans="1:8" x14ac:dyDescent="0.2">
      <c r="A200" t="s">
        <v>1733</v>
      </c>
    </row>
    <row r="201" spans="1:8" x14ac:dyDescent="0.2">
      <c r="A201" t="s">
        <v>1734</v>
      </c>
    </row>
    <row r="202" spans="1:8" x14ac:dyDescent="0.2">
      <c r="A202" t="s">
        <v>1841</v>
      </c>
    </row>
    <row r="203" spans="1:8" x14ac:dyDescent="0.2">
      <c r="A203" t="s">
        <v>1842</v>
      </c>
    </row>
    <row r="205" spans="1:8" ht="80" x14ac:dyDescent="0.2">
      <c r="A205" t="s">
        <v>4197</v>
      </c>
      <c r="B205">
        <v>17</v>
      </c>
      <c r="C205" t="s">
        <v>4198</v>
      </c>
      <c r="D205" t="s">
        <v>4199</v>
      </c>
      <c r="E205">
        <v>33104</v>
      </c>
      <c r="F205" s="122">
        <v>2</v>
      </c>
      <c r="G205" s="122" t="s">
        <v>4200</v>
      </c>
      <c r="H205" s="122">
        <v>16000</v>
      </c>
    </row>
    <row r="206" spans="1:8" ht="64" x14ac:dyDescent="0.2">
      <c r="A206" t="s">
        <v>3990</v>
      </c>
      <c r="B206" t="s">
        <v>4184</v>
      </c>
      <c r="C206">
        <v>14</v>
      </c>
      <c r="D206" t="s">
        <v>1452</v>
      </c>
      <c r="E206" t="s">
        <v>1453</v>
      </c>
      <c r="F206" s="122" t="s">
        <v>1455</v>
      </c>
      <c r="G206" s="122">
        <v>9</v>
      </c>
      <c r="H206" s="122" t="s">
        <v>4201</v>
      </c>
    </row>
    <row r="208" spans="1:8" x14ac:dyDescent="0.2">
      <c r="A208" t="s">
        <v>4140</v>
      </c>
      <c r="B208" t="s">
        <v>4020</v>
      </c>
      <c r="C208" t="s">
        <v>4021</v>
      </c>
    </row>
    <row r="209" spans="1:12" x14ac:dyDescent="0.2">
      <c r="A209" t="s">
        <v>4141</v>
      </c>
      <c r="B209" t="s">
        <v>4023</v>
      </c>
      <c r="C209" t="s">
        <v>4024</v>
      </c>
    </row>
    <row r="210" spans="1:12" x14ac:dyDescent="0.2">
      <c r="A210" t="s">
        <v>4142</v>
      </c>
      <c r="B210" t="s">
        <v>4143</v>
      </c>
      <c r="C210" t="s">
        <v>4202</v>
      </c>
    </row>
    <row r="211" spans="1:12" x14ac:dyDescent="0.2">
      <c r="A211" t="s">
        <v>1846</v>
      </c>
    </row>
    <row r="212" spans="1:12" x14ac:dyDescent="0.2">
      <c r="A212" t="s">
        <v>1847</v>
      </c>
    </row>
    <row r="213" spans="1:12" x14ac:dyDescent="0.2">
      <c r="A213" t="s">
        <v>1848</v>
      </c>
    </row>
    <row r="214" spans="1:12" x14ac:dyDescent="0.2">
      <c r="A214" t="s">
        <v>1849</v>
      </c>
    </row>
    <row r="215" spans="1:12" x14ac:dyDescent="0.2">
      <c r="A215" t="s">
        <v>4203</v>
      </c>
      <c r="B215" t="s">
        <v>4028</v>
      </c>
      <c r="C215" t="s">
        <v>4204</v>
      </c>
    </row>
    <row r="217" spans="1:12" x14ac:dyDescent="0.2">
      <c r="A217" t="s">
        <v>1851</v>
      </c>
    </row>
    <row r="218" spans="1:12" x14ac:dyDescent="0.2">
      <c r="A218" t="s">
        <v>4205</v>
      </c>
      <c r="B218" t="s">
        <v>4206</v>
      </c>
      <c r="C218" t="s">
        <v>4207</v>
      </c>
    </row>
    <row r="219" spans="1:12" x14ac:dyDescent="0.2">
      <c r="A219" t="s">
        <v>4208</v>
      </c>
      <c r="B219" t="s">
        <v>4209</v>
      </c>
      <c r="C219" t="s">
        <v>4210</v>
      </c>
    </row>
    <row r="220" spans="1:12" x14ac:dyDescent="0.2">
      <c r="A220" t="s">
        <v>4211</v>
      </c>
      <c r="B220" t="s">
        <v>4212</v>
      </c>
      <c r="C220" t="s">
        <v>4213</v>
      </c>
    </row>
    <row r="222" spans="1:12" x14ac:dyDescent="0.2">
      <c r="A222" t="s">
        <v>4214</v>
      </c>
      <c r="B222">
        <v>26917</v>
      </c>
      <c r="C222">
        <v>0</v>
      </c>
      <c r="D222" t="s">
        <v>4215</v>
      </c>
      <c r="E222">
        <v>16000</v>
      </c>
    </row>
    <row r="223" spans="1:12" ht="48" x14ac:dyDescent="0.2">
      <c r="A223" t="s">
        <v>3990</v>
      </c>
      <c r="B223" t="s">
        <v>4184</v>
      </c>
      <c r="C223">
        <v>15</v>
      </c>
      <c r="D223" t="s">
        <v>1452</v>
      </c>
      <c r="E223" t="s">
        <v>1447</v>
      </c>
      <c r="F223" s="122" t="s">
        <v>1457</v>
      </c>
      <c r="G223" s="122">
        <v>50</v>
      </c>
      <c r="H223" s="122">
        <v>18</v>
      </c>
      <c r="I223">
        <v>34915</v>
      </c>
      <c r="J223">
        <v>0</v>
      </c>
      <c r="K223" s="122" t="s">
        <v>4216</v>
      </c>
      <c r="L223">
        <v>16000</v>
      </c>
    </row>
    <row r="224" spans="1:12" ht="64" x14ac:dyDescent="0.2">
      <c r="A224" t="s">
        <v>3990</v>
      </c>
      <c r="B224" t="s">
        <v>4184</v>
      </c>
      <c r="C224">
        <v>16</v>
      </c>
      <c r="D224" t="s">
        <v>1452</v>
      </c>
      <c r="E224" t="s">
        <v>1434</v>
      </c>
      <c r="F224" s="122" t="s">
        <v>1458</v>
      </c>
      <c r="G224" s="122" t="s">
        <v>1497</v>
      </c>
      <c r="H224" s="122" t="s">
        <v>4147</v>
      </c>
      <c r="I224">
        <v>29800</v>
      </c>
      <c r="J224">
        <v>0</v>
      </c>
      <c r="K224" s="122" t="s">
        <v>4148</v>
      </c>
      <c r="L224">
        <v>16000</v>
      </c>
    </row>
    <row r="225" spans="1:12" ht="64" x14ac:dyDescent="0.2">
      <c r="A225" t="s">
        <v>3990</v>
      </c>
      <c r="B225" t="s">
        <v>4184</v>
      </c>
      <c r="C225">
        <v>17</v>
      </c>
      <c r="D225" t="s">
        <v>1452</v>
      </c>
      <c r="E225" t="s">
        <v>1421</v>
      </c>
      <c r="F225" s="122" t="s">
        <v>1460</v>
      </c>
      <c r="G225" s="122" t="s">
        <v>1500</v>
      </c>
      <c r="H225" s="122" t="s">
        <v>4149</v>
      </c>
      <c r="I225">
        <v>29348</v>
      </c>
      <c r="J225">
        <v>3</v>
      </c>
      <c r="K225" s="122" t="s">
        <v>4217</v>
      </c>
      <c r="L225">
        <v>16000</v>
      </c>
    </row>
    <row r="226" spans="1:12" ht="64" x14ac:dyDescent="0.2">
      <c r="A226" t="s">
        <v>3990</v>
      </c>
      <c r="B226" t="s">
        <v>4184</v>
      </c>
      <c r="C226">
        <v>18</v>
      </c>
      <c r="D226" t="s">
        <v>1452</v>
      </c>
      <c r="E226" t="s">
        <v>1440</v>
      </c>
      <c r="F226" s="122" t="s">
        <v>1462</v>
      </c>
      <c r="G226" s="122" t="s">
        <v>1502</v>
      </c>
      <c r="H226" s="122" t="s">
        <v>4151</v>
      </c>
      <c r="I226">
        <v>31609</v>
      </c>
      <c r="J226">
        <v>0</v>
      </c>
      <c r="K226" s="122" t="s">
        <v>3997</v>
      </c>
      <c r="L226">
        <v>16000</v>
      </c>
    </row>
    <row r="227" spans="1:12" ht="80" x14ac:dyDescent="0.2">
      <c r="A227" t="s">
        <v>3990</v>
      </c>
      <c r="B227" t="s">
        <v>4184</v>
      </c>
      <c r="C227">
        <v>19</v>
      </c>
      <c r="D227" t="s">
        <v>1452</v>
      </c>
      <c r="E227" t="s">
        <v>1464</v>
      </c>
      <c r="F227" s="122" t="s">
        <v>1465</v>
      </c>
      <c r="G227" s="122" t="s">
        <v>1503</v>
      </c>
      <c r="H227" s="122" t="s">
        <v>4152</v>
      </c>
      <c r="I227">
        <v>29254</v>
      </c>
      <c r="J227">
        <v>0</v>
      </c>
      <c r="K227" s="122" t="s">
        <v>4043</v>
      </c>
      <c r="L227">
        <v>16000</v>
      </c>
    </row>
    <row r="228" spans="1:12" ht="128" x14ac:dyDescent="0.2">
      <c r="A228" t="s">
        <v>3990</v>
      </c>
      <c r="B228" t="s">
        <v>4184</v>
      </c>
      <c r="C228">
        <v>20</v>
      </c>
      <c r="D228" t="s">
        <v>1452</v>
      </c>
      <c r="E228" t="s">
        <v>1464</v>
      </c>
      <c r="F228" s="122" t="s">
        <v>1467</v>
      </c>
      <c r="G228" s="122" t="s">
        <v>1513</v>
      </c>
      <c r="H228" s="122" t="s">
        <v>4218</v>
      </c>
    </row>
    <row r="230" spans="1:12" x14ac:dyDescent="0.2">
      <c r="A230" t="s">
        <v>4219</v>
      </c>
      <c r="B230" t="s">
        <v>4220</v>
      </c>
      <c r="C230" t="s">
        <v>4221</v>
      </c>
      <c r="D230" t="s">
        <v>4222</v>
      </c>
    </row>
    <row r="231" spans="1:12" x14ac:dyDescent="0.2">
      <c r="A231" t="s">
        <v>4223</v>
      </c>
      <c r="B231" t="s">
        <v>4224</v>
      </c>
      <c r="C231" t="s">
        <v>4225</v>
      </c>
    </row>
    <row r="232" spans="1:12" ht="64" x14ac:dyDescent="0.2">
      <c r="A232" t="s">
        <v>4226</v>
      </c>
      <c r="B232" t="s">
        <v>4227</v>
      </c>
      <c r="C232" t="s">
        <v>4228</v>
      </c>
      <c r="D232">
        <v>33951</v>
      </c>
      <c r="E232">
        <v>0</v>
      </c>
      <c r="F232" s="122" t="s">
        <v>4229</v>
      </c>
      <c r="G232" s="122">
        <v>16000</v>
      </c>
    </row>
    <row r="233" spans="1:12" ht="48" x14ac:dyDescent="0.2">
      <c r="A233" t="s">
        <v>3990</v>
      </c>
      <c r="B233" t="s">
        <v>4230</v>
      </c>
      <c r="C233">
        <v>1</v>
      </c>
      <c r="D233" t="s">
        <v>1420</v>
      </c>
      <c r="E233" t="s">
        <v>1421</v>
      </c>
      <c r="F233" s="122" t="s">
        <v>1422</v>
      </c>
      <c r="G233" s="122" t="s">
        <v>1423</v>
      </c>
      <c r="H233" s="122" t="s">
        <v>4231</v>
      </c>
      <c r="I233">
        <v>63940</v>
      </c>
      <c r="J233">
        <v>3</v>
      </c>
      <c r="K233" s="122" t="s">
        <v>4232</v>
      </c>
      <c r="L233">
        <v>16000</v>
      </c>
    </row>
    <row r="234" spans="1:12" ht="64" x14ac:dyDescent="0.2">
      <c r="A234" t="s">
        <v>3990</v>
      </c>
      <c r="B234" t="s">
        <v>4230</v>
      </c>
      <c r="C234">
        <v>2</v>
      </c>
      <c r="D234" t="s">
        <v>1420</v>
      </c>
      <c r="E234" t="s">
        <v>1421</v>
      </c>
      <c r="F234" s="122" t="s">
        <v>1425</v>
      </c>
      <c r="G234" s="122">
        <v>8</v>
      </c>
      <c r="H234" s="122" t="s">
        <v>4233</v>
      </c>
    </row>
    <row r="235" spans="1:12" x14ac:dyDescent="0.2">
      <c r="A235" t="s">
        <v>1871</v>
      </c>
    </row>
    <row r="236" spans="1:12" x14ac:dyDescent="0.2">
      <c r="A236" t="s">
        <v>1872</v>
      </c>
    </row>
    <row r="237" spans="1:12" x14ac:dyDescent="0.2">
      <c r="A237" t="s">
        <v>1873</v>
      </c>
    </row>
    <row r="238" spans="1:12" x14ac:dyDescent="0.2">
      <c r="A238" t="s">
        <v>1874</v>
      </c>
    </row>
    <row r="239" spans="1:12" x14ac:dyDescent="0.2">
      <c r="A239" t="s">
        <v>1875</v>
      </c>
    </row>
    <row r="240" spans="1:12" x14ac:dyDescent="0.2">
      <c r="A240" t="s">
        <v>1876</v>
      </c>
    </row>
    <row r="241" spans="1:12" x14ac:dyDescent="0.2">
      <c r="A241" t="s">
        <v>4234</v>
      </c>
      <c r="B241">
        <v>63940</v>
      </c>
      <c r="C241">
        <v>2</v>
      </c>
      <c r="D241" t="s">
        <v>4235</v>
      </c>
      <c r="E241">
        <v>16000</v>
      </c>
    </row>
    <row r="242" spans="1:12" ht="112" x14ac:dyDescent="0.2">
      <c r="A242" t="s">
        <v>3990</v>
      </c>
      <c r="B242" t="s">
        <v>4230</v>
      </c>
      <c r="C242">
        <v>3</v>
      </c>
      <c r="D242" t="s">
        <v>1420</v>
      </c>
      <c r="E242" t="s">
        <v>1421</v>
      </c>
      <c r="F242" s="122" t="s">
        <v>1427</v>
      </c>
      <c r="G242" s="122" t="s">
        <v>1428</v>
      </c>
      <c r="H242" s="122" t="s">
        <v>4157</v>
      </c>
      <c r="I242">
        <v>63940</v>
      </c>
      <c r="J242">
        <v>3</v>
      </c>
      <c r="K242" s="122" t="s">
        <v>4236</v>
      </c>
      <c r="L242">
        <v>16000</v>
      </c>
    </row>
    <row r="243" spans="1:12" ht="64" x14ac:dyDescent="0.2">
      <c r="A243" t="s">
        <v>3990</v>
      </c>
      <c r="B243" t="s">
        <v>4230</v>
      </c>
      <c r="C243">
        <v>4</v>
      </c>
      <c r="D243" t="s">
        <v>1420</v>
      </c>
      <c r="E243" t="s">
        <v>1429</v>
      </c>
      <c r="F243" s="122" t="s">
        <v>1430</v>
      </c>
      <c r="G243" s="122">
        <v>88</v>
      </c>
      <c r="H243" s="122">
        <v>22</v>
      </c>
      <c r="I243">
        <v>63940</v>
      </c>
      <c r="J243">
        <v>2</v>
      </c>
      <c r="K243" s="122" t="s">
        <v>4237</v>
      </c>
      <c r="L243">
        <v>16000</v>
      </c>
    </row>
    <row r="244" spans="1:12" ht="48" x14ac:dyDescent="0.2">
      <c r="A244" t="s">
        <v>3990</v>
      </c>
      <c r="B244" t="s">
        <v>4230</v>
      </c>
      <c r="C244">
        <v>5</v>
      </c>
      <c r="D244" t="s">
        <v>1420</v>
      </c>
      <c r="E244" t="s">
        <v>1421</v>
      </c>
      <c r="F244" s="122" t="s">
        <v>1431</v>
      </c>
      <c r="G244" s="122" t="s">
        <v>1432</v>
      </c>
      <c r="H244" s="122" t="s">
        <v>4053</v>
      </c>
      <c r="I244">
        <v>63940</v>
      </c>
      <c r="J244">
        <v>3</v>
      </c>
      <c r="K244" s="122" t="s">
        <v>4054</v>
      </c>
      <c r="L244">
        <v>16000</v>
      </c>
    </row>
    <row r="245" spans="1:12" ht="128" x14ac:dyDescent="0.2">
      <c r="A245" t="s">
        <v>3990</v>
      </c>
      <c r="B245" t="s">
        <v>4230</v>
      </c>
      <c r="C245">
        <v>6</v>
      </c>
      <c r="D245" t="s">
        <v>1433</v>
      </c>
      <c r="E245" t="s">
        <v>1434</v>
      </c>
      <c r="F245" s="122" t="s">
        <v>1435</v>
      </c>
      <c r="G245" s="122" t="s">
        <v>1436</v>
      </c>
      <c r="H245" s="122" t="s">
        <v>4238</v>
      </c>
    </row>
    <row r="247" spans="1:12" x14ac:dyDescent="0.2">
      <c r="A247" t="s">
        <v>4239</v>
      </c>
      <c r="B247">
        <v>962</v>
      </c>
      <c r="C247" t="s">
        <v>4240</v>
      </c>
    </row>
    <row r="248" spans="1:12" x14ac:dyDescent="0.2">
      <c r="A248" t="s">
        <v>4241</v>
      </c>
      <c r="B248">
        <v>891</v>
      </c>
      <c r="C248" t="s">
        <v>4242</v>
      </c>
    </row>
    <row r="249" spans="1:12" x14ac:dyDescent="0.2">
      <c r="A249" t="s">
        <v>4243</v>
      </c>
      <c r="B249">
        <v>380</v>
      </c>
      <c r="C249" t="s">
        <v>4244</v>
      </c>
    </row>
    <row r="250" spans="1:12" x14ac:dyDescent="0.2">
      <c r="A250" t="s">
        <v>4245</v>
      </c>
      <c r="B250">
        <v>178</v>
      </c>
      <c r="C250" t="s">
        <v>4246</v>
      </c>
    </row>
    <row r="252" spans="1:12" ht="48" x14ac:dyDescent="0.2">
      <c r="A252" t="s">
        <v>4247</v>
      </c>
      <c r="B252">
        <v>412</v>
      </c>
      <c r="C252" t="s">
        <v>4248</v>
      </c>
      <c r="D252">
        <v>63940</v>
      </c>
      <c r="E252">
        <v>2</v>
      </c>
      <c r="F252" s="122" t="s">
        <v>4249</v>
      </c>
      <c r="G252" s="122">
        <v>16000</v>
      </c>
    </row>
    <row r="253" spans="1:12" ht="48" x14ac:dyDescent="0.2">
      <c r="A253" t="s">
        <v>3990</v>
      </c>
      <c r="B253" t="s">
        <v>4230</v>
      </c>
      <c r="C253">
        <v>7</v>
      </c>
      <c r="D253" t="s">
        <v>1433</v>
      </c>
      <c r="E253" t="s">
        <v>1434</v>
      </c>
      <c r="F253" s="122" t="s">
        <v>1438</v>
      </c>
      <c r="G253" s="122" t="s">
        <v>1469</v>
      </c>
      <c r="H253" s="122" t="s">
        <v>4250</v>
      </c>
    </row>
    <row r="255" spans="1:12" x14ac:dyDescent="0.2">
      <c r="A255" t="s">
        <v>4062</v>
      </c>
      <c r="B255">
        <v>47</v>
      </c>
      <c r="C255">
        <v>143.9</v>
      </c>
    </row>
    <row r="256" spans="1:12" x14ac:dyDescent="0.2">
      <c r="A256" t="s">
        <v>4063</v>
      </c>
      <c r="B256">
        <v>163</v>
      </c>
    </row>
    <row r="257" spans="1:6" x14ac:dyDescent="0.2">
      <c r="A257" t="s">
        <v>4064</v>
      </c>
      <c r="B257">
        <v>719.2</v>
      </c>
    </row>
    <row r="258" spans="1:6" x14ac:dyDescent="0.2">
      <c r="A258" t="s">
        <v>4065</v>
      </c>
      <c r="B258">
        <v>86.2</v>
      </c>
    </row>
    <row r="259" spans="1:6" x14ac:dyDescent="0.2">
      <c r="A259" t="s">
        <v>4251</v>
      </c>
      <c r="B259">
        <v>30</v>
      </c>
      <c r="C259">
        <v>0</v>
      </c>
    </row>
    <row r="260" spans="1:6" x14ac:dyDescent="0.2">
      <c r="A260" t="s">
        <v>4252</v>
      </c>
      <c r="B260">
        <v>837</v>
      </c>
      <c r="C260">
        <v>368.8</v>
      </c>
    </row>
    <row r="261" spans="1:6" x14ac:dyDescent="0.2">
      <c r="A261" t="s">
        <v>4253</v>
      </c>
      <c r="B261">
        <v>338.5</v>
      </c>
    </row>
    <row r="262" spans="1:6" x14ac:dyDescent="0.2">
      <c r="A262" t="s">
        <v>4254</v>
      </c>
      <c r="B262">
        <v>882.7</v>
      </c>
    </row>
    <row r="263" spans="1:6" x14ac:dyDescent="0.2">
      <c r="A263" t="s">
        <v>4070</v>
      </c>
      <c r="B263">
        <v>297</v>
      </c>
      <c r="C263">
        <v>739.7</v>
      </c>
    </row>
    <row r="264" spans="1:6" x14ac:dyDescent="0.2">
      <c r="A264" t="s">
        <v>4071</v>
      </c>
      <c r="B264">
        <v>745.3</v>
      </c>
    </row>
    <row r="265" spans="1:6" x14ac:dyDescent="0.2">
      <c r="A265" t="s">
        <v>4255</v>
      </c>
      <c r="B265">
        <v>900.9</v>
      </c>
    </row>
    <row r="266" spans="1:6" x14ac:dyDescent="0.2">
      <c r="A266" t="s">
        <v>4256</v>
      </c>
      <c r="B266">
        <v>392.5</v>
      </c>
    </row>
    <row r="267" spans="1:6" x14ac:dyDescent="0.2">
      <c r="A267" t="s">
        <v>4257</v>
      </c>
      <c r="B267" t="s">
        <v>4258</v>
      </c>
      <c r="C267" t="s">
        <v>4259</v>
      </c>
      <c r="D267" t="s">
        <v>4260</v>
      </c>
      <c r="E267">
        <v>787</v>
      </c>
      <c r="F267" s="122">
        <v>470.5</v>
      </c>
    </row>
    <row r="268" spans="1:6" x14ac:dyDescent="0.2">
      <c r="A268" t="s">
        <v>4261</v>
      </c>
      <c r="B268">
        <v>33.1</v>
      </c>
    </row>
    <row r="269" spans="1:6" x14ac:dyDescent="0.2">
      <c r="A269" t="s">
        <v>4262</v>
      </c>
      <c r="B269">
        <v>208.7</v>
      </c>
    </row>
    <row r="270" spans="1:6" x14ac:dyDescent="0.2">
      <c r="A270" t="s">
        <v>4263</v>
      </c>
      <c r="B270">
        <v>569</v>
      </c>
    </row>
    <row r="271" spans="1:6" x14ac:dyDescent="0.2">
      <c r="A271" t="s">
        <v>4264</v>
      </c>
      <c r="B271">
        <v>137.4</v>
      </c>
    </row>
    <row r="272" spans="1:6" x14ac:dyDescent="0.2">
      <c r="A272" t="s">
        <v>4265</v>
      </c>
      <c r="B272">
        <v>0</v>
      </c>
    </row>
    <row r="273" spans="1:3" x14ac:dyDescent="0.2">
      <c r="A273" t="s">
        <v>4266</v>
      </c>
      <c r="B273">
        <v>610</v>
      </c>
    </row>
    <row r="274" spans="1:3" x14ac:dyDescent="0.2">
      <c r="A274" t="s">
        <v>4267</v>
      </c>
      <c r="B274">
        <v>908.9</v>
      </c>
    </row>
    <row r="275" spans="1:3" x14ac:dyDescent="0.2">
      <c r="A275" t="s">
        <v>4268</v>
      </c>
      <c r="B275">
        <v>904.5</v>
      </c>
    </row>
    <row r="276" spans="1:3" x14ac:dyDescent="0.2">
      <c r="A276" t="s">
        <v>4269</v>
      </c>
      <c r="B276">
        <v>715.5</v>
      </c>
    </row>
    <row r="277" spans="1:3" x14ac:dyDescent="0.2">
      <c r="A277" t="s">
        <v>4270</v>
      </c>
      <c r="B277">
        <v>559.6</v>
      </c>
    </row>
    <row r="278" spans="1:3" x14ac:dyDescent="0.2">
      <c r="A278" t="s">
        <v>4271</v>
      </c>
      <c r="B278">
        <v>861.1</v>
      </c>
    </row>
    <row r="279" spans="1:3" x14ac:dyDescent="0.2">
      <c r="A279" t="s">
        <v>4272</v>
      </c>
      <c r="B279">
        <v>746</v>
      </c>
    </row>
    <row r="280" spans="1:3" x14ac:dyDescent="0.2">
      <c r="A280" t="s">
        <v>4273</v>
      </c>
      <c r="B280">
        <v>690.6</v>
      </c>
    </row>
    <row r="281" spans="1:3" x14ac:dyDescent="0.2">
      <c r="A281" t="s">
        <v>4274</v>
      </c>
      <c r="B281">
        <v>314.8</v>
      </c>
    </row>
    <row r="282" spans="1:3" x14ac:dyDescent="0.2">
      <c r="A282" t="s">
        <v>4275</v>
      </c>
      <c r="B282">
        <v>664</v>
      </c>
    </row>
    <row r="283" spans="1:3" x14ac:dyDescent="0.2">
      <c r="A283" t="s">
        <v>4276</v>
      </c>
      <c r="B283">
        <v>71.599999999999994</v>
      </c>
    </row>
    <row r="284" spans="1:3" x14ac:dyDescent="0.2">
      <c r="A284" t="s">
        <v>4277</v>
      </c>
      <c r="B284">
        <v>999.5</v>
      </c>
    </row>
    <row r="285" spans="1:3" x14ac:dyDescent="0.2">
      <c r="A285" t="s">
        <v>4278</v>
      </c>
      <c r="B285">
        <v>287</v>
      </c>
      <c r="C285">
        <v>244.9</v>
      </c>
    </row>
    <row r="286" spans="1:3" x14ac:dyDescent="0.2">
      <c r="A286" t="s">
        <v>4279</v>
      </c>
      <c r="B286">
        <v>408</v>
      </c>
      <c r="C286">
        <v>549.4</v>
      </c>
    </row>
    <row r="287" spans="1:3" x14ac:dyDescent="0.2">
      <c r="A287" t="s">
        <v>4280</v>
      </c>
      <c r="B287">
        <v>684.4</v>
      </c>
    </row>
    <row r="288" spans="1:3" x14ac:dyDescent="0.2">
      <c r="A288" t="s">
        <v>4281</v>
      </c>
      <c r="B288">
        <v>159</v>
      </c>
      <c r="C288">
        <v>304.8</v>
      </c>
    </row>
    <row r="289" spans="1:4" x14ac:dyDescent="0.2">
      <c r="A289" t="s">
        <v>4282</v>
      </c>
      <c r="B289">
        <v>77</v>
      </c>
      <c r="C289">
        <v>532.29999999999995</v>
      </c>
    </row>
    <row r="290" spans="1:4" x14ac:dyDescent="0.2">
      <c r="A290" t="s">
        <v>4283</v>
      </c>
      <c r="B290">
        <v>704.9</v>
      </c>
    </row>
    <row r="291" spans="1:4" x14ac:dyDescent="0.2">
      <c r="A291" t="s">
        <v>4284</v>
      </c>
      <c r="B291">
        <v>614</v>
      </c>
      <c r="C291">
        <v>609.5</v>
      </c>
    </row>
    <row r="292" spans="1:4" x14ac:dyDescent="0.2">
      <c r="A292" t="s">
        <v>4285</v>
      </c>
      <c r="B292">
        <v>267.8</v>
      </c>
    </row>
    <row r="293" spans="1:4" x14ac:dyDescent="0.2">
      <c r="A293" t="s">
        <v>4286</v>
      </c>
      <c r="B293">
        <v>670</v>
      </c>
      <c r="C293">
        <v>347.3</v>
      </c>
    </row>
    <row r="294" spans="1:4" x14ac:dyDescent="0.2">
      <c r="A294" t="s">
        <v>4287</v>
      </c>
      <c r="B294">
        <v>663</v>
      </c>
      <c r="C294">
        <v>857.2</v>
      </c>
    </row>
    <row r="295" spans="1:4" x14ac:dyDescent="0.2">
      <c r="A295" t="s">
        <v>4288</v>
      </c>
      <c r="B295" t="s">
        <v>4289</v>
      </c>
      <c r="C295">
        <v>757</v>
      </c>
      <c r="D295">
        <v>161.30000000000001</v>
      </c>
    </row>
    <row r="296" spans="1:4" x14ac:dyDescent="0.2">
      <c r="A296" t="s">
        <v>4290</v>
      </c>
      <c r="B296">
        <v>57</v>
      </c>
      <c r="C296">
        <v>870.4</v>
      </c>
    </row>
    <row r="297" spans="1:4" x14ac:dyDescent="0.2">
      <c r="A297" t="s">
        <v>4291</v>
      </c>
      <c r="B297">
        <v>635.4</v>
      </c>
    </row>
    <row r="298" spans="1:4" x14ac:dyDescent="0.2">
      <c r="A298" t="s">
        <v>4292</v>
      </c>
      <c r="B298">
        <v>739.3</v>
      </c>
    </row>
    <row r="299" spans="1:4" x14ac:dyDescent="0.2">
      <c r="A299" t="s">
        <v>4293</v>
      </c>
      <c r="B299">
        <v>842.6</v>
      </c>
    </row>
    <row r="300" spans="1:4" x14ac:dyDescent="0.2">
      <c r="A300" t="s">
        <v>4294</v>
      </c>
      <c r="B300">
        <v>895.4</v>
      </c>
    </row>
    <row r="301" spans="1:4" x14ac:dyDescent="0.2">
      <c r="A301" t="s">
        <v>4295</v>
      </c>
      <c r="B301">
        <v>365.4</v>
      </c>
    </row>
    <row r="302" spans="1:4" x14ac:dyDescent="0.2">
      <c r="A302" t="s">
        <v>4296</v>
      </c>
      <c r="B302">
        <v>903</v>
      </c>
    </row>
    <row r="303" spans="1:4" x14ac:dyDescent="0.2">
      <c r="A303" t="s">
        <v>4297</v>
      </c>
      <c r="B303">
        <v>561.79999999999995</v>
      </c>
    </row>
    <row r="304" spans="1:4" x14ac:dyDescent="0.2">
      <c r="A304" t="s">
        <v>4298</v>
      </c>
      <c r="B304" t="s">
        <v>4299</v>
      </c>
      <c r="C304">
        <v>759.3</v>
      </c>
    </row>
    <row r="305" spans="1:4" x14ac:dyDescent="0.2">
      <c r="A305" t="s">
        <v>4298</v>
      </c>
      <c r="B305" t="s">
        <v>4300</v>
      </c>
      <c r="C305" t="s">
        <v>4301</v>
      </c>
      <c r="D305">
        <v>692</v>
      </c>
    </row>
    <row r="306" spans="1:4" x14ac:dyDescent="0.2">
      <c r="A306" t="s">
        <v>4298</v>
      </c>
      <c r="B306" t="s">
        <v>4302</v>
      </c>
      <c r="C306">
        <v>428.6</v>
      </c>
    </row>
    <row r="307" spans="1:4" x14ac:dyDescent="0.2">
      <c r="A307" t="s">
        <v>4298</v>
      </c>
      <c r="B307" t="s">
        <v>4303</v>
      </c>
      <c r="C307">
        <v>669</v>
      </c>
      <c r="D307">
        <v>147.5</v>
      </c>
    </row>
    <row r="308" spans="1:4" x14ac:dyDescent="0.2">
      <c r="A308" t="s">
        <v>4298</v>
      </c>
      <c r="B308" t="s">
        <v>4304</v>
      </c>
      <c r="C308">
        <v>173</v>
      </c>
    </row>
    <row r="309" spans="1:4" x14ac:dyDescent="0.2">
      <c r="A309" t="s">
        <v>4305</v>
      </c>
      <c r="B309">
        <v>962</v>
      </c>
      <c r="C309">
        <v>869.4</v>
      </c>
    </row>
    <row r="310" spans="1:4" x14ac:dyDescent="0.2">
      <c r="A310" t="s">
        <v>4306</v>
      </c>
      <c r="B310">
        <v>891</v>
      </c>
      <c r="C310">
        <v>657.5</v>
      </c>
    </row>
    <row r="311" spans="1:4" x14ac:dyDescent="0.2">
      <c r="A311" t="s">
        <v>4307</v>
      </c>
      <c r="B311">
        <v>380</v>
      </c>
      <c r="C311">
        <v>106.4</v>
      </c>
    </row>
    <row r="312" spans="1:4" x14ac:dyDescent="0.2">
      <c r="A312" t="s">
        <v>4308</v>
      </c>
      <c r="B312">
        <v>178</v>
      </c>
      <c r="C312">
        <v>80.8</v>
      </c>
    </row>
    <row r="313" spans="1:4" x14ac:dyDescent="0.2">
      <c r="A313" t="s">
        <v>4309</v>
      </c>
      <c r="B313">
        <v>933.8</v>
      </c>
    </row>
    <row r="314" spans="1:4" x14ac:dyDescent="0.2">
      <c r="A314" t="s">
        <v>4310</v>
      </c>
      <c r="B314">
        <v>170</v>
      </c>
      <c r="C314">
        <v>534.1</v>
      </c>
    </row>
    <row r="315" spans="1:4" x14ac:dyDescent="0.2">
      <c r="A315" t="s">
        <v>4311</v>
      </c>
      <c r="B315">
        <v>305</v>
      </c>
      <c r="C315">
        <v>318.8</v>
      </c>
    </row>
    <row r="316" spans="1:4" x14ac:dyDescent="0.2">
      <c r="A316" t="s">
        <v>4312</v>
      </c>
      <c r="B316">
        <v>11.6</v>
      </c>
    </row>
    <row r="317" spans="1:4" x14ac:dyDescent="0.2">
      <c r="A317" t="s">
        <v>4313</v>
      </c>
      <c r="B317">
        <v>104</v>
      </c>
      <c r="C317">
        <v>430.6</v>
      </c>
    </row>
    <row r="318" spans="1:4" x14ac:dyDescent="0.2">
      <c r="A318" t="s">
        <v>4314</v>
      </c>
      <c r="B318">
        <v>638</v>
      </c>
      <c r="C318">
        <v>295.2</v>
      </c>
    </row>
    <row r="319" spans="1:4" x14ac:dyDescent="0.2">
      <c r="A319" t="s">
        <v>4315</v>
      </c>
      <c r="B319">
        <v>530</v>
      </c>
      <c r="C319">
        <v>800</v>
      </c>
    </row>
    <row r="320" spans="1:4" x14ac:dyDescent="0.2">
      <c r="A320" t="s">
        <v>4316</v>
      </c>
      <c r="B320" t="s">
        <v>4317</v>
      </c>
      <c r="C320">
        <v>567</v>
      </c>
      <c r="D320">
        <v>378.5</v>
      </c>
    </row>
    <row r="321" spans="1:7" x14ac:dyDescent="0.2">
      <c r="A321" t="s">
        <v>4316</v>
      </c>
      <c r="B321" t="s">
        <v>4318</v>
      </c>
      <c r="C321">
        <v>529</v>
      </c>
      <c r="D321">
        <v>568</v>
      </c>
    </row>
    <row r="322" spans="1:7" x14ac:dyDescent="0.2">
      <c r="A322" t="s">
        <v>4316</v>
      </c>
      <c r="B322" t="s">
        <v>4319</v>
      </c>
      <c r="C322">
        <v>99</v>
      </c>
      <c r="D322">
        <v>750.4</v>
      </c>
    </row>
    <row r="323" spans="1:7" x14ac:dyDescent="0.2">
      <c r="A323" t="s">
        <v>4316</v>
      </c>
      <c r="B323" t="s">
        <v>4320</v>
      </c>
      <c r="C323">
        <v>61</v>
      </c>
      <c r="D323">
        <v>98.4</v>
      </c>
    </row>
    <row r="324" spans="1:7" x14ac:dyDescent="0.2">
      <c r="A324" t="s">
        <v>4316</v>
      </c>
      <c r="B324" t="s">
        <v>4321</v>
      </c>
      <c r="C324">
        <v>13</v>
      </c>
      <c r="D324">
        <v>985.2</v>
      </c>
    </row>
    <row r="325" spans="1:7" x14ac:dyDescent="0.2">
      <c r="A325" t="s">
        <v>4316</v>
      </c>
      <c r="B325" t="s">
        <v>4322</v>
      </c>
      <c r="C325">
        <v>651.20000000000005</v>
      </c>
    </row>
    <row r="326" spans="1:7" x14ac:dyDescent="0.2">
      <c r="A326" t="s">
        <v>4323</v>
      </c>
      <c r="B326">
        <v>953.6</v>
      </c>
    </row>
    <row r="327" spans="1:7" x14ac:dyDescent="0.2">
      <c r="A327" t="s">
        <v>4324</v>
      </c>
      <c r="B327">
        <v>155.1</v>
      </c>
    </row>
    <row r="328" spans="1:7" x14ac:dyDescent="0.2">
      <c r="A328" t="s">
        <v>4325</v>
      </c>
      <c r="B328">
        <v>781.2</v>
      </c>
    </row>
    <row r="329" spans="1:7" x14ac:dyDescent="0.2">
      <c r="A329" t="s">
        <v>1958</v>
      </c>
    </row>
    <row r="330" spans="1:7" x14ac:dyDescent="0.2">
      <c r="A330" t="s">
        <v>4326</v>
      </c>
      <c r="B330" t="s">
        <v>4327</v>
      </c>
      <c r="C330">
        <v>993.2</v>
      </c>
    </row>
    <row r="331" spans="1:7" x14ac:dyDescent="0.2">
      <c r="A331" t="s">
        <v>4326</v>
      </c>
      <c r="B331" t="s">
        <v>4328</v>
      </c>
      <c r="C331">
        <v>294</v>
      </c>
      <c r="D331">
        <v>75.7</v>
      </c>
    </row>
    <row r="332" spans="1:7" x14ac:dyDescent="0.2">
      <c r="A332" t="s">
        <v>4326</v>
      </c>
      <c r="B332" t="s">
        <v>4329</v>
      </c>
      <c r="C332">
        <v>788</v>
      </c>
    </row>
    <row r="333" spans="1:7" x14ac:dyDescent="0.2">
      <c r="A333" t="s">
        <v>4326</v>
      </c>
      <c r="B333" t="s">
        <v>4330</v>
      </c>
      <c r="C333">
        <v>39</v>
      </c>
      <c r="D333">
        <v>751.9</v>
      </c>
    </row>
    <row r="334" spans="1:7" x14ac:dyDescent="0.2">
      <c r="A334" t="s">
        <v>4326</v>
      </c>
      <c r="B334" t="s">
        <v>4331</v>
      </c>
      <c r="C334">
        <v>867.8</v>
      </c>
    </row>
    <row r="336" spans="1:7" ht="80" x14ac:dyDescent="0.2">
      <c r="A336" t="s">
        <v>4332</v>
      </c>
      <c r="B336">
        <v>144</v>
      </c>
      <c r="C336" t="s">
        <v>4333</v>
      </c>
      <c r="D336">
        <v>63940</v>
      </c>
      <c r="E336">
        <v>0</v>
      </c>
      <c r="F336" s="122" t="s">
        <v>4334</v>
      </c>
      <c r="G336" s="122">
        <v>16000</v>
      </c>
    </row>
    <row r="337" spans="1:16" ht="64" x14ac:dyDescent="0.2">
      <c r="A337" t="s">
        <v>3990</v>
      </c>
      <c r="B337" t="s">
        <v>4230</v>
      </c>
      <c r="C337">
        <v>8</v>
      </c>
      <c r="D337" t="s">
        <v>1433</v>
      </c>
      <c r="E337" t="s">
        <v>1440</v>
      </c>
      <c r="F337" s="122" t="s">
        <v>1441</v>
      </c>
      <c r="G337" s="122" t="s">
        <v>1470</v>
      </c>
      <c r="H337" s="122" t="s">
        <v>4335</v>
      </c>
    </row>
    <row r="339" spans="1:16" ht="16" x14ac:dyDescent="0.2">
      <c r="A339" t="s">
        <v>4336</v>
      </c>
      <c r="B339">
        <v>421</v>
      </c>
      <c r="C339" t="s">
        <v>4337</v>
      </c>
      <c r="D339">
        <v>962</v>
      </c>
      <c r="E339" t="s">
        <v>4338</v>
      </c>
      <c r="F339" s="122">
        <v>891</v>
      </c>
      <c r="G339" s="122" t="s">
        <v>4339</v>
      </c>
      <c r="H339" s="122">
        <v>380</v>
      </c>
      <c r="I339" t="s">
        <v>4340</v>
      </c>
      <c r="J339">
        <v>186</v>
      </c>
      <c r="K339" s="122" t="s">
        <v>4341</v>
      </c>
    </row>
    <row r="340" spans="1:16" ht="16" x14ac:dyDescent="0.2">
      <c r="A340" t="s">
        <v>4342</v>
      </c>
      <c r="B340">
        <v>121</v>
      </c>
      <c r="C340" t="s">
        <v>4343</v>
      </c>
      <c r="D340" t="s">
        <v>4344</v>
      </c>
      <c r="E340">
        <v>170</v>
      </c>
      <c r="F340" s="122" t="s">
        <v>4345</v>
      </c>
      <c r="G340" s="122">
        <v>305</v>
      </c>
      <c r="H340" s="122" t="s">
        <v>4346</v>
      </c>
      <c r="I340" t="s">
        <v>4347</v>
      </c>
      <c r="J340">
        <v>104</v>
      </c>
      <c r="K340" s="122" t="s">
        <v>4348</v>
      </c>
      <c r="L340">
        <v>638</v>
      </c>
      <c r="M340" t="s">
        <v>4349</v>
      </c>
      <c r="N340">
        <v>502</v>
      </c>
      <c r="O340" t="s">
        <v>4350</v>
      </c>
      <c r="P340" t="s">
        <v>4351</v>
      </c>
    </row>
    <row r="342" spans="1:16" x14ac:dyDescent="0.2">
      <c r="A342" t="s">
        <v>1968</v>
      </c>
    </row>
    <row r="343" spans="1:16" x14ac:dyDescent="0.2">
      <c r="A343" t="s">
        <v>4336</v>
      </c>
      <c r="B343">
        <v>421</v>
      </c>
      <c r="C343" t="s">
        <v>4352</v>
      </c>
    </row>
    <row r="344" spans="1:16" ht="80" x14ac:dyDescent="0.2">
      <c r="A344" t="s">
        <v>4353</v>
      </c>
      <c r="B344">
        <v>502</v>
      </c>
      <c r="C344" t="s">
        <v>4354</v>
      </c>
      <c r="D344">
        <v>63940</v>
      </c>
      <c r="E344">
        <v>2</v>
      </c>
      <c r="F344" s="122" t="s">
        <v>4355</v>
      </c>
      <c r="G344" s="122">
        <v>16000</v>
      </c>
    </row>
    <row r="345" spans="1:16" ht="128" x14ac:dyDescent="0.2">
      <c r="A345" t="s">
        <v>3990</v>
      </c>
      <c r="B345" t="s">
        <v>4230</v>
      </c>
      <c r="C345">
        <v>9</v>
      </c>
      <c r="D345" t="s">
        <v>1433</v>
      </c>
      <c r="E345" t="s">
        <v>1440</v>
      </c>
      <c r="F345" s="122" t="s">
        <v>1443</v>
      </c>
      <c r="G345" s="122" t="s">
        <v>1477</v>
      </c>
      <c r="H345" s="122" t="s">
        <v>4356</v>
      </c>
      <c r="I345">
        <v>63940</v>
      </c>
      <c r="J345">
        <v>0</v>
      </c>
      <c r="K345" s="122" t="s">
        <v>4165</v>
      </c>
      <c r="L345">
        <v>16000</v>
      </c>
    </row>
    <row r="346" spans="1:16" ht="112" x14ac:dyDescent="0.2">
      <c r="A346" t="s">
        <v>3990</v>
      </c>
      <c r="B346" t="s">
        <v>4230</v>
      </c>
      <c r="C346">
        <v>10</v>
      </c>
      <c r="D346" t="s">
        <v>1433</v>
      </c>
      <c r="E346" t="s">
        <v>1421</v>
      </c>
      <c r="F346" s="122" t="s">
        <v>1445</v>
      </c>
      <c r="G346" s="122" t="s">
        <v>1446</v>
      </c>
      <c r="H346" s="122" t="s">
        <v>4357</v>
      </c>
      <c r="I346">
        <v>63940</v>
      </c>
      <c r="J346">
        <v>3</v>
      </c>
      <c r="K346" s="122" t="s">
        <v>4358</v>
      </c>
      <c r="L346">
        <v>16000</v>
      </c>
    </row>
    <row r="347" spans="1:16" ht="96" x14ac:dyDescent="0.2">
      <c r="A347" t="s">
        <v>3990</v>
      </c>
      <c r="B347" t="s">
        <v>4230</v>
      </c>
      <c r="C347">
        <v>11</v>
      </c>
      <c r="D347" t="s">
        <v>1433</v>
      </c>
      <c r="E347" t="s">
        <v>1447</v>
      </c>
      <c r="F347" s="122" t="s">
        <v>1448</v>
      </c>
      <c r="G347" s="122" t="s">
        <v>4011</v>
      </c>
      <c r="H347" s="122" t="s">
        <v>4166</v>
      </c>
      <c r="I347">
        <v>63940</v>
      </c>
      <c r="J347">
        <v>0</v>
      </c>
      <c r="K347" s="122" t="s">
        <v>4359</v>
      </c>
      <c r="L347">
        <v>16000</v>
      </c>
    </row>
    <row r="348" spans="1:16" ht="64" x14ac:dyDescent="0.2">
      <c r="A348" t="s">
        <v>3990</v>
      </c>
      <c r="B348" t="s">
        <v>4230</v>
      </c>
      <c r="C348">
        <v>12</v>
      </c>
      <c r="D348" t="s">
        <v>1433</v>
      </c>
      <c r="E348" t="s">
        <v>1434</v>
      </c>
      <c r="F348" s="122" t="s">
        <v>1450</v>
      </c>
      <c r="G348" s="196">
        <v>16881928.100000001</v>
      </c>
      <c r="H348" s="122" t="s">
        <v>4091</v>
      </c>
      <c r="I348">
        <v>63940</v>
      </c>
      <c r="J348">
        <v>0</v>
      </c>
      <c r="K348" s="122" t="s">
        <v>4092</v>
      </c>
      <c r="L348">
        <v>16000</v>
      </c>
    </row>
    <row r="349" spans="1:16" ht="32" x14ac:dyDescent="0.2">
      <c r="A349" t="s">
        <v>3990</v>
      </c>
      <c r="B349" t="s">
        <v>4230</v>
      </c>
      <c r="C349">
        <v>13</v>
      </c>
      <c r="D349" t="s">
        <v>1452</v>
      </c>
      <c r="E349" t="s">
        <v>1453</v>
      </c>
      <c r="F349" s="122" t="s">
        <v>1454</v>
      </c>
      <c r="G349" s="122">
        <v>19</v>
      </c>
      <c r="H349" s="122" t="s">
        <v>4360</v>
      </c>
    </row>
    <row r="350" spans="1:16" x14ac:dyDescent="0.2">
      <c r="A350" t="s">
        <v>1990</v>
      </c>
    </row>
    <row r="351" spans="1:16" x14ac:dyDescent="0.2">
      <c r="A351" t="s">
        <v>1991</v>
      </c>
    </row>
    <row r="352" spans="1:16" x14ac:dyDescent="0.2">
      <c r="A352" t="s">
        <v>1992</v>
      </c>
    </row>
    <row r="353" spans="1:8" x14ac:dyDescent="0.2">
      <c r="A353" t="s">
        <v>1993</v>
      </c>
    </row>
    <row r="354" spans="1:8" x14ac:dyDescent="0.2">
      <c r="A354" t="s">
        <v>1994</v>
      </c>
    </row>
    <row r="355" spans="1:8" x14ac:dyDescent="0.2">
      <c r="A355" t="s">
        <v>1995</v>
      </c>
    </row>
    <row r="356" spans="1:8" ht="48" x14ac:dyDescent="0.2">
      <c r="A356" t="s">
        <v>4361</v>
      </c>
      <c r="B356" t="s">
        <v>4362</v>
      </c>
      <c r="C356" t="s">
        <v>4363</v>
      </c>
      <c r="D356" t="s">
        <v>4364</v>
      </c>
      <c r="E356" t="s">
        <v>4365</v>
      </c>
      <c r="F356" s="122" t="s">
        <v>4366</v>
      </c>
      <c r="G356" s="122" t="s">
        <v>4367</v>
      </c>
    </row>
    <row r="358" spans="1:8" x14ac:dyDescent="0.2">
      <c r="A358" t="s">
        <v>4368</v>
      </c>
      <c r="B358">
        <v>63940</v>
      </c>
      <c r="C358">
        <v>0</v>
      </c>
      <c r="D358" t="s">
        <v>4369</v>
      </c>
      <c r="E358">
        <v>16000</v>
      </c>
    </row>
    <row r="359" spans="1:8" ht="64" x14ac:dyDescent="0.2">
      <c r="A359" t="s">
        <v>3990</v>
      </c>
      <c r="B359" t="s">
        <v>4230</v>
      </c>
      <c r="C359">
        <v>14</v>
      </c>
      <c r="D359" t="s">
        <v>1452</v>
      </c>
      <c r="E359" t="s">
        <v>1453</v>
      </c>
      <c r="F359" s="122" t="s">
        <v>1455</v>
      </c>
      <c r="G359" s="122">
        <v>9</v>
      </c>
      <c r="H359" s="122" t="s">
        <v>4370</v>
      </c>
    </row>
    <row r="361" spans="1:8" x14ac:dyDescent="0.2">
      <c r="A361" t="s">
        <v>4371</v>
      </c>
      <c r="B361" t="s">
        <v>4372</v>
      </c>
      <c r="C361" t="s">
        <v>4373</v>
      </c>
    </row>
    <row r="363" spans="1:8" x14ac:dyDescent="0.2">
      <c r="A363" t="s">
        <v>2000</v>
      </c>
    </row>
    <row r="364" spans="1:8" x14ac:dyDescent="0.2">
      <c r="A364" t="s">
        <v>4374</v>
      </c>
      <c r="B364" t="s">
        <v>4375</v>
      </c>
      <c r="C364" t="s">
        <v>4143</v>
      </c>
      <c r="D364" t="s">
        <v>4376</v>
      </c>
    </row>
    <row r="365" spans="1:8" x14ac:dyDescent="0.2">
      <c r="A365" t="s">
        <v>4377</v>
      </c>
      <c r="B365">
        <v>663</v>
      </c>
      <c r="C365" t="s">
        <v>4378</v>
      </c>
      <c r="D365">
        <v>194</v>
      </c>
      <c r="E365" t="s">
        <v>4379</v>
      </c>
    </row>
    <row r="366" spans="1:8" ht="16" x14ac:dyDescent="0.2">
      <c r="A366" t="s">
        <v>4380</v>
      </c>
      <c r="B366" t="s">
        <v>4289</v>
      </c>
      <c r="C366">
        <v>757</v>
      </c>
      <c r="D366" t="s">
        <v>4381</v>
      </c>
      <c r="E366">
        <v>802</v>
      </c>
      <c r="F366" s="122" t="s">
        <v>4382</v>
      </c>
    </row>
    <row r="368" spans="1:8" x14ac:dyDescent="0.2">
      <c r="A368" t="s">
        <v>4383</v>
      </c>
      <c r="B368">
        <v>63940</v>
      </c>
      <c r="C368">
        <v>2</v>
      </c>
      <c r="D368" t="s">
        <v>4384</v>
      </c>
      <c r="E368">
        <v>16000</v>
      </c>
    </row>
    <row r="369" spans="1:12" ht="64" x14ac:dyDescent="0.2">
      <c r="A369" t="s">
        <v>3990</v>
      </c>
      <c r="B369" t="s">
        <v>4230</v>
      </c>
      <c r="C369">
        <v>15</v>
      </c>
      <c r="D369" t="s">
        <v>1452</v>
      </c>
      <c r="E369" t="s">
        <v>1447</v>
      </c>
      <c r="F369" s="122" t="s">
        <v>1457</v>
      </c>
      <c r="G369" s="122">
        <v>50</v>
      </c>
      <c r="H369" s="122" t="s">
        <v>4096</v>
      </c>
      <c r="I369">
        <v>63940</v>
      </c>
      <c r="J369">
        <v>0</v>
      </c>
      <c r="K369" s="122" t="s">
        <v>4097</v>
      </c>
      <c r="L369">
        <v>16000</v>
      </c>
    </row>
    <row r="370" spans="1:12" ht="80" x14ac:dyDescent="0.2">
      <c r="A370" t="s">
        <v>3990</v>
      </c>
      <c r="B370" t="s">
        <v>4230</v>
      </c>
      <c r="C370">
        <v>16</v>
      </c>
      <c r="D370" t="s">
        <v>1452</v>
      </c>
      <c r="E370" t="s">
        <v>1434</v>
      </c>
      <c r="F370" s="122" t="s">
        <v>1458</v>
      </c>
      <c r="G370" s="122" t="s">
        <v>1497</v>
      </c>
      <c r="H370" s="122" t="s">
        <v>4385</v>
      </c>
      <c r="I370">
        <v>63940</v>
      </c>
      <c r="J370">
        <v>0</v>
      </c>
      <c r="K370" s="122" t="s">
        <v>4386</v>
      </c>
      <c r="L370">
        <v>16000</v>
      </c>
    </row>
    <row r="371" spans="1:12" ht="80" x14ac:dyDescent="0.2">
      <c r="A371" t="s">
        <v>3990</v>
      </c>
      <c r="B371" t="s">
        <v>4230</v>
      </c>
      <c r="C371">
        <v>17</v>
      </c>
      <c r="D371" t="s">
        <v>1452</v>
      </c>
      <c r="E371" t="s">
        <v>1421</v>
      </c>
      <c r="F371" s="122" t="s">
        <v>1460</v>
      </c>
      <c r="G371" s="122" t="s">
        <v>1500</v>
      </c>
      <c r="H371" s="122" t="s">
        <v>4387</v>
      </c>
      <c r="I371">
        <v>63940</v>
      </c>
      <c r="J371">
        <v>0</v>
      </c>
      <c r="K371" s="122" t="s">
        <v>4388</v>
      </c>
      <c r="L371">
        <v>16000</v>
      </c>
    </row>
    <row r="372" spans="1:12" ht="64" x14ac:dyDescent="0.2">
      <c r="A372" t="s">
        <v>3990</v>
      </c>
      <c r="B372" t="s">
        <v>4230</v>
      </c>
      <c r="C372">
        <v>18</v>
      </c>
      <c r="D372" t="s">
        <v>1452</v>
      </c>
      <c r="E372" t="s">
        <v>1440</v>
      </c>
      <c r="F372" s="122" t="s">
        <v>1462</v>
      </c>
      <c r="G372" s="122" t="s">
        <v>1502</v>
      </c>
      <c r="H372" s="122" t="s">
        <v>4102</v>
      </c>
      <c r="I372">
        <v>63940</v>
      </c>
      <c r="J372">
        <v>0</v>
      </c>
      <c r="K372" s="122" t="s">
        <v>4103</v>
      </c>
      <c r="L372">
        <v>16000</v>
      </c>
    </row>
    <row r="373" spans="1:12" ht="48" x14ac:dyDescent="0.2">
      <c r="A373" t="s">
        <v>3990</v>
      </c>
      <c r="B373" t="s">
        <v>4230</v>
      </c>
      <c r="C373">
        <v>19</v>
      </c>
      <c r="D373" t="s">
        <v>1452</v>
      </c>
      <c r="E373" t="s">
        <v>1464</v>
      </c>
      <c r="F373" s="122" t="s">
        <v>1465</v>
      </c>
      <c r="G373" s="122" t="s">
        <v>1503</v>
      </c>
      <c r="H373" s="122" t="s">
        <v>4389</v>
      </c>
    </row>
    <row r="374" spans="1:12" x14ac:dyDescent="0.2">
      <c r="A374" t="s">
        <v>4390</v>
      </c>
      <c r="B374">
        <v>63940</v>
      </c>
      <c r="C374">
        <v>0</v>
      </c>
      <c r="D374" t="s">
        <v>4177</v>
      </c>
      <c r="E374">
        <v>16000</v>
      </c>
    </row>
    <row r="375" spans="1:12" ht="128" x14ac:dyDescent="0.2">
      <c r="A375" t="s">
        <v>3990</v>
      </c>
      <c r="B375" t="s">
        <v>4230</v>
      </c>
      <c r="C375">
        <v>20</v>
      </c>
      <c r="D375" t="s">
        <v>1452</v>
      </c>
      <c r="E375" t="s">
        <v>1464</v>
      </c>
      <c r="F375" s="122" t="s">
        <v>1467</v>
      </c>
      <c r="G375" s="122" t="s">
        <v>1513</v>
      </c>
      <c r="H375" s="122" t="s">
        <v>2217</v>
      </c>
    </row>
    <row r="376" spans="1:12" x14ac:dyDescent="0.2">
      <c r="A376" t="s">
        <v>4391</v>
      </c>
      <c r="B376">
        <v>134</v>
      </c>
      <c r="C376" t="s">
        <v>4180</v>
      </c>
    </row>
    <row r="377" spans="1:12" ht="64" x14ac:dyDescent="0.2">
      <c r="A377" t="s">
        <v>4392</v>
      </c>
      <c r="B377" t="s">
        <v>4393</v>
      </c>
      <c r="C377">
        <v>265</v>
      </c>
      <c r="D377" t="s">
        <v>4394</v>
      </c>
      <c r="E377">
        <v>63940</v>
      </c>
      <c r="F377" s="122">
        <v>2</v>
      </c>
      <c r="G377" s="122" t="s">
        <v>4395</v>
      </c>
      <c r="H377" s="122">
        <v>16000</v>
      </c>
    </row>
    <row r="378" spans="1:12" ht="112" x14ac:dyDescent="0.2">
      <c r="A378" t="s">
        <v>3990</v>
      </c>
      <c r="B378" t="s">
        <v>4396</v>
      </c>
      <c r="C378">
        <v>1</v>
      </c>
      <c r="D378" t="s">
        <v>1420</v>
      </c>
      <c r="E378" t="s">
        <v>1421</v>
      </c>
      <c r="F378" s="122" t="s">
        <v>1422</v>
      </c>
      <c r="G378" s="122" t="s">
        <v>1423</v>
      </c>
      <c r="H378" s="122" t="s">
        <v>4397</v>
      </c>
      <c r="I378">
        <v>32265</v>
      </c>
      <c r="J378">
        <v>0</v>
      </c>
      <c r="K378" s="122" t="s">
        <v>4398</v>
      </c>
      <c r="L378" t="s">
        <v>2039</v>
      </c>
    </row>
    <row r="379" spans="1:12" ht="64" x14ac:dyDescent="0.2">
      <c r="A379" t="s">
        <v>3990</v>
      </c>
      <c r="B379" t="s">
        <v>4396</v>
      </c>
      <c r="C379">
        <v>2</v>
      </c>
      <c r="D379" t="s">
        <v>1420</v>
      </c>
      <c r="E379" t="s">
        <v>1421</v>
      </c>
      <c r="F379" s="122" t="s">
        <v>1425</v>
      </c>
      <c r="G379" s="122">
        <v>8</v>
      </c>
      <c r="H379" s="122" t="s">
        <v>4185</v>
      </c>
    </row>
    <row r="380" spans="1:12" x14ac:dyDescent="0.2">
      <c r="A380" t="s">
        <v>1688</v>
      </c>
    </row>
    <row r="381" spans="1:12" x14ac:dyDescent="0.2">
      <c r="A381" t="s">
        <v>1689</v>
      </c>
    </row>
    <row r="382" spans="1:12" x14ac:dyDescent="0.2">
      <c r="A382" t="s">
        <v>1816</v>
      </c>
    </row>
    <row r="383" spans="1:12" x14ac:dyDescent="0.2">
      <c r="A383" t="s">
        <v>1817</v>
      </c>
    </row>
    <row r="384" spans="1:12" x14ac:dyDescent="0.2">
      <c r="A384" t="s">
        <v>1818</v>
      </c>
    </row>
    <row r="385" spans="1:12" x14ac:dyDescent="0.2">
      <c r="A385" t="s">
        <v>4186</v>
      </c>
      <c r="B385">
        <v>44203</v>
      </c>
      <c r="C385">
        <v>2</v>
      </c>
      <c r="D385" t="s">
        <v>4187</v>
      </c>
      <c r="E385" t="s">
        <v>2039</v>
      </c>
    </row>
    <row r="386" spans="1:12" ht="112" x14ac:dyDescent="0.2">
      <c r="A386" t="s">
        <v>3990</v>
      </c>
      <c r="B386" t="s">
        <v>4396</v>
      </c>
      <c r="C386">
        <v>3</v>
      </c>
      <c r="D386" t="s">
        <v>1420</v>
      </c>
      <c r="E386" t="s">
        <v>1421</v>
      </c>
      <c r="F386" s="122" t="s">
        <v>1427</v>
      </c>
      <c r="G386" s="122" t="s">
        <v>1428</v>
      </c>
      <c r="H386" s="122" t="s">
        <v>4116</v>
      </c>
      <c r="I386">
        <v>28496</v>
      </c>
      <c r="J386">
        <v>0</v>
      </c>
      <c r="K386" s="122" t="s">
        <v>3997</v>
      </c>
      <c r="L386" t="s">
        <v>2039</v>
      </c>
    </row>
    <row r="387" spans="1:12" ht="80" x14ac:dyDescent="0.2">
      <c r="A387" t="s">
        <v>3990</v>
      </c>
      <c r="B387" t="s">
        <v>4396</v>
      </c>
      <c r="C387">
        <v>4</v>
      </c>
      <c r="D387" t="s">
        <v>1420</v>
      </c>
      <c r="E387" t="s">
        <v>1429</v>
      </c>
      <c r="F387" s="122" t="s">
        <v>1430</v>
      </c>
      <c r="G387" s="122">
        <v>88</v>
      </c>
      <c r="H387" s="122" t="s">
        <v>4117</v>
      </c>
      <c r="I387">
        <v>29451</v>
      </c>
      <c r="J387">
        <v>3</v>
      </c>
      <c r="K387" s="122" t="s">
        <v>4188</v>
      </c>
      <c r="L387" t="s">
        <v>2039</v>
      </c>
    </row>
    <row r="388" spans="1:12" ht="64" x14ac:dyDescent="0.2">
      <c r="A388" t="s">
        <v>3990</v>
      </c>
      <c r="B388" t="s">
        <v>4396</v>
      </c>
      <c r="C388">
        <v>5</v>
      </c>
      <c r="D388" t="s">
        <v>1420</v>
      </c>
      <c r="E388" t="s">
        <v>1421</v>
      </c>
      <c r="F388" s="122" t="s">
        <v>1431</v>
      </c>
      <c r="G388" s="122" t="s">
        <v>1432</v>
      </c>
      <c r="H388" s="122" t="s">
        <v>3999</v>
      </c>
      <c r="I388">
        <v>27738</v>
      </c>
      <c r="J388">
        <v>3</v>
      </c>
      <c r="K388" s="122" t="s">
        <v>4189</v>
      </c>
      <c r="L388" t="s">
        <v>2039</v>
      </c>
    </row>
    <row r="389" spans="1:12" ht="80" x14ac:dyDescent="0.2">
      <c r="A389" t="s">
        <v>3990</v>
      </c>
      <c r="B389" t="s">
        <v>4396</v>
      </c>
      <c r="C389">
        <v>6</v>
      </c>
      <c r="D389" t="s">
        <v>1433</v>
      </c>
      <c r="E389" t="s">
        <v>1434</v>
      </c>
      <c r="F389" s="122" t="s">
        <v>1435</v>
      </c>
      <c r="G389" s="122" t="s">
        <v>1436</v>
      </c>
      <c r="H389" s="122" t="s">
        <v>4120</v>
      </c>
      <c r="I389">
        <v>32711</v>
      </c>
      <c r="J389">
        <v>3</v>
      </c>
      <c r="K389" s="122" t="s">
        <v>4399</v>
      </c>
      <c r="L389" t="s">
        <v>2039</v>
      </c>
    </row>
    <row r="390" spans="1:12" ht="64" x14ac:dyDescent="0.2">
      <c r="A390" t="s">
        <v>3990</v>
      </c>
      <c r="B390" t="s">
        <v>4396</v>
      </c>
      <c r="C390">
        <v>7</v>
      </c>
      <c r="D390" t="s">
        <v>1433</v>
      </c>
      <c r="E390" t="s">
        <v>1434</v>
      </c>
      <c r="F390" s="122" t="s">
        <v>1438</v>
      </c>
      <c r="G390" s="122" t="s">
        <v>1469</v>
      </c>
      <c r="H390" s="122" t="s">
        <v>4003</v>
      </c>
      <c r="I390">
        <v>26064</v>
      </c>
      <c r="J390">
        <v>0</v>
      </c>
      <c r="K390" s="122" t="s">
        <v>4400</v>
      </c>
      <c r="L390" t="s">
        <v>2039</v>
      </c>
    </row>
    <row r="391" spans="1:12" ht="160" x14ac:dyDescent="0.2">
      <c r="A391" t="s">
        <v>3990</v>
      </c>
      <c r="B391" t="s">
        <v>4396</v>
      </c>
      <c r="C391">
        <v>8</v>
      </c>
      <c r="D391" t="s">
        <v>1433</v>
      </c>
      <c r="E391" t="s">
        <v>1440</v>
      </c>
      <c r="F391" s="122" t="s">
        <v>1441</v>
      </c>
      <c r="G391" s="122" t="s">
        <v>1470</v>
      </c>
      <c r="H391" s="122" t="s">
        <v>4122</v>
      </c>
      <c r="I391">
        <v>41486</v>
      </c>
      <c r="J391">
        <v>3</v>
      </c>
      <c r="K391" s="122" t="s">
        <v>4123</v>
      </c>
      <c r="L391" t="s">
        <v>2039</v>
      </c>
    </row>
    <row r="392" spans="1:12" ht="112" x14ac:dyDescent="0.2">
      <c r="A392" t="s">
        <v>3990</v>
      </c>
      <c r="B392" t="s">
        <v>4396</v>
      </c>
      <c r="C392">
        <v>9</v>
      </c>
      <c r="D392" t="s">
        <v>1433</v>
      </c>
      <c r="E392" t="s">
        <v>1440</v>
      </c>
      <c r="F392" s="122" t="s">
        <v>1443</v>
      </c>
      <c r="G392" s="122" t="s">
        <v>1477</v>
      </c>
      <c r="H392" s="122" t="s">
        <v>4124</v>
      </c>
      <c r="I392">
        <v>26225</v>
      </c>
      <c r="J392">
        <v>0</v>
      </c>
      <c r="K392" s="122" t="s">
        <v>4125</v>
      </c>
      <c r="L392" t="s">
        <v>2039</v>
      </c>
    </row>
    <row r="393" spans="1:12" ht="80" x14ac:dyDescent="0.2">
      <c r="A393" t="s">
        <v>3990</v>
      </c>
      <c r="B393" t="s">
        <v>4396</v>
      </c>
      <c r="C393">
        <v>10</v>
      </c>
      <c r="D393" t="s">
        <v>1433</v>
      </c>
      <c r="E393" t="s">
        <v>1421</v>
      </c>
      <c r="F393" s="122" t="s">
        <v>1445</v>
      </c>
      <c r="G393" s="122" t="s">
        <v>1446</v>
      </c>
      <c r="H393" s="122" t="s">
        <v>4192</v>
      </c>
      <c r="I393">
        <v>28942</v>
      </c>
      <c r="J393">
        <v>3</v>
      </c>
      <c r="K393" s="122" t="s">
        <v>4401</v>
      </c>
      <c r="L393" t="s">
        <v>2039</v>
      </c>
    </row>
    <row r="394" spans="1:12" ht="64" x14ac:dyDescent="0.2">
      <c r="A394" t="s">
        <v>3990</v>
      </c>
      <c r="B394" t="s">
        <v>4396</v>
      </c>
      <c r="C394">
        <v>11</v>
      </c>
      <c r="D394" t="s">
        <v>1433</v>
      </c>
      <c r="E394" t="s">
        <v>1447</v>
      </c>
      <c r="F394" s="122" t="s">
        <v>1448</v>
      </c>
      <c r="G394" s="122" t="s">
        <v>4011</v>
      </c>
      <c r="H394" s="122" t="s">
        <v>4012</v>
      </c>
      <c r="I394">
        <v>34521</v>
      </c>
      <c r="J394">
        <v>3</v>
      </c>
      <c r="K394" s="122" t="s">
        <v>4013</v>
      </c>
      <c r="L394" t="s">
        <v>2039</v>
      </c>
    </row>
    <row r="395" spans="1:12" ht="80" x14ac:dyDescent="0.2">
      <c r="A395" t="s">
        <v>3990</v>
      </c>
      <c r="B395" t="s">
        <v>4396</v>
      </c>
      <c r="C395">
        <v>12</v>
      </c>
      <c r="D395" t="s">
        <v>1433</v>
      </c>
      <c r="E395" t="s">
        <v>1434</v>
      </c>
      <c r="F395" s="122" t="s">
        <v>1450</v>
      </c>
      <c r="G395" s="196">
        <v>16881928.100000001</v>
      </c>
      <c r="H395" s="122" t="s">
        <v>4128</v>
      </c>
      <c r="I395">
        <v>29453</v>
      </c>
      <c r="J395">
        <v>3</v>
      </c>
      <c r="K395" s="122" t="s">
        <v>4195</v>
      </c>
      <c r="L395" t="s">
        <v>2039</v>
      </c>
    </row>
    <row r="396" spans="1:12" ht="48" x14ac:dyDescent="0.2">
      <c r="A396" t="s">
        <v>3990</v>
      </c>
      <c r="B396" t="s">
        <v>4396</v>
      </c>
      <c r="C396">
        <v>13</v>
      </c>
      <c r="D396" t="s">
        <v>1452</v>
      </c>
      <c r="E396" t="s">
        <v>1453</v>
      </c>
      <c r="F396" s="122" t="s">
        <v>1454</v>
      </c>
      <c r="G396" s="122">
        <v>19</v>
      </c>
      <c r="H396" s="122" t="s">
        <v>4196</v>
      </c>
    </row>
    <row r="398" spans="1:12" x14ac:dyDescent="0.2">
      <c r="A398" t="s">
        <v>1712</v>
      </c>
    </row>
    <row r="399" spans="1:12" x14ac:dyDescent="0.2">
      <c r="A399" t="s">
        <v>1713</v>
      </c>
    </row>
    <row r="400" spans="1:12" x14ac:dyDescent="0.2">
      <c r="A400" t="s">
        <v>4131</v>
      </c>
      <c r="B400" t="s">
        <v>4132</v>
      </c>
    </row>
    <row r="401" spans="1:2" x14ac:dyDescent="0.2">
      <c r="A401" t="s">
        <v>1715</v>
      </c>
    </row>
    <row r="402" spans="1:2" x14ac:dyDescent="0.2">
      <c r="A402" t="s">
        <v>1716</v>
      </c>
    </row>
    <row r="403" spans="1:2" x14ac:dyDescent="0.2">
      <c r="A403" t="s">
        <v>4133</v>
      </c>
      <c r="B403" t="s">
        <v>4132</v>
      </c>
    </row>
    <row r="404" spans="1:2" x14ac:dyDescent="0.2">
      <c r="A404" t="s">
        <v>1718</v>
      </c>
    </row>
    <row r="405" spans="1:2" x14ac:dyDescent="0.2">
      <c r="A405" t="s">
        <v>1719</v>
      </c>
    </row>
    <row r="406" spans="1:2" x14ac:dyDescent="0.2">
      <c r="A406" t="s">
        <v>4134</v>
      </c>
      <c r="B406" t="s">
        <v>4132</v>
      </c>
    </row>
    <row r="407" spans="1:2" x14ac:dyDescent="0.2">
      <c r="A407" t="s">
        <v>1721</v>
      </c>
    </row>
    <row r="408" spans="1:2" x14ac:dyDescent="0.2">
      <c r="A408" t="s">
        <v>1722</v>
      </c>
    </row>
    <row r="409" spans="1:2" x14ac:dyDescent="0.2">
      <c r="A409" t="s">
        <v>1723</v>
      </c>
    </row>
    <row r="410" spans="1:2" x14ac:dyDescent="0.2">
      <c r="A410" t="s">
        <v>1724</v>
      </c>
    </row>
    <row r="411" spans="1:2" x14ac:dyDescent="0.2">
      <c r="A411" t="s">
        <v>1725</v>
      </c>
    </row>
    <row r="412" spans="1:2" x14ac:dyDescent="0.2">
      <c r="A412" t="s">
        <v>4135</v>
      </c>
      <c r="B412" t="s">
        <v>4136</v>
      </c>
    </row>
    <row r="413" spans="1:2" x14ac:dyDescent="0.2">
      <c r="A413" t="s">
        <v>1727</v>
      </c>
    </row>
    <row r="414" spans="1:2" x14ac:dyDescent="0.2">
      <c r="A414" t="s">
        <v>1728</v>
      </c>
    </row>
    <row r="415" spans="1:2" x14ac:dyDescent="0.2">
      <c r="A415" t="s">
        <v>1729</v>
      </c>
    </row>
    <row r="416" spans="1:2" x14ac:dyDescent="0.2">
      <c r="A416" t="s">
        <v>1730</v>
      </c>
    </row>
    <row r="417" spans="1:8" x14ac:dyDescent="0.2">
      <c r="A417" t="s">
        <v>1731</v>
      </c>
    </row>
    <row r="418" spans="1:8" x14ac:dyDescent="0.2">
      <c r="A418" t="s">
        <v>1732</v>
      </c>
    </row>
    <row r="419" spans="1:8" x14ac:dyDescent="0.2">
      <c r="A419" t="s">
        <v>1733</v>
      </c>
    </row>
    <row r="420" spans="1:8" x14ac:dyDescent="0.2">
      <c r="A420" t="s">
        <v>1734</v>
      </c>
    </row>
    <row r="421" spans="1:8" x14ac:dyDescent="0.2">
      <c r="A421" t="s">
        <v>1841</v>
      </c>
    </row>
    <row r="422" spans="1:8" x14ac:dyDescent="0.2">
      <c r="A422" t="s">
        <v>1842</v>
      </c>
    </row>
    <row r="424" spans="1:8" ht="64" x14ac:dyDescent="0.2">
      <c r="A424" t="s">
        <v>4197</v>
      </c>
      <c r="B424">
        <v>17</v>
      </c>
      <c r="C424" t="s">
        <v>4198</v>
      </c>
      <c r="D424" t="s">
        <v>4199</v>
      </c>
      <c r="E424">
        <v>33104</v>
      </c>
      <c r="F424" s="122">
        <v>0</v>
      </c>
      <c r="G424" s="122" t="s">
        <v>4402</v>
      </c>
      <c r="H424" s="122" t="s">
        <v>2039</v>
      </c>
    </row>
    <row r="425" spans="1:8" ht="64" x14ac:dyDescent="0.2">
      <c r="A425" t="s">
        <v>3990</v>
      </c>
      <c r="B425" t="s">
        <v>4396</v>
      </c>
      <c r="C425">
        <v>14</v>
      </c>
      <c r="D425" t="s">
        <v>1452</v>
      </c>
      <c r="E425" t="s">
        <v>1453</v>
      </c>
      <c r="F425" s="122" t="s">
        <v>1455</v>
      </c>
      <c r="G425" s="122">
        <v>9</v>
      </c>
      <c r="H425" s="122" t="s">
        <v>4201</v>
      </c>
    </row>
    <row r="427" spans="1:8" x14ac:dyDescent="0.2">
      <c r="A427" t="s">
        <v>4140</v>
      </c>
      <c r="B427" t="s">
        <v>4020</v>
      </c>
      <c r="C427" t="s">
        <v>4021</v>
      </c>
    </row>
    <row r="428" spans="1:8" x14ac:dyDescent="0.2">
      <c r="A428" t="s">
        <v>4141</v>
      </c>
      <c r="B428" t="s">
        <v>4023</v>
      </c>
      <c r="C428" t="s">
        <v>4024</v>
      </c>
    </row>
    <row r="429" spans="1:8" x14ac:dyDescent="0.2">
      <c r="A429" t="s">
        <v>4142</v>
      </c>
      <c r="B429" t="s">
        <v>4143</v>
      </c>
      <c r="C429" t="s">
        <v>4202</v>
      </c>
    </row>
    <row r="430" spans="1:8" x14ac:dyDescent="0.2">
      <c r="A430" t="s">
        <v>1846</v>
      </c>
    </row>
    <row r="431" spans="1:8" x14ac:dyDescent="0.2">
      <c r="A431" t="s">
        <v>1847</v>
      </c>
    </row>
    <row r="432" spans="1:8" x14ac:dyDescent="0.2">
      <c r="A432" t="s">
        <v>1848</v>
      </c>
    </row>
    <row r="433" spans="1:12" x14ac:dyDescent="0.2">
      <c r="A433" t="s">
        <v>1849</v>
      </c>
    </row>
    <row r="434" spans="1:12" x14ac:dyDescent="0.2">
      <c r="A434" t="s">
        <v>4203</v>
      </c>
      <c r="B434" t="s">
        <v>4028</v>
      </c>
      <c r="C434" t="s">
        <v>4204</v>
      </c>
    </row>
    <row r="436" spans="1:12" x14ac:dyDescent="0.2">
      <c r="A436" t="s">
        <v>1851</v>
      </c>
    </row>
    <row r="437" spans="1:12" x14ac:dyDescent="0.2">
      <c r="A437" t="s">
        <v>4205</v>
      </c>
      <c r="B437" t="s">
        <v>4206</v>
      </c>
      <c r="C437" t="s">
        <v>4207</v>
      </c>
    </row>
    <row r="438" spans="1:12" x14ac:dyDescent="0.2">
      <c r="A438" t="s">
        <v>4208</v>
      </c>
      <c r="B438" t="s">
        <v>4209</v>
      </c>
      <c r="C438" t="s">
        <v>4210</v>
      </c>
    </row>
    <row r="439" spans="1:12" x14ac:dyDescent="0.2">
      <c r="A439" t="s">
        <v>4211</v>
      </c>
      <c r="B439" t="s">
        <v>4212</v>
      </c>
      <c r="C439" t="s">
        <v>4213</v>
      </c>
    </row>
    <row r="441" spans="1:12" x14ac:dyDescent="0.2">
      <c r="A441" t="s">
        <v>4214</v>
      </c>
      <c r="B441">
        <v>26917</v>
      </c>
      <c r="C441">
        <v>0</v>
      </c>
      <c r="D441" t="s">
        <v>4403</v>
      </c>
      <c r="E441" t="s">
        <v>2039</v>
      </c>
    </row>
    <row r="442" spans="1:12" ht="48" x14ac:dyDescent="0.2">
      <c r="A442" t="s">
        <v>3990</v>
      </c>
      <c r="B442" t="s">
        <v>4396</v>
      </c>
      <c r="C442">
        <v>15</v>
      </c>
      <c r="D442" t="s">
        <v>1452</v>
      </c>
      <c r="E442" t="s">
        <v>1447</v>
      </c>
      <c r="F442" s="122" t="s">
        <v>1457</v>
      </c>
      <c r="G442" s="122">
        <v>50</v>
      </c>
      <c r="H442" s="122">
        <v>18</v>
      </c>
      <c r="I442">
        <v>34915</v>
      </c>
      <c r="J442">
        <v>0</v>
      </c>
      <c r="K442" s="122" t="s">
        <v>4216</v>
      </c>
      <c r="L442" t="s">
        <v>2039</v>
      </c>
    </row>
    <row r="443" spans="1:12" ht="64" x14ac:dyDescent="0.2">
      <c r="A443" t="s">
        <v>3990</v>
      </c>
      <c r="B443" t="s">
        <v>4396</v>
      </c>
      <c r="C443">
        <v>16</v>
      </c>
      <c r="D443" t="s">
        <v>1452</v>
      </c>
      <c r="E443" t="s">
        <v>1434</v>
      </c>
      <c r="F443" s="122" t="s">
        <v>1458</v>
      </c>
      <c r="G443" s="122" t="s">
        <v>1497</v>
      </c>
      <c r="H443" s="122" t="s">
        <v>4147</v>
      </c>
      <c r="I443">
        <v>29800</v>
      </c>
      <c r="J443">
        <v>0</v>
      </c>
      <c r="K443" s="122" t="s">
        <v>4404</v>
      </c>
      <c r="L443" t="s">
        <v>2039</v>
      </c>
    </row>
    <row r="444" spans="1:12" ht="64" x14ac:dyDescent="0.2">
      <c r="A444" t="s">
        <v>3990</v>
      </c>
      <c r="B444" t="s">
        <v>4396</v>
      </c>
      <c r="C444">
        <v>17</v>
      </c>
      <c r="D444" t="s">
        <v>1452</v>
      </c>
      <c r="E444" t="s">
        <v>1421</v>
      </c>
      <c r="F444" s="122" t="s">
        <v>1460</v>
      </c>
      <c r="G444" s="122" t="s">
        <v>1500</v>
      </c>
      <c r="H444" s="122" t="s">
        <v>4149</v>
      </c>
      <c r="I444">
        <v>29348</v>
      </c>
      <c r="J444">
        <v>3</v>
      </c>
      <c r="K444" s="122" t="s">
        <v>4405</v>
      </c>
      <c r="L444" t="s">
        <v>2039</v>
      </c>
    </row>
    <row r="445" spans="1:12" ht="64" x14ac:dyDescent="0.2">
      <c r="A445" t="s">
        <v>3990</v>
      </c>
      <c r="B445" t="s">
        <v>4396</v>
      </c>
      <c r="C445">
        <v>18</v>
      </c>
      <c r="D445" t="s">
        <v>1452</v>
      </c>
      <c r="E445" t="s">
        <v>1440</v>
      </c>
      <c r="F445" s="122" t="s">
        <v>1462</v>
      </c>
      <c r="G445" s="122" t="s">
        <v>1502</v>
      </c>
      <c r="H445" s="122" t="s">
        <v>4151</v>
      </c>
      <c r="I445">
        <v>31609</v>
      </c>
      <c r="J445">
        <v>0</v>
      </c>
      <c r="K445" s="122" t="s">
        <v>3997</v>
      </c>
      <c r="L445" t="s">
        <v>2039</v>
      </c>
    </row>
    <row r="446" spans="1:12" ht="80" x14ac:dyDescent="0.2">
      <c r="A446" t="s">
        <v>3990</v>
      </c>
      <c r="B446" t="s">
        <v>4396</v>
      </c>
      <c r="C446">
        <v>19</v>
      </c>
      <c r="D446" t="s">
        <v>1452</v>
      </c>
      <c r="E446" t="s">
        <v>1464</v>
      </c>
      <c r="F446" s="122" t="s">
        <v>1465</v>
      </c>
      <c r="G446" s="122" t="s">
        <v>1503</v>
      </c>
      <c r="H446" s="122" t="s">
        <v>4152</v>
      </c>
      <c r="I446">
        <v>29254</v>
      </c>
      <c r="J446">
        <v>0</v>
      </c>
      <c r="K446" s="122" t="s">
        <v>4406</v>
      </c>
      <c r="L446" t="s">
        <v>2039</v>
      </c>
    </row>
    <row r="447" spans="1:12" ht="128" x14ac:dyDescent="0.2">
      <c r="A447" t="s">
        <v>3990</v>
      </c>
      <c r="B447" t="s">
        <v>4396</v>
      </c>
      <c r="C447">
        <v>20</v>
      </c>
      <c r="D447" t="s">
        <v>1452</v>
      </c>
      <c r="E447" t="s">
        <v>1464</v>
      </c>
      <c r="F447" s="122" t="s">
        <v>1467</v>
      </c>
      <c r="G447" s="122" t="s">
        <v>1513</v>
      </c>
      <c r="H447" s="122" t="s">
        <v>4218</v>
      </c>
    </row>
    <row r="449" spans="1:12" x14ac:dyDescent="0.2">
      <c r="A449" t="s">
        <v>4219</v>
      </c>
      <c r="B449" t="s">
        <v>4220</v>
      </c>
      <c r="C449" t="s">
        <v>4221</v>
      </c>
      <c r="D449" t="s">
        <v>4222</v>
      </c>
    </row>
    <row r="450" spans="1:12" x14ac:dyDescent="0.2">
      <c r="A450" t="s">
        <v>4223</v>
      </c>
      <c r="B450" t="s">
        <v>4224</v>
      </c>
      <c r="C450" t="s">
        <v>4225</v>
      </c>
    </row>
    <row r="451" spans="1:12" ht="64" x14ac:dyDescent="0.2">
      <c r="A451" t="s">
        <v>4226</v>
      </c>
      <c r="B451" t="s">
        <v>4227</v>
      </c>
      <c r="C451" t="s">
        <v>4228</v>
      </c>
      <c r="D451">
        <v>33951</v>
      </c>
      <c r="E451">
        <v>0</v>
      </c>
      <c r="F451" s="122" t="s">
        <v>4229</v>
      </c>
      <c r="G451" s="122" t="s">
        <v>2039</v>
      </c>
    </row>
    <row r="452" spans="1:12" ht="48" x14ac:dyDescent="0.2">
      <c r="A452" t="s">
        <v>3990</v>
      </c>
      <c r="B452" t="s">
        <v>4407</v>
      </c>
      <c r="C452">
        <v>1</v>
      </c>
      <c r="D452" t="s">
        <v>1420</v>
      </c>
      <c r="E452" t="s">
        <v>1421</v>
      </c>
      <c r="F452" s="122" t="s">
        <v>1422</v>
      </c>
      <c r="G452" s="122" t="s">
        <v>1423</v>
      </c>
      <c r="H452" s="122" t="s">
        <v>4231</v>
      </c>
      <c r="I452">
        <v>104672</v>
      </c>
      <c r="J452">
        <v>3</v>
      </c>
      <c r="K452" s="122" t="s">
        <v>4232</v>
      </c>
      <c r="L452" t="s">
        <v>2039</v>
      </c>
    </row>
    <row r="453" spans="1:12" ht="64" x14ac:dyDescent="0.2">
      <c r="A453" t="s">
        <v>3990</v>
      </c>
      <c r="B453" t="s">
        <v>4407</v>
      </c>
      <c r="C453">
        <v>2</v>
      </c>
      <c r="D453" t="s">
        <v>1420</v>
      </c>
      <c r="E453" t="s">
        <v>1421</v>
      </c>
      <c r="F453" s="122" t="s">
        <v>1425</v>
      </c>
      <c r="G453" s="122">
        <v>8</v>
      </c>
      <c r="H453" s="122" t="s">
        <v>4233</v>
      </c>
    </row>
    <row r="454" spans="1:12" x14ac:dyDescent="0.2">
      <c r="A454" t="s">
        <v>1871</v>
      </c>
    </row>
    <row r="455" spans="1:12" x14ac:dyDescent="0.2">
      <c r="A455" t="s">
        <v>1872</v>
      </c>
    </row>
    <row r="456" spans="1:12" x14ac:dyDescent="0.2">
      <c r="A456" t="s">
        <v>1873</v>
      </c>
    </row>
    <row r="457" spans="1:12" x14ac:dyDescent="0.2">
      <c r="A457" t="s">
        <v>1874</v>
      </c>
    </row>
    <row r="458" spans="1:12" x14ac:dyDescent="0.2">
      <c r="A458" t="s">
        <v>1875</v>
      </c>
    </row>
    <row r="459" spans="1:12" x14ac:dyDescent="0.2">
      <c r="A459" t="s">
        <v>1876</v>
      </c>
    </row>
    <row r="460" spans="1:12" x14ac:dyDescent="0.2">
      <c r="A460" t="s">
        <v>4234</v>
      </c>
      <c r="B460">
        <v>104672</v>
      </c>
      <c r="C460">
        <v>2</v>
      </c>
      <c r="D460" t="s">
        <v>4235</v>
      </c>
      <c r="E460" t="s">
        <v>2039</v>
      </c>
    </row>
    <row r="461" spans="1:12" ht="112" x14ac:dyDescent="0.2">
      <c r="A461" t="s">
        <v>3990</v>
      </c>
      <c r="B461" t="s">
        <v>4407</v>
      </c>
      <c r="C461">
        <v>3</v>
      </c>
      <c r="D461" t="s">
        <v>1420</v>
      </c>
      <c r="E461" t="s">
        <v>1421</v>
      </c>
      <c r="F461" s="122" t="s">
        <v>1427</v>
      </c>
      <c r="G461" s="122" t="s">
        <v>1428</v>
      </c>
      <c r="H461" s="122" t="s">
        <v>4157</v>
      </c>
      <c r="I461">
        <v>104672</v>
      </c>
      <c r="J461">
        <v>3</v>
      </c>
      <c r="K461" s="122" t="s">
        <v>4408</v>
      </c>
      <c r="L461" t="s">
        <v>2039</v>
      </c>
    </row>
    <row r="462" spans="1:12" ht="64" x14ac:dyDescent="0.2">
      <c r="A462" t="s">
        <v>3990</v>
      </c>
      <c r="B462" t="s">
        <v>4407</v>
      </c>
      <c r="C462">
        <v>4</v>
      </c>
      <c r="D462" t="s">
        <v>1420</v>
      </c>
      <c r="E462" t="s">
        <v>1429</v>
      </c>
      <c r="F462" s="122" t="s">
        <v>1430</v>
      </c>
      <c r="G462" s="122">
        <v>88</v>
      </c>
      <c r="H462" s="122" t="s">
        <v>4409</v>
      </c>
      <c r="I462">
        <v>104672</v>
      </c>
      <c r="J462">
        <v>2</v>
      </c>
      <c r="K462" s="122" t="s">
        <v>3998</v>
      </c>
      <c r="L462" t="s">
        <v>2039</v>
      </c>
    </row>
    <row r="463" spans="1:12" ht="48" x14ac:dyDescent="0.2">
      <c r="A463" t="s">
        <v>3990</v>
      </c>
      <c r="B463" t="s">
        <v>4407</v>
      </c>
      <c r="C463">
        <v>5</v>
      </c>
      <c r="D463" t="s">
        <v>1420</v>
      </c>
      <c r="E463" t="s">
        <v>1421</v>
      </c>
      <c r="F463" s="122" t="s">
        <v>1431</v>
      </c>
      <c r="G463" s="122" t="s">
        <v>1432</v>
      </c>
      <c r="H463" s="122" t="s">
        <v>4053</v>
      </c>
      <c r="I463">
        <v>104672</v>
      </c>
      <c r="J463">
        <v>3</v>
      </c>
      <c r="K463" s="122" t="s">
        <v>4160</v>
      </c>
      <c r="L463" t="s">
        <v>2039</v>
      </c>
    </row>
    <row r="464" spans="1:12" ht="128" x14ac:dyDescent="0.2">
      <c r="A464" t="s">
        <v>3990</v>
      </c>
      <c r="B464" t="s">
        <v>4407</v>
      </c>
      <c r="C464">
        <v>6</v>
      </c>
      <c r="D464" t="s">
        <v>1433</v>
      </c>
      <c r="E464" t="s">
        <v>1434</v>
      </c>
      <c r="F464" s="122" t="s">
        <v>1435</v>
      </c>
      <c r="G464" s="122" t="s">
        <v>1436</v>
      </c>
      <c r="H464" s="122" t="s">
        <v>4410</v>
      </c>
    </row>
    <row r="466" spans="1:8" x14ac:dyDescent="0.2">
      <c r="A466" t="s">
        <v>4239</v>
      </c>
      <c r="B466">
        <v>962</v>
      </c>
      <c r="C466" t="s">
        <v>4240</v>
      </c>
    </row>
    <row r="467" spans="1:8" x14ac:dyDescent="0.2">
      <c r="A467" t="s">
        <v>4241</v>
      </c>
      <c r="B467">
        <v>891</v>
      </c>
      <c r="C467" t="s">
        <v>4242</v>
      </c>
    </row>
    <row r="468" spans="1:8" x14ac:dyDescent="0.2">
      <c r="A468" t="s">
        <v>4243</v>
      </c>
      <c r="B468">
        <v>380</v>
      </c>
      <c r="C468" t="s">
        <v>4244</v>
      </c>
    </row>
    <row r="469" spans="1:8" x14ac:dyDescent="0.2">
      <c r="A469" t="s">
        <v>4245</v>
      </c>
      <c r="B469">
        <v>178</v>
      </c>
      <c r="C469" t="s">
        <v>4246</v>
      </c>
    </row>
    <row r="471" spans="1:8" ht="64" x14ac:dyDescent="0.2">
      <c r="A471" t="s">
        <v>4247</v>
      </c>
      <c r="B471">
        <v>412</v>
      </c>
      <c r="C471" t="s">
        <v>4248</v>
      </c>
      <c r="D471">
        <v>104672</v>
      </c>
      <c r="E471">
        <v>2</v>
      </c>
      <c r="F471" s="122" t="s">
        <v>4411</v>
      </c>
      <c r="G471" s="122" t="s">
        <v>2039</v>
      </c>
    </row>
    <row r="472" spans="1:8" ht="48" x14ac:dyDescent="0.2">
      <c r="A472" t="s">
        <v>3990</v>
      </c>
      <c r="B472" t="s">
        <v>4407</v>
      </c>
      <c r="C472">
        <v>7</v>
      </c>
      <c r="D472" t="s">
        <v>1433</v>
      </c>
      <c r="E472" t="s">
        <v>1434</v>
      </c>
      <c r="F472" s="122" t="s">
        <v>1438</v>
      </c>
      <c r="G472" s="122" t="s">
        <v>1469</v>
      </c>
      <c r="H472" s="122" t="s">
        <v>4250</v>
      </c>
    </row>
    <row r="474" spans="1:8" x14ac:dyDescent="0.2">
      <c r="A474" t="s">
        <v>4062</v>
      </c>
      <c r="B474">
        <v>47</v>
      </c>
      <c r="C474">
        <v>143.9</v>
      </c>
    </row>
    <row r="475" spans="1:8" x14ac:dyDescent="0.2">
      <c r="A475" t="s">
        <v>4063</v>
      </c>
      <c r="B475">
        <v>163</v>
      </c>
    </row>
    <row r="476" spans="1:8" x14ac:dyDescent="0.2">
      <c r="A476" t="s">
        <v>4064</v>
      </c>
      <c r="B476">
        <v>719.2</v>
      </c>
    </row>
    <row r="477" spans="1:8" x14ac:dyDescent="0.2">
      <c r="A477" t="s">
        <v>4065</v>
      </c>
      <c r="B477">
        <v>86.2</v>
      </c>
    </row>
    <row r="478" spans="1:8" x14ac:dyDescent="0.2">
      <c r="A478" t="s">
        <v>4251</v>
      </c>
      <c r="B478">
        <v>30</v>
      </c>
      <c r="C478">
        <v>0</v>
      </c>
    </row>
    <row r="479" spans="1:8" x14ac:dyDescent="0.2">
      <c r="A479" t="s">
        <v>4252</v>
      </c>
      <c r="B479">
        <v>837</v>
      </c>
      <c r="C479">
        <v>368.8</v>
      </c>
    </row>
    <row r="480" spans="1:8" x14ac:dyDescent="0.2">
      <c r="A480" t="s">
        <v>4253</v>
      </c>
      <c r="B480">
        <v>338.5</v>
      </c>
    </row>
    <row r="481" spans="1:6" x14ac:dyDescent="0.2">
      <c r="A481" t="s">
        <v>4254</v>
      </c>
      <c r="B481">
        <v>882.7</v>
      </c>
    </row>
    <row r="482" spans="1:6" x14ac:dyDescent="0.2">
      <c r="A482" t="s">
        <v>4070</v>
      </c>
      <c r="B482">
        <v>297</v>
      </c>
      <c r="C482">
        <v>739.7</v>
      </c>
    </row>
    <row r="483" spans="1:6" x14ac:dyDescent="0.2">
      <c r="A483" t="s">
        <v>4071</v>
      </c>
      <c r="B483">
        <v>745.3</v>
      </c>
    </row>
    <row r="484" spans="1:6" x14ac:dyDescent="0.2">
      <c r="A484" t="s">
        <v>4255</v>
      </c>
      <c r="B484">
        <v>900.9</v>
      </c>
    </row>
    <row r="485" spans="1:6" x14ac:dyDescent="0.2">
      <c r="A485" t="s">
        <v>4256</v>
      </c>
      <c r="B485">
        <v>392.5</v>
      </c>
    </row>
    <row r="486" spans="1:6" x14ac:dyDescent="0.2">
      <c r="A486" t="s">
        <v>4257</v>
      </c>
      <c r="B486" t="s">
        <v>4258</v>
      </c>
      <c r="C486" t="s">
        <v>4259</v>
      </c>
      <c r="D486" t="s">
        <v>4260</v>
      </c>
      <c r="E486">
        <v>787</v>
      </c>
      <c r="F486" s="122">
        <v>470.5</v>
      </c>
    </row>
    <row r="487" spans="1:6" x14ac:dyDescent="0.2">
      <c r="A487" t="s">
        <v>4261</v>
      </c>
      <c r="B487">
        <v>33.1</v>
      </c>
    </row>
    <row r="488" spans="1:6" x14ac:dyDescent="0.2">
      <c r="A488" t="s">
        <v>4262</v>
      </c>
      <c r="B488">
        <v>208.7</v>
      </c>
    </row>
    <row r="489" spans="1:6" x14ac:dyDescent="0.2">
      <c r="A489" t="s">
        <v>4263</v>
      </c>
      <c r="B489">
        <v>569</v>
      </c>
    </row>
    <row r="490" spans="1:6" x14ac:dyDescent="0.2">
      <c r="A490" t="s">
        <v>4412</v>
      </c>
      <c r="B490">
        <v>137.4</v>
      </c>
    </row>
    <row r="491" spans="1:6" x14ac:dyDescent="0.2">
      <c r="A491" t="s">
        <v>4265</v>
      </c>
      <c r="B491">
        <v>0</v>
      </c>
    </row>
    <row r="492" spans="1:6" x14ac:dyDescent="0.2">
      <c r="A492" t="s">
        <v>4266</v>
      </c>
      <c r="B492">
        <v>610</v>
      </c>
    </row>
    <row r="493" spans="1:6" x14ac:dyDescent="0.2">
      <c r="A493" t="s">
        <v>4267</v>
      </c>
      <c r="B493">
        <v>908.9</v>
      </c>
    </row>
    <row r="494" spans="1:6" x14ac:dyDescent="0.2">
      <c r="A494" t="s">
        <v>4268</v>
      </c>
      <c r="B494">
        <v>904.5</v>
      </c>
    </row>
    <row r="495" spans="1:6" x14ac:dyDescent="0.2">
      <c r="A495" t="s">
        <v>4269</v>
      </c>
      <c r="B495">
        <v>715.5</v>
      </c>
    </row>
    <row r="496" spans="1:6" x14ac:dyDescent="0.2">
      <c r="A496" t="s">
        <v>4270</v>
      </c>
      <c r="B496">
        <v>559.6</v>
      </c>
    </row>
    <row r="497" spans="1:3" x14ac:dyDescent="0.2">
      <c r="A497" t="s">
        <v>4271</v>
      </c>
      <c r="B497">
        <v>861.1</v>
      </c>
    </row>
    <row r="498" spans="1:3" x14ac:dyDescent="0.2">
      <c r="A498" t="s">
        <v>4272</v>
      </c>
      <c r="B498">
        <v>746</v>
      </c>
    </row>
    <row r="499" spans="1:3" x14ac:dyDescent="0.2">
      <c r="A499" t="s">
        <v>4273</v>
      </c>
      <c r="B499">
        <v>690.6</v>
      </c>
    </row>
    <row r="500" spans="1:3" x14ac:dyDescent="0.2">
      <c r="A500" t="s">
        <v>4274</v>
      </c>
      <c r="B500">
        <v>314.8</v>
      </c>
    </row>
    <row r="501" spans="1:3" x14ac:dyDescent="0.2">
      <c r="A501" t="s">
        <v>4275</v>
      </c>
      <c r="B501">
        <v>664</v>
      </c>
    </row>
    <row r="502" spans="1:3" x14ac:dyDescent="0.2">
      <c r="A502" t="s">
        <v>4276</v>
      </c>
      <c r="B502">
        <v>71.599999999999994</v>
      </c>
    </row>
    <row r="503" spans="1:3" x14ac:dyDescent="0.2">
      <c r="A503" t="s">
        <v>4277</v>
      </c>
      <c r="B503">
        <v>999.5</v>
      </c>
    </row>
    <row r="504" spans="1:3" x14ac:dyDescent="0.2">
      <c r="A504" t="s">
        <v>4278</v>
      </c>
      <c r="B504">
        <v>287</v>
      </c>
      <c r="C504">
        <v>244.9</v>
      </c>
    </row>
    <row r="505" spans="1:3" x14ac:dyDescent="0.2">
      <c r="A505" t="s">
        <v>4279</v>
      </c>
      <c r="B505">
        <v>408</v>
      </c>
      <c r="C505">
        <v>549.4</v>
      </c>
    </row>
    <row r="506" spans="1:3" x14ac:dyDescent="0.2">
      <c r="A506" t="s">
        <v>4280</v>
      </c>
      <c r="B506">
        <v>684.4</v>
      </c>
    </row>
    <row r="507" spans="1:3" x14ac:dyDescent="0.2">
      <c r="A507" t="s">
        <v>4281</v>
      </c>
      <c r="B507">
        <v>159</v>
      </c>
      <c r="C507">
        <v>304.8</v>
      </c>
    </row>
    <row r="508" spans="1:3" x14ac:dyDescent="0.2">
      <c r="A508" t="s">
        <v>4282</v>
      </c>
      <c r="B508">
        <v>77</v>
      </c>
      <c r="C508">
        <v>532.29999999999995</v>
      </c>
    </row>
    <row r="509" spans="1:3" x14ac:dyDescent="0.2">
      <c r="A509" t="s">
        <v>4283</v>
      </c>
      <c r="B509">
        <v>704.9</v>
      </c>
    </row>
    <row r="510" spans="1:3" x14ac:dyDescent="0.2">
      <c r="A510" t="s">
        <v>4284</v>
      </c>
      <c r="B510">
        <v>614</v>
      </c>
      <c r="C510">
        <v>609.5</v>
      </c>
    </row>
    <row r="511" spans="1:3" x14ac:dyDescent="0.2">
      <c r="A511" t="s">
        <v>4285</v>
      </c>
      <c r="B511">
        <v>267.8</v>
      </c>
    </row>
    <row r="512" spans="1:3" x14ac:dyDescent="0.2">
      <c r="A512" t="s">
        <v>4286</v>
      </c>
      <c r="B512">
        <v>670</v>
      </c>
      <c r="C512">
        <v>347.3</v>
      </c>
    </row>
    <row r="513" spans="1:4" x14ac:dyDescent="0.2">
      <c r="A513" t="s">
        <v>4287</v>
      </c>
      <c r="B513">
        <v>663</v>
      </c>
      <c r="C513">
        <v>857.2</v>
      </c>
    </row>
    <row r="514" spans="1:4" x14ac:dyDescent="0.2">
      <c r="A514" t="s">
        <v>4288</v>
      </c>
      <c r="B514" t="s">
        <v>4289</v>
      </c>
      <c r="C514">
        <v>757</v>
      </c>
      <c r="D514">
        <v>161.30000000000001</v>
      </c>
    </row>
    <row r="515" spans="1:4" x14ac:dyDescent="0.2">
      <c r="A515" t="s">
        <v>4290</v>
      </c>
      <c r="B515">
        <v>57</v>
      </c>
      <c r="C515">
        <v>870.4</v>
      </c>
    </row>
    <row r="516" spans="1:4" x14ac:dyDescent="0.2">
      <c r="A516" t="s">
        <v>4291</v>
      </c>
      <c r="B516">
        <v>635.4</v>
      </c>
    </row>
    <row r="517" spans="1:4" x14ac:dyDescent="0.2">
      <c r="A517" t="s">
        <v>4292</v>
      </c>
      <c r="B517">
        <v>739.3</v>
      </c>
    </row>
    <row r="518" spans="1:4" x14ac:dyDescent="0.2">
      <c r="A518" t="s">
        <v>4293</v>
      </c>
      <c r="B518">
        <v>842.6</v>
      </c>
    </row>
    <row r="519" spans="1:4" x14ac:dyDescent="0.2">
      <c r="A519" t="s">
        <v>4294</v>
      </c>
      <c r="B519">
        <v>895.4</v>
      </c>
    </row>
    <row r="520" spans="1:4" x14ac:dyDescent="0.2">
      <c r="A520" t="s">
        <v>4295</v>
      </c>
      <c r="B520">
        <v>365.4</v>
      </c>
    </row>
    <row r="521" spans="1:4" x14ac:dyDescent="0.2">
      <c r="A521" t="s">
        <v>4296</v>
      </c>
      <c r="B521">
        <v>903</v>
      </c>
    </row>
    <row r="522" spans="1:4" x14ac:dyDescent="0.2">
      <c r="A522" t="s">
        <v>4297</v>
      </c>
      <c r="B522">
        <v>561.79999999999995</v>
      </c>
    </row>
    <row r="523" spans="1:4" x14ac:dyDescent="0.2">
      <c r="A523" t="s">
        <v>4298</v>
      </c>
      <c r="B523" t="s">
        <v>4299</v>
      </c>
      <c r="C523">
        <v>759.3</v>
      </c>
    </row>
    <row r="524" spans="1:4" x14ac:dyDescent="0.2">
      <c r="A524" t="s">
        <v>4298</v>
      </c>
      <c r="B524" t="s">
        <v>4300</v>
      </c>
      <c r="C524" t="s">
        <v>4301</v>
      </c>
      <c r="D524">
        <v>692</v>
      </c>
    </row>
    <row r="525" spans="1:4" x14ac:dyDescent="0.2">
      <c r="A525" t="s">
        <v>4298</v>
      </c>
      <c r="B525" t="s">
        <v>4302</v>
      </c>
      <c r="C525">
        <v>428.6</v>
      </c>
    </row>
    <row r="526" spans="1:4" x14ac:dyDescent="0.2">
      <c r="A526" t="s">
        <v>4298</v>
      </c>
      <c r="B526" t="s">
        <v>4303</v>
      </c>
      <c r="C526">
        <v>669</v>
      </c>
      <c r="D526">
        <v>147.5</v>
      </c>
    </row>
    <row r="527" spans="1:4" x14ac:dyDescent="0.2">
      <c r="A527" t="s">
        <v>4298</v>
      </c>
      <c r="B527" t="s">
        <v>4304</v>
      </c>
      <c r="C527">
        <v>173</v>
      </c>
    </row>
    <row r="528" spans="1:4" x14ac:dyDescent="0.2">
      <c r="A528" t="s">
        <v>4305</v>
      </c>
      <c r="B528">
        <v>962</v>
      </c>
      <c r="C528">
        <v>869.4</v>
      </c>
    </row>
    <row r="529" spans="1:4" x14ac:dyDescent="0.2">
      <c r="A529" t="s">
        <v>4306</v>
      </c>
      <c r="B529">
        <v>891</v>
      </c>
      <c r="C529">
        <v>657.5</v>
      </c>
    </row>
    <row r="530" spans="1:4" x14ac:dyDescent="0.2">
      <c r="A530" t="s">
        <v>4307</v>
      </c>
      <c r="B530">
        <v>380</v>
      </c>
      <c r="C530">
        <v>106.4</v>
      </c>
    </row>
    <row r="531" spans="1:4" x14ac:dyDescent="0.2">
      <c r="A531" t="s">
        <v>4308</v>
      </c>
      <c r="B531">
        <v>178</v>
      </c>
      <c r="C531">
        <v>80.8</v>
      </c>
    </row>
    <row r="532" spans="1:4" x14ac:dyDescent="0.2">
      <c r="A532" t="s">
        <v>4309</v>
      </c>
      <c r="B532">
        <v>933.8</v>
      </c>
    </row>
    <row r="533" spans="1:4" x14ac:dyDescent="0.2">
      <c r="A533" t="s">
        <v>4310</v>
      </c>
      <c r="B533">
        <v>170</v>
      </c>
      <c r="C533">
        <v>534.1</v>
      </c>
    </row>
    <row r="534" spans="1:4" x14ac:dyDescent="0.2">
      <c r="A534" t="s">
        <v>4311</v>
      </c>
      <c r="B534">
        <v>305</v>
      </c>
      <c r="C534">
        <v>318.8</v>
      </c>
    </row>
    <row r="535" spans="1:4" x14ac:dyDescent="0.2">
      <c r="A535" t="s">
        <v>4312</v>
      </c>
      <c r="B535">
        <v>11.6</v>
      </c>
    </row>
    <row r="536" spans="1:4" x14ac:dyDescent="0.2">
      <c r="A536" t="s">
        <v>4313</v>
      </c>
      <c r="B536">
        <v>104</v>
      </c>
      <c r="C536">
        <v>430.6</v>
      </c>
    </row>
    <row r="537" spans="1:4" x14ac:dyDescent="0.2">
      <c r="A537" t="s">
        <v>4314</v>
      </c>
      <c r="B537">
        <v>638</v>
      </c>
      <c r="C537">
        <v>295.2</v>
      </c>
    </row>
    <row r="538" spans="1:4" x14ac:dyDescent="0.2">
      <c r="A538" t="s">
        <v>4315</v>
      </c>
      <c r="B538">
        <v>530</v>
      </c>
      <c r="C538">
        <v>800</v>
      </c>
    </row>
    <row r="539" spans="1:4" x14ac:dyDescent="0.2">
      <c r="A539" t="s">
        <v>4316</v>
      </c>
      <c r="B539" t="s">
        <v>4317</v>
      </c>
      <c r="C539">
        <v>567</v>
      </c>
      <c r="D539">
        <v>378.5</v>
      </c>
    </row>
    <row r="540" spans="1:4" x14ac:dyDescent="0.2">
      <c r="A540" t="s">
        <v>4316</v>
      </c>
      <c r="B540" t="s">
        <v>4318</v>
      </c>
      <c r="C540">
        <v>529</v>
      </c>
      <c r="D540">
        <v>568</v>
      </c>
    </row>
    <row r="541" spans="1:4" x14ac:dyDescent="0.2">
      <c r="A541" t="s">
        <v>4316</v>
      </c>
      <c r="B541" t="s">
        <v>4319</v>
      </c>
      <c r="C541">
        <v>99</v>
      </c>
      <c r="D541">
        <v>750.4</v>
      </c>
    </row>
    <row r="542" spans="1:4" x14ac:dyDescent="0.2">
      <c r="A542" t="s">
        <v>4316</v>
      </c>
      <c r="B542" t="s">
        <v>4320</v>
      </c>
      <c r="C542">
        <v>61</v>
      </c>
      <c r="D542">
        <v>98.4</v>
      </c>
    </row>
    <row r="543" spans="1:4" x14ac:dyDescent="0.2">
      <c r="A543" t="s">
        <v>4316</v>
      </c>
      <c r="B543" t="s">
        <v>4321</v>
      </c>
      <c r="C543">
        <v>13</v>
      </c>
      <c r="D543">
        <v>985.2</v>
      </c>
    </row>
    <row r="544" spans="1:4" x14ac:dyDescent="0.2">
      <c r="A544" t="s">
        <v>4316</v>
      </c>
      <c r="B544" t="s">
        <v>4322</v>
      </c>
      <c r="C544">
        <v>651.20000000000005</v>
      </c>
    </row>
    <row r="545" spans="1:4" x14ac:dyDescent="0.2">
      <c r="A545" t="s">
        <v>4323</v>
      </c>
      <c r="B545">
        <v>953.6</v>
      </c>
    </row>
    <row r="546" spans="1:4" x14ac:dyDescent="0.2">
      <c r="A546" t="s">
        <v>4324</v>
      </c>
      <c r="B546">
        <v>155.1</v>
      </c>
    </row>
    <row r="547" spans="1:4" x14ac:dyDescent="0.2">
      <c r="A547" t="s">
        <v>4325</v>
      </c>
      <c r="B547">
        <v>781.2</v>
      </c>
    </row>
    <row r="548" spans="1:4" x14ac:dyDescent="0.2">
      <c r="A548" t="s">
        <v>2073</v>
      </c>
    </row>
    <row r="549" spans="1:4" x14ac:dyDescent="0.2">
      <c r="A549" t="s">
        <v>4326</v>
      </c>
      <c r="B549" t="s">
        <v>4327</v>
      </c>
      <c r="C549">
        <v>993.2</v>
      </c>
    </row>
    <row r="550" spans="1:4" x14ac:dyDescent="0.2">
      <c r="A550" t="s">
        <v>4326</v>
      </c>
      <c r="B550" t="s">
        <v>4328</v>
      </c>
      <c r="C550">
        <v>294</v>
      </c>
      <c r="D550">
        <v>75.7</v>
      </c>
    </row>
    <row r="551" spans="1:4" x14ac:dyDescent="0.2">
      <c r="A551" t="s">
        <v>4326</v>
      </c>
      <c r="B551" t="s">
        <v>4329</v>
      </c>
      <c r="C551">
        <v>788</v>
      </c>
    </row>
    <row r="552" spans="1:4" x14ac:dyDescent="0.2">
      <c r="A552" t="s">
        <v>4326</v>
      </c>
      <c r="B552" t="s">
        <v>4330</v>
      </c>
      <c r="C552">
        <v>39</v>
      </c>
      <c r="D552">
        <v>751.9</v>
      </c>
    </row>
    <row r="553" spans="1:4" x14ac:dyDescent="0.2">
      <c r="A553" t="s">
        <v>4326</v>
      </c>
      <c r="B553" t="s">
        <v>4331</v>
      </c>
      <c r="C553">
        <v>867.8</v>
      </c>
    </row>
    <row r="554" spans="1:4" x14ac:dyDescent="0.2">
      <c r="A554" t="s">
        <v>4413</v>
      </c>
      <c r="B554">
        <v>554.4</v>
      </c>
    </row>
    <row r="555" spans="1:4" x14ac:dyDescent="0.2">
      <c r="A555" t="s">
        <v>4414</v>
      </c>
      <c r="B555">
        <v>578.1</v>
      </c>
    </row>
    <row r="556" spans="1:4" x14ac:dyDescent="0.2">
      <c r="A556" t="s">
        <v>4415</v>
      </c>
      <c r="B556">
        <v>287.5</v>
      </c>
    </row>
    <row r="557" spans="1:4" x14ac:dyDescent="0.2">
      <c r="A557" t="s">
        <v>4416</v>
      </c>
      <c r="B557">
        <v>25</v>
      </c>
      <c r="C557">
        <v>670.7</v>
      </c>
    </row>
    <row r="558" spans="1:4" x14ac:dyDescent="0.2">
      <c r="A558" t="s">
        <v>4417</v>
      </c>
      <c r="B558">
        <v>410</v>
      </c>
      <c r="C558">
        <v>765.1</v>
      </c>
    </row>
    <row r="559" spans="1:4" x14ac:dyDescent="0.2">
      <c r="A559" t="s">
        <v>4418</v>
      </c>
      <c r="B559">
        <v>964.6</v>
      </c>
    </row>
    <row r="560" spans="1:4" x14ac:dyDescent="0.2">
      <c r="A560" t="s">
        <v>4419</v>
      </c>
      <c r="B560" t="s">
        <v>4420</v>
      </c>
      <c r="C560">
        <v>119.8</v>
      </c>
    </row>
    <row r="561" spans="1:5" x14ac:dyDescent="0.2">
      <c r="A561" t="s">
        <v>4419</v>
      </c>
      <c r="B561" t="s">
        <v>4421</v>
      </c>
      <c r="C561">
        <v>708</v>
      </c>
      <c r="D561">
        <v>597.9</v>
      </c>
    </row>
    <row r="562" spans="1:5" x14ac:dyDescent="0.2">
      <c r="A562" t="s">
        <v>4419</v>
      </c>
      <c r="B562" t="s">
        <v>4422</v>
      </c>
      <c r="C562">
        <v>700</v>
      </c>
      <c r="D562">
        <v>840.9</v>
      </c>
    </row>
    <row r="563" spans="1:5" x14ac:dyDescent="0.2">
      <c r="A563" t="s">
        <v>4423</v>
      </c>
      <c r="B563">
        <v>945.8</v>
      </c>
    </row>
    <row r="564" spans="1:5" x14ac:dyDescent="0.2">
      <c r="A564" t="s">
        <v>2084</v>
      </c>
    </row>
    <row r="565" spans="1:5" x14ac:dyDescent="0.2">
      <c r="A565" t="s">
        <v>4424</v>
      </c>
      <c r="B565">
        <v>230.1</v>
      </c>
    </row>
    <row r="566" spans="1:5" x14ac:dyDescent="0.2">
      <c r="A566" t="s">
        <v>4425</v>
      </c>
      <c r="B566">
        <v>803</v>
      </c>
      <c r="C566">
        <v>591.20000000000005</v>
      </c>
    </row>
    <row r="567" spans="1:5" x14ac:dyDescent="0.2">
      <c r="A567" t="s">
        <v>4426</v>
      </c>
      <c r="B567">
        <v>32.6</v>
      </c>
    </row>
    <row r="568" spans="1:5" x14ac:dyDescent="0.2">
      <c r="A568" t="s">
        <v>4427</v>
      </c>
      <c r="B568">
        <v>522</v>
      </c>
      <c r="C568">
        <v>247.8</v>
      </c>
    </row>
    <row r="569" spans="1:5" x14ac:dyDescent="0.2">
      <c r="A569" t="s">
        <v>4428</v>
      </c>
      <c r="B569" t="s">
        <v>4429</v>
      </c>
      <c r="C569">
        <v>19</v>
      </c>
      <c r="D569">
        <v>758.6</v>
      </c>
    </row>
    <row r="570" spans="1:5" x14ac:dyDescent="0.2">
      <c r="A570" t="s">
        <v>4430</v>
      </c>
      <c r="B570">
        <v>239.5</v>
      </c>
    </row>
    <row r="571" spans="1:5" x14ac:dyDescent="0.2">
      <c r="A571" t="s">
        <v>4431</v>
      </c>
      <c r="B571">
        <v>582.9</v>
      </c>
    </row>
    <row r="572" spans="1:5" x14ac:dyDescent="0.2">
      <c r="A572" t="s">
        <v>4432</v>
      </c>
      <c r="B572">
        <v>957</v>
      </c>
    </row>
    <row r="573" spans="1:5" x14ac:dyDescent="0.2">
      <c r="A573" t="s">
        <v>4433</v>
      </c>
      <c r="B573">
        <v>392</v>
      </c>
      <c r="C573">
        <v>955.1</v>
      </c>
    </row>
    <row r="574" spans="1:5" x14ac:dyDescent="0.2">
      <c r="A574" t="s">
        <v>4434</v>
      </c>
      <c r="B574" t="s">
        <v>4435</v>
      </c>
      <c r="C574" t="s">
        <v>4436</v>
      </c>
      <c r="D574">
        <v>724</v>
      </c>
      <c r="E574">
        <v>111.8</v>
      </c>
    </row>
    <row r="575" spans="1:5" x14ac:dyDescent="0.2">
      <c r="A575" t="s">
        <v>4437</v>
      </c>
      <c r="B575">
        <v>932.5</v>
      </c>
    </row>
    <row r="576" spans="1:5" x14ac:dyDescent="0.2">
      <c r="A576" t="s">
        <v>4438</v>
      </c>
      <c r="B576">
        <v>667.6</v>
      </c>
    </row>
    <row r="577" spans="1:3" x14ac:dyDescent="0.2">
      <c r="A577" t="s">
        <v>4439</v>
      </c>
      <c r="B577">
        <v>362.4</v>
      </c>
    </row>
    <row r="578" spans="1:3" x14ac:dyDescent="0.2">
      <c r="A578" t="s">
        <v>4440</v>
      </c>
      <c r="B578">
        <v>79.599999999999994</v>
      </c>
    </row>
    <row r="579" spans="1:3" x14ac:dyDescent="0.2">
      <c r="A579" t="s">
        <v>4441</v>
      </c>
      <c r="B579">
        <v>654.4</v>
      </c>
    </row>
    <row r="580" spans="1:3" x14ac:dyDescent="0.2">
      <c r="A580" t="s">
        <v>4442</v>
      </c>
      <c r="B580">
        <v>246</v>
      </c>
      <c r="C580">
        <v>762.8</v>
      </c>
    </row>
    <row r="581" spans="1:3" x14ac:dyDescent="0.2">
      <c r="A581" t="s">
        <v>4443</v>
      </c>
      <c r="B581">
        <v>105</v>
      </c>
      <c r="C581">
        <v>80.900000000000006</v>
      </c>
    </row>
    <row r="582" spans="1:3" x14ac:dyDescent="0.2">
      <c r="A582" t="s">
        <v>4444</v>
      </c>
      <c r="B582">
        <v>614.5</v>
      </c>
    </row>
    <row r="583" spans="1:3" x14ac:dyDescent="0.2">
      <c r="A583" t="s">
        <v>4445</v>
      </c>
      <c r="B583">
        <v>991.7</v>
      </c>
    </row>
    <row r="584" spans="1:3" x14ac:dyDescent="0.2">
      <c r="A584" t="s">
        <v>4446</v>
      </c>
      <c r="B584">
        <v>453.6</v>
      </c>
    </row>
    <row r="585" spans="1:3" x14ac:dyDescent="0.2">
      <c r="A585" t="s">
        <v>4447</v>
      </c>
      <c r="B585">
        <v>720.4</v>
      </c>
    </row>
    <row r="586" spans="1:3" x14ac:dyDescent="0.2">
      <c r="A586" t="s">
        <v>4448</v>
      </c>
      <c r="B586">
        <v>785.3</v>
      </c>
    </row>
    <row r="587" spans="1:3" x14ac:dyDescent="0.2">
      <c r="A587" t="s">
        <v>4449</v>
      </c>
      <c r="B587">
        <v>94.2</v>
      </c>
    </row>
    <row r="588" spans="1:3" x14ac:dyDescent="0.2">
      <c r="A588" t="s">
        <v>4450</v>
      </c>
      <c r="B588">
        <v>136.19999999999999</v>
      </c>
    </row>
    <row r="589" spans="1:3" x14ac:dyDescent="0.2">
      <c r="A589" t="s">
        <v>4451</v>
      </c>
      <c r="B589">
        <v>643.5</v>
      </c>
    </row>
    <row r="590" spans="1:3" x14ac:dyDescent="0.2">
      <c r="A590" t="s">
        <v>4452</v>
      </c>
      <c r="B590">
        <v>838.1</v>
      </c>
    </row>
    <row r="591" spans="1:3" x14ac:dyDescent="0.2">
      <c r="A591" t="s">
        <v>4453</v>
      </c>
      <c r="B591">
        <v>252.2</v>
      </c>
    </row>
    <row r="592" spans="1:3" x14ac:dyDescent="0.2">
      <c r="A592" t="s">
        <v>4454</v>
      </c>
      <c r="B592">
        <v>853.2</v>
      </c>
    </row>
    <row r="593" spans="1:4" x14ac:dyDescent="0.2">
      <c r="A593" t="s">
        <v>4455</v>
      </c>
      <c r="B593">
        <v>997.1</v>
      </c>
    </row>
    <row r="594" spans="1:4" x14ac:dyDescent="0.2">
      <c r="A594" t="s">
        <v>4456</v>
      </c>
      <c r="B594">
        <v>913.3</v>
      </c>
    </row>
    <row r="595" spans="1:4" x14ac:dyDescent="0.2">
      <c r="A595" t="s">
        <v>4457</v>
      </c>
      <c r="B595">
        <v>197.4</v>
      </c>
    </row>
    <row r="596" spans="1:4" x14ac:dyDescent="0.2">
      <c r="A596" t="s">
        <v>4458</v>
      </c>
      <c r="B596" t="s">
        <v>4459</v>
      </c>
      <c r="C596">
        <v>748.5</v>
      </c>
    </row>
    <row r="597" spans="1:4" x14ac:dyDescent="0.2">
      <c r="A597" t="s">
        <v>4458</v>
      </c>
      <c r="B597" t="s">
        <v>4460</v>
      </c>
      <c r="C597">
        <v>484.5</v>
      </c>
    </row>
    <row r="598" spans="1:4" x14ac:dyDescent="0.2">
      <c r="A598" t="s">
        <v>4461</v>
      </c>
      <c r="B598">
        <v>534.1</v>
      </c>
    </row>
    <row r="599" spans="1:4" x14ac:dyDescent="0.2">
      <c r="A599" t="s">
        <v>4462</v>
      </c>
      <c r="B599" t="s">
        <v>4463</v>
      </c>
      <c r="C599">
        <v>210</v>
      </c>
      <c r="D599">
        <v>859.2</v>
      </c>
    </row>
    <row r="600" spans="1:4" x14ac:dyDescent="0.2">
      <c r="A600" t="s">
        <v>4462</v>
      </c>
      <c r="B600" t="s">
        <v>4464</v>
      </c>
      <c r="C600">
        <v>520.6</v>
      </c>
    </row>
    <row r="601" spans="1:4" x14ac:dyDescent="0.2">
      <c r="A601" t="s">
        <v>4462</v>
      </c>
      <c r="B601" t="s">
        <v>4465</v>
      </c>
      <c r="C601">
        <v>621.29999999999995</v>
      </c>
    </row>
    <row r="602" spans="1:4" x14ac:dyDescent="0.2">
      <c r="A602" t="s">
        <v>4462</v>
      </c>
      <c r="B602" t="s">
        <v>4466</v>
      </c>
      <c r="C602">
        <v>522.29999999999995</v>
      </c>
    </row>
    <row r="603" spans="1:4" x14ac:dyDescent="0.2">
      <c r="A603" t="s">
        <v>4462</v>
      </c>
      <c r="B603" t="s">
        <v>4467</v>
      </c>
      <c r="C603">
        <v>0</v>
      </c>
    </row>
    <row r="604" spans="1:4" x14ac:dyDescent="0.2">
      <c r="A604" t="s">
        <v>4468</v>
      </c>
      <c r="B604">
        <v>993.7</v>
      </c>
    </row>
    <row r="605" spans="1:4" x14ac:dyDescent="0.2">
      <c r="A605" t="s">
        <v>4469</v>
      </c>
      <c r="B605">
        <v>435.1</v>
      </c>
    </row>
    <row r="606" spans="1:4" x14ac:dyDescent="0.2">
      <c r="A606" t="s">
        <v>4470</v>
      </c>
      <c r="B606">
        <v>540.70000000000005</v>
      </c>
    </row>
    <row r="607" spans="1:4" x14ac:dyDescent="0.2">
      <c r="A607" t="s">
        <v>4471</v>
      </c>
      <c r="B607">
        <v>116.2</v>
      </c>
    </row>
    <row r="608" spans="1:4" x14ac:dyDescent="0.2">
      <c r="A608" t="s">
        <v>4472</v>
      </c>
      <c r="B608">
        <v>560</v>
      </c>
    </row>
    <row r="609" spans="1:4" x14ac:dyDescent="0.2">
      <c r="A609" t="s">
        <v>4473</v>
      </c>
      <c r="B609" t="s">
        <v>4474</v>
      </c>
      <c r="C609">
        <v>253.4</v>
      </c>
    </row>
    <row r="610" spans="1:4" x14ac:dyDescent="0.2">
      <c r="A610" t="s">
        <v>4475</v>
      </c>
      <c r="B610">
        <v>423.8</v>
      </c>
    </row>
    <row r="611" spans="1:4" x14ac:dyDescent="0.2">
      <c r="A611" t="s">
        <v>4476</v>
      </c>
      <c r="B611">
        <v>686</v>
      </c>
    </row>
    <row r="612" spans="1:4" x14ac:dyDescent="0.2">
      <c r="A612" t="s">
        <v>4477</v>
      </c>
      <c r="B612" t="s">
        <v>4478</v>
      </c>
      <c r="C612">
        <v>161.69999999999999</v>
      </c>
    </row>
    <row r="613" spans="1:4" x14ac:dyDescent="0.2">
      <c r="A613" t="s">
        <v>4479</v>
      </c>
      <c r="B613">
        <v>488.1</v>
      </c>
    </row>
    <row r="614" spans="1:4" x14ac:dyDescent="0.2">
      <c r="A614" t="s">
        <v>4480</v>
      </c>
      <c r="B614">
        <v>662.6</v>
      </c>
    </row>
    <row r="615" spans="1:4" x14ac:dyDescent="0.2">
      <c r="A615" t="s">
        <v>4481</v>
      </c>
      <c r="B615">
        <v>608.20000000000005</v>
      </c>
    </row>
    <row r="616" spans="1:4" x14ac:dyDescent="0.2">
      <c r="A616" t="s">
        <v>4482</v>
      </c>
      <c r="B616">
        <v>484.9</v>
      </c>
    </row>
    <row r="617" spans="1:4" x14ac:dyDescent="0.2">
      <c r="A617" t="s">
        <v>4483</v>
      </c>
      <c r="B617">
        <v>94.1</v>
      </c>
    </row>
    <row r="618" spans="1:4" x14ac:dyDescent="0.2">
      <c r="A618" t="s">
        <v>4484</v>
      </c>
      <c r="B618">
        <v>289</v>
      </c>
    </row>
    <row r="619" spans="1:4" x14ac:dyDescent="0.2">
      <c r="A619" t="s">
        <v>4485</v>
      </c>
      <c r="B619">
        <v>91.4</v>
      </c>
    </row>
    <row r="620" spans="1:4" x14ac:dyDescent="0.2">
      <c r="A620" t="s">
        <v>4486</v>
      </c>
      <c r="B620">
        <v>904.2</v>
      </c>
    </row>
    <row r="621" spans="1:4" x14ac:dyDescent="0.2">
      <c r="A621" t="s">
        <v>4487</v>
      </c>
      <c r="B621">
        <v>630.4</v>
      </c>
    </row>
    <row r="622" spans="1:4" x14ac:dyDescent="0.2">
      <c r="A622" t="s">
        <v>4488</v>
      </c>
      <c r="B622">
        <v>952.6</v>
      </c>
    </row>
    <row r="623" spans="1:4" x14ac:dyDescent="0.2">
      <c r="A623" t="s">
        <v>4489</v>
      </c>
      <c r="B623" t="s">
        <v>4490</v>
      </c>
      <c r="C623">
        <v>244</v>
      </c>
      <c r="D623">
        <v>130.4</v>
      </c>
    </row>
    <row r="624" spans="1:4" x14ac:dyDescent="0.2">
      <c r="A624" t="s">
        <v>4491</v>
      </c>
      <c r="B624">
        <v>250.4</v>
      </c>
    </row>
    <row r="625" spans="1:17" x14ac:dyDescent="0.2">
      <c r="A625" t="s">
        <v>4492</v>
      </c>
      <c r="B625">
        <v>139.69999999999999</v>
      </c>
    </row>
    <row r="626" spans="1:17" x14ac:dyDescent="0.2">
      <c r="A626" t="s">
        <v>4493</v>
      </c>
      <c r="B626">
        <v>0</v>
      </c>
    </row>
    <row r="627" spans="1:17" x14ac:dyDescent="0.2">
      <c r="A627" t="s">
        <v>4494</v>
      </c>
      <c r="B627">
        <v>19.3</v>
      </c>
    </row>
    <row r="628" spans="1:17" x14ac:dyDescent="0.2">
      <c r="A628" t="s">
        <v>4495</v>
      </c>
      <c r="B628">
        <v>260.60000000000002</v>
      </c>
    </row>
    <row r="629" spans="1:17" x14ac:dyDescent="0.2">
      <c r="A629" t="s">
        <v>4496</v>
      </c>
      <c r="B629">
        <v>215.1</v>
      </c>
    </row>
    <row r="631" spans="1:17" ht="80" x14ac:dyDescent="0.2">
      <c r="A631" t="s">
        <v>4497</v>
      </c>
      <c r="B631">
        <v>444</v>
      </c>
      <c r="C631" t="s">
        <v>4498</v>
      </c>
      <c r="D631">
        <v>104672</v>
      </c>
      <c r="E631">
        <v>2</v>
      </c>
      <c r="F631" s="122" t="s">
        <v>4499</v>
      </c>
      <c r="G631" s="122" t="s">
        <v>2039</v>
      </c>
    </row>
    <row r="632" spans="1:17" ht="64" x14ac:dyDescent="0.2">
      <c r="A632" t="s">
        <v>3990</v>
      </c>
      <c r="B632" t="s">
        <v>4407</v>
      </c>
      <c r="C632">
        <v>8</v>
      </c>
      <c r="D632" t="s">
        <v>1433</v>
      </c>
      <c r="E632" t="s">
        <v>1440</v>
      </c>
      <c r="F632" s="122" t="s">
        <v>1441</v>
      </c>
      <c r="G632" s="122" t="s">
        <v>1470</v>
      </c>
      <c r="H632" s="122" t="s">
        <v>4500</v>
      </c>
    </row>
    <row r="634" spans="1:17" ht="16" x14ac:dyDescent="0.2">
      <c r="A634" t="s">
        <v>4501</v>
      </c>
      <c r="B634" t="s">
        <v>4502</v>
      </c>
      <c r="C634">
        <v>170</v>
      </c>
      <c r="D634" t="s">
        <v>4345</v>
      </c>
      <c r="E634">
        <v>305</v>
      </c>
      <c r="F634" s="122" t="s">
        <v>4346</v>
      </c>
      <c r="G634" s="122" t="s">
        <v>4347</v>
      </c>
      <c r="H634" s="122">
        <v>104</v>
      </c>
      <c r="I634" t="s">
        <v>4348</v>
      </c>
      <c r="J634">
        <v>638</v>
      </c>
      <c r="K634" s="122" t="s">
        <v>4503</v>
      </c>
      <c r="L634">
        <v>530</v>
      </c>
      <c r="M634" t="s">
        <v>4504</v>
      </c>
      <c r="N634">
        <v>588</v>
      </c>
      <c r="O634" t="s">
        <v>4505</v>
      </c>
      <c r="P634">
        <v>531</v>
      </c>
      <c r="Q634" t="s">
        <v>4506</v>
      </c>
    </row>
    <row r="635" spans="1:17" ht="16" x14ac:dyDescent="0.2">
      <c r="A635" t="s">
        <v>4507</v>
      </c>
      <c r="B635">
        <v>962</v>
      </c>
      <c r="C635" t="s">
        <v>4338</v>
      </c>
      <c r="D635">
        <v>891</v>
      </c>
      <c r="E635" t="s">
        <v>4339</v>
      </c>
      <c r="F635" s="122">
        <v>380</v>
      </c>
      <c r="G635" s="122" t="s">
        <v>4340</v>
      </c>
      <c r="H635" s="122">
        <v>178</v>
      </c>
      <c r="I635" t="s">
        <v>4508</v>
      </c>
      <c r="J635">
        <v>12</v>
      </c>
      <c r="K635" s="122" t="s">
        <v>4509</v>
      </c>
      <c r="L635">
        <v>424</v>
      </c>
      <c r="M635" t="s">
        <v>4510</v>
      </c>
    </row>
    <row r="637" spans="1:17" x14ac:dyDescent="0.2">
      <c r="A637" t="s">
        <v>4511</v>
      </c>
      <c r="B637">
        <v>104672</v>
      </c>
      <c r="C637">
        <v>3</v>
      </c>
      <c r="D637" t="s">
        <v>4512</v>
      </c>
      <c r="E637" t="s">
        <v>2039</v>
      </c>
    </row>
    <row r="638" spans="1:17" ht="128" x14ac:dyDescent="0.2">
      <c r="A638" t="s">
        <v>3990</v>
      </c>
      <c r="B638" t="s">
        <v>4407</v>
      </c>
      <c r="C638">
        <v>9</v>
      </c>
      <c r="D638" t="s">
        <v>1433</v>
      </c>
      <c r="E638" t="s">
        <v>1440</v>
      </c>
      <c r="F638" s="122" t="s">
        <v>1443</v>
      </c>
      <c r="G638" s="122" t="s">
        <v>1477</v>
      </c>
      <c r="H638" s="122" t="s">
        <v>4513</v>
      </c>
      <c r="I638">
        <v>104672</v>
      </c>
      <c r="J638">
        <v>0</v>
      </c>
      <c r="K638" s="122" t="s">
        <v>4514</v>
      </c>
      <c r="L638" t="s">
        <v>2039</v>
      </c>
    </row>
    <row r="639" spans="1:17" ht="112" x14ac:dyDescent="0.2">
      <c r="A639" t="s">
        <v>3990</v>
      </c>
      <c r="B639" t="s">
        <v>4407</v>
      </c>
      <c r="C639">
        <v>10</v>
      </c>
      <c r="D639" t="s">
        <v>1433</v>
      </c>
      <c r="E639" t="s">
        <v>1421</v>
      </c>
      <c r="F639" s="122" t="s">
        <v>1445</v>
      </c>
      <c r="G639" s="122" t="s">
        <v>1446</v>
      </c>
      <c r="H639" s="122" t="s">
        <v>4357</v>
      </c>
      <c r="I639">
        <v>104672</v>
      </c>
      <c r="J639">
        <v>3</v>
      </c>
      <c r="K639" s="122" t="s">
        <v>4515</v>
      </c>
      <c r="L639" t="s">
        <v>2039</v>
      </c>
    </row>
    <row r="640" spans="1:17" ht="96" x14ac:dyDescent="0.2">
      <c r="A640" t="s">
        <v>3990</v>
      </c>
      <c r="B640" t="s">
        <v>4407</v>
      </c>
      <c r="C640">
        <v>11</v>
      </c>
      <c r="D640" t="s">
        <v>1433</v>
      </c>
      <c r="E640" t="s">
        <v>1447</v>
      </c>
      <c r="F640" s="122" t="s">
        <v>1448</v>
      </c>
      <c r="G640" s="122" t="s">
        <v>4011</v>
      </c>
      <c r="H640" s="122" t="s">
        <v>4166</v>
      </c>
      <c r="I640">
        <v>104672</v>
      </c>
      <c r="J640">
        <v>0</v>
      </c>
      <c r="K640" s="122" t="s">
        <v>4359</v>
      </c>
      <c r="L640" t="s">
        <v>2039</v>
      </c>
    </row>
    <row r="641" spans="1:12" ht="240" x14ac:dyDescent="0.2">
      <c r="A641" t="s">
        <v>3990</v>
      </c>
      <c r="B641" t="s">
        <v>4407</v>
      </c>
      <c r="C641">
        <v>12</v>
      </c>
      <c r="D641" t="s">
        <v>1433</v>
      </c>
      <c r="E641" t="s">
        <v>1434</v>
      </c>
      <c r="F641" s="122" t="s">
        <v>1450</v>
      </c>
      <c r="G641" s="196">
        <v>16881928.100000001</v>
      </c>
      <c r="H641" s="122" t="s">
        <v>4516</v>
      </c>
      <c r="I641">
        <v>104672</v>
      </c>
      <c r="J641">
        <v>0</v>
      </c>
      <c r="K641" s="122" t="s">
        <v>4517</v>
      </c>
      <c r="L641" t="s">
        <v>2039</v>
      </c>
    </row>
    <row r="642" spans="1:12" ht="48" x14ac:dyDescent="0.2">
      <c r="A642" t="s">
        <v>3990</v>
      </c>
      <c r="B642" t="s">
        <v>4407</v>
      </c>
      <c r="C642">
        <v>13</v>
      </c>
      <c r="D642" t="s">
        <v>1452</v>
      </c>
      <c r="E642" t="s">
        <v>1453</v>
      </c>
      <c r="F642" s="122" t="s">
        <v>1454</v>
      </c>
      <c r="G642" s="122">
        <v>19</v>
      </c>
      <c r="H642" s="122" t="s">
        <v>4518</v>
      </c>
    </row>
    <row r="644" spans="1:12" x14ac:dyDescent="0.2">
      <c r="A644" t="s">
        <v>1990</v>
      </c>
    </row>
    <row r="645" spans="1:12" x14ac:dyDescent="0.2">
      <c r="A645" t="s">
        <v>2178</v>
      </c>
    </row>
    <row r="646" spans="1:12" x14ac:dyDescent="0.2">
      <c r="A646" t="s">
        <v>2179</v>
      </c>
    </row>
    <row r="647" spans="1:12" x14ac:dyDescent="0.2">
      <c r="A647" t="s">
        <v>2180</v>
      </c>
    </row>
    <row r="648" spans="1:12" x14ac:dyDescent="0.2">
      <c r="A648" t="s">
        <v>2181</v>
      </c>
    </row>
    <row r="649" spans="1:12" x14ac:dyDescent="0.2">
      <c r="A649" t="s">
        <v>2182</v>
      </c>
    </row>
    <row r="650" spans="1:12" x14ac:dyDescent="0.2">
      <c r="A650" t="s">
        <v>2183</v>
      </c>
    </row>
    <row r="651" spans="1:12" x14ac:dyDescent="0.2">
      <c r="A651" t="s">
        <v>2184</v>
      </c>
    </row>
    <row r="652" spans="1:12" x14ac:dyDescent="0.2">
      <c r="A652" t="s">
        <v>2185</v>
      </c>
    </row>
    <row r="653" spans="1:12" x14ac:dyDescent="0.2">
      <c r="A653" t="s">
        <v>2186</v>
      </c>
    </row>
    <row r="654" spans="1:12" x14ac:dyDescent="0.2">
      <c r="A654" t="s">
        <v>2187</v>
      </c>
    </row>
    <row r="655" spans="1:12" x14ac:dyDescent="0.2">
      <c r="A655" t="s">
        <v>2188</v>
      </c>
    </row>
    <row r="656" spans="1:12" x14ac:dyDescent="0.2">
      <c r="A656" t="s">
        <v>2189</v>
      </c>
    </row>
    <row r="657" spans="1:12" x14ac:dyDescent="0.2">
      <c r="A657" t="s">
        <v>4519</v>
      </c>
      <c r="B657">
        <v>104672</v>
      </c>
      <c r="C657">
        <v>2</v>
      </c>
      <c r="D657" t="s">
        <v>4520</v>
      </c>
      <c r="E657" t="s">
        <v>2039</v>
      </c>
    </row>
    <row r="658" spans="1:12" ht="64" x14ac:dyDescent="0.2">
      <c r="A658" t="s">
        <v>3990</v>
      </c>
      <c r="B658" t="s">
        <v>4407</v>
      </c>
      <c r="C658">
        <v>14</v>
      </c>
      <c r="D658" t="s">
        <v>1452</v>
      </c>
      <c r="E658" t="s">
        <v>1453</v>
      </c>
      <c r="F658" s="122" t="s">
        <v>1455</v>
      </c>
      <c r="G658" s="122">
        <v>9</v>
      </c>
      <c r="H658" s="122" t="s">
        <v>4139</v>
      </c>
    </row>
    <row r="660" spans="1:12" x14ac:dyDescent="0.2">
      <c r="A660" t="s">
        <v>4521</v>
      </c>
      <c r="B660">
        <v>410</v>
      </c>
      <c r="C660" t="s">
        <v>4522</v>
      </c>
      <c r="D660">
        <v>957</v>
      </c>
      <c r="E660">
        <v>135.5</v>
      </c>
    </row>
    <row r="661" spans="1:12" x14ac:dyDescent="0.2">
      <c r="A661" t="s">
        <v>4523</v>
      </c>
      <c r="B661">
        <v>663</v>
      </c>
      <c r="C661" t="s">
        <v>4378</v>
      </c>
      <c r="D661">
        <v>194</v>
      </c>
      <c r="E661" t="s">
        <v>4524</v>
      </c>
    </row>
    <row r="662" spans="1:12" x14ac:dyDescent="0.2">
      <c r="A662" t="s">
        <v>4525</v>
      </c>
      <c r="B662" t="s">
        <v>4289</v>
      </c>
      <c r="C662">
        <v>757</v>
      </c>
      <c r="D662" t="s">
        <v>4381</v>
      </c>
      <c r="E662">
        <v>802</v>
      </c>
      <c r="F662" s="122">
        <v>316.2</v>
      </c>
    </row>
    <row r="663" spans="1:12" ht="16" x14ac:dyDescent="0.2">
      <c r="A663" t="s">
        <v>4526</v>
      </c>
      <c r="B663" t="s">
        <v>4527</v>
      </c>
      <c r="C663">
        <v>0</v>
      </c>
      <c r="D663" t="s">
        <v>4528</v>
      </c>
      <c r="E663">
        <v>441</v>
      </c>
      <c r="F663" s="122" t="s">
        <v>4529</v>
      </c>
    </row>
    <row r="665" spans="1:12" x14ac:dyDescent="0.2">
      <c r="A665" t="s">
        <v>2196</v>
      </c>
    </row>
    <row r="666" spans="1:12" x14ac:dyDescent="0.2">
      <c r="A666" t="s">
        <v>4521</v>
      </c>
      <c r="B666">
        <v>410</v>
      </c>
      <c r="C666" t="s">
        <v>4530</v>
      </c>
      <c r="D666">
        <v>957</v>
      </c>
      <c r="E666" t="s">
        <v>4531</v>
      </c>
    </row>
    <row r="667" spans="1:12" ht="16" x14ac:dyDescent="0.2">
      <c r="A667" t="s">
        <v>4532</v>
      </c>
      <c r="B667" t="s">
        <v>4289</v>
      </c>
      <c r="C667">
        <v>757</v>
      </c>
      <c r="D667" t="s">
        <v>4533</v>
      </c>
      <c r="E667">
        <v>802</v>
      </c>
      <c r="F667" s="122" t="s">
        <v>4534</v>
      </c>
    </row>
    <row r="669" spans="1:12" x14ac:dyDescent="0.2">
      <c r="A669" t="s">
        <v>4383</v>
      </c>
      <c r="B669">
        <v>104672</v>
      </c>
      <c r="C669">
        <v>0</v>
      </c>
      <c r="D669" t="s">
        <v>4535</v>
      </c>
      <c r="E669" t="s">
        <v>2039</v>
      </c>
    </row>
    <row r="670" spans="1:12" ht="64" x14ac:dyDescent="0.2">
      <c r="A670" t="s">
        <v>3990</v>
      </c>
      <c r="B670" t="s">
        <v>4407</v>
      </c>
      <c r="C670">
        <v>15</v>
      </c>
      <c r="D670" t="s">
        <v>1452</v>
      </c>
      <c r="E670" t="s">
        <v>1447</v>
      </c>
      <c r="F670" s="122" t="s">
        <v>1457</v>
      </c>
      <c r="G670" s="122">
        <v>50</v>
      </c>
      <c r="H670" s="122" t="s">
        <v>4096</v>
      </c>
      <c r="I670">
        <v>104672</v>
      </c>
      <c r="J670">
        <v>0</v>
      </c>
      <c r="K670" s="122" t="s">
        <v>4097</v>
      </c>
      <c r="L670" t="s">
        <v>2039</v>
      </c>
    </row>
    <row r="671" spans="1:12" ht="80" x14ac:dyDescent="0.2">
      <c r="A671" t="s">
        <v>3990</v>
      </c>
      <c r="B671" t="s">
        <v>4407</v>
      </c>
      <c r="C671">
        <v>16</v>
      </c>
      <c r="D671" t="s">
        <v>1452</v>
      </c>
      <c r="E671" t="s">
        <v>1434</v>
      </c>
      <c r="F671" s="122" t="s">
        <v>1458</v>
      </c>
      <c r="G671" s="122" t="s">
        <v>1497</v>
      </c>
      <c r="H671" s="122" t="s">
        <v>4385</v>
      </c>
      <c r="I671">
        <v>104672</v>
      </c>
      <c r="J671">
        <v>0</v>
      </c>
      <c r="K671" s="122" t="s">
        <v>4536</v>
      </c>
      <c r="L671" t="s">
        <v>2039</v>
      </c>
    </row>
    <row r="672" spans="1:12" ht="96" x14ac:dyDescent="0.2">
      <c r="A672" t="s">
        <v>3990</v>
      </c>
      <c r="B672" t="s">
        <v>4407</v>
      </c>
      <c r="C672">
        <v>17</v>
      </c>
      <c r="D672" t="s">
        <v>1452</v>
      </c>
      <c r="E672" t="s">
        <v>1421</v>
      </c>
      <c r="F672" s="122" t="s">
        <v>1460</v>
      </c>
      <c r="G672" s="122" t="s">
        <v>1500</v>
      </c>
      <c r="H672" s="122" t="s">
        <v>4537</v>
      </c>
      <c r="I672">
        <v>104672</v>
      </c>
      <c r="J672">
        <v>0</v>
      </c>
      <c r="K672" s="122" t="s">
        <v>4538</v>
      </c>
      <c r="L672" t="s">
        <v>2039</v>
      </c>
    </row>
    <row r="673" spans="1:12" ht="112" x14ac:dyDescent="0.2">
      <c r="A673" t="s">
        <v>3990</v>
      </c>
      <c r="B673" t="s">
        <v>4407</v>
      </c>
      <c r="C673">
        <v>18</v>
      </c>
      <c r="D673" t="s">
        <v>1452</v>
      </c>
      <c r="E673" t="s">
        <v>1440</v>
      </c>
      <c r="F673" s="122" t="s">
        <v>1462</v>
      </c>
      <c r="G673" s="122" t="s">
        <v>1502</v>
      </c>
      <c r="H673" s="122" t="s">
        <v>4539</v>
      </c>
      <c r="I673">
        <v>104672</v>
      </c>
      <c r="J673">
        <v>3</v>
      </c>
      <c r="K673" s="122" t="s">
        <v>4540</v>
      </c>
      <c r="L673" t="s">
        <v>2039</v>
      </c>
    </row>
    <row r="674" spans="1:12" ht="48" x14ac:dyDescent="0.2">
      <c r="A674" t="s">
        <v>3990</v>
      </c>
      <c r="B674" t="s">
        <v>4407</v>
      </c>
      <c r="C674">
        <v>19</v>
      </c>
      <c r="D674" t="s">
        <v>1452</v>
      </c>
      <c r="E674" t="s">
        <v>1464</v>
      </c>
      <c r="F674" s="122" t="s">
        <v>1465</v>
      </c>
      <c r="G674" s="122" t="s">
        <v>1503</v>
      </c>
      <c r="H674" s="122" t="s">
        <v>4541</v>
      </c>
    </row>
    <row r="675" spans="1:12" x14ac:dyDescent="0.2">
      <c r="A675" t="s">
        <v>4542</v>
      </c>
      <c r="B675">
        <v>104672</v>
      </c>
      <c r="C675">
        <v>0</v>
      </c>
      <c r="D675" t="s">
        <v>4177</v>
      </c>
      <c r="E675" t="s">
        <v>2039</v>
      </c>
    </row>
    <row r="676" spans="1:12" ht="128" x14ac:dyDescent="0.2">
      <c r="A676" t="s">
        <v>3990</v>
      </c>
      <c r="B676" t="s">
        <v>4407</v>
      </c>
      <c r="C676">
        <v>20</v>
      </c>
      <c r="D676" t="s">
        <v>1452</v>
      </c>
      <c r="E676" t="s">
        <v>1464</v>
      </c>
      <c r="F676" s="122" t="s">
        <v>1467</v>
      </c>
      <c r="G676" s="122" t="s">
        <v>1513</v>
      </c>
      <c r="H676" s="122" t="s">
        <v>2217</v>
      </c>
    </row>
    <row r="677" spans="1:12" x14ac:dyDescent="0.2">
      <c r="A677" t="s">
        <v>4543</v>
      </c>
      <c r="B677">
        <v>737</v>
      </c>
      <c r="C677" t="s">
        <v>4544</v>
      </c>
    </row>
    <row r="678" spans="1:12" x14ac:dyDescent="0.2">
      <c r="A678" t="s">
        <v>4545</v>
      </c>
      <c r="B678" t="s">
        <v>4546</v>
      </c>
    </row>
    <row r="679" spans="1:12" x14ac:dyDescent="0.2">
      <c r="A679" t="s">
        <v>4547</v>
      </c>
      <c r="B679" t="s">
        <v>4548</v>
      </c>
    </row>
    <row r="681" spans="1:12" x14ac:dyDescent="0.2">
      <c r="A681" t="s">
        <v>2216</v>
      </c>
    </row>
    <row r="682" spans="1:12" x14ac:dyDescent="0.2">
      <c r="A682" t="s">
        <v>4549</v>
      </c>
      <c r="B682">
        <v>469</v>
      </c>
      <c r="C682" t="s">
        <v>4550</v>
      </c>
    </row>
    <row r="683" spans="1:12" x14ac:dyDescent="0.2">
      <c r="A683" t="s">
        <v>4551</v>
      </c>
      <c r="B683" t="s">
        <v>4546</v>
      </c>
    </row>
    <row r="684" spans="1:12" ht="16" x14ac:dyDescent="0.2">
      <c r="A684" t="s">
        <v>4552</v>
      </c>
      <c r="B684" t="s">
        <v>4182</v>
      </c>
      <c r="C684">
        <v>104672</v>
      </c>
      <c r="D684">
        <v>1</v>
      </c>
      <c r="E684" t="s">
        <v>4553</v>
      </c>
      <c r="F684" s="122" t="s">
        <v>2039</v>
      </c>
    </row>
    <row r="685" spans="1:12" ht="64" x14ac:dyDescent="0.2">
      <c r="A685" t="s">
        <v>4554</v>
      </c>
      <c r="B685" t="s">
        <v>3991</v>
      </c>
      <c r="C685">
        <v>1</v>
      </c>
      <c r="D685" t="s">
        <v>1420</v>
      </c>
      <c r="E685" t="s">
        <v>1421</v>
      </c>
      <c r="F685" s="122" t="s">
        <v>1422</v>
      </c>
      <c r="G685" s="122" t="s">
        <v>1423</v>
      </c>
      <c r="H685" s="122" t="s">
        <v>4555</v>
      </c>
      <c r="I685">
        <v>7863</v>
      </c>
      <c r="J685">
        <v>0</v>
      </c>
      <c r="K685" s="122" t="s">
        <v>4556</v>
      </c>
      <c r="L685">
        <v>2000</v>
      </c>
    </row>
    <row r="686" spans="1:12" ht="64" x14ac:dyDescent="0.2">
      <c r="A686" t="s">
        <v>4554</v>
      </c>
      <c r="B686" t="s">
        <v>3991</v>
      </c>
      <c r="C686">
        <v>2</v>
      </c>
      <c r="D686" t="s">
        <v>1420</v>
      </c>
      <c r="E686" t="s">
        <v>1421</v>
      </c>
      <c r="F686" s="122" t="s">
        <v>1425</v>
      </c>
      <c r="G686" s="122">
        <v>8</v>
      </c>
      <c r="H686" s="122" t="s">
        <v>4557</v>
      </c>
      <c r="I686">
        <v>7969</v>
      </c>
      <c r="J686">
        <v>0</v>
      </c>
      <c r="K686" s="122" t="s">
        <v>4558</v>
      </c>
      <c r="L686">
        <v>2000</v>
      </c>
    </row>
    <row r="687" spans="1:12" ht="96" x14ac:dyDescent="0.2">
      <c r="A687" t="s">
        <v>4554</v>
      </c>
      <c r="B687" t="s">
        <v>3991</v>
      </c>
      <c r="C687">
        <v>3</v>
      </c>
      <c r="D687" t="s">
        <v>1420</v>
      </c>
      <c r="E687" t="s">
        <v>1421</v>
      </c>
      <c r="F687" s="122" t="s">
        <v>1427</v>
      </c>
      <c r="G687" s="122" t="s">
        <v>1428</v>
      </c>
      <c r="H687" s="122" t="s">
        <v>4559</v>
      </c>
      <c r="I687">
        <v>7895</v>
      </c>
      <c r="J687">
        <v>0</v>
      </c>
      <c r="K687" s="122" t="s">
        <v>3997</v>
      </c>
      <c r="L687">
        <v>2000</v>
      </c>
    </row>
    <row r="688" spans="1:12" ht="64" x14ac:dyDescent="0.2">
      <c r="A688" t="s">
        <v>4554</v>
      </c>
      <c r="B688" t="s">
        <v>3991</v>
      </c>
      <c r="C688">
        <v>4</v>
      </c>
      <c r="D688" t="s">
        <v>1420</v>
      </c>
      <c r="E688" t="s">
        <v>1429</v>
      </c>
      <c r="F688" s="122" t="s">
        <v>1430</v>
      </c>
      <c r="G688" s="122">
        <v>88</v>
      </c>
      <c r="H688" s="122" t="s">
        <v>4560</v>
      </c>
      <c r="I688">
        <v>7965</v>
      </c>
      <c r="J688">
        <v>1</v>
      </c>
      <c r="K688" s="122" t="s">
        <v>4561</v>
      </c>
      <c r="L688">
        <v>2000</v>
      </c>
    </row>
    <row r="689" spans="1:12" ht="64" x14ac:dyDescent="0.2">
      <c r="A689" t="s">
        <v>4554</v>
      </c>
      <c r="B689" t="s">
        <v>3991</v>
      </c>
      <c r="C689">
        <v>5</v>
      </c>
      <c r="D689" t="s">
        <v>1420</v>
      </c>
      <c r="E689" t="s">
        <v>1421</v>
      </c>
      <c r="F689" s="122" t="s">
        <v>1431</v>
      </c>
      <c r="G689" s="122" t="s">
        <v>1432</v>
      </c>
      <c r="H689" s="122" t="s">
        <v>4562</v>
      </c>
      <c r="I689">
        <v>7967</v>
      </c>
      <c r="J689">
        <v>3</v>
      </c>
      <c r="K689" s="122" t="s">
        <v>4563</v>
      </c>
      <c r="L689">
        <v>2000</v>
      </c>
    </row>
    <row r="690" spans="1:12" ht="80" x14ac:dyDescent="0.2">
      <c r="A690" t="s">
        <v>4554</v>
      </c>
      <c r="B690" t="s">
        <v>3991</v>
      </c>
      <c r="C690">
        <v>6</v>
      </c>
      <c r="D690" t="s">
        <v>1433</v>
      </c>
      <c r="E690" t="s">
        <v>1434</v>
      </c>
      <c r="F690" s="122" t="s">
        <v>1435</v>
      </c>
      <c r="G690" s="122" t="s">
        <v>1436</v>
      </c>
      <c r="H690" s="122" t="s">
        <v>4564</v>
      </c>
      <c r="I690">
        <v>7916</v>
      </c>
      <c r="J690">
        <v>3</v>
      </c>
      <c r="K690" s="122" t="s">
        <v>4565</v>
      </c>
      <c r="L690">
        <v>2000</v>
      </c>
    </row>
    <row r="691" spans="1:12" ht="80" x14ac:dyDescent="0.2">
      <c r="A691" t="s">
        <v>4554</v>
      </c>
      <c r="B691" t="s">
        <v>3991</v>
      </c>
      <c r="C691">
        <v>7</v>
      </c>
      <c r="D691" t="s">
        <v>1433</v>
      </c>
      <c r="E691" t="s">
        <v>1434</v>
      </c>
      <c r="F691" s="122" t="s">
        <v>1438</v>
      </c>
      <c r="G691" s="122" t="s">
        <v>1469</v>
      </c>
      <c r="H691" s="122" t="s">
        <v>4566</v>
      </c>
      <c r="I691">
        <v>7955</v>
      </c>
      <c r="J691">
        <v>0</v>
      </c>
      <c r="K691" s="122" t="s">
        <v>4567</v>
      </c>
      <c r="L691">
        <v>2000</v>
      </c>
    </row>
    <row r="692" spans="1:12" ht="80" x14ac:dyDescent="0.2">
      <c r="A692" t="s">
        <v>4554</v>
      </c>
      <c r="B692" t="s">
        <v>3991</v>
      </c>
      <c r="C692">
        <v>8</v>
      </c>
      <c r="D692" t="s">
        <v>1433</v>
      </c>
      <c r="E692" t="s">
        <v>1440</v>
      </c>
      <c r="F692" s="122" t="s">
        <v>1441</v>
      </c>
      <c r="G692" s="122" t="s">
        <v>1470</v>
      </c>
      <c r="H692" s="122" t="s">
        <v>4568</v>
      </c>
      <c r="I692">
        <v>7816</v>
      </c>
      <c r="J692">
        <v>0</v>
      </c>
      <c r="K692" s="122" t="s">
        <v>4569</v>
      </c>
      <c r="L692">
        <v>2000</v>
      </c>
    </row>
    <row r="693" spans="1:12" ht="80" x14ac:dyDescent="0.2">
      <c r="A693" t="s">
        <v>4554</v>
      </c>
      <c r="B693" t="s">
        <v>3991</v>
      </c>
      <c r="C693">
        <v>9</v>
      </c>
      <c r="D693" t="s">
        <v>1433</v>
      </c>
      <c r="E693" t="s">
        <v>1440</v>
      </c>
      <c r="F693" s="122" t="s">
        <v>1443</v>
      </c>
      <c r="G693" s="122" t="s">
        <v>1477</v>
      </c>
      <c r="H693" s="122" t="s">
        <v>4570</v>
      </c>
      <c r="I693">
        <v>7962</v>
      </c>
      <c r="J693">
        <v>0</v>
      </c>
      <c r="K693" s="122" t="s">
        <v>4571</v>
      </c>
      <c r="L693">
        <v>2000</v>
      </c>
    </row>
    <row r="694" spans="1:12" ht="80" x14ac:dyDescent="0.2">
      <c r="A694" t="s">
        <v>4554</v>
      </c>
      <c r="B694" t="s">
        <v>3991</v>
      </c>
      <c r="C694">
        <v>10</v>
      </c>
      <c r="D694" t="s">
        <v>1433</v>
      </c>
      <c r="E694" t="s">
        <v>1421</v>
      </c>
      <c r="F694" s="122" t="s">
        <v>1445</v>
      </c>
      <c r="G694" s="122" t="s">
        <v>1446</v>
      </c>
      <c r="H694" s="122" t="s">
        <v>4572</v>
      </c>
      <c r="I694">
        <v>7994</v>
      </c>
      <c r="J694">
        <v>0</v>
      </c>
      <c r="K694" s="122" t="s">
        <v>4573</v>
      </c>
      <c r="L694">
        <v>2000</v>
      </c>
    </row>
    <row r="695" spans="1:12" ht="64" x14ac:dyDescent="0.2">
      <c r="A695" t="s">
        <v>4554</v>
      </c>
      <c r="B695" t="s">
        <v>3991</v>
      </c>
      <c r="C695">
        <v>11</v>
      </c>
      <c r="D695" t="s">
        <v>1433</v>
      </c>
      <c r="E695" t="s">
        <v>1447</v>
      </c>
      <c r="F695" s="122" t="s">
        <v>1448</v>
      </c>
      <c r="G695" s="122" t="s">
        <v>4011</v>
      </c>
      <c r="H695" s="122" t="s">
        <v>4574</v>
      </c>
      <c r="I695">
        <v>7908</v>
      </c>
      <c r="J695">
        <v>3</v>
      </c>
      <c r="K695" s="122" t="s">
        <v>4575</v>
      </c>
      <c r="L695">
        <v>2000</v>
      </c>
    </row>
    <row r="696" spans="1:12" ht="64" x14ac:dyDescent="0.2">
      <c r="A696" t="s">
        <v>4554</v>
      </c>
      <c r="B696" t="s">
        <v>3991</v>
      </c>
      <c r="C696">
        <v>12</v>
      </c>
      <c r="D696" t="s">
        <v>1433</v>
      </c>
      <c r="E696" t="s">
        <v>1434</v>
      </c>
      <c r="F696" s="122" t="s">
        <v>1450</v>
      </c>
      <c r="G696" s="196">
        <v>16881928.100000001</v>
      </c>
      <c r="H696" s="122" t="s">
        <v>4576</v>
      </c>
      <c r="I696">
        <v>7985</v>
      </c>
      <c r="J696">
        <v>0</v>
      </c>
      <c r="K696" s="122" t="s">
        <v>4577</v>
      </c>
      <c r="L696">
        <v>2000</v>
      </c>
    </row>
    <row r="697" spans="1:12" ht="96" x14ac:dyDescent="0.2">
      <c r="A697" t="s">
        <v>4554</v>
      </c>
      <c r="B697" t="s">
        <v>3991</v>
      </c>
      <c r="C697">
        <v>13</v>
      </c>
      <c r="D697" t="s">
        <v>1452</v>
      </c>
      <c r="E697" t="s">
        <v>1453</v>
      </c>
      <c r="F697" s="122" t="s">
        <v>1454</v>
      </c>
      <c r="G697" s="122">
        <v>19</v>
      </c>
      <c r="H697" s="122" t="s">
        <v>4578</v>
      </c>
      <c r="I697">
        <v>7969</v>
      </c>
      <c r="J697">
        <v>0</v>
      </c>
      <c r="K697" s="122" t="s">
        <v>4579</v>
      </c>
      <c r="L697">
        <v>2000</v>
      </c>
    </row>
    <row r="698" spans="1:12" ht="240" x14ac:dyDescent="0.2">
      <c r="A698" t="s">
        <v>4554</v>
      </c>
      <c r="B698" t="s">
        <v>3991</v>
      </c>
      <c r="C698">
        <v>14</v>
      </c>
      <c r="D698" t="s">
        <v>1452</v>
      </c>
      <c r="E698" t="s">
        <v>1453</v>
      </c>
      <c r="F698" s="122" t="s">
        <v>1455</v>
      </c>
      <c r="G698" s="122">
        <v>9</v>
      </c>
      <c r="H698" s="122" t="s">
        <v>4580</v>
      </c>
      <c r="I698">
        <v>7912</v>
      </c>
      <c r="J698">
        <v>0</v>
      </c>
      <c r="K698" s="122" t="s">
        <v>4581</v>
      </c>
      <c r="L698">
        <v>2000</v>
      </c>
    </row>
    <row r="699" spans="1:12" ht="80" x14ac:dyDescent="0.2">
      <c r="A699" t="s">
        <v>4554</v>
      </c>
      <c r="B699" t="s">
        <v>3991</v>
      </c>
      <c r="C699">
        <v>15</v>
      </c>
      <c r="D699" t="s">
        <v>1452</v>
      </c>
      <c r="E699" t="s">
        <v>1447</v>
      </c>
      <c r="F699" s="122" t="s">
        <v>1457</v>
      </c>
      <c r="G699" s="122">
        <v>50</v>
      </c>
      <c r="H699" s="122" t="s">
        <v>4582</v>
      </c>
      <c r="I699">
        <v>7876</v>
      </c>
      <c r="J699">
        <v>2</v>
      </c>
      <c r="K699" s="122" t="s">
        <v>4583</v>
      </c>
      <c r="L699">
        <v>2000</v>
      </c>
    </row>
    <row r="700" spans="1:12" ht="96" x14ac:dyDescent="0.2">
      <c r="A700" t="s">
        <v>4554</v>
      </c>
      <c r="B700" t="s">
        <v>3991</v>
      </c>
      <c r="C700">
        <v>16</v>
      </c>
      <c r="D700" t="s">
        <v>1452</v>
      </c>
      <c r="E700" t="s">
        <v>1434</v>
      </c>
      <c r="F700" s="122" t="s">
        <v>1458</v>
      </c>
      <c r="G700" s="122" t="s">
        <v>1497</v>
      </c>
      <c r="H700" s="122" t="s">
        <v>4584</v>
      </c>
      <c r="I700">
        <v>7883</v>
      </c>
      <c r="J700">
        <v>0</v>
      </c>
      <c r="K700" s="122" t="s">
        <v>4585</v>
      </c>
      <c r="L700">
        <v>2000</v>
      </c>
    </row>
    <row r="701" spans="1:12" ht="64" x14ac:dyDescent="0.2">
      <c r="A701" t="s">
        <v>4554</v>
      </c>
      <c r="B701" t="s">
        <v>3991</v>
      </c>
      <c r="C701">
        <v>17</v>
      </c>
      <c r="D701" t="s">
        <v>1452</v>
      </c>
      <c r="E701" t="s">
        <v>1421</v>
      </c>
      <c r="F701" s="122" t="s">
        <v>1460</v>
      </c>
      <c r="G701" s="122" t="s">
        <v>1500</v>
      </c>
      <c r="H701" s="122" t="s">
        <v>4586</v>
      </c>
      <c r="I701">
        <v>7899</v>
      </c>
      <c r="J701">
        <v>0</v>
      </c>
      <c r="K701" s="122" t="s">
        <v>4388</v>
      </c>
      <c r="L701">
        <v>2000</v>
      </c>
    </row>
    <row r="702" spans="1:12" ht="80" x14ac:dyDescent="0.2">
      <c r="A702" t="s">
        <v>4554</v>
      </c>
      <c r="B702" t="s">
        <v>3991</v>
      </c>
      <c r="C702">
        <v>18</v>
      </c>
      <c r="D702" t="s">
        <v>1452</v>
      </c>
      <c r="E702" t="s">
        <v>1440</v>
      </c>
      <c r="F702" s="122" t="s">
        <v>1462</v>
      </c>
      <c r="G702" s="122" t="s">
        <v>1502</v>
      </c>
      <c r="H702" s="122" t="s">
        <v>4587</v>
      </c>
      <c r="I702">
        <v>7942</v>
      </c>
      <c r="J702">
        <v>0</v>
      </c>
      <c r="K702" s="122" t="s">
        <v>4588</v>
      </c>
      <c r="L702">
        <v>2000</v>
      </c>
    </row>
    <row r="703" spans="1:12" ht="64" x14ac:dyDescent="0.2">
      <c r="A703" t="s">
        <v>4554</v>
      </c>
      <c r="B703" t="s">
        <v>3991</v>
      </c>
      <c r="C703">
        <v>19</v>
      </c>
      <c r="D703" t="s">
        <v>1452</v>
      </c>
      <c r="E703" t="s">
        <v>1464</v>
      </c>
      <c r="F703" s="122" t="s">
        <v>1465</v>
      </c>
      <c r="G703" s="122" t="s">
        <v>1503</v>
      </c>
      <c r="H703" s="122" t="s">
        <v>4589</v>
      </c>
      <c r="I703">
        <v>7849</v>
      </c>
      <c r="J703">
        <v>0</v>
      </c>
      <c r="K703" s="122" t="s">
        <v>4590</v>
      </c>
      <c r="L703">
        <v>2000</v>
      </c>
    </row>
    <row r="704" spans="1:12" ht="128" x14ac:dyDescent="0.2">
      <c r="A704" t="s">
        <v>4554</v>
      </c>
      <c r="B704" t="s">
        <v>3991</v>
      </c>
      <c r="C704">
        <v>20</v>
      </c>
      <c r="D704" t="s">
        <v>1452</v>
      </c>
      <c r="E704" t="s">
        <v>1464</v>
      </c>
      <c r="F704" s="122" t="s">
        <v>1467</v>
      </c>
      <c r="G704" s="122" t="s">
        <v>1513</v>
      </c>
      <c r="H704" s="122" t="s">
        <v>4591</v>
      </c>
    </row>
    <row r="706" spans="1:23" x14ac:dyDescent="0.2">
      <c r="A706" t="s">
        <v>4592</v>
      </c>
      <c r="B706" t="s">
        <v>4593</v>
      </c>
    </row>
    <row r="707" spans="1:23" x14ac:dyDescent="0.2">
      <c r="A707" t="s">
        <v>2276</v>
      </c>
    </row>
    <row r="708" spans="1:23" x14ac:dyDescent="0.2">
      <c r="A708" t="s">
        <v>4594</v>
      </c>
      <c r="B708" t="s">
        <v>4595</v>
      </c>
    </row>
    <row r="710" spans="1:23" ht="64" x14ac:dyDescent="0.2">
      <c r="A710" t="s">
        <v>4596</v>
      </c>
      <c r="B710" t="s">
        <v>4597</v>
      </c>
      <c r="C710" t="s">
        <v>4598</v>
      </c>
      <c r="D710">
        <v>7934</v>
      </c>
      <c r="E710">
        <v>0</v>
      </c>
      <c r="F710" s="122" t="s">
        <v>4599</v>
      </c>
      <c r="G710" s="122">
        <v>2000</v>
      </c>
    </row>
    <row r="711" spans="1:23" ht="64" x14ac:dyDescent="0.2">
      <c r="A711" t="s">
        <v>4554</v>
      </c>
      <c r="B711" t="s">
        <v>4046</v>
      </c>
      <c r="C711">
        <v>1</v>
      </c>
      <c r="D711" t="s">
        <v>1420</v>
      </c>
      <c r="E711" t="s">
        <v>1421</v>
      </c>
      <c r="F711" s="122" t="s">
        <v>1422</v>
      </c>
      <c r="G711" s="122" t="s">
        <v>1423</v>
      </c>
      <c r="H711" s="122" t="s">
        <v>4600</v>
      </c>
      <c r="I711">
        <v>7938</v>
      </c>
      <c r="J711">
        <v>0</v>
      </c>
      <c r="K711" s="122" t="s">
        <v>4092</v>
      </c>
      <c r="L711">
        <v>2000</v>
      </c>
    </row>
    <row r="712" spans="1:23" ht="64" x14ac:dyDescent="0.2">
      <c r="A712" t="s">
        <v>4554</v>
      </c>
      <c r="B712" t="s">
        <v>4046</v>
      </c>
      <c r="C712">
        <v>2</v>
      </c>
      <c r="D712" t="s">
        <v>1420</v>
      </c>
      <c r="E712" t="s">
        <v>1421</v>
      </c>
      <c r="F712" s="122" t="s">
        <v>1425</v>
      </c>
      <c r="G712" s="122">
        <v>8</v>
      </c>
      <c r="H712" s="122" t="s">
        <v>4601</v>
      </c>
      <c r="I712">
        <v>7938</v>
      </c>
      <c r="J712">
        <v>0</v>
      </c>
      <c r="K712" s="122" t="s">
        <v>4156</v>
      </c>
      <c r="L712">
        <v>2000</v>
      </c>
    </row>
    <row r="713" spans="1:23" ht="128" x14ac:dyDescent="0.2">
      <c r="A713" t="s">
        <v>4554</v>
      </c>
      <c r="B713" t="s">
        <v>4046</v>
      </c>
      <c r="C713">
        <v>3</v>
      </c>
      <c r="D713" t="s">
        <v>1420</v>
      </c>
      <c r="E713" t="s">
        <v>1421</v>
      </c>
      <c r="F713" s="122" t="s">
        <v>1427</v>
      </c>
      <c r="G713" s="122" t="s">
        <v>1428</v>
      </c>
      <c r="H713" s="122" t="s">
        <v>4602</v>
      </c>
      <c r="I713">
        <v>7938</v>
      </c>
      <c r="J713">
        <v>0</v>
      </c>
      <c r="K713" s="122" t="s">
        <v>3997</v>
      </c>
      <c r="L713">
        <v>2000</v>
      </c>
    </row>
    <row r="714" spans="1:23" ht="80" x14ac:dyDescent="0.2">
      <c r="A714" t="s">
        <v>4554</v>
      </c>
      <c r="B714" t="s">
        <v>4046</v>
      </c>
      <c r="C714">
        <v>4</v>
      </c>
      <c r="D714" t="s">
        <v>1420</v>
      </c>
      <c r="E714" t="s">
        <v>1429</v>
      </c>
      <c r="F714" s="122" t="s">
        <v>1430</v>
      </c>
      <c r="G714" s="122">
        <v>88</v>
      </c>
      <c r="H714" s="122" t="s">
        <v>4603</v>
      </c>
      <c r="I714">
        <v>7938</v>
      </c>
      <c r="J714">
        <v>0</v>
      </c>
      <c r="K714" s="122" t="s">
        <v>4604</v>
      </c>
      <c r="L714">
        <v>2000</v>
      </c>
    </row>
    <row r="715" spans="1:23" ht="176" x14ac:dyDescent="0.2">
      <c r="A715" t="s">
        <v>4554</v>
      </c>
      <c r="B715" t="s">
        <v>4046</v>
      </c>
      <c r="C715">
        <v>5</v>
      </c>
      <c r="D715" t="s">
        <v>1420</v>
      </c>
      <c r="E715" t="s">
        <v>1421</v>
      </c>
      <c r="F715" s="122" t="s">
        <v>1431</v>
      </c>
      <c r="G715" s="122" t="s">
        <v>1432</v>
      </c>
      <c r="H715" s="122" t="s">
        <v>4605</v>
      </c>
      <c r="I715">
        <v>7938</v>
      </c>
      <c r="J715">
        <v>3</v>
      </c>
      <c r="K715" s="122" t="s">
        <v>4606</v>
      </c>
      <c r="L715">
        <v>2000</v>
      </c>
    </row>
    <row r="716" spans="1:23" ht="48" x14ac:dyDescent="0.2">
      <c r="A716" t="s">
        <v>4554</v>
      </c>
      <c r="B716" t="s">
        <v>4046</v>
      </c>
      <c r="C716">
        <v>6</v>
      </c>
      <c r="D716" t="s">
        <v>1433</v>
      </c>
      <c r="E716" t="s">
        <v>1434</v>
      </c>
      <c r="F716" s="122" t="s">
        <v>1435</v>
      </c>
      <c r="G716" s="122" t="s">
        <v>1436</v>
      </c>
      <c r="H716" s="122" t="s">
        <v>4607</v>
      </c>
      <c r="I716">
        <v>7938</v>
      </c>
      <c r="J716">
        <v>0</v>
      </c>
      <c r="K716" s="122" t="s">
        <v>4608</v>
      </c>
      <c r="L716">
        <v>2000</v>
      </c>
    </row>
    <row r="717" spans="1:23" ht="48" x14ac:dyDescent="0.2">
      <c r="A717" t="s">
        <v>4554</v>
      </c>
      <c r="B717" t="s">
        <v>4046</v>
      </c>
      <c r="C717">
        <v>7</v>
      </c>
      <c r="D717" t="s">
        <v>1433</v>
      </c>
      <c r="E717" t="s">
        <v>1434</v>
      </c>
      <c r="F717" s="122" t="s">
        <v>1438</v>
      </c>
      <c r="G717" s="122" t="s">
        <v>1469</v>
      </c>
      <c r="H717" s="122" t="s">
        <v>4609</v>
      </c>
    </row>
    <row r="719" spans="1:23" ht="16" x14ac:dyDescent="0.2">
      <c r="A719" t="s">
        <v>4610</v>
      </c>
      <c r="B719">
        <v>47</v>
      </c>
      <c r="C719" t="s">
        <v>4611</v>
      </c>
      <c r="D719" t="s">
        <v>4612</v>
      </c>
      <c r="E719" t="s">
        <v>4613</v>
      </c>
      <c r="F719" s="122" t="s">
        <v>4614</v>
      </c>
      <c r="G719" s="122">
        <v>30</v>
      </c>
      <c r="H719" s="122" t="s">
        <v>4615</v>
      </c>
      <c r="I719">
        <v>837</v>
      </c>
      <c r="J719" t="s">
        <v>4616</v>
      </c>
      <c r="K719" s="122" t="s">
        <v>4617</v>
      </c>
      <c r="L719" t="s">
        <v>4618</v>
      </c>
      <c r="M719">
        <v>297</v>
      </c>
      <c r="N719" t="s">
        <v>4619</v>
      </c>
      <c r="O719" t="s">
        <v>4620</v>
      </c>
      <c r="P719" t="s">
        <v>4621</v>
      </c>
      <c r="Q719" t="s">
        <v>4622</v>
      </c>
      <c r="R719">
        <v>0</v>
      </c>
      <c r="S719" t="s">
        <v>4623</v>
      </c>
      <c r="T719">
        <v>7938</v>
      </c>
      <c r="U719">
        <v>0</v>
      </c>
      <c r="V719" t="s">
        <v>4624</v>
      </c>
      <c r="W719">
        <v>2000</v>
      </c>
    </row>
    <row r="720" spans="1:23" ht="64" x14ac:dyDescent="0.2">
      <c r="A720" t="s">
        <v>4554</v>
      </c>
      <c r="B720" t="s">
        <v>4046</v>
      </c>
      <c r="C720">
        <v>8</v>
      </c>
      <c r="D720" t="s">
        <v>1433</v>
      </c>
      <c r="E720" t="s">
        <v>1440</v>
      </c>
      <c r="F720" s="122" t="s">
        <v>1441</v>
      </c>
      <c r="G720" s="122" t="s">
        <v>1470</v>
      </c>
      <c r="H720" s="122" t="s">
        <v>4625</v>
      </c>
      <c r="I720">
        <v>7938</v>
      </c>
      <c r="J720">
        <v>0</v>
      </c>
      <c r="K720" s="122" t="s">
        <v>4626</v>
      </c>
      <c r="L720">
        <v>2000</v>
      </c>
    </row>
    <row r="721" spans="1:21" ht="64" x14ac:dyDescent="0.2">
      <c r="A721" t="s">
        <v>4554</v>
      </c>
      <c r="B721" t="s">
        <v>4046</v>
      </c>
      <c r="C721">
        <v>9</v>
      </c>
      <c r="D721" t="s">
        <v>1433</v>
      </c>
      <c r="E721" t="s">
        <v>1440</v>
      </c>
      <c r="F721" s="122" t="s">
        <v>1443</v>
      </c>
      <c r="G721" s="122" t="s">
        <v>1477</v>
      </c>
      <c r="H721" s="122" t="s">
        <v>4627</v>
      </c>
    </row>
    <row r="723" spans="1:21" ht="16" x14ac:dyDescent="0.2">
      <c r="A723" t="s">
        <v>4628</v>
      </c>
      <c r="B723">
        <v>471</v>
      </c>
      <c r="C723" t="s">
        <v>4629</v>
      </c>
      <c r="D723" t="s">
        <v>4630</v>
      </c>
      <c r="E723">
        <v>697</v>
      </c>
      <c r="F723" s="122" t="s">
        <v>4631</v>
      </c>
      <c r="G723" s="122" t="s">
        <v>4632</v>
      </c>
      <c r="H723" s="122">
        <v>30</v>
      </c>
      <c r="I723" t="s">
        <v>4615</v>
      </c>
      <c r="J723">
        <v>837</v>
      </c>
      <c r="K723" s="122" t="s">
        <v>4616</v>
      </c>
      <c r="L723" t="s">
        <v>4633</v>
      </c>
      <c r="M723">
        <v>168</v>
      </c>
      <c r="N723" t="s">
        <v>4634</v>
      </c>
      <c r="O723">
        <v>297</v>
      </c>
      <c r="P723" t="s">
        <v>4619</v>
      </c>
      <c r="Q723" t="s">
        <v>4620</v>
      </c>
      <c r="R723" t="s">
        <v>4621</v>
      </c>
      <c r="S723" t="s">
        <v>4635</v>
      </c>
      <c r="T723">
        <v>991</v>
      </c>
      <c r="U723" t="s">
        <v>4636</v>
      </c>
    </row>
    <row r="725" spans="1:21" ht="16" x14ac:dyDescent="0.2">
      <c r="A725" t="s">
        <v>4637</v>
      </c>
      <c r="B725">
        <v>690</v>
      </c>
      <c r="C725" t="s">
        <v>4638</v>
      </c>
      <c r="D725" t="s">
        <v>4630</v>
      </c>
      <c r="E725">
        <v>831</v>
      </c>
      <c r="F725" s="122" t="s">
        <v>4639</v>
      </c>
      <c r="G725" s="122" t="s">
        <v>4640</v>
      </c>
      <c r="H725" s="122">
        <v>30</v>
      </c>
      <c r="I725" t="s">
        <v>4615</v>
      </c>
      <c r="J725">
        <v>571</v>
      </c>
      <c r="K725" s="122" t="s">
        <v>4641</v>
      </c>
      <c r="L725" t="s">
        <v>4642</v>
      </c>
      <c r="M725">
        <v>198</v>
      </c>
      <c r="N725" t="s">
        <v>4643</v>
      </c>
      <c r="O725">
        <v>303</v>
      </c>
      <c r="P725" t="s">
        <v>4644</v>
      </c>
      <c r="Q725" t="s">
        <v>4645</v>
      </c>
      <c r="R725" t="s">
        <v>4646</v>
      </c>
      <c r="S725" t="s">
        <v>4647</v>
      </c>
      <c r="T725">
        <v>139</v>
      </c>
      <c r="U725" t="s">
        <v>4648</v>
      </c>
    </row>
    <row r="727" spans="1:21" ht="48" x14ac:dyDescent="0.2">
      <c r="A727" t="s">
        <v>4649</v>
      </c>
      <c r="B727">
        <v>139</v>
      </c>
      <c r="C727" t="s">
        <v>4650</v>
      </c>
      <c r="D727">
        <v>991</v>
      </c>
      <c r="E727" t="s">
        <v>4651</v>
      </c>
      <c r="F727" s="122">
        <v>991</v>
      </c>
      <c r="G727" s="122" t="s">
        <v>4652</v>
      </c>
      <c r="H727" s="122" t="s">
        <v>4653</v>
      </c>
      <c r="I727">
        <v>7938</v>
      </c>
      <c r="J727">
        <v>0</v>
      </c>
      <c r="K727" s="122" t="s">
        <v>4654</v>
      </c>
      <c r="L727">
        <v>2000</v>
      </c>
    </row>
    <row r="728" spans="1:21" ht="112" x14ac:dyDescent="0.2">
      <c r="A728" t="s">
        <v>4554</v>
      </c>
      <c r="B728" t="s">
        <v>4046</v>
      </c>
      <c r="C728">
        <v>10</v>
      </c>
      <c r="D728" t="s">
        <v>1433</v>
      </c>
      <c r="E728" t="s">
        <v>1421</v>
      </c>
      <c r="F728" s="122" t="s">
        <v>1445</v>
      </c>
      <c r="G728" s="122" t="s">
        <v>1446</v>
      </c>
      <c r="H728" s="122" t="s">
        <v>4655</v>
      </c>
      <c r="I728">
        <v>7938</v>
      </c>
      <c r="J728">
        <v>0</v>
      </c>
      <c r="K728" s="122" t="s">
        <v>3997</v>
      </c>
      <c r="L728">
        <v>2000</v>
      </c>
    </row>
    <row r="729" spans="1:21" ht="192" x14ac:dyDescent="0.2">
      <c r="A729" t="s">
        <v>4554</v>
      </c>
      <c r="B729" t="s">
        <v>4046</v>
      </c>
      <c r="C729">
        <v>11</v>
      </c>
      <c r="D729" t="s">
        <v>1433</v>
      </c>
      <c r="E729" t="s">
        <v>1447</v>
      </c>
      <c r="F729" s="122" t="s">
        <v>1448</v>
      </c>
      <c r="G729" s="122" t="s">
        <v>4011</v>
      </c>
      <c r="H729" s="122" t="s">
        <v>4656</v>
      </c>
      <c r="I729">
        <v>7938</v>
      </c>
      <c r="J729">
        <v>0</v>
      </c>
      <c r="K729" s="122" t="s">
        <v>4657</v>
      </c>
      <c r="L729">
        <v>2000</v>
      </c>
    </row>
    <row r="730" spans="1:21" ht="80" x14ac:dyDescent="0.2">
      <c r="A730" t="s">
        <v>4554</v>
      </c>
      <c r="B730" t="s">
        <v>4046</v>
      </c>
      <c r="C730">
        <v>12</v>
      </c>
      <c r="D730" t="s">
        <v>1433</v>
      </c>
      <c r="E730" t="s">
        <v>1434</v>
      </c>
      <c r="F730" s="122" t="s">
        <v>1450</v>
      </c>
      <c r="G730" s="196">
        <v>16881928.100000001</v>
      </c>
      <c r="H730" s="122" t="s">
        <v>4658</v>
      </c>
      <c r="I730">
        <v>7938</v>
      </c>
      <c r="J730">
        <v>0</v>
      </c>
      <c r="K730" s="122" t="s">
        <v>4659</v>
      </c>
      <c r="L730">
        <v>2000</v>
      </c>
    </row>
    <row r="731" spans="1:21" ht="96" x14ac:dyDescent="0.2">
      <c r="A731" t="s">
        <v>4554</v>
      </c>
      <c r="B731" t="s">
        <v>4046</v>
      </c>
      <c r="C731">
        <v>13</v>
      </c>
      <c r="D731" t="s">
        <v>1452</v>
      </c>
      <c r="E731" t="s">
        <v>1453</v>
      </c>
      <c r="F731" s="122" t="s">
        <v>1454</v>
      </c>
      <c r="G731" s="122">
        <v>19</v>
      </c>
      <c r="H731" s="122" t="s">
        <v>4660</v>
      </c>
      <c r="I731">
        <v>7938</v>
      </c>
      <c r="J731">
        <v>0</v>
      </c>
      <c r="K731" s="122" t="s">
        <v>4661</v>
      </c>
      <c r="L731">
        <v>2000</v>
      </c>
    </row>
    <row r="732" spans="1:21" ht="96" x14ac:dyDescent="0.2">
      <c r="A732" t="s">
        <v>4554</v>
      </c>
      <c r="B732" t="s">
        <v>4046</v>
      </c>
      <c r="C732">
        <v>14</v>
      </c>
      <c r="D732" t="s">
        <v>1452</v>
      </c>
      <c r="E732" t="s">
        <v>1453</v>
      </c>
      <c r="F732" s="122" t="s">
        <v>1455</v>
      </c>
      <c r="G732" s="122">
        <v>9</v>
      </c>
      <c r="H732" s="122" t="s">
        <v>4662</v>
      </c>
      <c r="I732">
        <v>7938</v>
      </c>
      <c r="J732">
        <v>0</v>
      </c>
      <c r="K732" s="122" t="s">
        <v>4663</v>
      </c>
      <c r="L732">
        <v>2000</v>
      </c>
    </row>
    <row r="733" spans="1:21" ht="48" x14ac:dyDescent="0.2">
      <c r="A733" t="s">
        <v>4554</v>
      </c>
      <c r="B733" t="s">
        <v>4046</v>
      </c>
      <c r="C733">
        <v>15</v>
      </c>
      <c r="D733" t="s">
        <v>1452</v>
      </c>
      <c r="E733" t="s">
        <v>1447</v>
      </c>
      <c r="F733" s="122" t="s">
        <v>1457</v>
      </c>
      <c r="G733" s="122">
        <v>50</v>
      </c>
      <c r="H733" s="122" t="s">
        <v>4664</v>
      </c>
      <c r="I733">
        <v>7938</v>
      </c>
      <c r="J733">
        <v>0</v>
      </c>
      <c r="K733" s="122" t="s">
        <v>4097</v>
      </c>
      <c r="L733">
        <v>2000</v>
      </c>
    </row>
    <row r="734" spans="1:21" ht="80" x14ac:dyDescent="0.2">
      <c r="A734" t="s">
        <v>4554</v>
      </c>
      <c r="B734" t="s">
        <v>4046</v>
      </c>
      <c r="C734">
        <v>16</v>
      </c>
      <c r="D734" t="s">
        <v>1452</v>
      </c>
      <c r="E734" t="s">
        <v>1434</v>
      </c>
      <c r="F734" s="122" t="s">
        <v>1458</v>
      </c>
      <c r="G734" s="122" t="s">
        <v>1497</v>
      </c>
      <c r="H734" s="122" t="s">
        <v>4665</v>
      </c>
      <c r="I734">
        <v>7938</v>
      </c>
      <c r="J734">
        <v>0</v>
      </c>
      <c r="K734" s="122" t="s">
        <v>4666</v>
      </c>
      <c r="L734">
        <v>2000</v>
      </c>
    </row>
    <row r="735" spans="1:21" ht="128" x14ac:dyDescent="0.2">
      <c r="A735" t="s">
        <v>4554</v>
      </c>
      <c r="B735" t="s">
        <v>4046</v>
      </c>
      <c r="C735">
        <v>17</v>
      </c>
      <c r="D735" t="s">
        <v>1452</v>
      </c>
      <c r="E735" t="s">
        <v>1421</v>
      </c>
      <c r="F735" s="122" t="s">
        <v>1460</v>
      </c>
      <c r="G735" s="122" t="s">
        <v>1500</v>
      </c>
      <c r="H735" s="122" t="s">
        <v>4667</v>
      </c>
      <c r="I735">
        <v>7938</v>
      </c>
      <c r="J735">
        <v>0</v>
      </c>
      <c r="K735" s="122" t="s">
        <v>4388</v>
      </c>
      <c r="L735">
        <v>2000</v>
      </c>
    </row>
    <row r="736" spans="1:21" ht="64" x14ac:dyDescent="0.2">
      <c r="A736" t="s">
        <v>4554</v>
      </c>
      <c r="B736" t="s">
        <v>4046</v>
      </c>
      <c r="C736">
        <v>18</v>
      </c>
      <c r="D736" t="s">
        <v>1452</v>
      </c>
      <c r="E736" t="s">
        <v>1440</v>
      </c>
      <c r="F736" s="122" t="s">
        <v>1462</v>
      </c>
      <c r="G736" s="122" t="s">
        <v>1502</v>
      </c>
      <c r="H736" s="122" t="s">
        <v>4668</v>
      </c>
      <c r="I736">
        <v>7938</v>
      </c>
      <c r="J736">
        <v>0</v>
      </c>
      <c r="K736" s="122" t="s">
        <v>4669</v>
      </c>
      <c r="L736">
        <v>2000</v>
      </c>
    </row>
    <row r="737" spans="1:12" ht="64" x14ac:dyDescent="0.2">
      <c r="A737" t="s">
        <v>4554</v>
      </c>
      <c r="B737" t="s">
        <v>4046</v>
      </c>
      <c r="C737">
        <v>19</v>
      </c>
      <c r="D737" t="s">
        <v>1452</v>
      </c>
      <c r="E737" t="s">
        <v>1464</v>
      </c>
      <c r="F737" s="122" t="s">
        <v>1465</v>
      </c>
      <c r="G737" s="122" t="s">
        <v>1503</v>
      </c>
      <c r="H737" s="122" t="s">
        <v>4670</v>
      </c>
      <c r="I737">
        <v>7938</v>
      </c>
      <c r="J737">
        <v>1</v>
      </c>
      <c r="K737" s="122" t="s">
        <v>4671</v>
      </c>
      <c r="L737">
        <v>2000</v>
      </c>
    </row>
    <row r="738" spans="1:12" ht="128" x14ac:dyDescent="0.2">
      <c r="A738" t="s">
        <v>4554</v>
      </c>
      <c r="B738" t="s">
        <v>4046</v>
      </c>
      <c r="C738">
        <v>20</v>
      </c>
      <c r="D738" t="s">
        <v>1452</v>
      </c>
      <c r="E738" t="s">
        <v>1464</v>
      </c>
      <c r="F738" s="122" t="s">
        <v>1467</v>
      </c>
      <c r="G738" s="122" t="s">
        <v>1513</v>
      </c>
      <c r="H738" s="122" t="s">
        <v>4672</v>
      </c>
    </row>
    <row r="740" spans="1:12" ht="16" x14ac:dyDescent="0.2">
      <c r="A740" t="s">
        <v>4673</v>
      </c>
      <c r="B740" t="s">
        <v>4674</v>
      </c>
      <c r="C740" t="s">
        <v>4675</v>
      </c>
      <c r="D740">
        <v>837</v>
      </c>
      <c r="E740" t="s">
        <v>4676</v>
      </c>
      <c r="F740" s="122">
        <v>571</v>
      </c>
      <c r="G740" s="122" t="s">
        <v>4677</v>
      </c>
    </row>
    <row r="741" spans="1:12" ht="16" x14ac:dyDescent="0.2">
      <c r="A741" t="s">
        <v>4678</v>
      </c>
      <c r="B741" t="s">
        <v>4679</v>
      </c>
      <c r="C741" t="s">
        <v>4680</v>
      </c>
      <c r="D741">
        <v>193</v>
      </c>
      <c r="E741" t="s">
        <v>4681</v>
      </c>
      <c r="F741" s="122" t="s">
        <v>4682</v>
      </c>
    </row>
    <row r="742" spans="1:12" ht="16" x14ac:dyDescent="0.2">
      <c r="A742" t="s">
        <v>4683</v>
      </c>
      <c r="B742" t="s">
        <v>4684</v>
      </c>
      <c r="C742" t="s">
        <v>4685</v>
      </c>
      <c r="D742" t="s">
        <v>4686</v>
      </c>
      <c r="E742" t="s">
        <v>4687</v>
      </c>
      <c r="F742" s="122" t="s">
        <v>4688</v>
      </c>
      <c r="G742" s="122">
        <v>7938</v>
      </c>
      <c r="H742" s="122">
        <v>0</v>
      </c>
      <c r="I742" t="s">
        <v>4229</v>
      </c>
      <c r="J742">
        <v>2000</v>
      </c>
    </row>
    <row r="743" spans="1:12" ht="80" x14ac:dyDescent="0.2">
      <c r="A743" t="s">
        <v>4554</v>
      </c>
      <c r="B743" t="s">
        <v>4110</v>
      </c>
      <c r="C743">
        <v>1</v>
      </c>
      <c r="D743" t="s">
        <v>1420</v>
      </c>
      <c r="E743" t="s">
        <v>1421</v>
      </c>
      <c r="F743" s="122" t="s">
        <v>1422</v>
      </c>
      <c r="G743" s="122" t="s">
        <v>1423</v>
      </c>
      <c r="H743" s="122" t="s">
        <v>4689</v>
      </c>
      <c r="I743">
        <v>31934</v>
      </c>
      <c r="J743">
        <v>0</v>
      </c>
      <c r="K743" s="122" t="s">
        <v>4690</v>
      </c>
      <c r="L743">
        <v>8000</v>
      </c>
    </row>
    <row r="744" spans="1:12" ht="192" x14ac:dyDescent="0.2">
      <c r="A744" t="s">
        <v>4554</v>
      </c>
      <c r="B744" t="s">
        <v>4110</v>
      </c>
      <c r="C744">
        <v>2</v>
      </c>
      <c r="D744" t="s">
        <v>1420</v>
      </c>
      <c r="E744" t="s">
        <v>1421</v>
      </c>
      <c r="F744" s="122" t="s">
        <v>1425</v>
      </c>
      <c r="G744" s="122">
        <v>8</v>
      </c>
      <c r="H744" s="122" t="s">
        <v>4691</v>
      </c>
      <c r="I744">
        <v>31923</v>
      </c>
      <c r="J744">
        <v>0</v>
      </c>
      <c r="K744" s="122" t="s">
        <v>4692</v>
      </c>
      <c r="L744">
        <v>8000</v>
      </c>
    </row>
    <row r="745" spans="1:12" ht="128" x14ac:dyDescent="0.2">
      <c r="A745" t="s">
        <v>4554</v>
      </c>
      <c r="B745" t="s">
        <v>4110</v>
      </c>
      <c r="C745">
        <v>3</v>
      </c>
      <c r="D745" t="s">
        <v>1420</v>
      </c>
      <c r="E745" t="s">
        <v>1421</v>
      </c>
      <c r="F745" s="122" t="s">
        <v>1427</v>
      </c>
      <c r="G745" s="122" t="s">
        <v>1428</v>
      </c>
      <c r="H745" s="122" t="s">
        <v>4693</v>
      </c>
      <c r="I745">
        <v>28496</v>
      </c>
      <c r="J745">
        <v>2</v>
      </c>
      <c r="K745" s="122" t="s">
        <v>4694</v>
      </c>
      <c r="L745">
        <v>8000</v>
      </c>
    </row>
    <row r="746" spans="1:12" ht="80" x14ac:dyDescent="0.2">
      <c r="A746" t="s">
        <v>4554</v>
      </c>
      <c r="B746" t="s">
        <v>4110</v>
      </c>
      <c r="C746">
        <v>4</v>
      </c>
      <c r="D746" t="s">
        <v>1420</v>
      </c>
      <c r="E746" t="s">
        <v>1429</v>
      </c>
      <c r="F746" s="122" t="s">
        <v>1430</v>
      </c>
      <c r="G746" s="122">
        <v>88</v>
      </c>
      <c r="H746" s="122" t="s">
        <v>4695</v>
      </c>
      <c r="I746">
        <v>29451</v>
      </c>
      <c r="J746">
        <v>0</v>
      </c>
      <c r="K746" s="122" t="s">
        <v>4696</v>
      </c>
      <c r="L746">
        <v>8000</v>
      </c>
    </row>
    <row r="747" spans="1:12" ht="80" x14ac:dyDescent="0.2">
      <c r="A747" t="s">
        <v>4554</v>
      </c>
      <c r="B747" t="s">
        <v>4110</v>
      </c>
      <c r="C747">
        <v>5</v>
      </c>
      <c r="D747" t="s">
        <v>1420</v>
      </c>
      <c r="E747" t="s">
        <v>1421</v>
      </c>
      <c r="F747" s="122" t="s">
        <v>1431</v>
      </c>
      <c r="G747" s="122" t="s">
        <v>1432</v>
      </c>
      <c r="H747" s="122" t="s">
        <v>3999</v>
      </c>
      <c r="I747">
        <v>27738</v>
      </c>
      <c r="J747">
        <v>3</v>
      </c>
      <c r="K747" s="122" t="s">
        <v>4697</v>
      </c>
      <c r="L747">
        <v>8000</v>
      </c>
    </row>
    <row r="748" spans="1:12" ht="80" x14ac:dyDescent="0.2">
      <c r="A748" t="s">
        <v>4554</v>
      </c>
      <c r="B748" t="s">
        <v>4110</v>
      </c>
      <c r="C748">
        <v>6</v>
      </c>
      <c r="D748" t="s">
        <v>1433</v>
      </c>
      <c r="E748" t="s">
        <v>1434</v>
      </c>
      <c r="F748" s="122" t="s">
        <v>1435</v>
      </c>
      <c r="G748" s="122" t="s">
        <v>1436</v>
      </c>
      <c r="H748" s="122" t="s">
        <v>4564</v>
      </c>
      <c r="I748">
        <v>31889</v>
      </c>
      <c r="J748">
        <v>3</v>
      </c>
      <c r="K748" s="122" t="s">
        <v>4565</v>
      </c>
      <c r="L748">
        <v>8000</v>
      </c>
    </row>
    <row r="749" spans="1:12" ht="176" x14ac:dyDescent="0.2">
      <c r="A749" t="s">
        <v>4554</v>
      </c>
      <c r="B749" t="s">
        <v>4110</v>
      </c>
      <c r="C749">
        <v>7</v>
      </c>
      <c r="D749" t="s">
        <v>1433</v>
      </c>
      <c r="E749" t="s">
        <v>1434</v>
      </c>
      <c r="F749" s="122" t="s">
        <v>1438</v>
      </c>
      <c r="G749" s="122" t="s">
        <v>1469</v>
      </c>
      <c r="H749" s="122" t="s">
        <v>4698</v>
      </c>
      <c r="I749">
        <v>26064</v>
      </c>
      <c r="J749">
        <v>0</v>
      </c>
      <c r="K749" s="122" t="s">
        <v>4699</v>
      </c>
      <c r="L749">
        <v>8000</v>
      </c>
    </row>
    <row r="750" spans="1:12" ht="128" x14ac:dyDescent="0.2">
      <c r="A750" t="s">
        <v>4554</v>
      </c>
      <c r="B750" t="s">
        <v>4110</v>
      </c>
      <c r="C750">
        <v>8</v>
      </c>
      <c r="D750" t="s">
        <v>1433</v>
      </c>
      <c r="E750" t="s">
        <v>1440</v>
      </c>
      <c r="F750" s="122" t="s">
        <v>1441</v>
      </c>
      <c r="G750" s="122" t="s">
        <v>1470</v>
      </c>
      <c r="H750" s="122" t="s">
        <v>4700</v>
      </c>
      <c r="I750">
        <v>31856</v>
      </c>
      <c r="J750">
        <v>3</v>
      </c>
      <c r="K750" s="122" t="s">
        <v>4701</v>
      </c>
      <c r="L750">
        <v>8000</v>
      </c>
    </row>
    <row r="751" spans="1:12" ht="96" x14ac:dyDescent="0.2">
      <c r="A751" t="s">
        <v>4554</v>
      </c>
      <c r="B751" t="s">
        <v>4110</v>
      </c>
      <c r="C751">
        <v>9</v>
      </c>
      <c r="D751" t="s">
        <v>1433</v>
      </c>
      <c r="E751" t="s">
        <v>1440</v>
      </c>
      <c r="F751" s="122" t="s">
        <v>1443</v>
      </c>
      <c r="G751" s="122" t="s">
        <v>1477</v>
      </c>
      <c r="H751" s="122" t="s">
        <v>4702</v>
      </c>
      <c r="I751">
        <v>26225</v>
      </c>
      <c r="J751">
        <v>0</v>
      </c>
      <c r="K751" s="122" t="s">
        <v>4703</v>
      </c>
      <c r="L751">
        <v>8000</v>
      </c>
    </row>
    <row r="752" spans="1:12" ht="112" x14ac:dyDescent="0.2">
      <c r="A752" t="s">
        <v>4554</v>
      </c>
      <c r="B752" t="s">
        <v>4110</v>
      </c>
      <c r="C752">
        <v>10</v>
      </c>
      <c r="D752" t="s">
        <v>1433</v>
      </c>
      <c r="E752" t="s">
        <v>1421</v>
      </c>
      <c r="F752" s="122" t="s">
        <v>1445</v>
      </c>
      <c r="G752" s="122" t="s">
        <v>1446</v>
      </c>
      <c r="H752" s="122" t="s">
        <v>4704</v>
      </c>
      <c r="I752">
        <v>28942</v>
      </c>
      <c r="J752">
        <v>3</v>
      </c>
      <c r="K752" s="122" t="s">
        <v>4705</v>
      </c>
      <c r="L752">
        <v>8000</v>
      </c>
    </row>
    <row r="753" spans="1:13" ht="64" x14ac:dyDescent="0.2">
      <c r="A753" t="s">
        <v>4554</v>
      </c>
      <c r="B753" t="s">
        <v>4110</v>
      </c>
      <c r="C753">
        <v>11</v>
      </c>
      <c r="D753" t="s">
        <v>1433</v>
      </c>
      <c r="E753" t="s">
        <v>1447</v>
      </c>
      <c r="F753" s="122" t="s">
        <v>1448</v>
      </c>
      <c r="G753" s="122" t="s">
        <v>4011</v>
      </c>
      <c r="H753" s="122" t="s">
        <v>4574</v>
      </c>
      <c r="I753">
        <v>31899</v>
      </c>
      <c r="J753">
        <v>3</v>
      </c>
      <c r="K753" s="122" t="s">
        <v>4575</v>
      </c>
      <c r="L753">
        <v>8000</v>
      </c>
    </row>
    <row r="754" spans="1:13" ht="64" x14ac:dyDescent="0.2">
      <c r="A754" t="s">
        <v>4554</v>
      </c>
      <c r="B754" t="s">
        <v>4110</v>
      </c>
      <c r="C754">
        <v>12</v>
      </c>
      <c r="D754" t="s">
        <v>1433</v>
      </c>
      <c r="E754" t="s">
        <v>1434</v>
      </c>
      <c r="F754" s="122" t="s">
        <v>1450</v>
      </c>
      <c r="G754" s="196">
        <v>16881928.100000001</v>
      </c>
      <c r="H754" s="122" t="s">
        <v>4576</v>
      </c>
      <c r="I754">
        <v>29453</v>
      </c>
      <c r="J754">
        <v>0</v>
      </c>
      <c r="K754" s="122" t="s">
        <v>4577</v>
      </c>
      <c r="L754">
        <v>8000</v>
      </c>
    </row>
    <row r="755" spans="1:13" ht="144" x14ac:dyDescent="0.2">
      <c r="A755" t="s">
        <v>4554</v>
      </c>
      <c r="B755" t="s">
        <v>4110</v>
      </c>
      <c r="C755">
        <v>13</v>
      </c>
      <c r="D755" t="s">
        <v>1452</v>
      </c>
      <c r="E755" t="s">
        <v>1453</v>
      </c>
      <c r="F755" s="122" t="s">
        <v>1454</v>
      </c>
      <c r="G755" s="122">
        <v>19</v>
      </c>
      <c r="H755" s="122" t="s">
        <v>4706</v>
      </c>
      <c r="I755">
        <v>31839</v>
      </c>
      <c r="J755">
        <v>0</v>
      </c>
      <c r="K755" s="122" t="s">
        <v>4707</v>
      </c>
      <c r="L755">
        <v>8000</v>
      </c>
    </row>
    <row r="756" spans="1:13" ht="64" x14ac:dyDescent="0.2">
      <c r="A756" t="s">
        <v>4554</v>
      </c>
      <c r="B756" t="s">
        <v>4110</v>
      </c>
      <c r="C756">
        <v>14</v>
      </c>
      <c r="D756" t="s">
        <v>1452</v>
      </c>
      <c r="E756" t="s">
        <v>1453</v>
      </c>
      <c r="F756" s="122" t="s">
        <v>1455</v>
      </c>
      <c r="G756" s="122">
        <v>9</v>
      </c>
      <c r="H756" s="122" t="s">
        <v>4708</v>
      </c>
    </row>
    <row r="758" spans="1:13" x14ac:dyDescent="0.2">
      <c r="A758" t="s">
        <v>2392</v>
      </c>
    </row>
    <row r="759" spans="1:13" x14ac:dyDescent="0.2">
      <c r="A759" t="s">
        <v>2393</v>
      </c>
    </row>
    <row r="760" spans="1:13" x14ac:dyDescent="0.2">
      <c r="A760" t="s">
        <v>2394</v>
      </c>
    </row>
    <row r="761" spans="1:13" x14ac:dyDescent="0.2">
      <c r="A761" t="s">
        <v>4709</v>
      </c>
      <c r="B761" t="s">
        <v>4710</v>
      </c>
      <c r="C761" t="s">
        <v>4711</v>
      </c>
    </row>
    <row r="763" spans="1:13" ht="64" x14ac:dyDescent="0.2">
      <c r="A763" t="s">
        <v>4712</v>
      </c>
      <c r="B763" t="s">
        <v>4713</v>
      </c>
      <c r="C763" t="s">
        <v>4714</v>
      </c>
      <c r="D763" t="s">
        <v>4715</v>
      </c>
      <c r="E763" t="s">
        <v>4716</v>
      </c>
      <c r="F763" s="122" t="s">
        <v>4717</v>
      </c>
      <c r="G763" s="122" t="s">
        <v>4718</v>
      </c>
      <c r="H763" s="122" t="s">
        <v>4719</v>
      </c>
      <c r="I763" t="s">
        <v>4720</v>
      </c>
      <c r="J763">
        <v>26917</v>
      </c>
      <c r="K763" s="122">
        <v>0</v>
      </c>
      <c r="L763" t="s">
        <v>4721</v>
      </c>
      <c r="M763">
        <v>8000</v>
      </c>
    </row>
    <row r="764" spans="1:13" ht="64" x14ac:dyDescent="0.2">
      <c r="A764" t="s">
        <v>4554</v>
      </c>
      <c r="B764" t="s">
        <v>4110</v>
      </c>
      <c r="C764">
        <v>15</v>
      </c>
      <c r="D764" t="s">
        <v>1452</v>
      </c>
      <c r="E764" t="s">
        <v>1447</v>
      </c>
      <c r="F764" s="122" t="s">
        <v>1457</v>
      </c>
      <c r="G764" s="122">
        <v>50</v>
      </c>
      <c r="H764" s="122" t="s">
        <v>4722</v>
      </c>
      <c r="I764">
        <v>31901</v>
      </c>
      <c r="J764">
        <v>2</v>
      </c>
      <c r="K764" s="122" t="s">
        <v>4723</v>
      </c>
      <c r="L764">
        <v>8000</v>
      </c>
    </row>
    <row r="765" spans="1:13" ht="192" x14ac:dyDescent="0.2">
      <c r="A765" t="s">
        <v>4554</v>
      </c>
      <c r="B765" t="s">
        <v>4110</v>
      </c>
      <c r="C765">
        <v>16</v>
      </c>
      <c r="D765" t="s">
        <v>1452</v>
      </c>
      <c r="E765" t="s">
        <v>1434</v>
      </c>
      <c r="F765" s="122" t="s">
        <v>1458</v>
      </c>
      <c r="G765" s="122" t="s">
        <v>1497</v>
      </c>
      <c r="H765" s="122" t="s">
        <v>4724</v>
      </c>
      <c r="I765">
        <v>29800</v>
      </c>
      <c r="J765">
        <v>0</v>
      </c>
      <c r="K765" s="122" t="s">
        <v>4725</v>
      </c>
      <c r="L765">
        <v>8000</v>
      </c>
    </row>
    <row r="766" spans="1:13" ht="80" x14ac:dyDescent="0.2">
      <c r="A766" t="s">
        <v>4554</v>
      </c>
      <c r="B766" t="s">
        <v>4110</v>
      </c>
      <c r="C766">
        <v>17</v>
      </c>
      <c r="D766" t="s">
        <v>1452</v>
      </c>
      <c r="E766" t="s">
        <v>1421</v>
      </c>
      <c r="F766" s="122" t="s">
        <v>1460</v>
      </c>
      <c r="G766" s="122" t="s">
        <v>1500</v>
      </c>
      <c r="H766" s="122" t="s">
        <v>4726</v>
      </c>
      <c r="I766">
        <v>29348</v>
      </c>
      <c r="J766">
        <v>0</v>
      </c>
      <c r="K766" s="122" t="s">
        <v>4388</v>
      </c>
      <c r="L766">
        <v>8000</v>
      </c>
    </row>
    <row r="767" spans="1:13" ht="128" x14ac:dyDescent="0.2">
      <c r="A767" t="s">
        <v>4554</v>
      </c>
      <c r="B767" t="s">
        <v>4110</v>
      </c>
      <c r="C767">
        <v>18</v>
      </c>
      <c r="D767" t="s">
        <v>1452</v>
      </c>
      <c r="E767" t="s">
        <v>1440</v>
      </c>
      <c r="F767" s="122" t="s">
        <v>1462</v>
      </c>
      <c r="G767" s="122" t="s">
        <v>1502</v>
      </c>
      <c r="H767" s="122" t="s">
        <v>4727</v>
      </c>
      <c r="I767">
        <v>31609</v>
      </c>
      <c r="J767">
        <v>0</v>
      </c>
      <c r="K767" s="122" t="s">
        <v>3997</v>
      </c>
      <c r="L767">
        <v>8000</v>
      </c>
    </row>
    <row r="768" spans="1:13" ht="64" x14ac:dyDescent="0.2">
      <c r="A768" t="s">
        <v>4554</v>
      </c>
      <c r="B768" t="s">
        <v>4110</v>
      </c>
      <c r="C768">
        <v>19</v>
      </c>
      <c r="D768" t="s">
        <v>1452</v>
      </c>
      <c r="E768" t="s">
        <v>1464</v>
      </c>
      <c r="F768" s="122" t="s">
        <v>1465</v>
      </c>
      <c r="G768" s="122" t="s">
        <v>1503</v>
      </c>
      <c r="H768" s="122" t="s">
        <v>4728</v>
      </c>
      <c r="I768">
        <v>29254</v>
      </c>
      <c r="J768">
        <v>0</v>
      </c>
      <c r="K768" s="122" t="s">
        <v>4729</v>
      </c>
      <c r="L768">
        <v>8000</v>
      </c>
    </row>
    <row r="769" spans="1:12" ht="128" x14ac:dyDescent="0.2">
      <c r="A769" t="s">
        <v>4554</v>
      </c>
      <c r="B769" t="s">
        <v>4110</v>
      </c>
      <c r="C769">
        <v>20</v>
      </c>
      <c r="D769" t="s">
        <v>1452</v>
      </c>
      <c r="E769" t="s">
        <v>1464</v>
      </c>
      <c r="F769" s="122" t="s">
        <v>1467</v>
      </c>
      <c r="G769" s="122" t="s">
        <v>1513</v>
      </c>
      <c r="H769" s="122" t="s">
        <v>4730</v>
      </c>
    </row>
    <row r="771" spans="1:12" x14ac:dyDescent="0.2">
      <c r="A771" t="s">
        <v>4731</v>
      </c>
      <c r="B771" t="s">
        <v>4732</v>
      </c>
    </row>
    <row r="772" spans="1:12" x14ac:dyDescent="0.2">
      <c r="A772" t="s">
        <v>4733</v>
      </c>
      <c r="B772" t="s">
        <v>4734</v>
      </c>
    </row>
    <row r="773" spans="1:12" x14ac:dyDescent="0.2">
      <c r="A773" t="s">
        <v>2424</v>
      </c>
    </row>
    <row r="775" spans="1:12" x14ac:dyDescent="0.2">
      <c r="A775" t="s">
        <v>4735</v>
      </c>
      <c r="B775" t="s">
        <v>4736</v>
      </c>
      <c r="C775">
        <v>31914</v>
      </c>
      <c r="D775">
        <v>1</v>
      </c>
      <c r="E775" t="s">
        <v>4737</v>
      </c>
      <c r="F775" s="122">
        <v>8000</v>
      </c>
    </row>
    <row r="776" spans="1:12" ht="64" x14ac:dyDescent="0.2">
      <c r="A776" t="s">
        <v>4554</v>
      </c>
      <c r="B776" t="s">
        <v>4155</v>
      </c>
      <c r="C776">
        <v>1</v>
      </c>
      <c r="D776" t="s">
        <v>1420</v>
      </c>
      <c r="E776" t="s">
        <v>1421</v>
      </c>
      <c r="F776" s="122" t="s">
        <v>1422</v>
      </c>
      <c r="G776" s="122" t="s">
        <v>1423</v>
      </c>
      <c r="H776" s="122" t="s">
        <v>4738</v>
      </c>
      <c r="I776">
        <v>31863</v>
      </c>
      <c r="J776">
        <v>0</v>
      </c>
      <c r="K776" s="122" t="s">
        <v>4092</v>
      </c>
      <c r="L776">
        <v>8000</v>
      </c>
    </row>
    <row r="777" spans="1:12" ht="64" x14ac:dyDescent="0.2">
      <c r="A777" t="s">
        <v>4554</v>
      </c>
      <c r="B777" t="s">
        <v>4155</v>
      </c>
      <c r="C777">
        <v>2</v>
      </c>
      <c r="D777" t="s">
        <v>1420</v>
      </c>
      <c r="E777" t="s">
        <v>1421</v>
      </c>
      <c r="F777" s="122" t="s">
        <v>1425</v>
      </c>
      <c r="G777" s="122">
        <v>8</v>
      </c>
      <c r="H777" s="122" t="s">
        <v>4739</v>
      </c>
      <c r="I777">
        <v>31863</v>
      </c>
      <c r="J777">
        <v>0</v>
      </c>
      <c r="K777" s="122" t="s">
        <v>4740</v>
      </c>
      <c r="L777">
        <v>8000</v>
      </c>
    </row>
    <row r="778" spans="1:12" ht="128" x14ac:dyDescent="0.2">
      <c r="A778" t="s">
        <v>4554</v>
      </c>
      <c r="B778" t="s">
        <v>4155</v>
      </c>
      <c r="C778">
        <v>3</v>
      </c>
      <c r="D778" t="s">
        <v>1420</v>
      </c>
      <c r="E778" t="s">
        <v>1421</v>
      </c>
      <c r="F778" s="122" t="s">
        <v>1427</v>
      </c>
      <c r="G778" s="122" t="s">
        <v>1428</v>
      </c>
      <c r="H778" s="122" t="s">
        <v>4741</v>
      </c>
      <c r="I778">
        <v>31863</v>
      </c>
      <c r="J778">
        <v>3</v>
      </c>
      <c r="K778" s="122" t="s">
        <v>4742</v>
      </c>
      <c r="L778">
        <v>8000</v>
      </c>
    </row>
    <row r="779" spans="1:12" ht="144" x14ac:dyDescent="0.2">
      <c r="A779" t="s">
        <v>4554</v>
      </c>
      <c r="B779" t="s">
        <v>4155</v>
      </c>
      <c r="C779">
        <v>4</v>
      </c>
      <c r="D779" t="s">
        <v>1420</v>
      </c>
      <c r="E779" t="s">
        <v>1429</v>
      </c>
      <c r="F779" s="122" t="s">
        <v>1430</v>
      </c>
      <c r="G779" s="122">
        <v>88</v>
      </c>
      <c r="H779" s="122" t="s">
        <v>4743</v>
      </c>
      <c r="I779">
        <v>31863</v>
      </c>
      <c r="J779">
        <v>0</v>
      </c>
      <c r="K779" s="122" t="s">
        <v>4744</v>
      </c>
      <c r="L779">
        <v>8000</v>
      </c>
    </row>
    <row r="780" spans="1:12" ht="64" x14ac:dyDescent="0.2">
      <c r="A780" t="s">
        <v>4554</v>
      </c>
      <c r="B780" t="s">
        <v>4155</v>
      </c>
      <c r="C780">
        <v>5</v>
      </c>
      <c r="D780" t="s">
        <v>1420</v>
      </c>
      <c r="E780" t="s">
        <v>1421</v>
      </c>
      <c r="F780" s="122" t="s">
        <v>1431</v>
      </c>
      <c r="G780" s="122" t="s">
        <v>1432</v>
      </c>
      <c r="H780" s="122" t="s">
        <v>4745</v>
      </c>
    </row>
    <row r="782" spans="1:12" ht="16" x14ac:dyDescent="0.2">
      <c r="A782" t="s">
        <v>4746</v>
      </c>
      <c r="B782">
        <v>47</v>
      </c>
      <c r="C782" t="s">
        <v>4747</v>
      </c>
      <c r="D782" t="s">
        <v>4748</v>
      </c>
      <c r="E782" t="s">
        <v>4749</v>
      </c>
      <c r="F782" s="122" t="s">
        <v>4750</v>
      </c>
      <c r="G782" s="122">
        <v>31863</v>
      </c>
      <c r="H782" s="122">
        <v>3</v>
      </c>
      <c r="I782" t="s">
        <v>4751</v>
      </c>
      <c r="J782">
        <v>8000</v>
      </c>
    </row>
    <row r="783" spans="1:12" ht="80" x14ac:dyDescent="0.2">
      <c r="A783" t="s">
        <v>4554</v>
      </c>
      <c r="B783" t="s">
        <v>4155</v>
      </c>
      <c r="C783">
        <v>6</v>
      </c>
      <c r="D783" t="s">
        <v>1433</v>
      </c>
      <c r="E783" t="s">
        <v>1434</v>
      </c>
      <c r="F783" s="122" t="s">
        <v>1435</v>
      </c>
      <c r="G783" s="122" t="s">
        <v>1436</v>
      </c>
      <c r="H783" s="122" t="s">
        <v>4607</v>
      </c>
      <c r="I783">
        <v>31863</v>
      </c>
      <c r="J783">
        <v>0</v>
      </c>
      <c r="K783" s="122" t="s">
        <v>4752</v>
      </c>
      <c r="L783">
        <v>8000</v>
      </c>
    </row>
    <row r="784" spans="1:12" ht="144" x14ac:dyDescent="0.2">
      <c r="A784" t="s">
        <v>4554</v>
      </c>
      <c r="B784" t="s">
        <v>4155</v>
      </c>
      <c r="C784">
        <v>7</v>
      </c>
      <c r="D784" t="s">
        <v>1433</v>
      </c>
      <c r="E784" t="s">
        <v>1434</v>
      </c>
      <c r="F784" s="122" t="s">
        <v>1438</v>
      </c>
      <c r="G784" s="122" t="s">
        <v>1469</v>
      </c>
      <c r="H784" s="122" t="s">
        <v>4753</v>
      </c>
      <c r="I784">
        <v>31863</v>
      </c>
      <c r="J784">
        <v>0</v>
      </c>
      <c r="K784" s="122" t="s">
        <v>4754</v>
      </c>
      <c r="L784">
        <v>8000</v>
      </c>
    </row>
    <row r="785" spans="1:12" ht="80" x14ac:dyDescent="0.2">
      <c r="A785" t="s">
        <v>4554</v>
      </c>
      <c r="B785" t="s">
        <v>4155</v>
      </c>
      <c r="C785">
        <v>8</v>
      </c>
      <c r="D785" t="s">
        <v>1433</v>
      </c>
      <c r="E785" t="s">
        <v>1440</v>
      </c>
      <c r="F785" s="122" t="s">
        <v>1441</v>
      </c>
      <c r="G785" s="122" t="s">
        <v>1470</v>
      </c>
      <c r="H785" s="122" t="s">
        <v>4755</v>
      </c>
      <c r="I785">
        <v>31863</v>
      </c>
      <c r="J785">
        <v>0</v>
      </c>
      <c r="K785" s="122" t="s">
        <v>4756</v>
      </c>
      <c r="L785">
        <v>8000</v>
      </c>
    </row>
    <row r="786" spans="1:12" ht="112" x14ac:dyDescent="0.2">
      <c r="A786" t="s">
        <v>4554</v>
      </c>
      <c r="B786" t="s">
        <v>4155</v>
      </c>
      <c r="C786">
        <v>9</v>
      </c>
      <c r="D786" t="s">
        <v>1433</v>
      </c>
      <c r="E786" t="s">
        <v>1440</v>
      </c>
      <c r="F786" s="122" t="s">
        <v>1443</v>
      </c>
      <c r="G786" s="122" t="s">
        <v>1477</v>
      </c>
      <c r="H786" s="122" t="s">
        <v>4757</v>
      </c>
      <c r="I786">
        <v>31863</v>
      </c>
      <c r="J786">
        <v>0</v>
      </c>
      <c r="K786" s="122" t="s">
        <v>4758</v>
      </c>
      <c r="L786">
        <v>8000</v>
      </c>
    </row>
    <row r="787" spans="1:12" ht="112" x14ac:dyDescent="0.2">
      <c r="A787" t="s">
        <v>4554</v>
      </c>
      <c r="B787" t="s">
        <v>4155</v>
      </c>
      <c r="C787">
        <v>10</v>
      </c>
      <c r="D787" t="s">
        <v>1433</v>
      </c>
      <c r="E787" t="s">
        <v>1421</v>
      </c>
      <c r="F787" s="122" t="s">
        <v>1445</v>
      </c>
      <c r="G787" s="122" t="s">
        <v>1446</v>
      </c>
      <c r="H787" s="122" t="s">
        <v>4759</v>
      </c>
      <c r="I787">
        <v>31863</v>
      </c>
      <c r="J787">
        <v>0</v>
      </c>
      <c r="K787" s="122" t="s">
        <v>3997</v>
      </c>
      <c r="L787">
        <v>8000</v>
      </c>
    </row>
    <row r="788" spans="1:12" ht="192" x14ac:dyDescent="0.2">
      <c r="A788" t="s">
        <v>4554</v>
      </c>
      <c r="B788" t="s">
        <v>4155</v>
      </c>
      <c r="C788">
        <v>11</v>
      </c>
      <c r="D788" t="s">
        <v>1433</v>
      </c>
      <c r="E788" t="s">
        <v>1447</v>
      </c>
      <c r="F788" s="122" t="s">
        <v>1448</v>
      </c>
      <c r="G788" s="122" t="s">
        <v>4011</v>
      </c>
      <c r="H788" s="122" t="s">
        <v>4760</v>
      </c>
      <c r="I788">
        <v>31863</v>
      </c>
      <c r="J788">
        <v>0</v>
      </c>
      <c r="K788" s="122" t="s">
        <v>4761</v>
      </c>
      <c r="L788">
        <v>8000</v>
      </c>
    </row>
    <row r="789" spans="1:12" ht="64" x14ac:dyDescent="0.2">
      <c r="A789" t="s">
        <v>4554</v>
      </c>
      <c r="B789" t="s">
        <v>4155</v>
      </c>
      <c r="C789">
        <v>12</v>
      </c>
      <c r="D789" t="s">
        <v>1433</v>
      </c>
      <c r="E789" t="s">
        <v>1434</v>
      </c>
      <c r="F789" s="122" t="s">
        <v>1450</v>
      </c>
      <c r="G789" s="196">
        <v>16881928.100000001</v>
      </c>
      <c r="H789" s="122" t="s">
        <v>4762</v>
      </c>
      <c r="I789">
        <v>31863</v>
      </c>
      <c r="J789">
        <v>0</v>
      </c>
      <c r="K789" s="122" t="s">
        <v>4398</v>
      </c>
      <c r="L789">
        <v>8000</v>
      </c>
    </row>
    <row r="790" spans="1:12" ht="48" x14ac:dyDescent="0.2">
      <c r="A790" t="s">
        <v>4554</v>
      </c>
      <c r="B790" t="s">
        <v>4155</v>
      </c>
      <c r="C790">
        <v>13</v>
      </c>
      <c r="D790" t="s">
        <v>1452</v>
      </c>
      <c r="E790" t="s">
        <v>1453</v>
      </c>
      <c r="F790" s="122" t="s">
        <v>1454</v>
      </c>
      <c r="G790" s="122">
        <v>19</v>
      </c>
      <c r="H790" s="122" t="s">
        <v>4763</v>
      </c>
    </row>
    <row r="792" spans="1:12" x14ac:dyDescent="0.2">
      <c r="A792" t="s">
        <v>2476</v>
      </c>
    </row>
    <row r="793" spans="1:12" x14ac:dyDescent="0.2">
      <c r="A793" t="s">
        <v>1990</v>
      </c>
    </row>
    <row r="794" spans="1:12" x14ac:dyDescent="0.2">
      <c r="A794" t="s">
        <v>2477</v>
      </c>
    </row>
    <row r="795" spans="1:12" x14ac:dyDescent="0.2">
      <c r="A795" t="s">
        <v>4764</v>
      </c>
      <c r="B795">
        <v>31863</v>
      </c>
      <c r="C795">
        <v>0</v>
      </c>
      <c r="D795" t="s">
        <v>4765</v>
      </c>
      <c r="E795">
        <v>8000</v>
      </c>
    </row>
    <row r="796" spans="1:12" ht="96" x14ac:dyDescent="0.2">
      <c r="A796" t="s">
        <v>4554</v>
      </c>
      <c r="B796" t="s">
        <v>4155</v>
      </c>
      <c r="C796">
        <v>14</v>
      </c>
      <c r="D796" t="s">
        <v>1452</v>
      </c>
      <c r="E796" t="s">
        <v>1453</v>
      </c>
      <c r="F796" s="122" t="s">
        <v>1455</v>
      </c>
      <c r="G796" s="122">
        <v>9</v>
      </c>
      <c r="H796" s="122" t="s">
        <v>4766</v>
      </c>
      <c r="I796">
        <v>31863</v>
      </c>
      <c r="J796">
        <v>0</v>
      </c>
      <c r="K796" s="122" t="s">
        <v>4767</v>
      </c>
      <c r="L796">
        <v>8000</v>
      </c>
    </row>
    <row r="797" spans="1:12" ht="112" x14ac:dyDescent="0.2">
      <c r="A797" t="s">
        <v>4554</v>
      </c>
      <c r="B797" t="s">
        <v>4155</v>
      </c>
      <c r="C797">
        <v>15</v>
      </c>
      <c r="D797" t="s">
        <v>1452</v>
      </c>
      <c r="E797" t="s">
        <v>1447</v>
      </c>
      <c r="F797" s="122" t="s">
        <v>1457</v>
      </c>
      <c r="G797" s="122">
        <v>50</v>
      </c>
      <c r="H797" s="122" t="s">
        <v>4768</v>
      </c>
      <c r="I797">
        <v>31863</v>
      </c>
      <c r="J797">
        <v>0</v>
      </c>
      <c r="K797" s="122" t="s">
        <v>4769</v>
      </c>
      <c r="L797">
        <v>8000</v>
      </c>
    </row>
    <row r="798" spans="1:12" ht="240" x14ac:dyDescent="0.2">
      <c r="A798" t="s">
        <v>4554</v>
      </c>
      <c r="B798" t="s">
        <v>4155</v>
      </c>
      <c r="C798">
        <v>16</v>
      </c>
      <c r="D798" t="s">
        <v>1452</v>
      </c>
      <c r="E798" t="s">
        <v>1434</v>
      </c>
      <c r="F798" s="122" t="s">
        <v>1458</v>
      </c>
      <c r="G798" s="122" t="s">
        <v>1497</v>
      </c>
      <c r="H798" s="122" t="s">
        <v>4770</v>
      </c>
      <c r="I798">
        <v>31863</v>
      </c>
      <c r="J798">
        <v>0</v>
      </c>
      <c r="K798" s="122" t="s">
        <v>4771</v>
      </c>
      <c r="L798">
        <v>8000</v>
      </c>
    </row>
    <row r="799" spans="1:12" ht="128" x14ac:dyDescent="0.2">
      <c r="A799" t="s">
        <v>4554</v>
      </c>
      <c r="B799" t="s">
        <v>4155</v>
      </c>
      <c r="C799">
        <v>17</v>
      </c>
      <c r="D799" t="s">
        <v>1452</v>
      </c>
      <c r="E799" t="s">
        <v>1421</v>
      </c>
      <c r="F799" s="122" t="s">
        <v>1460</v>
      </c>
      <c r="G799" s="122" t="s">
        <v>1500</v>
      </c>
      <c r="H799" s="122" t="s">
        <v>4772</v>
      </c>
      <c r="I799">
        <v>31863</v>
      </c>
      <c r="J799">
        <v>0</v>
      </c>
      <c r="K799" s="122" t="s">
        <v>4388</v>
      </c>
      <c r="L799">
        <v>8000</v>
      </c>
    </row>
    <row r="800" spans="1:12" ht="64" x14ac:dyDescent="0.2">
      <c r="A800" t="s">
        <v>4554</v>
      </c>
      <c r="B800" t="s">
        <v>4155</v>
      </c>
      <c r="C800">
        <v>18</v>
      </c>
      <c r="D800" t="s">
        <v>1452</v>
      </c>
      <c r="E800" t="s">
        <v>1440</v>
      </c>
      <c r="F800" s="122" t="s">
        <v>1462</v>
      </c>
      <c r="G800" s="122" t="s">
        <v>1502</v>
      </c>
      <c r="H800" s="122" t="s">
        <v>4668</v>
      </c>
      <c r="I800">
        <v>31863</v>
      </c>
      <c r="J800">
        <v>0</v>
      </c>
      <c r="K800" s="122" t="s">
        <v>4669</v>
      </c>
      <c r="L800">
        <v>8000</v>
      </c>
    </row>
    <row r="801" spans="1:15" ht="64" x14ac:dyDescent="0.2">
      <c r="A801" t="s">
        <v>4554</v>
      </c>
      <c r="B801" t="s">
        <v>4155</v>
      </c>
      <c r="C801">
        <v>19</v>
      </c>
      <c r="D801" t="s">
        <v>1452</v>
      </c>
      <c r="E801" t="s">
        <v>1464</v>
      </c>
      <c r="F801" s="122" t="s">
        <v>1465</v>
      </c>
      <c r="G801" s="122" t="s">
        <v>1503</v>
      </c>
      <c r="H801" s="122" t="s">
        <v>4773</v>
      </c>
      <c r="I801">
        <v>31863</v>
      </c>
      <c r="J801">
        <v>1</v>
      </c>
      <c r="K801" s="122" t="s">
        <v>4774</v>
      </c>
      <c r="L801">
        <v>8000</v>
      </c>
    </row>
    <row r="802" spans="1:15" ht="128" x14ac:dyDescent="0.2">
      <c r="A802" t="s">
        <v>4554</v>
      </c>
      <c r="B802" t="s">
        <v>4155</v>
      </c>
      <c r="C802">
        <v>20</v>
      </c>
      <c r="D802" t="s">
        <v>1452</v>
      </c>
      <c r="E802" t="s">
        <v>1464</v>
      </c>
      <c r="F802" s="122" t="s">
        <v>1467</v>
      </c>
      <c r="G802" s="122" t="s">
        <v>1513</v>
      </c>
      <c r="H802" s="122" t="s">
        <v>4775</v>
      </c>
    </row>
    <row r="804" spans="1:15" ht="16" x14ac:dyDescent="0.2">
      <c r="A804" t="s">
        <v>4776</v>
      </c>
      <c r="B804" t="s">
        <v>4777</v>
      </c>
      <c r="C804">
        <v>469</v>
      </c>
      <c r="D804" t="s">
        <v>4778</v>
      </c>
      <c r="E804">
        <v>663</v>
      </c>
      <c r="F804" s="122" t="s">
        <v>4779</v>
      </c>
      <c r="G804" s="122">
        <v>194</v>
      </c>
      <c r="H804" s="122" t="s">
        <v>4780</v>
      </c>
    </row>
    <row r="805" spans="1:15" ht="16" x14ac:dyDescent="0.2">
      <c r="A805" t="s">
        <v>4781</v>
      </c>
      <c r="B805" t="s">
        <v>4782</v>
      </c>
      <c r="C805">
        <v>135</v>
      </c>
      <c r="D805" t="s">
        <v>4783</v>
      </c>
      <c r="E805">
        <v>614</v>
      </c>
      <c r="F805" s="122" t="s">
        <v>4784</v>
      </c>
      <c r="G805" s="122">
        <v>479</v>
      </c>
      <c r="H805" s="122" t="s">
        <v>4785</v>
      </c>
    </row>
    <row r="806" spans="1:15" ht="48" x14ac:dyDescent="0.2">
      <c r="A806" t="s">
        <v>4683</v>
      </c>
      <c r="B806" t="s">
        <v>4786</v>
      </c>
      <c r="C806" t="s">
        <v>4787</v>
      </c>
      <c r="D806" t="s">
        <v>4788</v>
      </c>
      <c r="E806" t="s">
        <v>4789</v>
      </c>
      <c r="F806" s="122" t="s">
        <v>4790</v>
      </c>
      <c r="G806" s="122" t="s">
        <v>4675</v>
      </c>
      <c r="H806" s="122">
        <v>837</v>
      </c>
      <c r="I806" t="s">
        <v>4791</v>
      </c>
      <c r="J806">
        <v>571</v>
      </c>
      <c r="K806" s="122" t="s">
        <v>4792</v>
      </c>
      <c r="L806">
        <v>31863</v>
      </c>
      <c r="M806">
        <v>1</v>
      </c>
      <c r="N806" t="s">
        <v>4183</v>
      </c>
      <c r="O806">
        <v>8000</v>
      </c>
    </row>
    <row r="807" spans="1:15" ht="80" x14ac:dyDescent="0.2">
      <c r="A807" t="s">
        <v>4554</v>
      </c>
      <c r="B807" t="s">
        <v>4184</v>
      </c>
      <c r="C807">
        <v>1</v>
      </c>
      <c r="D807" t="s">
        <v>1420</v>
      </c>
      <c r="E807" t="s">
        <v>1421</v>
      </c>
      <c r="F807" s="122" t="s">
        <v>1422</v>
      </c>
      <c r="G807" s="122" t="s">
        <v>1423</v>
      </c>
      <c r="H807" s="122" t="s">
        <v>4793</v>
      </c>
      <c r="I807">
        <v>32265</v>
      </c>
      <c r="J807">
        <v>0</v>
      </c>
      <c r="K807" s="122" t="s">
        <v>4794</v>
      </c>
      <c r="L807">
        <v>16000</v>
      </c>
    </row>
    <row r="808" spans="1:15" ht="64" x14ac:dyDescent="0.2">
      <c r="A808" t="s">
        <v>4554</v>
      </c>
      <c r="B808" t="s">
        <v>4184</v>
      </c>
      <c r="C808">
        <v>2</v>
      </c>
      <c r="D808" t="s">
        <v>1420</v>
      </c>
      <c r="E808" t="s">
        <v>1421</v>
      </c>
      <c r="F808" s="122" t="s">
        <v>1425</v>
      </c>
      <c r="G808" s="122">
        <v>8</v>
      </c>
      <c r="H808" s="122" t="s">
        <v>4557</v>
      </c>
      <c r="I808">
        <v>44203</v>
      </c>
      <c r="J808">
        <v>0</v>
      </c>
      <c r="K808" s="122" t="s">
        <v>4558</v>
      </c>
      <c r="L808">
        <v>16000</v>
      </c>
    </row>
    <row r="809" spans="1:15" ht="160" x14ac:dyDescent="0.2">
      <c r="A809" t="s">
        <v>4554</v>
      </c>
      <c r="B809" t="s">
        <v>4184</v>
      </c>
      <c r="C809">
        <v>3</v>
      </c>
      <c r="D809" t="s">
        <v>1420</v>
      </c>
      <c r="E809" t="s">
        <v>1421</v>
      </c>
      <c r="F809" s="122" t="s">
        <v>1427</v>
      </c>
      <c r="G809" s="122" t="s">
        <v>1428</v>
      </c>
      <c r="H809" s="122" t="s">
        <v>4795</v>
      </c>
      <c r="I809">
        <v>28496</v>
      </c>
      <c r="J809">
        <v>2</v>
      </c>
      <c r="K809" s="122" t="s">
        <v>4796</v>
      </c>
      <c r="L809">
        <v>16000</v>
      </c>
    </row>
    <row r="810" spans="1:15" ht="64" x14ac:dyDescent="0.2">
      <c r="A810" t="s">
        <v>4554</v>
      </c>
      <c r="B810" t="s">
        <v>4184</v>
      </c>
      <c r="C810">
        <v>4</v>
      </c>
      <c r="D810" t="s">
        <v>1420</v>
      </c>
      <c r="E810" t="s">
        <v>1429</v>
      </c>
      <c r="F810" s="122" t="s">
        <v>1430</v>
      </c>
      <c r="G810" s="122">
        <v>88</v>
      </c>
      <c r="H810" s="122" t="s">
        <v>4797</v>
      </c>
      <c r="I810">
        <v>29451</v>
      </c>
      <c r="J810">
        <v>2</v>
      </c>
      <c r="K810" s="122" t="s">
        <v>4798</v>
      </c>
      <c r="L810">
        <v>16000</v>
      </c>
    </row>
    <row r="811" spans="1:15" ht="64" x14ac:dyDescent="0.2">
      <c r="A811" t="s">
        <v>4554</v>
      </c>
      <c r="B811" t="s">
        <v>4184</v>
      </c>
      <c r="C811">
        <v>5</v>
      </c>
      <c r="D811" t="s">
        <v>1420</v>
      </c>
      <c r="E811" t="s">
        <v>1421</v>
      </c>
      <c r="F811" s="122" t="s">
        <v>1431</v>
      </c>
      <c r="G811" s="122" t="s">
        <v>1432</v>
      </c>
      <c r="H811" s="122" t="s">
        <v>3999</v>
      </c>
      <c r="I811">
        <v>27738</v>
      </c>
      <c r="J811">
        <v>3</v>
      </c>
      <c r="K811" s="122" t="s">
        <v>4189</v>
      </c>
      <c r="L811">
        <v>16000</v>
      </c>
    </row>
    <row r="812" spans="1:15" ht="80" x14ac:dyDescent="0.2">
      <c r="A812" t="s">
        <v>4554</v>
      </c>
      <c r="B812" t="s">
        <v>4184</v>
      </c>
      <c r="C812">
        <v>6</v>
      </c>
      <c r="D812" t="s">
        <v>1433</v>
      </c>
      <c r="E812" t="s">
        <v>1434</v>
      </c>
      <c r="F812" s="122" t="s">
        <v>1435</v>
      </c>
      <c r="G812" s="122" t="s">
        <v>1436</v>
      </c>
      <c r="H812" s="122" t="s">
        <v>4564</v>
      </c>
      <c r="I812">
        <v>32711</v>
      </c>
      <c r="J812">
        <v>3</v>
      </c>
      <c r="K812" s="122" t="s">
        <v>4565</v>
      </c>
      <c r="L812">
        <v>16000</v>
      </c>
    </row>
    <row r="813" spans="1:15" ht="96" x14ac:dyDescent="0.2">
      <c r="A813" t="s">
        <v>4554</v>
      </c>
      <c r="B813" t="s">
        <v>4184</v>
      </c>
      <c r="C813">
        <v>7</v>
      </c>
      <c r="D813" t="s">
        <v>1433</v>
      </c>
      <c r="E813" t="s">
        <v>1434</v>
      </c>
      <c r="F813" s="122" t="s">
        <v>1438</v>
      </c>
      <c r="G813" s="122" t="s">
        <v>1469</v>
      </c>
      <c r="H813" s="122" t="s">
        <v>4799</v>
      </c>
      <c r="I813">
        <v>26064</v>
      </c>
      <c r="J813">
        <v>0</v>
      </c>
      <c r="K813" s="122" t="s">
        <v>4800</v>
      </c>
      <c r="L813">
        <v>16000</v>
      </c>
    </row>
    <row r="814" spans="1:15" ht="144" x14ac:dyDescent="0.2">
      <c r="A814" t="s">
        <v>4554</v>
      </c>
      <c r="B814" t="s">
        <v>4184</v>
      </c>
      <c r="C814">
        <v>8</v>
      </c>
      <c r="D814" t="s">
        <v>1433</v>
      </c>
      <c r="E814" t="s">
        <v>1440</v>
      </c>
      <c r="F814" s="122" t="s">
        <v>1441</v>
      </c>
      <c r="G814" s="122" t="s">
        <v>1470</v>
      </c>
      <c r="H814" s="122" t="s">
        <v>4801</v>
      </c>
      <c r="I814">
        <v>41486</v>
      </c>
      <c r="J814">
        <v>3</v>
      </c>
      <c r="K814" s="122" t="s">
        <v>4802</v>
      </c>
      <c r="L814">
        <v>16000</v>
      </c>
    </row>
    <row r="815" spans="1:15" ht="80" x14ac:dyDescent="0.2">
      <c r="A815" t="s">
        <v>4554</v>
      </c>
      <c r="B815" t="s">
        <v>4184</v>
      </c>
      <c r="C815">
        <v>9</v>
      </c>
      <c r="D815" t="s">
        <v>1433</v>
      </c>
      <c r="E815" t="s">
        <v>1440</v>
      </c>
      <c r="F815" s="122" t="s">
        <v>1443</v>
      </c>
      <c r="G815" s="122" t="s">
        <v>1477</v>
      </c>
      <c r="H815" s="122" t="s">
        <v>4803</v>
      </c>
      <c r="I815">
        <v>26225</v>
      </c>
      <c r="J815">
        <v>0</v>
      </c>
      <c r="K815" s="122" t="s">
        <v>4804</v>
      </c>
      <c r="L815">
        <v>16000</v>
      </c>
    </row>
    <row r="816" spans="1:15" ht="112" x14ac:dyDescent="0.2">
      <c r="A816" t="s">
        <v>4554</v>
      </c>
      <c r="B816" t="s">
        <v>4184</v>
      </c>
      <c r="C816">
        <v>10</v>
      </c>
      <c r="D816" t="s">
        <v>1433</v>
      </c>
      <c r="E816" t="s">
        <v>1421</v>
      </c>
      <c r="F816" s="122" t="s">
        <v>1445</v>
      </c>
      <c r="G816" s="122" t="s">
        <v>1446</v>
      </c>
      <c r="H816" s="122" t="s">
        <v>4704</v>
      </c>
      <c r="I816">
        <v>28942</v>
      </c>
      <c r="J816">
        <v>3</v>
      </c>
      <c r="K816" s="122" t="s">
        <v>4805</v>
      </c>
      <c r="L816">
        <v>16000</v>
      </c>
    </row>
    <row r="817" spans="1:12" ht="64" x14ac:dyDescent="0.2">
      <c r="A817" t="s">
        <v>4554</v>
      </c>
      <c r="B817" t="s">
        <v>4184</v>
      </c>
      <c r="C817">
        <v>11</v>
      </c>
      <c r="D817" t="s">
        <v>1433</v>
      </c>
      <c r="E817" t="s">
        <v>1447</v>
      </c>
      <c r="F817" s="122" t="s">
        <v>1448</v>
      </c>
      <c r="G817" s="122" t="s">
        <v>4011</v>
      </c>
      <c r="H817" s="122" t="s">
        <v>4574</v>
      </c>
      <c r="I817">
        <v>34521</v>
      </c>
      <c r="J817">
        <v>3</v>
      </c>
      <c r="K817" s="122" t="s">
        <v>4575</v>
      </c>
      <c r="L817">
        <v>16000</v>
      </c>
    </row>
    <row r="818" spans="1:12" ht="64" x14ac:dyDescent="0.2">
      <c r="A818" t="s">
        <v>4554</v>
      </c>
      <c r="B818" t="s">
        <v>4184</v>
      </c>
      <c r="C818">
        <v>12</v>
      </c>
      <c r="D818" t="s">
        <v>1433</v>
      </c>
      <c r="E818" t="s">
        <v>1434</v>
      </c>
      <c r="F818" s="122" t="s">
        <v>1450</v>
      </c>
      <c r="G818" s="196">
        <v>16881928.100000001</v>
      </c>
      <c r="H818" s="122" t="s">
        <v>4576</v>
      </c>
      <c r="I818">
        <v>29453</v>
      </c>
      <c r="J818">
        <v>0</v>
      </c>
      <c r="K818" s="122" t="s">
        <v>4577</v>
      </c>
      <c r="L818">
        <v>16000</v>
      </c>
    </row>
    <row r="819" spans="1:12" ht="64" x14ac:dyDescent="0.2">
      <c r="A819" t="s">
        <v>4554</v>
      </c>
      <c r="B819" t="s">
        <v>4184</v>
      </c>
      <c r="C819">
        <v>13</v>
      </c>
      <c r="D819" t="s">
        <v>1452</v>
      </c>
      <c r="E819" t="s">
        <v>1453</v>
      </c>
      <c r="F819" s="122" t="s">
        <v>1454</v>
      </c>
      <c r="G819" s="122">
        <v>19</v>
      </c>
      <c r="H819" s="122" t="s">
        <v>4806</v>
      </c>
      <c r="I819">
        <v>33104</v>
      </c>
      <c r="J819">
        <v>0</v>
      </c>
      <c r="K819" s="122" t="s">
        <v>4807</v>
      </c>
      <c r="L819">
        <v>16000</v>
      </c>
    </row>
    <row r="820" spans="1:12" ht="128" x14ac:dyDescent="0.2">
      <c r="A820" t="s">
        <v>4554</v>
      </c>
      <c r="B820" t="s">
        <v>4184</v>
      </c>
      <c r="C820">
        <v>14</v>
      </c>
      <c r="D820" t="s">
        <v>1452</v>
      </c>
      <c r="E820" t="s">
        <v>1453</v>
      </c>
      <c r="F820" s="122" t="s">
        <v>1455</v>
      </c>
      <c r="G820" s="122">
        <v>9</v>
      </c>
      <c r="H820" s="122" t="s">
        <v>4808</v>
      </c>
      <c r="I820">
        <v>26917</v>
      </c>
      <c r="J820">
        <v>0</v>
      </c>
      <c r="K820" s="122" t="s">
        <v>4809</v>
      </c>
      <c r="L820">
        <v>16000</v>
      </c>
    </row>
    <row r="821" spans="1:12" ht="64" x14ac:dyDescent="0.2">
      <c r="A821" t="s">
        <v>4554</v>
      </c>
      <c r="B821" t="s">
        <v>4184</v>
      </c>
      <c r="C821">
        <v>15</v>
      </c>
      <c r="D821" t="s">
        <v>1452</v>
      </c>
      <c r="E821" t="s">
        <v>1447</v>
      </c>
      <c r="F821" s="122" t="s">
        <v>1457</v>
      </c>
      <c r="G821" s="122">
        <v>50</v>
      </c>
      <c r="H821" s="122" t="s">
        <v>4810</v>
      </c>
      <c r="I821">
        <v>34915</v>
      </c>
      <c r="J821">
        <v>2</v>
      </c>
      <c r="K821" s="122" t="s">
        <v>4811</v>
      </c>
      <c r="L821">
        <v>16000</v>
      </c>
    </row>
    <row r="822" spans="1:12" ht="176" x14ac:dyDescent="0.2">
      <c r="A822" t="s">
        <v>4554</v>
      </c>
      <c r="B822" t="s">
        <v>4184</v>
      </c>
      <c r="C822">
        <v>16</v>
      </c>
      <c r="D822" t="s">
        <v>1452</v>
      </c>
      <c r="E822" t="s">
        <v>1434</v>
      </c>
      <c r="F822" s="122" t="s">
        <v>1458</v>
      </c>
      <c r="G822" s="122" t="s">
        <v>1497</v>
      </c>
      <c r="H822" s="122" t="s">
        <v>4812</v>
      </c>
      <c r="I822">
        <v>29800</v>
      </c>
      <c r="J822">
        <v>0</v>
      </c>
      <c r="K822" s="122" t="s">
        <v>4813</v>
      </c>
      <c r="L822">
        <v>16000</v>
      </c>
    </row>
    <row r="823" spans="1:12" ht="64" x14ac:dyDescent="0.2">
      <c r="A823" t="s">
        <v>4554</v>
      </c>
      <c r="B823" t="s">
        <v>4184</v>
      </c>
      <c r="C823">
        <v>17</v>
      </c>
      <c r="D823" t="s">
        <v>1452</v>
      </c>
      <c r="E823" t="s">
        <v>1421</v>
      </c>
      <c r="F823" s="122" t="s">
        <v>1460</v>
      </c>
      <c r="G823" s="122" t="s">
        <v>1500</v>
      </c>
      <c r="H823" s="122" t="s">
        <v>4586</v>
      </c>
      <c r="I823">
        <v>29348</v>
      </c>
      <c r="J823">
        <v>0</v>
      </c>
      <c r="K823" s="122" t="s">
        <v>4101</v>
      </c>
      <c r="L823">
        <v>16000</v>
      </c>
    </row>
    <row r="824" spans="1:12" ht="128" x14ac:dyDescent="0.2">
      <c r="A824" t="s">
        <v>4554</v>
      </c>
      <c r="B824" t="s">
        <v>4184</v>
      </c>
      <c r="C824">
        <v>18</v>
      </c>
      <c r="D824" t="s">
        <v>1452</v>
      </c>
      <c r="E824" t="s">
        <v>1440</v>
      </c>
      <c r="F824" s="122" t="s">
        <v>1462</v>
      </c>
      <c r="G824" s="122" t="s">
        <v>1502</v>
      </c>
      <c r="H824" s="122" t="s">
        <v>4727</v>
      </c>
      <c r="I824">
        <v>31609</v>
      </c>
      <c r="J824">
        <v>0</v>
      </c>
      <c r="K824" s="122" t="s">
        <v>3997</v>
      </c>
      <c r="L824">
        <v>16000</v>
      </c>
    </row>
    <row r="825" spans="1:12" ht="64" x14ac:dyDescent="0.2">
      <c r="A825" t="s">
        <v>4554</v>
      </c>
      <c r="B825" t="s">
        <v>4184</v>
      </c>
      <c r="C825">
        <v>19</v>
      </c>
      <c r="D825" t="s">
        <v>1452</v>
      </c>
      <c r="E825" t="s">
        <v>1464</v>
      </c>
      <c r="F825" s="122" t="s">
        <v>1465</v>
      </c>
      <c r="G825" s="122" t="s">
        <v>1503</v>
      </c>
      <c r="H825" s="122" t="s">
        <v>4728</v>
      </c>
      <c r="I825">
        <v>29254</v>
      </c>
      <c r="J825">
        <v>0</v>
      </c>
      <c r="K825" s="122" t="s">
        <v>4814</v>
      </c>
      <c r="L825">
        <v>16000</v>
      </c>
    </row>
    <row r="826" spans="1:12" ht="128" x14ac:dyDescent="0.2">
      <c r="A826" t="s">
        <v>4554</v>
      </c>
      <c r="B826" t="s">
        <v>4184</v>
      </c>
      <c r="C826">
        <v>20</v>
      </c>
      <c r="D826" t="s">
        <v>1452</v>
      </c>
      <c r="E826" t="s">
        <v>1464</v>
      </c>
      <c r="F826" s="122" t="s">
        <v>1467</v>
      </c>
      <c r="G826" s="122" t="s">
        <v>1513</v>
      </c>
      <c r="H826" s="122" t="s">
        <v>4815</v>
      </c>
    </row>
    <row r="828" spans="1:12" x14ac:dyDescent="0.2">
      <c r="A828" t="s">
        <v>4816</v>
      </c>
      <c r="B828" t="s">
        <v>4817</v>
      </c>
    </row>
    <row r="829" spans="1:12" x14ac:dyDescent="0.2">
      <c r="A829" t="s">
        <v>4818</v>
      </c>
      <c r="B829" t="s">
        <v>4819</v>
      </c>
    </row>
    <row r="830" spans="1:12" x14ac:dyDescent="0.2">
      <c r="A830" t="s">
        <v>2554</v>
      </c>
    </row>
    <row r="832" spans="1:12" x14ac:dyDescent="0.2">
      <c r="A832" t="s">
        <v>4820</v>
      </c>
      <c r="B832" t="s">
        <v>4821</v>
      </c>
      <c r="C832">
        <v>33951</v>
      </c>
      <c r="D832">
        <v>1</v>
      </c>
      <c r="E832" t="s">
        <v>4822</v>
      </c>
      <c r="F832" s="122">
        <v>16000</v>
      </c>
    </row>
    <row r="833" spans="1:15" ht="48" x14ac:dyDescent="0.2">
      <c r="A833" t="s">
        <v>4554</v>
      </c>
      <c r="B833" t="s">
        <v>4230</v>
      </c>
      <c r="C833">
        <v>1</v>
      </c>
      <c r="D833" t="s">
        <v>1420</v>
      </c>
      <c r="E833" t="s">
        <v>1421</v>
      </c>
      <c r="F833" s="122" t="s">
        <v>1422</v>
      </c>
      <c r="G833" s="122" t="s">
        <v>1423</v>
      </c>
      <c r="H833" s="122" t="s">
        <v>1423</v>
      </c>
      <c r="I833">
        <v>63940</v>
      </c>
      <c r="J833">
        <v>3</v>
      </c>
      <c r="K833" s="122" t="s">
        <v>4823</v>
      </c>
      <c r="L833">
        <v>16000</v>
      </c>
    </row>
    <row r="834" spans="1:15" ht="64" x14ac:dyDescent="0.2">
      <c r="A834" t="s">
        <v>4554</v>
      </c>
      <c r="B834" t="s">
        <v>4230</v>
      </c>
      <c r="C834">
        <v>2</v>
      </c>
      <c r="D834" t="s">
        <v>1420</v>
      </c>
      <c r="E834" t="s">
        <v>1421</v>
      </c>
      <c r="F834" s="122" t="s">
        <v>1425</v>
      </c>
      <c r="G834" s="122">
        <v>8</v>
      </c>
      <c r="H834" s="122" t="s">
        <v>4824</v>
      </c>
      <c r="I834">
        <v>63940</v>
      </c>
      <c r="J834">
        <v>2</v>
      </c>
      <c r="K834" s="122" t="s">
        <v>4825</v>
      </c>
      <c r="L834">
        <v>16000</v>
      </c>
    </row>
    <row r="835" spans="1:15" ht="144" x14ac:dyDescent="0.2">
      <c r="A835" t="s">
        <v>4554</v>
      </c>
      <c r="B835" t="s">
        <v>4230</v>
      </c>
      <c r="C835">
        <v>3</v>
      </c>
      <c r="D835" t="s">
        <v>1420</v>
      </c>
      <c r="E835" t="s">
        <v>1421</v>
      </c>
      <c r="F835" s="122" t="s">
        <v>1427</v>
      </c>
      <c r="G835" s="122" t="s">
        <v>1428</v>
      </c>
      <c r="H835" s="122" t="s">
        <v>4826</v>
      </c>
      <c r="I835">
        <v>63940</v>
      </c>
      <c r="J835">
        <v>3</v>
      </c>
      <c r="K835" s="122" t="s">
        <v>4742</v>
      </c>
      <c r="L835">
        <v>16000</v>
      </c>
    </row>
    <row r="836" spans="1:15" ht="48" x14ac:dyDescent="0.2">
      <c r="A836" t="s">
        <v>4554</v>
      </c>
      <c r="B836" t="s">
        <v>4230</v>
      </c>
      <c r="C836">
        <v>4</v>
      </c>
      <c r="D836" t="s">
        <v>1420</v>
      </c>
      <c r="E836" t="s">
        <v>1429</v>
      </c>
      <c r="F836" s="122" t="s">
        <v>1430</v>
      </c>
      <c r="G836" s="122">
        <v>88</v>
      </c>
      <c r="H836" s="122" t="s">
        <v>4827</v>
      </c>
      <c r="I836">
        <v>63940</v>
      </c>
      <c r="J836">
        <v>0</v>
      </c>
      <c r="K836" s="122" t="s">
        <v>4828</v>
      </c>
      <c r="L836">
        <v>16000</v>
      </c>
    </row>
    <row r="837" spans="1:15" ht="176" x14ac:dyDescent="0.2">
      <c r="A837" t="s">
        <v>4554</v>
      </c>
      <c r="B837" t="s">
        <v>4230</v>
      </c>
      <c r="C837">
        <v>5</v>
      </c>
      <c r="D837" t="s">
        <v>1420</v>
      </c>
      <c r="E837" t="s">
        <v>1421</v>
      </c>
      <c r="F837" s="122" t="s">
        <v>1431</v>
      </c>
      <c r="G837" s="122" t="s">
        <v>1432</v>
      </c>
      <c r="H837" s="122" t="s">
        <v>4829</v>
      </c>
      <c r="I837">
        <v>63940</v>
      </c>
      <c r="J837">
        <v>3</v>
      </c>
      <c r="K837" s="122" t="s">
        <v>4830</v>
      </c>
      <c r="L837">
        <v>16000</v>
      </c>
    </row>
    <row r="838" spans="1:15" ht="96" x14ac:dyDescent="0.2">
      <c r="A838" t="s">
        <v>4554</v>
      </c>
      <c r="B838" t="s">
        <v>4230</v>
      </c>
      <c r="C838">
        <v>6</v>
      </c>
      <c r="D838" t="s">
        <v>1433</v>
      </c>
      <c r="E838" t="s">
        <v>1434</v>
      </c>
      <c r="F838" s="122" t="s">
        <v>1435</v>
      </c>
      <c r="G838" s="122" t="s">
        <v>1436</v>
      </c>
      <c r="H838" s="122" t="s">
        <v>4831</v>
      </c>
    </row>
    <row r="840" spans="1:15" x14ac:dyDescent="0.2">
      <c r="A840" t="s">
        <v>2571</v>
      </c>
    </row>
    <row r="841" spans="1:15" x14ac:dyDescent="0.2">
      <c r="A841" t="s">
        <v>4832</v>
      </c>
      <c r="B841">
        <v>962</v>
      </c>
      <c r="C841">
        <v>869.4</v>
      </c>
    </row>
    <row r="842" spans="1:15" x14ac:dyDescent="0.2">
      <c r="A842" t="s">
        <v>4833</v>
      </c>
      <c r="B842">
        <v>891</v>
      </c>
      <c r="C842">
        <v>657.5</v>
      </c>
    </row>
    <row r="843" spans="1:15" x14ac:dyDescent="0.2">
      <c r="A843" t="s">
        <v>4834</v>
      </c>
      <c r="B843">
        <v>380</v>
      </c>
      <c r="C843">
        <v>106.4</v>
      </c>
    </row>
    <row r="844" spans="1:15" x14ac:dyDescent="0.2">
      <c r="A844" t="s">
        <v>4835</v>
      </c>
      <c r="B844">
        <v>178</v>
      </c>
      <c r="C844">
        <v>80.8</v>
      </c>
    </row>
    <row r="846" spans="1:15" ht="16" x14ac:dyDescent="0.2">
      <c r="A846" t="s">
        <v>4836</v>
      </c>
      <c r="B846">
        <v>962</v>
      </c>
      <c r="C846" t="s">
        <v>4338</v>
      </c>
      <c r="D846">
        <v>891</v>
      </c>
      <c r="E846" t="s">
        <v>4339</v>
      </c>
      <c r="F846" s="122">
        <v>380</v>
      </c>
      <c r="G846" s="122" t="s">
        <v>4340</v>
      </c>
      <c r="H846" s="122">
        <v>178</v>
      </c>
      <c r="I846" t="s">
        <v>4837</v>
      </c>
      <c r="J846">
        <v>433</v>
      </c>
      <c r="K846" s="122" t="s">
        <v>4838</v>
      </c>
      <c r="L846">
        <v>63940</v>
      </c>
      <c r="M846">
        <v>2</v>
      </c>
      <c r="N846" t="s">
        <v>4839</v>
      </c>
      <c r="O846">
        <v>16000</v>
      </c>
    </row>
    <row r="847" spans="1:15" ht="112" x14ac:dyDescent="0.2">
      <c r="A847" t="s">
        <v>4554</v>
      </c>
      <c r="B847" t="s">
        <v>4230</v>
      </c>
      <c r="C847">
        <v>7</v>
      </c>
      <c r="D847" t="s">
        <v>1433</v>
      </c>
      <c r="E847" t="s">
        <v>1434</v>
      </c>
      <c r="F847" s="122" t="s">
        <v>1438</v>
      </c>
      <c r="G847" s="122" t="s">
        <v>1469</v>
      </c>
      <c r="H847" s="122" t="s">
        <v>4840</v>
      </c>
      <c r="I847">
        <v>63940</v>
      </c>
      <c r="J847">
        <v>0</v>
      </c>
      <c r="K847" s="122" t="s">
        <v>4841</v>
      </c>
      <c r="L847">
        <v>16000</v>
      </c>
    </row>
    <row r="848" spans="1:15" ht="96" x14ac:dyDescent="0.2">
      <c r="A848" t="s">
        <v>4554</v>
      </c>
      <c r="B848" t="s">
        <v>4230</v>
      </c>
      <c r="C848">
        <v>8</v>
      </c>
      <c r="D848" t="s">
        <v>1433</v>
      </c>
      <c r="E848" t="s">
        <v>1440</v>
      </c>
      <c r="F848" s="122" t="s">
        <v>1441</v>
      </c>
      <c r="G848" s="122" t="s">
        <v>1470</v>
      </c>
      <c r="H848" s="122" t="s">
        <v>4842</v>
      </c>
    </row>
    <row r="850" spans="1:12" x14ac:dyDescent="0.2">
      <c r="A850" t="s">
        <v>4843</v>
      </c>
      <c r="B850">
        <v>730</v>
      </c>
      <c r="C850" t="s">
        <v>4844</v>
      </c>
    </row>
    <row r="851" spans="1:12" x14ac:dyDescent="0.2">
      <c r="A851" t="s">
        <v>4845</v>
      </c>
      <c r="B851">
        <v>430</v>
      </c>
      <c r="C851" t="s">
        <v>4846</v>
      </c>
    </row>
    <row r="853" spans="1:12" x14ac:dyDescent="0.2">
      <c r="A853" t="s">
        <v>4847</v>
      </c>
      <c r="B853">
        <v>730</v>
      </c>
      <c r="C853" t="s">
        <v>4848</v>
      </c>
    </row>
    <row r="854" spans="1:12" x14ac:dyDescent="0.2">
      <c r="A854" t="s">
        <v>4849</v>
      </c>
      <c r="B854">
        <v>430</v>
      </c>
      <c r="C854" t="s">
        <v>4850</v>
      </c>
    </row>
    <row r="856" spans="1:12" x14ac:dyDescent="0.2">
      <c r="A856" t="s">
        <v>4851</v>
      </c>
      <c r="B856" t="s">
        <v>4852</v>
      </c>
      <c r="C856">
        <v>63940</v>
      </c>
      <c r="D856">
        <v>2</v>
      </c>
      <c r="E856" t="s">
        <v>4853</v>
      </c>
      <c r="F856" s="122">
        <v>16000</v>
      </c>
    </row>
    <row r="857" spans="1:12" ht="160" x14ac:dyDescent="0.2">
      <c r="A857" t="s">
        <v>4554</v>
      </c>
      <c r="B857" t="s">
        <v>4230</v>
      </c>
      <c r="C857">
        <v>9</v>
      </c>
      <c r="D857" t="s">
        <v>1433</v>
      </c>
      <c r="E857" t="s">
        <v>1440</v>
      </c>
      <c r="F857" s="122" t="s">
        <v>1443</v>
      </c>
      <c r="G857" s="122" t="s">
        <v>1477</v>
      </c>
      <c r="H857" s="122" t="s">
        <v>4854</v>
      </c>
      <c r="I857">
        <v>63940</v>
      </c>
      <c r="J857">
        <v>0</v>
      </c>
      <c r="K857" s="122" t="s">
        <v>4855</v>
      </c>
      <c r="L857">
        <v>16000</v>
      </c>
    </row>
    <row r="858" spans="1:12" ht="112" x14ac:dyDescent="0.2">
      <c r="A858" t="s">
        <v>4554</v>
      </c>
      <c r="B858" t="s">
        <v>4230</v>
      </c>
      <c r="C858">
        <v>10</v>
      </c>
      <c r="D858" t="s">
        <v>1433</v>
      </c>
      <c r="E858" t="s">
        <v>1421</v>
      </c>
      <c r="F858" s="122" t="s">
        <v>1445</v>
      </c>
      <c r="G858" s="122" t="s">
        <v>1446</v>
      </c>
      <c r="H858" s="122" t="s">
        <v>4856</v>
      </c>
      <c r="I858">
        <v>63940</v>
      </c>
      <c r="J858">
        <v>3</v>
      </c>
      <c r="K858" s="122" t="s">
        <v>4358</v>
      </c>
      <c r="L858">
        <v>16000</v>
      </c>
    </row>
    <row r="859" spans="1:12" ht="80" x14ac:dyDescent="0.2">
      <c r="A859" t="s">
        <v>4554</v>
      </c>
      <c r="B859" t="s">
        <v>4230</v>
      </c>
      <c r="C859">
        <v>11</v>
      </c>
      <c r="D859" t="s">
        <v>1433</v>
      </c>
      <c r="E859" t="s">
        <v>1447</v>
      </c>
      <c r="F859" s="122" t="s">
        <v>1448</v>
      </c>
      <c r="G859" s="122" t="s">
        <v>4011</v>
      </c>
      <c r="H859" s="122" t="s">
        <v>4857</v>
      </c>
      <c r="I859">
        <v>63940</v>
      </c>
      <c r="J859">
        <v>0</v>
      </c>
      <c r="K859" s="122" t="s">
        <v>4858</v>
      </c>
      <c r="L859">
        <v>16000</v>
      </c>
    </row>
    <row r="860" spans="1:12" ht="112" x14ac:dyDescent="0.2">
      <c r="A860" t="s">
        <v>4554</v>
      </c>
      <c r="B860" t="s">
        <v>4230</v>
      </c>
      <c r="C860">
        <v>12</v>
      </c>
      <c r="D860" t="s">
        <v>1433</v>
      </c>
      <c r="E860" t="s">
        <v>1434</v>
      </c>
      <c r="F860" s="122" t="s">
        <v>1450</v>
      </c>
      <c r="G860" s="196">
        <v>16881928.100000001</v>
      </c>
      <c r="H860" s="122" t="s">
        <v>4859</v>
      </c>
      <c r="I860">
        <v>63940</v>
      </c>
      <c r="J860">
        <v>0</v>
      </c>
      <c r="K860" s="122" t="s">
        <v>4860</v>
      </c>
      <c r="L860">
        <v>16000</v>
      </c>
    </row>
    <row r="861" spans="1:12" ht="48" x14ac:dyDescent="0.2">
      <c r="A861" t="s">
        <v>4554</v>
      </c>
      <c r="B861" t="s">
        <v>4230</v>
      </c>
      <c r="C861">
        <v>13</v>
      </c>
      <c r="D861" t="s">
        <v>1452</v>
      </c>
      <c r="E861" t="s">
        <v>1453</v>
      </c>
      <c r="F861" s="122" t="s">
        <v>1454</v>
      </c>
      <c r="G861" s="122">
        <v>19</v>
      </c>
      <c r="H861" s="122" t="s">
        <v>4861</v>
      </c>
    </row>
    <row r="863" spans="1:12" x14ac:dyDescent="0.2">
      <c r="A863" t="s">
        <v>2611</v>
      </c>
    </row>
    <row r="864" spans="1:12" x14ac:dyDescent="0.2">
      <c r="A864" t="s">
        <v>2612</v>
      </c>
    </row>
    <row r="865" spans="1:12" x14ac:dyDescent="0.2">
      <c r="A865" t="s">
        <v>2613</v>
      </c>
    </row>
    <row r="866" spans="1:12" x14ac:dyDescent="0.2">
      <c r="A866" t="s">
        <v>2614</v>
      </c>
    </row>
    <row r="867" spans="1:12" x14ac:dyDescent="0.2">
      <c r="A867" t="s">
        <v>2615</v>
      </c>
    </row>
    <row r="868" spans="1:12" x14ac:dyDescent="0.2">
      <c r="A868" t="s">
        <v>2616</v>
      </c>
    </row>
    <row r="869" spans="1:12" x14ac:dyDescent="0.2">
      <c r="A869" t="s">
        <v>2617</v>
      </c>
    </row>
    <row r="871" spans="1:12" x14ac:dyDescent="0.2">
      <c r="A871" t="s">
        <v>4862</v>
      </c>
      <c r="B871">
        <v>63940</v>
      </c>
      <c r="C871">
        <v>2</v>
      </c>
      <c r="D871" t="s">
        <v>4863</v>
      </c>
      <c r="E871">
        <v>16000</v>
      </c>
    </row>
    <row r="872" spans="1:12" ht="96" x14ac:dyDescent="0.2">
      <c r="A872" t="s">
        <v>4554</v>
      </c>
      <c r="B872" t="s">
        <v>4230</v>
      </c>
      <c r="C872">
        <v>14</v>
      </c>
      <c r="D872" t="s">
        <v>1452</v>
      </c>
      <c r="E872" t="s">
        <v>1453</v>
      </c>
      <c r="F872" s="122" t="s">
        <v>1455</v>
      </c>
      <c r="G872" s="122">
        <v>9</v>
      </c>
      <c r="H872" s="122" t="s">
        <v>4864</v>
      </c>
      <c r="I872">
        <v>63940</v>
      </c>
      <c r="J872">
        <v>0</v>
      </c>
      <c r="K872" s="122" t="s">
        <v>4865</v>
      </c>
      <c r="L872">
        <v>16000</v>
      </c>
    </row>
    <row r="873" spans="1:12" ht="112" x14ac:dyDescent="0.2">
      <c r="A873" t="s">
        <v>4554</v>
      </c>
      <c r="B873" t="s">
        <v>4230</v>
      </c>
      <c r="C873">
        <v>15</v>
      </c>
      <c r="D873" t="s">
        <v>1452</v>
      </c>
      <c r="E873" t="s">
        <v>1447</v>
      </c>
      <c r="F873" s="122" t="s">
        <v>1457</v>
      </c>
      <c r="G873" s="122">
        <v>50</v>
      </c>
      <c r="H873" s="122" t="s">
        <v>4866</v>
      </c>
      <c r="I873">
        <v>63940</v>
      </c>
      <c r="J873">
        <v>0</v>
      </c>
      <c r="K873" s="122" t="s">
        <v>4867</v>
      </c>
      <c r="L873">
        <v>16000</v>
      </c>
    </row>
    <row r="874" spans="1:12" ht="208" x14ac:dyDescent="0.2">
      <c r="A874" t="s">
        <v>4554</v>
      </c>
      <c r="B874" t="s">
        <v>4230</v>
      </c>
      <c r="C874">
        <v>16</v>
      </c>
      <c r="D874" t="s">
        <v>1452</v>
      </c>
      <c r="E874" t="s">
        <v>1434</v>
      </c>
      <c r="F874" s="122" t="s">
        <v>1458</v>
      </c>
      <c r="G874" s="122" t="s">
        <v>1497</v>
      </c>
      <c r="H874" s="122" t="s">
        <v>4868</v>
      </c>
      <c r="I874">
        <v>63940</v>
      </c>
      <c r="J874">
        <v>0</v>
      </c>
      <c r="K874" s="122" t="s">
        <v>4869</v>
      </c>
      <c r="L874">
        <v>16000</v>
      </c>
    </row>
    <row r="875" spans="1:12" ht="128" x14ac:dyDescent="0.2">
      <c r="A875" t="s">
        <v>4554</v>
      </c>
      <c r="B875" t="s">
        <v>4230</v>
      </c>
      <c r="C875">
        <v>17</v>
      </c>
      <c r="D875" t="s">
        <v>1452</v>
      </c>
      <c r="E875" t="s">
        <v>1421</v>
      </c>
      <c r="F875" s="122" t="s">
        <v>1460</v>
      </c>
      <c r="G875" s="122" t="s">
        <v>1500</v>
      </c>
      <c r="H875" s="122" t="s">
        <v>4772</v>
      </c>
      <c r="I875">
        <v>63940</v>
      </c>
      <c r="J875">
        <v>0</v>
      </c>
      <c r="K875" s="122" t="s">
        <v>4870</v>
      </c>
      <c r="L875">
        <v>16000</v>
      </c>
    </row>
    <row r="876" spans="1:12" ht="64" x14ac:dyDescent="0.2">
      <c r="A876" t="s">
        <v>4554</v>
      </c>
      <c r="B876" t="s">
        <v>4230</v>
      </c>
      <c r="C876">
        <v>18</v>
      </c>
      <c r="D876" t="s">
        <v>1452</v>
      </c>
      <c r="E876" t="s">
        <v>1440</v>
      </c>
      <c r="F876" s="122" t="s">
        <v>1462</v>
      </c>
      <c r="G876" s="122" t="s">
        <v>1502</v>
      </c>
      <c r="H876" s="122" t="s">
        <v>4871</v>
      </c>
      <c r="I876">
        <v>63940</v>
      </c>
      <c r="J876">
        <v>0</v>
      </c>
      <c r="K876" s="122" t="s">
        <v>4872</v>
      </c>
      <c r="L876">
        <v>16000</v>
      </c>
    </row>
    <row r="877" spans="1:12" ht="64" x14ac:dyDescent="0.2">
      <c r="A877" t="s">
        <v>4554</v>
      </c>
      <c r="B877" t="s">
        <v>4230</v>
      </c>
      <c r="C877">
        <v>19</v>
      </c>
      <c r="D877" t="s">
        <v>1452</v>
      </c>
      <c r="E877" t="s">
        <v>1464</v>
      </c>
      <c r="F877" s="122" t="s">
        <v>1465</v>
      </c>
      <c r="G877" s="122" t="s">
        <v>1503</v>
      </c>
      <c r="H877" s="122" t="s">
        <v>4873</v>
      </c>
      <c r="I877">
        <v>63940</v>
      </c>
      <c r="J877">
        <v>0</v>
      </c>
      <c r="K877" s="122" t="s">
        <v>4177</v>
      </c>
      <c r="L877">
        <v>16000</v>
      </c>
    </row>
    <row r="878" spans="1:12" ht="128" x14ac:dyDescent="0.2">
      <c r="A878" t="s">
        <v>4554</v>
      </c>
      <c r="B878" t="s">
        <v>4230</v>
      </c>
      <c r="C878">
        <v>20</v>
      </c>
      <c r="D878" t="s">
        <v>1452</v>
      </c>
      <c r="E878" t="s">
        <v>1464</v>
      </c>
      <c r="F878" s="122" t="s">
        <v>1467</v>
      </c>
      <c r="G878" s="122" t="s">
        <v>1513</v>
      </c>
      <c r="H878" s="122" t="s">
        <v>4218</v>
      </c>
    </row>
    <row r="880" spans="1:12" ht="16" x14ac:dyDescent="0.2">
      <c r="A880" t="s">
        <v>4874</v>
      </c>
      <c r="B880">
        <v>469</v>
      </c>
      <c r="C880" t="s">
        <v>4778</v>
      </c>
      <c r="D880">
        <v>663</v>
      </c>
      <c r="E880" t="s">
        <v>4779</v>
      </c>
      <c r="F880" s="122">
        <v>194</v>
      </c>
      <c r="G880" s="122" t="s">
        <v>4780</v>
      </c>
    </row>
    <row r="881" spans="1:13" ht="16" x14ac:dyDescent="0.2">
      <c r="A881" t="s">
        <v>4875</v>
      </c>
      <c r="B881">
        <v>135</v>
      </c>
      <c r="C881" t="s">
        <v>4783</v>
      </c>
      <c r="D881">
        <v>614</v>
      </c>
      <c r="E881" t="s">
        <v>4784</v>
      </c>
      <c r="F881" s="122">
        <v>479</v>
      </c>
      <c r="G881" s="122" t="s">
        <v>4785</v>
      </c>
    </row>
    <row r="882" spans="1:13" ht="16" x14ac:dyDescent="0.2">
      <c r="A882" t="s">
        <v>4876</v>
      </c>
      <c r="B882" t="s">
        <v>4877</v>
      </c>
      <c r="C882" t="s">
        <v>4878</v>
      </c>
      <c r="D882" t="s">
        <v>4879</v>
      </c>
      <c r="E882" t="s">
        <v>4675</v>
      </c>
      <c r="F882" s="122">
        <v>837</v>
      </c>
      <c r="G882" s="122" t="s">
        <v>4791</v>
      </c>
      <c r="H882" s="122">
        <v>571</v>
      </c>
      <c r="I882" t="s">
        <v>4792</v>
      </c>
      <c r="J882">
        <v>63940</v>
      </c>
      <c r="K882" s="122">
        <v>1</v>
      </c>
      <c r="L882" t="s">
        <v>4880</v>
      </c>
      <c r="M882">
        <v>16000</v>
      </c>
    </row>
    <row r="883" spans="1:13" ht="80" x14ac:dyDescent="0.2">
      <c r="A883" t="s">
        <v>4554</v>
      </c>
      <c r="B883" t="s">
        <v>4396</v>
      </c>
      <c r="C883">
        <v>1</v>
      </c>
      <c r="D883" t="s">
        <v>1420</v>
      </c>
      <c r="E883" t="s">
        <v>1421</v>
      </c>
      <c r="F883" s="122" t="s">
        <v>1422</v>
      </c>
      <c r="G883" s="122" t="s">
        <v>1423</v>
      </c>
      <c r="H883" s="122" t="s">
        <v>4689</v>
      </c>
      <c r="I883">
        <v>32265</v>
      </c>
      <c r="J883">
        <v>0</v>
      </c>
      <c r="K883" s="122" t="s">
        <v>4881</v>
      </c>
      <c r="L883" t="s">
        <v>2039</v>
      </c>
    </row>
    <row r="884" spans="1:13" ht="64" x14ac:dyDescent="0.2">
      <c r="A884" t="s">
        <v>4554</v>
      </c>
      <c r="B884" t="s">
        <v>4396</v>
      </c>
      <c r="C884">
        <v>2</v>
      </c>
      <c r="D884" t="s">
        <v>1420</v>
      </c>
      <c r="E884" t="s">
        <v>1421</v>
      </c>
      <c r="F884" s="122" t="s">
        <v>1425</v>
      </c>
      <c r="G884" s="122">
        <v>8</v>
      </c>
      <c r="H884" s="122" t="s">
        <v>4557</v>
      </c>
      <c r="I884">
        <v>44203</v>
      </c>
      <c r="J884">
        <v>0</v>
      </c>
      <c r="K884" s="122" t="s">
        <v>4558</v>
      </c>
      <c r="L884" t="s">
        <v>2039</v>
      </c>
    </row>
    <row r="885" spans="1:13" ht="128" x14ac:dyDescent="0.2">
      <c r="A885" t="s">
        <v>4554</v>
      </c>
      <c r="B885" t="s">
        <v>4396</v>
      </c>
      <c r="C885">
        <v>3</v>
      </c>
      <c r="D885" t="s">
        <v>1420</v>
      </c>
      <c r="E885" t="s">
        <v>1421</v>
      </c>
      <c r="F885" s="122" t="s">
        <v>1427</v>
      </c>
      <c r="G885" s="122" t="s">
        <v>1428</v>
      </c>
      <c r="H885" s="122" t="s">
        <v>4693</v>
      </c>
      <c r="I885">
        <v>28496</v>
      </c>
      <c r="J885">
        <v>2</v>
      </c>
      <c r="K885" s="122" t="s">
        <v>4882</v>
      </c>
      <c r="L885" t="s">
        <v>2039</v>
      </c>
    </row>
    <row r="886" spans="1:13" ht="64" x14ac:dyDescent="0.2">
      <c r="A886" t="s">
        <v>4554</v>
      </c>
      <c r="B886" t="s">
        <v>4396</v>
      </c>
      <c r="C886">
        <v>4</v>
      </c>
      <c r="D886" t="s">
        <v>1420</v>
      </c>
      <c r="E886" t="s">
        <v>1429</v>
      </c>
      <c r="F886" s="122" t="s">
        <v>1430</v>
      </c>
      <c r="G886" s="122">
        <v>88</v>
      </c>
      <c r="H886" s="122" t="s">
        <v>4883</v>
      </c>
      <c r="I886">
        <v>29451</v>
      </c>
      <c r="J886">
        <v>1</v>
      </c>
      <c r="K886" s="122" t="s">
        <v>4884</v>
      </c>
      <c r="L886" t="s">
        <v>2039</v>
      </c>
    </row>
    <row r="887" spans="1:13" ht="64" x14ac:dyDescent="0.2">
      <c r="A887" t="s">
        <v>4554</v>
      </c>
      <c r="B887" t="s">
        <v>4396</v>
      </c>
      <c r="C887">
        <v>5</v>
      </c>
      <c r="D887" t="s">
        <v>1420</v>
      </c>
      <c r="E887" t="s">
        <v>1421</v>
      </c>
      <c r="F887" s="122" t="s">
        <v>1431</v>
      </c>
      <c r="G887" s="122" t="s">
        <v>1432</v>
      </c>
      <c r="H887" s="122" t="s">
        <v>3999</v>
      </c>
      <c r="I887">
        <v>27738</v>
      </c>
      <c r="J887">
        <v>3</v>
      </c>
      <c r="K887" s="122" t="s">
        <v>4885</v>
      </c>
      <c r="L887" t="s">
        <v>2039</v>
      </c>
    </row>
    <row r="888" spans="1:13" ht="80" x14ac:dyDescent="0.2">
      <c r="A888" t="s">
        <v>4554</v>
      </c>
      <c r="B888" t="s">
        <v>4396</v>
      </c>
      <c r="C888">
        <v>6</v>
      </c>
      <c r="D888" t="s">
        <v>1433</v>
      </c>
      <c r="E888" t="s">
        <v>1434</v>
      </c>
      <c r="F888" s="122" t="s">
        <v>1435</v>
      </c>
      <c r="G888" s="122" t="s">
        <v>1436</v>
      </c>
      <c r="H888" s="122" t="s">
        <v>4564</v>
      </c>
      <c r="I888">
        <v>32711</v>
      </c>
      <c r="J888">
        <v>3</v>
      </c>
      <c r="K888" s="122" t="s">
        <v>4565</v>
      </c>
      <c r="L888" t="s">
        <v>2039</v>
      </c>
    </row>
    <row r="889" spans="1:13" ht="96" x14ac:dyDescent="0.2">
      <c r="A889" t="s">
        <v>4554</v>
      </c>
      <c r="B889" t="s">
        <v>4396</v>
      </c>
      <c r="C889">
        <v>7</v>
      </c>
      <c r="D889" t="s">
        <v>1433</v>
      </c>
      <c r="E889" t="s">
        <v>1434</v>
      </c>
      <c r="F889" s="122" t="s">
        <v>1438</v>
      </c>
      <c r="G889" s="122" t="s">
        <v>1469</v>
      </c>
      <c r="H889" s="122" t="s">
        <v>4799</v>
      </c>
      <c r="I889">
        <v>26064</v>
      </c>
      <c r="J889">
        <v>0</v>
      </c>
      <c r="K889" s="122" t="s">
        <v>4886</v>
      </c>
      <c r="L889" t="s">
        <v>2039</v>
      </c>
    </row>
    <row r="890" spans="1:13" ht="160" x14ac:dyDescent="0.2">
      <c r="A890" t="s">
        <v>4554</v>
      </c>
      <c r="B890" t="s">
        <v>4396</v>
      </c>
      <c r="C890">
        <v>8</v>
      </c>
      <c r="D890" t="s">
        <v>1433</v>
      </c>
      <c r="E890" t="s">
        <v>1440</v>
      </c>
      <c r="F890" s="122" t="s">
        <v>1441</v>
      </c>
      <c r="G890" s="122" t="s">
        <v>1470</v>
      </c>
      <c r="H890" s="122" t="s">
        <v>4887</v>
      </c>
      <c r="I890">
        <v>41486</v>
      </c>
      <c r="J890">
        <v>3</v>
      </c>
      <c r="K890" s="122" t="s">
        <v>4888</v>
      </c>
      <c r="L890" t="s">
        <v>2039</v>
      </c>
    </row>
    <row r="891" spans="1:13" ht="80" x14ac:dyDescent="0.2">
      <c r="A891" t="s">
        <v>4554</v>
      </c>
      <c r="B891" t="s">
        <v>4396</v>
      </c>
      <c r="C891">
        <v>9</v>
      </c>
      <c r="D891" t="s">
        <v>1433</v>
      </c>
      <c r="E891" t="s">
        <v>1440</v>
      </c>
      <c r="F891" s="122" t="s">
        <v>1443</v>
      </c>
      <c r="G891" s="122" t="s">
        <v>1477</v>
      </c>
      <c r="H891" s="122" t="s">
        <v>4889</v>
      </c>
      <c r="I891">
        <v>26225</v>
      </c>
      <c r="J891">
        <v>0</v>
      </c>
      <c r="K891" s="122" t="s">
        <v>4890</v>
      </c>
      <c r="L891" t="s">
        <v>2039</v>
      </c>
    </row>
    <row r="892" spans="1:13" ht="112" x14ac:dyDescent="0.2">
      <c r="A892" t="s">
        <v>4554</v>
      </c>
      <c r="B892" t="s">
        <v>4396</v>
      </c>
      <c r="C892">
        <v>10</v>
      </c>
      <c r="D892" t="s">
        <v>1433</v>
      </c>
      <c r="E892" t="s">
        <v>1421</v>
      </c>
      <c r="F892" s="122" t="s">
        <v>1445</v>
      </c>
      <c r="G892" s="122" t="s">
        <v>1446</v>
      </c>
      <c r="H892" s="122" t="s">
        <v>4704</v>
      </c>
      <c r="I892">
        <v>28942</v>
      </c>
      <c r="J892">
        <v>3</v>
      </c>
      <c r="K892" s="122" t="s">
        <v>4705</v>
      </c>
      <c r="L892" t="s">
        <v>2039</v>
      </c>
    </row>
    <row r="893" spans="1:13" ht="64" x14ac:dyDescent="0.2">
      <c r="A893" t="s">
        <v>4554</v>
      </c>
      <c r="B893" t="s">
        <v>4396</v>
      </c>
      <c r="C893">
        <v>11</v>
      </c>
      <c r="D893" t="s">
        <v>1433</v>
      </c>
      <c r="E893" t="s">
        <v>1447</v>
      </c>
      <c r="F893" s="122" t="s">
        <v>1448</v>
      </c>
      <c r="G893" s="122" t="s">
        <v>4011</v>
      </c>
      <c r="H893" s="122" t="s">
        <v>4574</v>
      </c>
      <c r="I893">
        <v>34521</v>
      </c>
      <c r="J893">
        <v>3</v>
      </c>
      <c r="K893" s="122" t="s">
        <v>4891</v>
      </c>
      <c r="L893" t="s">
        <v>2039</v>
      </c>
    </row>
    <row r="894" spans="1:13" ht="64" x14ac:dyDescent="0.2">
      <c r="A894" t="s">
        <v>4554</v>
      </c>
      <c r="B894" t="s">
        <v>4396</v>
      </c>
      <c r="C894">
        <v>12</v>
      </c>
      <c r="D894" t="s">
        <v>1433</v>
      </c>
      <c r="E894" t="s">
        <v>1434</v>
      </c>
      <c r="F894" s="122" t="s">
        <v>1450</v>
      </c>
      <c r="G894" s="196">
        <v>16881928.100000001</v>
      </c>
      <c r="H894" s="122" t="s">
        <v>4576</v>
      </c>
      <c r="I894">
        <v>29453</v>
      </c>
      <c r="J894">
        <v>0</v>
      </c>
      <c r="K894" s="122" t="s">
        <v>4577</v>
      </c>
      <c r="L894" t="s">
        <v>2039</v>
      </c>
    </row>
    <row r="895" spans="1:13" ht="64" x14ac:dyDescent="0.2">
      <c r="A895" t="s">
        <v>4554</v>
      </c>
      <c r="B895" t="s">
        <v>4396</v>
      </c>
      <c r="C895">
        <v>13</v>
      </c>
      <c r="D895" t="s">
        <v>1452</v>
      </c>
      <c r="E895" t="s">
        <v>1453</v>
      </c>
      <c r="F895" s="122" t="s">
        <v>1454</v>
      </c>
      <c r="G895" s="122">
        <v>19</v>
      </c>
      <c r="H895" s="122" t="s">
        <v>4806</v>
      </c>
      <c r="I895">
        <v>33104</v>
      </c>
      <c r="J895">
        <v>0</v>
      </c>
      <c r="K895" s="122" t="s">
        <v>4892</v>
      </c>
      <c r="L895" t="s">
        <v>2039</v>
      </c>
    </row>
    <row r="896" spans="1:13" ht="64" x14ac:dyDescent="0.2">
      <c r="A896" t="s">
        <v>4554</v>
      </c>
      <c r="B896" t="s">
        <v>4396</v>
      </c>
      <c r="C896">
        <v>14</v>
      </c>
      <c r="D896" t="s">
        <v>1452</v>
      </c>
      <c r="E896" t="s">
        <v>1453</v>
      </c>
      <c r="F896" s="122" t="s">
        <v>1455</v>
      </c>
      <c r="G896" s="122">
        <v>9</v>
      </c>
      <c r="H896" s="122" t="s">
        <v>4893</v>
      </c>
    </row>
    <row r="898" spans="1:12" x14ac:dyDescent="0.2">
      <c r="A898" t="s">
        <v>2392</v>
      </c>
    </row>
    <row r="899" spans="1:12" x14ac:dyDescent="0.2">
      <c r="A899" t="s">
        <v>2688</v>
      </c>
    </row>
    <row r="900" spans="1:12" x14ac:dyDescent="0.2">
      <c r="A900" t="s">
        <v>2689</v>
      </c>
    </row>
    <row r="901" spans="1:12" x14ac:dyDescent="0.2">
      <c r="A901" t="s">
        <v>4894</v>
      </c>
      <c r="B901" t="s">
        <v>4895</v>
      </c>
      <c r="C901" t="s">
        <v>4896</v>
      </c>
    </row>
    <row r="903" spans="1:12" ht="48" x14ac:dyDescent="0.2">
      <c r="A903" t="s">
        <v>4897</v>
      </c>
      <c r="B903" t="s">
        <v>4898</v>
      </c>
      <c r="C903" t="s">
        <v>4899</v>
      </c>
      <c r="D903" t="s">
        <v>4900</v>
      </c>
      <c r="E903">
        <v>26917</v>
      </c>
      <c r="F903" s="122">
        <v>0</v>
      </c>
      <c r="G903" s="122" t="s">
        <v>4901</v>
      </c>
      <c r="H903" s="122" t="s">
        <v>2039</v>
      </c>
    </row>
    <row r="904" spans="1:12" ht="80" x14ac:dyDescent="0.2">
      <c r="A904" t="s">
        <v>4554</v>
      </c>
      <c r="B904" t="s">
        <v>4396</v>
      </c>
      <c r="C904">
        <v>15</v>
      </c>
      <c r="D904" t="s">
        <v>1452</v>
      </c>
      <c r="E904" t="s">
        <v>1447</v>
      </c>
      <c r="F904" s="122" t="s">
        <v>1457</v>
      </c>
      <c r="G904" s="122">
        <v>50</v>
      </c>
      <c r="H904" s="122" t="s">
        <v>4902</v>
      </c>
      <c r="I904">
        <v>34915</v>
      </c>
      <c r="J904">
        <v>2</v>
      </c>
      <c r="K904" s="122" t="s">
        <v>4903</v>
      </c>
      <c r="L904" t="s">
        <v>2039</v>
      </c>
    </row>
    <row r="905" spans="1:12" ht="160" x14ac:dyDescent="0.2">
      <c r="A905" t="s">
        <v>4554</v>
      </c>
      <c r="B905" t="s">
        <v>4396</v>
      </c>
      <c r="C905">
        <v>16</v>
      </c>
      <c r="D905" t="s">
        <v>1452</v>
      </c>
      <c r="E905" t="s">
        <v>1434</v>
      </c>
      <c r="F905" s="122" t="s">
        <v>1458</v>
      </c>
      <c r="G905" s="122" t="s">
        <v>1497</v>
      </c>
      <c r="H905" s="122" t="s">
        <v>4904</v>
      </c>
      <c r="I905">
        <v>29800</v>
      </c>
      <c r="J905">
        <v>0</v>
      </c>
      <c r="K905" s="122" t="s">
        <v>4905</v>
      </c>
      <c r="L905" t="s">
        <v>2039</v>
      </c>
    </row>
    <row r="906" spans="1:12" ht="80" x14ac:dyDescent="0.2">
      <c r="A906" t="s">
        <v>4554</v>
      </c>
      <c r="B906" t="s">
        <v>4396</v>
      </c>
      <c r="C906">
        <v>17</v>
      </c>
      <c r="D906" t="s">
        <v>1452</v>
      </c>
      <c r="E906" t="s">
        <v>1421</v>
      </c>
      <c r="F906" s="122" t="s">
        <v>1460</v>
      </c>
      <c r="G906" s="122" t="s">
        <v>1500</v>
      </c>
      <c r="H906" s="122" t="s">
        <v>4906</v>
      </c>
      <c r="I906">
        <v>29348</v>
      </c>
      <c r="J906">
        <v>0</v>
      </c>
      <c r="K906" s="122" t="s">
        <v>4388</v>
      </c>
      <c r="L906" t="s">
        <v>2039</v>
      </c>
    </row>
    <row r="907" spans="1:12" ht="128" x14ac:dyDescent="0.2">
      <c r="A907" t="s">
        <v>4554</v>
      </c>
      <c r="B907" t="s">
        <v>4396</v>
      </c>
      <c r="C907">
        <v>18</v>
      </c>
      <c r="D907" t="s">
        <v>1452</v>
      </c>
      <c r="E907" t="s">
        <v>1440</v>
      </c>
      <c r="F907" s="122" t="s">
        <v>1462</v>
      </c>
      <c r="G907" s="122" t="s">
        <v>1502</v>
      </c>
      <c r="H907" s="122" t="s">
        <v>4727</v>
      </c>
      <c r="I907">
        <v>31609</v>
      </c>
      <c r="J907">
        <v>0</v>
      </c>
      <c r="K907" s="122" t="s">
        <v>3997</v>
      </c>
      <c r="L907" t="s">
        <v>2039</v>
      </c>
    </row>
    <row r="908" spans="1:12" ht="64" x14ac:dyDescent="0.2">
      <c r="A908" t="s">
        <v>4554</v>
      </c>
      <c r="B908" t="s">
        <v>4396</v>
      </c>
      <c r="C908">
        <v>19</v>
      </c>
      <c r="D908" t="s">
        <v>1452</v>
      </c>
      <c r="E908" t="s">
        <v>1464</v>
      </c>
      <c r="F908" s="122" t="s">
        <v>1465</v>
      </c>
      <c r="G908" s="122" t="s">
        <v>1503</v>
      </c>
      <c r="H908" s="122" t="s">
        <v>4728</v>
      </c>
      <c r="I908">
        <v>29254</v>
      </c>
      <c r="J908">
        <v>0</v>
      </c>
      <c r="K908" s="122" t="s">
        <v>4729</v>
      </c>
      <c r="L908" t="s">
        <v>2039</v>
      </c>
    </row>
    <row r="909" spans="1:12" ht="128" x14ac:dyDescent="0.2">
      <c r="A909" t="s">
        <v>4554</v>
      </c>
      <c r="B909" t="s">
        <v>4396</v>
      </c>
      <c r="C909">
        <v>20</v>
      </c>
      <c r="D909" t="s">
        <v>1452</v>
      </c>
      <c r="E909" t="s">
        <v>1464</v>
      </c>
      <c r="F909" s="122" t="s">
        <v>1467</v>
      </c>
      <c r="G909" s="122" t="s">
        <v>1513</v>
      </c>
      <c r="H909" s="122" t="s">
        <v>4730</v>
      </c>
    </row>
    <row r="911" spans="1:12" x14ac:dyDescent="0.2">
      <c r="A911" t="s">
        <v>4731</v>
      </c>
      <c r="B911" t="s">
        <v>4732</v>
      </c>
    </row>
    <row r="912" spans="1:12" x14ac:dyDescent="0.2">
      <c r="A912" t="s">
        <v>4733</v>
      </c>
      <c r="B912" t="s">
        <v>4734</v>
      </c>
    </row>
    <row r="913" spans="1:12" x14ac:dyDescent="0.2">
      <c r="A913" t="s">
        <v>2424</v>
      </c>
    </row>
    <row r="915" spans="1:12" ht="16" x14ac:dyDescent="0.2">
      <c r="A915" t="s">
        <v>4907</v>
      </c>
      <c r="B915" t="s">
        <v>4736</v>
      </c>
      <c r="C915">
        <v>33951</v>
      </c>
      <c r="D915">
        <v>1</v>
      </c>
      <c r="E915" t="s">
        <v>4737</v>
      </c>
      <c r="F915" s="122" t="s">
        <v>2039</v>
      </c>
    </row>
    <row r="916" spans="1:12" ht="80" x14ac:dyDescent="0.2">
      <c r="A916" t="s">
        <v>4554</v>
      </c>
      <c r="B916" t="s">
        <v>4407</v>
      </c>
      <c r="C916">
        <v>1</v>
      </c>
      <c r="D916" t="s">
        <v>1420</v>
      </c>
      <c r="E916" t="s">
        <v>1421</v>
      </c>
      <c r="F916" s="122" t="s">
        <v>1422</v>
      </c>
      <c r="G916" s="122" t="s">
        <v>1423</v>
      </c>
      <c r="H916" s="122" t="s">
        <v>4908</v>
      </c>
      <c r="I916">
        <v>104672</v>
      </c>
      <c r="J916">
        <v>3</v>
      </c>
      <c r="K916" s="122" t="s">
        <v>4909</v>
      </c>
      <c r="L916" t="s">
        <v>2039</v>
      </c>
    </row>
    <row r="917" spans="1:12" ht="80" x14ac:dyDescent="0.2">
      <c r="A917" t="s">
        <v>4554</v>
      </c>
      <c r="B917" t="s">
        <v>4407</v>
      </c>
      <c r="C917">
        <v>2</v>
      </c>
      <c r="D917" t="s">
        <v>1420</v>
      </c>
      <c r="E917" t="s">
        <v>1421</v>
      </c>
      <c r="F917" s="122" t="s">
        <v>1425</v>
      </c>
      <c r="G917" s="122">
        <v>8</v>
      </c>
      <c r="H917" s="122" t="s">
        <v>4910</v>
      </c>
      <c r="I917">
        <v>104672</v>
      </c>
      <c r="J917">
        <v>2</v>
      </c>
      <c r="K917" s="122" t="s">
        <v>4825</v>
      </c>
      <c r="L917" t="s">
        <v>2039</v>
      </c>
    </row>
    <row r="918" spans="1:12" ht="128" x14ac:dyDescent="0.2">
      <c r="A918" t="s">
        <v>4554</v>
      </c>
      <c r="B918" t="s">
        <v>4407</v>
      </c>
      <c r="C918">
        <v>3</v>
      </c>
      <c r="D918" t="s">
        <v>1420</v>
      </c>
      <c r="E918" t="s">
        <v>1421</v>
      </c>
      <c r="F918" s="122" t="s">
        <v>1427</v>
      </c>
      <c r="G918" s="122" t="s">
        <v>1428</v>
      </c>
      <c r="H918" s="122" t="s">
        <v>4741</v>
      </c>
      <c r="I918">
        <v>104672</v>
      </c>
      <c r="J918">
        <v>3</v>
      </c>
      <c r="K918" s="122" t="s">
        <v>4408</v>
      </c>
      <c r="L918" t="s">
        <v>2039</v>
      </c>
    </row>
    <row r="919" spans="1:12" ht="64" x14ac:dyDescent="0.2">
      <c r="A919" t="s">
        <v>4554</v>
      </c>
      <c r="B919" t="s">
        <v>4407</v>
      </c>
      <c r="C919">
        <v>4</v>
      </c>
      <c r="D919" t="s">
        <v>1420</v>
      </c>
      <c r="E919" t="s">
        <v>1429</v>
      </c>
      <c r="F919" s="122" t="s">
        <v>1430</v>
      </c>
      <c r="G919" s="122">
        <v>88</v>
      </c>
      <c r="H919" s="122" t="s">
        <v>4911</v>
      </c>
      <c r="I919">
        <v>104672</v>
      </c>
      <c r="J919">
        <v>2</v>
      </c>
      <c r="K919" s="122" t="s">
        <v>4912</v>
      </c>
      <c r="L919" t="s">
        <v>2039</v>
      </c>
    </row>
    <row r="920" spans="1:12" ht="48" x14ac:dyDescent="0.2">
      <c r="A920" t="s">
        <v>4554</v>
      </c>
      <c r="B920" t="s">
        <v>4407</v>
      </c>
      <c r="C920">
        <v>5</v>
      </c>
      <c r="D920" t="s">
        <v>1420</v>
      </c>
      <c r="E920" t="s">
        <v>1421</v>
      </c>
      <c r="F920" s="122" t="s">
        <v>1431</v>
      </c>
      <c r="G920" s="122" t="s">
        <v>1432</v>
      </c>
      <c r="H920" s="122" t="s">
        <v>4913</v>
      </c>
    </row>
    <row r="922" spans="1:12" x14ac:dyDescent="0.2">
      <c r="A922" t="s">
        <v>2718</v>
      </c>
    </row>
    <row r="923" spans="1:12" x14ac:dyDescent="0.2">
      <c r="A923" t="s">
        <v>4914</v>
      </c>
      <c r="B923">
        <v>47</v>
      </c>
      <c r="C923" t="s">
        <v>4915</v>
      </c>
    </row>
    <row r="924" spans="1:12" ht="48" x14ac:dyDescent="0.2">
      <c r="A924" t="s">
        <v>4916</v>
      </c>
      <c r="B924" t="s">
        <v>4748</v>
      </c>
      <c r="C924" t="s">
        <v>4917</v>
      </c>
      <c r="D924" t="s">
        <v>4918</v>
      </c>
      <c r="E924">
        <v>104672</v>
      </c>
      <c r="F924" s="122">
        <v>3</v>
      </c>
      <c r="G924" s="122" t="s">
        <v>4606</v>
      </c>
      <c r="H924" s="122" t="s">
        <v>2039</v>
      </c>
    </row>
    <row r="925" spans="1:12" ht="96" x14ac:dyDescent="0.2">
      <c r="A925" t="s">
        <v>4554</v>
      </c>
      <c r="B925" t="s">
        <v>4407</v>
      </c>
      <c r="C925">
        <v>6</v>
      </c>
      <c r="D925" t="s">
        <v>1433</v>
      </c>
      <c r="E925" t="s">
        <v>1434</v>
      </c>
      <c r="F925" s="122" t="s">
        <v>1435</v>
      </c>
      <c r="G925" s="122" t="s">
        <v>1436</v>
      </c>
      <c r="H925" s="122" t="s">
        <v>4919</v>
      </c>
    </row>
    <row r="927" spans="1:12" x14ac:dyDescent="0.2">
      <c r="A927" t="s">
        <v>2722</v>
      </c>
    </row>
    <row r="928" spans="1:12" x14ac:dyDescent="0.2">
      <c r="A928" t="s">
        <v>4920</v>
      </c>
      <c r="B928">
        <v>962</v>
      </c>
      <c r="C928">
        <v>869.4</v>
      </c>
    </row>
    <row r="929" spans="1:12" x14ac:dyDescent="0.2">
      <c r="A929" t="s">
        <v>4921</v>
      </c>
      <c r="B929">
        <v>891</v>
      </c>
      <c r="C929">
        <v>657.5</v>
      </c>
    </row>
    <row r="930" spans="1:12" x14ac:dyDescent="0.2">
      <c r="A930" t="s">
        <v>4922</v>
      </c>
      <c r="B930">
        <v>380</v>
      </c>
      <c r="C930">
        <v>106.4</v>
      </c>
    </row>
    <row r="931" spans="1:12" x14ac:dyDescent="0.2">
      <c r="A931" t="s">
        <v>4923</v>
      </c>
      <c r="B931">
        <v>178</v>
      </c>
      <c r="C931">
        <v>80.8</v>
      </c>
    </row>
    <row r="932" spans="1:12" ht="80" x14ac:dyDescent="0.2">
      <c r="A932" t="s">
        <v>4924</v>
      </c>
      <c r="B932">
        <v>218</v>
      </c>
      <c r="C932" t="s">
        <v>4925</v>
      </c>
      <c r="D932">
        <v>104672</v>
      </c>
      <c r="E932">
        <v>2</v>
      </c>
      <c r="F932" s="122" t="s">
        <v>4926</v>
      </c>
      <c r="G932" s="122" t="s">
        <v>2039</v>
      </c>
    </row>
    <row r="933" spans="1:12" ht="96" x14ac:dyDescent="0.2">
      <c r="A933" t="s">
        <v>4554</v>
      </c>
      <c r="B933" t="s">
        <v>4407</v>
      </c>
      <c r="C933">
        <v>7</v>
      </c>
      <c r="D933" t="s">
        <v>1433</v>
      </c>
      <c r="E933" t="s">
        <v>1434</v>
      </c>
      <c r="F933" s="122" t="s">
        <v>1438</v>
      </c>
      <c r="G933" s="122" t="s">
        <v>1469</v>
      </c>
      <c r="H933" s="122" t="s">
        <v>4927</v>
      </c>
      <c r="I933">
        <v>104672</v>
      </c>
      <c r="J933">
        <v>0</v>
      </c>
      <c r="K933" s="122" t="s">
        <v>4928</v>
      </c>
      <c r="L933" t="s">
        <v>2039</v>
      </c>
    </row>
    <row r="934" spans="1:12" ht="96" x14ac:dyDescent="0.2">
      <c r="A934" t="s">
        <v>4554</v>
      </c>
      <c r="B934" t="s">
        <v>4407</v>
      </c>
      <c r="C934">
        <v>8</v>
      </c>
      <c r="D934" t="s">
        <v>1433</v>
      </c>
      <c r="E934" t="s">
        <v>1440</v>
      </c>
      <c r="F934" s="122" t="s">
        <v>1441</v>
      </c>
      <c r="G934" s="122" t="s">
        <v>1470</v>
      </c>
      <c r="H934" s="122" t="s">
        <v>4929</v>
      </c>
    </row>
    <row r="936" spans="1:12" x14ac:dyDescent="0.2">
      <c r="A936" t="s">
        <v>4930</v>
      </c>
      <c r="B936">
        <v>103</v>
      </c>
      <c r="C936" t="s">
        <v>4931</v>
      </c>
      <c r="D936">
        <v>418</v>
      </c>
      <c r="E936" t="s">
        <v>4932</v>
      </c>
    </row>
    <row r="938" spans="1:12" ht="80" x14ac:dyDescent="0.2">
      <c r="A938" t="s">
        <v>4933</v>
      </c>
      <c r="B938" t="s">
        <v>4934</v>
      </c>
      <c r="C938" t="s">
        <v>4935</v>
      </c>
      <c r="D938">
        <v>104672</v>
      </c>
      <c r="E938">
        <v>0</v>
      </c>
      <c r="F938" s="122" t="s">
        <v>4936</v>
      </c>
      <c r="G938" s="122" t="s">
        <v>2039</v>
      </c>
    </row>
    <row r="939" spans="1:12" ht="144" x14ac:dyDescent="0.2">
      <c r="A939" t="s">
        <v>4554</v>
      </c>
      <c r="B939" t="s">
        <v>4407</v>
      </c>
      <c r="C939">
        <v>9</v>
      </c>
      <c r="D939" t="s">
        <v>1433</v>
      </c>
      <c r="E939" t="s">
        <v>1440</v>
      </c>
      <c r="F939" s="122" t="s">
        <v>1443</v>
      </c>
      <c r="G939" s="122" t="s">
        <v>1477</v>
      </c>
      <c r="H939" s="122" t="s">
        <v>4937</v>
      </c>
      <c r="I939">
        <v>104672</v>
      </c>
      <c r="J939">
        <v>0</v>
      </c>
      <c r="K939" s="122" t="s">
        <v>4758</v>
      </c>
      <c r="L939" t="s">
        <v>2039</v>
      </c>
    </row>
    <row r="940" spans="1:12" ht="112" x14ac:dyDescent="0.2">
      <c r="A940" t="s">
        <v>4554</v>
      </c>
      <c r="B940" t="s">
        <v>4407</v>
      </c>
      <c r="C940">
        <v>10</v>
      </c>
      <c r="D940" t="s">
        <v>1433</v>
      </c>
      <c r="E940" t="s">
        <v>1421</v>
      </c>
      <c r="F940" s="122" t="s">
        <v>1445</v>
      </c>
      <c r="G940" s="122" t="s">
        <v>1446</v>
      </c>
      <c r="H940" s="122" t="s">
        <v>4938</v>
      </c>
      <c r="I940">
        <v>104672</v>
      </c>
      <c r="J940">
        <v>3</v>
      </c>
      <c r="K940" s="122" t="s">
        <v>4939</v>
      </c>
      <c r="L940" t="s">
        <v>2039</v>
      </c>
    </row>
    <row r="941" spans="1:12" ht="80" x14ac:dyDescent="0.2">
      <c r="A941" t="s">
        <v>4554</v>
      </c>
      <c r="B941" t="s">
        <v>4407</v>
      </c>
      <c r="C941">
        <v>11</v>
      </c>
      <c r="D941" t="s">
        <v>1433</v>
      </c>
      <c r="E941" t="s">
        <v>1447</v>
      </c>
      <c r="F941" s="122" t="s">
        <v>1448</v>
      </c>
      <c r="G941" s="122" t="s">
        <v>4011</v>
      </c>
      <c r="H941" s="122" t="s">
        <v>4857</v>
      </c>
      <c r="I941">
        <v>104672</v>
      </c>
      <c r="J941">
        <v>0</v>
      </c>
      <c r="K941" s="122" t="s">
        <v>4858</v>
      </c>
      <c r="L941" t="s">
        <v>2039</v>
      </c>
    </row>
    <row r="942" spans="1:12" ht="224" x14ac:dyDescent="0.2">
      <c r="A942" t="s">
        <v>4554</v>
      </c>
      <c r="B942" t="s">
        <v>4407</v>
      </c>
      <c r="C942">
        <v>12</v>
      </c>
      <c r="D942" t="s">
        <v>1433</v>
      </c>
      <c r="E942" t="s">
        <v>1434</v>
      </c>
      <c r="F942" s="122" t="s">
        <v>1450</v>
      </c>
      <c r="G942" s="196">
        <v>16881928.100000001</v>
      </c>
      <c r="H942" s="122" t="s">
        <v>4940</v>
      </c>
    </row>
    <row r="944" spans="1:12" ht="48" x14ac:dyDescent="0.2">
      <c r="A944" t="s">
        <v>4941</v>
      </c>
      <c r="B944">
        <v>876</v>
      </c>
      <c r="C944" t="s">
        <v>4942</v>
      </c>
      <c r="D944">
        <v>104672</v>
      </c>
      <c r="E944">
        <v>2</v>
      </c>
      <c r="F944" s="122" t="s">
        <v>4943</v>
      </c>
      <c r="G944" s="122" t="s">
        <v>2039</v>
      </c>
    </row>
    <row r="945" spans="1:13" ht="128" x14ac:dyDescent="0.2">
      <c r="A945" t="s">
        <v>4554</v>
      </c>
      <c r="B945" t="s">
        <v>4407</v>
      </c>
      <c r="C945">
        <v>13</v>
      </c>
      <c r="D945" t="s">
        <v>1452</v>
      </c>
      <c r="E945" t="s">
        <v>1453</v>
      </c>
      <c r="F945" s="122" t="s">
        <v>1454</v>
      </c>
      <c r="G945" s="122">
        <v>19</v>
      </c>
      <c r="H945" s="122" t="s">
        <v>4944</v>
      </c>
      <c r="I945">
        <v>104672</v>
      </c>
      <c r="J945">
        <v>0</v>
      </c>
      <c r="K945" s="122" t="s">
        <v>4945</v>
      </c>
      <c r="L945" t="s">
        <v>2039</v>
      </c>
    </row>
    <row r="946" spans="1:13" ht="112" x14ac:dyDescent="0.2">
      <c r="A946" t="s">
        <v>4554</v>
      </c>
      <c r="B946" t="s">
        <v>4407</v>
      </c>
      <c r="C946">
        <v>14</v>
      </c>
      <c r="D946" t="s">
        <v>1452</v>
      </c>
      <c r="E946" t="s">
        <v>1453</v>
      </c>
      <c r="F946" s="122" t="s">
        <v>1455</v>
      </c>
      <c r="G946" s="122">
        <v>9</v>
      </c>
      <c r="H946" s="122" t="s">
        <v>4946</v>
      </c>
      <c r="I946">
        <v>104672</v>
      </c>
      <c r="J946">
        <v>0</v>
      </c>
      <c r="K946" s="122" t="s">
        <v>4947</v>
      </c>
      <c r="L946" t="s">
        <v>2039</v>
      </c>
    </row>
    <row r="947" spans="1:13" ht="112" x14ac:dyDescent="0.2">
      <c r="A947" t="s">
        <v>4554</v>
      </c>
      <c r="B947" t="s">
        <v>4407</v>
      </c>
      <c r="C947">
        <v>15</v>
      </c>
      <c r="D947" t="s">
        <v>1452</v>
      </c>
      <c r="E947" t="s">
        <v>1447</v>
      </c>
      <c r="F947" s="122" t="s">
        <v>1457</v>
      </c>
      <c r="G947" s="122">
        <v>50</v>
      </c>
      <c r="H947" s="122" t="s">
        <v>4948</v>
      </c>
      <c r="I947">
        <v>104672</v>
      </c>
      <c r="J947">
        <v>0</v>
      </c>
      <c r="K947" s="122" t="s">
        <v>4949</v>
      </c>
      <c r="L947" t="s">
        <v>2039</v>
      </c>
    </row>
    <row r="948" spans="1:13" ht="176" x14ac:dyDescent="0.2">
      <c r="A948" t="s">
        <v>4554</v>
      </c>
      <c r="B948" t="s">
        <v>4407</v>
      </c>
      <c r="C948">
        <v>16</v>
      </c>
      <c r="D948" t="s">
        <v>1452</v>
      </c>
      <c r="E948" t="s">
        <v>1434</v>
      </c>
      <c r="F948" s="122" t="s">
        <v>1458</v>
      </c>
      <c r="G948" s="122" t="s">
        <v>1497</v>
      </c>
      <c r="H948" s="122" t="s">
        <v>4950</v>
      </c>
    </row>
    <row r="950" spans="1:13" ht="16" x14ac:dyDescent="0.2">
      <c r="A950" t="s">
        <v>4951</v>
      </c>
      <c r="B950" t="s">
        <v>4952</v>
      </c>
      <c r="C950">
        <v>104672</v>
      </c>
      <c r="D950">
        <v>0</v>
      </c>
      <c r="E950" t="s">
        <v>4953</v>
      </c>
      <c r="F950" s="122" t="s">
        <v>2039</v>
      </c>
    </row>
    <row r="951" spans="1:13" ht="112" x14ac:dyDescent="0.2">
      <c r="A951" t="s">
        <v>4554</v>
      </c>
      <c r="B951" t="s">
        <v>4407</v>
      </c>
      <c r="C951">
        <v>17</v>
      </c>
      <c r="D951" t="s">
        <v>1452</v>
      </c>
      <c r="E951" t="s">
        <v>1421</v>
      </c>
      <c r="F951" s="122" t="s">
        <v>1460</v>
      </c>
      <c r="G951" s="122" t="s">
        <v>1500</v>
      </c>
      <c r="H951" s="122" t="s">
        <v>4954</v>
      </c>
      <c r="I951">
        <v>104672</v>
      </c>
      <c r="J951">
        <v>0</v>
      </c>
      <c r="K951" s="122" t="s">
        <v>4388</v>
      </c>
      <c r="L951" t="s">
        <v>2039</v>
      </c>
    </row>
    <row r="952" spans="1:13" ht="96" x14ac:dyDescent="0.2">
      <c r="A952" t="s">
        <v>4554</v>
      </c>
      <c r="B952" t="s">
        <v>4407</v>
      </c>
      <c r="C952">
        <v>18</v>
      </c>
      <c r="D952" t="s">
        <v>1452</v>
      </c>
      <c r="E952" t="s">
        <v>1440</v>
      </c>
      <c r="F952" s="122" t="s">
        <v>1462</v>
      </c>
      <c r="G952" s="122" t="s">
        <v>1502</v>
      </c>
      <c r="H952" s="122" t="s">
        <v>4955</v>
      </c>
      <c r="I952">
        <v>104672</v>
      </c>
      <c r="J952">
        <v>0</v>
      </c>
      <c r="K952" s="122" t="s">
        <v>3997</v>
      </c>
      <c r="L952" t="s">
        <v>2039</v>
      </c>
    </row>
    <row r="953" spans="1:13" ht="64" x14ac:dyDescent="0.2">
      <c r="A953" t="s">
        <v>4554</v>
      </c>
      <c r="B953" t="s">
        <v>4407</v>
      </c>
      <c r="C953">
        <v>19</v>
      </c>
      <c r="D953" t="s">
        <v>1452</v>
      </c>
      <c r="E953" t="s">
        <v>1464</v>
      </c>
      <c r="F953" s="122" t="s">
        <v>1465</v>
      </c>
      <c r="G953" s="122" t="s">
        <v>1503</v>
      </c>
      <c r="H953" s="122" t="s">
        <v>4956</v>
      </c>
      <c r="I953">
        <v>104672</v>
      </c>
      <c r="J953">
        <v>0</v>
      </c>
      <c r="K953" s="122" t="s">
        <v>4177</v>
      </c>
      <c r="L953" t="s">
        <v>2039</v>
      </c>
    </row>
    <row r="954" spans="1:13" ht="128" x14ac:dyDescent="0.2">
      <c r="A954" t="s">
        <v>4554</v>
      </c>
      <c r="B954" t="s">
        <v>4407</v>
      </c>
      <c r="C954">
        <v>20</v>
      </c>
      <c r="D954" t="s">
        <v>1452</v>
      </c>
      <c r="E954" t="s">
        <v>1464</v>
      </c>
      <c r="F954" s="122" t="s">
        <v>1467</v>
      </c>
      <c r="G954" s="122" t="s">
        <v>1513</v>
      </c>
      <c r="H954" s="122" t="s">
        <v>4775</v>
      </c>
    </row>
    <row r="956" spans="1:13" ht="16" x14ac:dyDescent="0.2">
      <c r="A956" t="s">
        <v>4957</v>
      </c>
      <c r="B956">
        <v>469</v>
      </c>
      <c r="C956" t="s">
        <v>4778</v>
      </c>
      <c r="D956">
        <v>663</v>
      </c>
      <c r="E956" t="s">
        <v>4779</v>
      </c>
      <c r="F956" s="122">
        <v>194</v>
      </c>
      <c r="G956" s="122" t="s">
        <v>4780</v>
      </c>
    </row>
    <row r="957" spans="1:13" ht="16" x14ac:dyDescent="0.2">
      <c r="A957" t="s">
        <v>4958</v>
      </c>
      <c r="B957">
        <v>135</v>
      </c>
      <c r="C957" t="s">
        <v>4783</v>
      </c>
      <c r="D957">
        <v>614</v>
      </c>
      <c r="E957" t="s">
        <v>4784</v>
      </c>
      <c r="F957" s="122">
        <v>479</v>
      </c>
      <c r="G957" s="122" t="s">
        <v>4785</v>
      </c>
    </row>
    <row r="958" spans="1:13" ht="16" x14ac:dyDescent="0.2">
      <c r="A958" t="s">
        <v>4959</v>
      </c>
      <c r="B958" t="s">
        <v>4960</v>
      </c>
      <c r="C958" t="s">
        <v>4961</v>
      </c>
      <c r="D958" t="s">
        <v>4962</v>
      </c>
      <c r="E958" t="s">
        <v>4963</v>
      </c>
      <c r="F958" s="122">
        <v>708</v>
      </c>
      <c r="G958" s="122" t="s">
        <v>4964</v>
      </c>
      <c r="H958" s="122">
        <v>624</v>
      </c>
      <c r="I958" t="s">
        <v>4965</v>
      </c>
      <c r="J958">
        <v>104672</v>
      </c>
      <c r="K958" s="122">
        <v>1</v>
      </c>
      <c r="L958" t="s">
        <v>4966</v>
      </c>
      <c r="M958" t="s">
        <v>2039</v>
      </c>
    </row>
    <row r="959" spans="1:13" ht="96" x14ac:dyDescent="0.2">
      <c r="A959" t="s">
        <v>4967</v>
      </c>
      <c r="B959" t="s">
        <v>3991</v>
      </c>
      <c r="C959">
        <v>1</v>
      </c>
      <c r="D959" t="s">
        <v>1420</v>
      </c>
      <c r="E959" t="s">
        <v>1421</v>
      </c>
      <c r="F959" s="122" t="s">
        <v>1422</v>
      </c>
      <c r="G959" s="122" t="s">
        <v>1423</v>
      </c>
      <c r="H959" s="122" t="s">
        <v>4968</v>
      </c>
      <c r="I959">
        <v>7863</v>
      </c>
      <c r="J959">
        <v>0</v>
      </c>
      <c r="K959" s="122" t="s">
        <v>4969</v>
      </c>
      <c r="L959">
        <v>2000</v>
      </c>
    </row>
    <row r="960" spans="1:13" ht="64" x14ac:dyDescent="0.2">
      <c r="A960" t="s">
        <v>4967</v>
      </c>
      <c r="B960" t="s">
        <v>3991</v>
      </c>
      <c r="C960">
        <v>2</v>
      </c>
      <c r="D960" t="s">
        <v>1420</v>
      </c>
      <c r="E960" t="s">
        <v>1421</v>
      </c>
      <c r="F960" s="122" t="s">
        <v>1425</v>
      </c>
      <c r="G960" s="122">
        <v>8</v>
      </c>
      <c r="H960" s="122" t="s">
        <v>4557</v>
      </c>
      <c r="I960">
        <v>7969</v>
      </c>
      <c r="J960">
        <v>0</v>
      </c>
      <c r="K960" s="122" t="s">
        <v>4558</v>
      </c>
      <c r="L960">
        <v>2000</v>
      </c>
    </row>
    <row r="961" spans="1:12" ht="96" x14ac:dyDescent="0.2">
      <c r="A961" t="s">
        <v>4967</v>
      </c>
      <c r="B961" t="s">
        <v>3991</v>
      </c>
      <c r="C961">
        <v>3</v>
      </c>
      <c r="D961" t="s">
        <v>1420</v>
      </c>
      <c r="E961" t="s">
        <v>1421</v>
      </c>
      <c r="F961" s="122" t="s">
        <v>1427</v>
      </c>
      <c r="G961" s="122" t="s">
        <v>1428</v>
      </c>
      <c r="H961" s="122" t="s">
        <v>4970</v>
      </c>
    </row>
    <row r="963" spans="1:12" x14ac:dyDescent="0.2">
      <c r="A963" t="s">
        <v>4971</v>
      </c>
      <c r="B963" t="s">
        <v>4972</v>
      </c>
      <c r="C963">
        <v>7895</v>
      </c>
      <c r="D963">
        <v>0</v>
      </c>
      <c r="E963" t="s">
        <v>4973</v>
      </c>
      <c r="F963" s="122">
        <v>2000</v>
      </c>
    </row>
    <row r="964" spans="1:12" ht="48" x14ac:dyDescent="0.2">
      <c r="A964" t="s">
        <v>4967</v>
      </c>
      <c r="B964" t="s">
        <v>3991</v>
      </c>
      <c r="C964">
        <v>4</v>
      </c>
      <c r="D964" t="s">
        <v>1420</v>
      </c>
      <c r="E964" t="s">
        <v>1429</v>
      </c>
      <c r="F964" s="122" t="s">
        <v>1430</v>
      </c>
      <c r="G964" s="122">
        <v>88</v>
      </c>
      <c r="H964" s="122" t="s">
        <v>4974</v>
      </c>
      <c r="I964">
        <v>7965</v>
      </c>
      <c r="J964">
        <v>0</v>
      </c>
      <c r="K964" s="122" t="s">
        <v>4975</v>
      </c>
      <c r="L964">
        <v>2000</v>
      </c>
    </row>
    <row r="965" spans="1:12" ht="80" x14ac:dyDescent="0.2">
      <c r="A965" t="s">
        <v>4967</v>
      </c>
      <c r="B965" t="s">
        <v>3991</v>
      </c>
      <c r="C965">
        <v>5</v>
      </c>
      <c r="D965" t="s">
        <v>1420</v>
      </c>
      <c r="E965" t="s">
        <v>1421</v>
      </c>
      <c r="F965" s="122" t="s">
        <v>1431</v>
      </c>
      <c r="G965" s="122" t="s">
        <v>1432</v>
      </c>
      <c r="H965" s="122" t="s">
        <v>4562</v>
      </c>
      <c r="I965">
        <v>7967</v>
      </c>
      <c r="J965">
        <v>3</v>
      </c>
      <c r="K965" s="122" t="s">
        <v>4976</v>
      </c>
      <c r="L965">
        <v>2000</v>
      </c>
    </row>
    <row r="966" spans="1:12" ht="128" x14ac:dyDescent="0.2">
      <c r="A966" t="s">
        <v>4967</v>
      </c>
      <c r="B966" t="s">
        <v>3991</v>
      </c>
      <c r="C966">
        <v>6</v>
      </c>
      <c r="D966" t="s">
        <v>1433</v>
      </c>
      <c r="E966" t="s">
        <v>1434</v>
      </c>
      <c r="F966" s="122" t="s">
        <v>1435</v>
      </c>
      <c r="G966" s="122" t="s">
        <v>1436</v>
      </c>
      <c r="H966" s="122" t="s">
        <v>4977</v>
      </c>
      <c r="I966">
        <v>7916</v>
      </c>
      <c r="J966">
        <v>3</v>
      </c>
      <c r="K966" s="122" t="s">
        <v>4978</v>
      </c>
      <c r="L966">
        <v>2000</v>
      </c>
    </row>
    <row r="967" spans="1:12" ht="64" x14ac:dyDescent="0.2">
      <c r="A967" t="s">
        <v>4967</v>
      </c>
      <c r="B967" t="s">
        <v>3991</v>
      </c>
      <c r="C967">
        <v>7</v>
      </c>
      <c r="D967" t="s">
        <v>1433</v>
      </c>
      <c r="E967" t="s">
        <v>1434</v>
      </c>
      <c r="F967" s="122" t="s">
        <v>1438</v>
      </c>
      <c r="G967" s="122" t="s">
        <v>1469</v>
      </c>
      <c r="H967" s="122" t="s">
        <v>4979</v>
      </c>
      <c r="I967">
        <v>7955</v>
      </c>
      <c r="J967">
        <v>0</v>
      </c>
      <c r="K967" s="122" t="s">
        <v>4980</v>
      </c>
      <c r="L967">
        <v>2000</v>
      </c>
    </row>
    <row r="968" spans="1:12" ht="80" x14ac:dyDescent="0.2">
      <c r="A968" t="s">
        <v>4967</v>
      </c>
      <c r="B968" t="s">
        <v>3991</v>
      </c>
      <c r="C968">
        <v>8</v>
      </c>
      <c r="D968" t="s">
        <v>1433</v>
      </c>
      <c r="E968" t="s">
        <v>1440</v>
      </c>
      <c r="F968" s="122" t="s">
        <v>1441</v>
      </c>
      <c r="G968" s="122" t="s">
        <v>1470</v>
      </c>
      <c r="H968" s="122" t="s">
        <v>4981</v>
      </c>
      <c r="I968">
        <v>7816</v>
      </c>
      <c r="J968">
        <v>0</v>
      </c>
      <c r="K968" s="122" t="s">
        <v>4982</v>
      </c>
      <c r="L968">
        <v>2000</v>
      </c>
    </row>
    <row r="969" spans="1:12" ht="96" x14ac:dyDescent="0.2">
      <c r="A969" t="s">
        <v>4967</v>
      </c>
      <c r="B969" t="s">
        <v>3991</v>
      </c>
      <c r="C969">
        <v>9</v>
      </c>
      <c r="D969" t="s">
        <v>1433</v>
      </c>
      <c r="E969" t="s">
        <v>1440</v>
      </c>
      <c r="F969" s="122" t="s">
        <v>1443</v>
      </c>
      <c r="G969" s="122" t="s">
        <v>1477</v>
      </c>
      <c r="H969" s="122" t="s">
        <v>4983</v>
      </c>
      <c r="I969">
        <v>7962</v>
      </c>
      <c r="J969">
        <v>0</v>
      </c>
      <c r="K969" s="122" t="s">
        <v>4984</v>
      </c>
      <c r="L969">
        <v>2000</v>
      </c>
    </row>
    <row r="970" spans="1:12" ht="80" x14ac:dyDescent="0.2">
      <c r="A970" t="s">
        <v>4967</v>
      </c>
      <c r="B970" t="s">
        <v>3991</v>
      </c>
      <c r="C970">
        <v>10</v>
      </c>
      <c r="D970" t="s">
        <v>1433</v>
      </c>
      <c r="E970" t="s">
        <v>1421</v>
      </c>
      <c r="F970" s="122" t="s">
        <v>1445</v>
      </c>
      <c r="G970" s="122" t="s">
        <v>1446</v>
      </c>
      <c r="H970" s="122" t="s">
        <v>4985</v>
      </c>
      <c r="I970">
        <v>7994</v>
      </c>
      <c r="J970">
        <v>0</v>
      </c>
      <c r="K970" s="122" t="s">
        <v>4986</v>
      </c>
      <c r="L970">
        <v>2000</v>
      </c>
    </row>
    <row r="971" spans="1:12" ht="64" x14ac:dyDescent="0.2">
      <c r="A971" t="s">
        <v>4967</v>
      </c>
      <c r="B971" t="s">
        <v>3991</v>
      </c>
      <c r="C971">
        <v>11</v>
      </c>
      <c r="D971" t="s">
        <v>1433</v>
      </c>
      <c r="E971" t="s">
        <v>1447</v>
      </c>
      <c r="F971" s="122" t="s">
        <v>1448</v>
      </c>
      <c r="G971" s="122" t="s">
        <v>4011</v>
      </c>
      <c r="H971" s="122" t="s">
        <v>4987</v>
      </c>
      <c r="I971">
        <v>7908</v>
      </c>
      <c r="J971">
        <v>3</v>
      </c>
      <c r="K971" s="122" t="s">
        <v>4988</v>
      </c>
      <c r="L971">
        <v>2000</v>
      </c>
    </row>
    <row r="972" spans="1:12" ht="64" x14ac:dyDescent="0.2">
      <c r="A972" t="s">
        <v>4967</v>
      </c>
      <c r="B972" t="s">
        <v>3991</v>
      </c>
      <c r="C972">
        <v>12</v>
      </c>
      <c r="D972" t="s">
        <v>1433</v>
      </c>
      <c r="E972" t="s">
        <v>1434</v>
      </c>
      <c r="F972" s="122" t="s">
        <v>1450</v>
      </c>
      <c r="G972" s="196">
        <v>16881928.100000001</v>
      </c>
      <c r="H972" s="122" t="s">
        <v>4576</v>
      </c>
      <c r="I972">
        <v>7985</v>
      </c>
      <c r="J972">
        <v>0</v>
      </c>
      <c r="K972" s="122" t="s">
        <v>4577</v>
      </c>
      <c r="L972">
        <v>2000</v>
      </c>
    </row>
    <row r="973" spans="1:12" ht="64" x14ac:dyDescent="0.2">
      <c r="A973" t="s">
        <v>4967</v>
      </c>
      <c r="B973" t="s">
        <v>3991</v>
      </c>
      <c r="C973">
        <v>13</v>
      </c>
      <c r="D973" t="s">
        <v>1452</v>
      </c>
      <c r="E973" t="s">
        <v>1453</v>
      </c>
      <c r="F973" s="122" t="s">
        <v>1454</v>
      </c>
      <c r="G973" s="122">
        <v>19</v>
      </c>
      <c r="H973" s="122" t="s">
        <v>4989</v>
      </c>
      <c r="I973">
        <v>7969</v>
      </c>
      <c r="J973">
        <v>0</v>
      </c>
      <c r="K973" s="122" t="s">
        <v>4990</v>
      </c>
      <c r="L973">
        <v>2000</v>
      </c>
    </row>
    <row r="974" spans="1:12" ht="80" x14ac:dyDescent="0.2">
      <c r="A974" t="s">
        <v>4967</v>
      </c>
      <c r="B974" t="s">
        <v>3991</v>
      </c>
      <c r="C974">
        <v>14</v>
      </c>
      <c r="D974" t="s">
        <v>1452</v>
      </c>
      <c r="E974" t="s">
        <v>1453</v>
      </c>
      <c r="F974" s="122" t="s">
        <v>1455</v>
      </c>
      <c r="G974" s="122">
        <v>9</v>
      </c>
      <c r="H974" s="122" t="s">
        <v>4991</v>
      </c>
      <c r="I974">
        <v>7912</v>
      </c>
      <c r="J974">
        <v>2</v>
      </c>
      <c r="K974" s="122" t="s">
        <v>4992</v>
      </c>
      <c r="L974">
        <v>2000</v>
      </c>
    </row>
    <row r="975" spans="1:12" ht="64" x14ac:dyDescent="0.2">
      <c r="A975" t="s">
        <v>4967</v>
      </c>
      <c r="B975" t="s">
        <v>3991</v>
      </c>
      <c r="C975">
        <v>15</v>
      </c>
      <c r="D975" t="s">
        <v>1452</v>
      </c>
      <c r="E975" t="s">
        <v>1447</v>
      </c>
      <c r="F975" s="122" t="s">
        <v>1457</v>
      </c>
      <c r="G975" s="122">
        <v>50</v>
      </c>
      <c r="H975" s="122">
        <v>10</v>
      </c>
      <c r="I975">
        <v>7876</v>
      </c>
      <c r="J975">
        <v>2</v>
      </c>
      <c r="K975" s="122" t="s">
        <v>4993</v>
      </c>
      <c r="L975">
        <v>2000</v>
      </c>
    </row>
    <row r="976" spans="1:12" ht="64" x14ac:dyDescent="0.2">
      <c r="A976" t="s">
        <v>4967</v>
      </c>
      <c r="B976" t="s">
        <v>3991</v>
      </c>
      <c r="C976">
        <v>16</v>
      </c>
      <c r="D976" t="s">
        <v>1452</v>
      </c>
      <c r="E976" t="s">
        <v>1434</v>
      </c>
      <c r="F976" s="122" t="s">
        <v>1458</v>
      </c>
      <c r="G976" s="122" t="s">
        <v>1497</v>
      </c>
      <c r="H976" s="122" t="s">
        <v>4994</v>
      </c>
      <c r="I976">
        <v>7883</v>
      </c>
      <c r="J976">
        <v>0</v>
      </c>
      <c r="K976" s="122" t="s">
        <v>4995</v>
      </c>
      <c r="L976">
        <v>2000</v>
      </c>
    </row>
    <row r="977" spans="1:12" ht="80" x14ac:dyDescent="0.2">
      <c r="A977" t="s">
        <v>4967</v>
      </c>
      <c r="B977" t="s">
        <v>3991</v>
      </c>
      <c r="C977">
        <v>17</v>
      </c>
      <c r="D977" t="s">
        <v>1452</v>
      </c>
      <c r="E977" t="s">
        <v>1421</v>
      </c>
      <c r="F977" s="122" t="s">
        <v>1460</v>
      </c>
      <c r="G977" s="122" t="s">
        <v>1500</v>
      </c>
      <c r="H977" s="122" t="s">
        <v>4996</v>
      </c>
      <c r="I977">
        <v>7899</v>
      </c>
      <c r="J977">
        <v>0</v>
      </c>
      <c r="K977" s="122" t="s">
        <v>4388</v>
      </c>
      <c r="L977">
        <v>2000</v>
      </c>
    </row>
    <row r="978" spans="1:12" ht="80" x14ac:dyDescent="0.2">
      <c r="A978" t="s">
        <v>4967</v>
      </c>
      <c r="B978" t="s">
        <v>3991</v>
      </c>
      <c r="C978">
        <v>18</v>
      </c>
      <c r="D978" t="s">
        <v>1452</v>
      </c>
      <c r="E978" t="s">
        <v>1440</v>
      </c>
      <c r="F978" s="122" t="s">
        <v>1462</v>
      </c>
      <c r="G978" s="122" t="s">
        <v>1502</v>
      </c>
      <c r="H978" s="122" t="s">
        <v>4997</v>
      </c>
      <c r="I978">
        <v>7942</v>
      </c>
      <c r="J978">
        <v>0</v>
      </c>
      <c r="K978" s="122" t="s">
        <v>4998</v>
      </c>
      <c r="L978">
        <v>2000</v>
      </c>
    </row>
    <row r="979" spans="1:12" ht="64" x14ac:dyDescent="0.2">
      <c r="A979" t="s">
        <v>4967</v>
      </c>
      <c r="B979" t="s">
        <v>3991</v>
      </c>
      <c r="C979">
        <v>19</v>
      </c>
      <c r="D979" t="s">
        <v>1452</v>
      </c>
      <c r="E979" t="s">
        <v>1464</v>
      </c>
      <c r="F979" s="122" t="s">
        <v>1465</v>
      </c>
      <c r="G979" s="122" t="s">
        <v>1503</v>
      </c>
      <c r="H979" s="122" t="s">
        <v>4999</v>
      </c>
      <c r="I979">
        <v>7849</v>
      </c>
      <c r="J979">
        <v>0</v>
      </c>
      <c r="K979" s="122" t="s">
        <v>4043</v>
      </c>
      <c r="L979">
        <v>2000</v>
      </c>
    </row>
    <row r="980" spans="1:12" ht="160" x14ac:dyDescent="0.2">
      <c r="A980" t="s">
        <v>4967</v>
      </c>
      <c r="B980" t="s">
        <v>3991</v>
      </c>
      <c r="C980">
        <v>20</v>
      </c>
      <c r="D980" t="s">
        <v>1452</v>
      </c>
      <c r="E980" t="s">
        <v>1464</v>
      </c>
      <c r="F980" s="122" t="s">
        <v>1467</v>
      </c>
      <c r="G980" s="122" t="s">
        <v>1513</v>
      </c>
      <c r="H980" s="122" t="s">
        <v>5000</v>
      </c>
      <c r="I980">
        <v>7934</v>
      </c>
      <c r="J980">
        <v>0</v>
      </c>
      <c r="K980" s="122" t="s">
        <v>5001</v>
      </c>
      <c r="L980">
        <v>2000</v>
      </c>
    </row>
    <row r="981" spans="1:12" ht="64" x14ac:dyDescent="0.2">
      <c r="A981" t="s">
        <v>4967</v>
      </c>
      <c r="B981" t="s">
        <v>4046</v>
      </c>
      <c r="C981">
        <v>1</v>
      </c>
      <c r="D981" t="s">
        <v>1420</v>
      </c>
      <c r="E981" t="s">
        <v>1421</v>
      </c>
      <c r="F981" s="122" t="s">
        <v>1422</v>
      </c>
      <c r="G981" s="122" t="s">
        <v>1423</v>
      </c>
      <c r="H981" s="122" t="s">
        <v>5002</v>
      </c>
      <c r="I981">
        <v>7938</v>
      </c>
      <c r="J981">
        <v>0</v>
      </c>
      <c r="K981" s="122" t="s">
        <v>5003</v>
      </c>
      <c r="L981">
        <v>2000</v>
      </c>
    </row>
    <row r="982" spans="1:12" ht="64" x14ac:dyDescent="0.2">
      <c r="A982" t="s">
        <v>4967</v>
      </c>
      <c r="B982" t="s">
        <v>4046</v>
      </c>
      <c r="C982">
        <v>2</v>
      </c>
      <c r="D982" t="s">
        <v>1420</v>
      </c>
      <c r="E982" t="s">
        <v>1421</v>
      </c>
      <c r="F982" s="122" t="s">
        <v>1425</v>
      </c>
      <c r="G982" s="122">
        <v>8</v>
      </c>
      <c r="H982" s="122" t="s">
        <v>4601</v>
      </c>
      <c r="I982">
        <v>7938</v>
      </c>
      <c r="J982">
        <v>0</v>
      </c>
      <c r="K982" s="122" t="s">
        <v>4156</v>
      </c>
      <c r="L982">
        <v>2000</v>
      </c>
    </row>
    <row r="983" spans="1:12" ht="128" x14ac:dyDescent="0.2">
      <c r="A983" t="s">
        <v>4967</v>
      </c>
      <c r="B983" t="s">
        <v>4046</v>
      </c>
      <c r="C983">
        <v>3</v>
      </c>
      <c r="D983" t="s">
        <v>1420</v>
      </c>
      <c r="E983" t="s">
        <v>1421</v>
      </c>
      <c r="F983" s="122" t="s">
        <v>1427</v>
      </c>
      <c r="G983" s="122" t="s">
        <v>1428</v>
      </c>
      <c r="H983" s="122" t="s">
        <v>5004</v>
      </c>
      <c r="I983">
        <v>7938</v>
      </c>
      <c r="J983">
        <v>0</v>
      </c>
      <c r="K983" s="122" t="s">
        <v>3997</v>
      </c>
      <c r="L983">
        <v>2000</v>
      </c>
    </row>
    <row r="984" spans="1:12" ht="64" x14ac:dyDescent="0.2">
      <c r="A984" t="s">
        <v>4967</v>
      </c>
      <c r="B984" t="s">
        <v>4046</v>
      </c>
      <c r="C984">
        <v>4</v>
      </c>
      <c r="D984" t="s">
        <v>1420</v>
      </c>
      <c r="E984" t="s">
        <v>1429</v>
      </c>
      <c r="F984" s="122" t="s">
        <v>1430</v>
      </c>
      <c r="G984" s="122">
        <v>88</v>
      </c>
      <c r="H984" s="122" t="s">
        <v>5005</v>
      </c>
    </row>
    <row r="985" spans="1:12" x14ac:dyDescent="0.2">
      <c r="A985" t="s">
        <v>2837</v>
      </c>
    </row>
    <row r="986" spans="1:12" x14ac:dyDescent="0.2">
      <c r="A986" t="s">
        <v>2838</v>
      </c>
    </row>
    <row r="987" spans="1:12" x14ac:dyDescent="0.2">
      <c r="A987" t="s">
        <v>2839</v>
      </c>
    </row>
    <row r="988" spans="1:12" x14ac:dyDescent="0.2">
      <c r="A988" t="s">
        <v>2840</v>
      </c>
    </row>
    <row r="989" spans="1:12" x14ac:dyDescent="0.2">
      <c r="A989" t="s">
        <v>2841</v>
      </c>
    </row>
    <row r="990" spans="1:12" x14ac:dyDescent="0.2">
      <c r="A990" t="s">
        <v>5006</v>
      </c>
      <c r="B990">
        <v>7938</v>
      </c>
      <c r="C990">
        <v>0</v>
      </c>
      <c r="D990" t="s">
        <v>5007</v>
      </c>
      <c r="E990">
        <v>2000</v>
      </c>
    </row>
    <row r="991" spans="1:12" ht="48" x14ac:dyDescent="0.2">
      <c r="A991" t="s">
        <v>4967</v>
      </c>
      <c r="B991" t="s">
        <v>4046</v>
      </c>
      <c r="C991">
        <v>5</v>
      </c>
      <c r="D991" t="s">
        <v>1420</v>
      </c>
      <c r="E991" t="s">
        <v>1421</v>
      </c>
      <c r="F991" s="122" t="s">
        <v>1431</v>
      </c>
      <c r="G991" s="122" t="s">
        <v>1432</v>
      </c>
      <c r="H991" s="122" t="s">
        <v>5008</v>
      </c>
      <c r="I991">
        <v>7938</v>
      </c>
      <c r="J991">
        <v>3</v>
      </c>
      <c r="K991" s="122" t="s">
        <v>5009</v>
      </c>
      <c r="L991">
        <v>2000</v>
      </c>
    </row>
    <row r="992" spans="1:12" ht="96" x14ac:dyDescent="0.2">
      <c r="A992" t="s">
        <v>4967</v>
      </c>
      <c r="B992" t="s">
        <v>4046</v>
      </c>
      <c r="C992">
        <v>6</v>
      </c>
      <c r="D992" t="s">
        <v>1433</v>
      </c>
      <c r="E992" t="s">
        <v>1434</v>
      </c>
      <c r="F992" s="122" t="s">
        <v>1435</v>
      </c>
      <c r="G992" s="122" t="s">
        <v>1436</v>
      </c>
      <c r="H992" s="122" t="s">
        <v>5010</v>
      </c>
      <c r="I992">
        <v>7938</v>
      </c>
      <c r="J992">
        <v>0</v>
      </c>
      <c r="K992" s="122" t="s">
        <v>5011</v>
      </c>
      <c r="L992">
        <v>2000</v>
      </c>
    </row>
    <row r="993" spans="1:12" ht="48" x14ac:dyDescent="0.2">
      <c r="A993" t="s">
        <v>4967</v>
      </c>
      <c r="B993" t="s">
        <v>4046</v>
      </c>
      <c r="C993">
        <v>7</v>
      </c>
      <c r="D993" t="s">
        <v>1433</v>
      </c>
      <c r="E993" t="s">
        <v>1434</v>
      </c>
      <c r="F993" s="122" t="s">
        <v>1438</v>
      </c>
      <c r="G993" s="122" t="s">
        <v>1469</v>
      </c>
      <c r="H993" s="122" t="s">
        <v>5012</v>
      </c>
      <c r="I993">
        <v>7938</v>
      </c>
      <c r="J993">
        <v>0</v>
      </c>
      <c r="K993" s="122" t="s">
        <v>5013</v>
      </c>
      <c r="L993">
        <v>2000</v>
      </c>
    </row>
    <row r="994" spans="1:12" ht="80" x14ac:dyDescent="0.2">
      <c r="A994" t="s">
        <v>4967</v>
      </c>
      <c r="B994" t="s">
        <v>4046</v>
      </c>
      <c r="C994">
        <v>8</v>
      </c>
      <c r="D994" t="s">
        <v>1433</v>
      </c>
      <c r="E994" t="s">
        <v>1440</v>
      </c>
      <c r="F994" s="122" t="s">
        <v>1441</v>
      </c>
      <c r="G994" s="122" t="s">
        <v>1470</v>
      </c>
      <c r="H994" s="122" t="s">
        <v>5014</v>
      </c>
      <c r="I994">
        <v>7938</v>
      </c>
      <c r="J994">
        <v>0</v>
      </c>
      <c r="K994" s="122" t="s">
        <v>4756</v>
      </c>
      <c r="L994">
        <v>2000</v>
      </c>
    </row>
    <row r="995" spans="1:12" ht="112" x14ac:dyDescent="0.2">
      <c r="A995" t="s">
        <v>4967</v>
      </c>
      <c r="B995" t="s">
        <v>4046</v>
      </c>
      <c r="C995">
        <v>9</v>
      </c>
      <c r="D995" t="s">
        <v>1433</v>
      </c>
      <c r="E995" t="s">
        <v>1440</v>
      </c>
      <c r="F995" s="122" t="s">
        <v>1443</v>
      </c>
      <c r="G995" s="122" t="s">
        <v>1477</v>
      </c>
      <c r="H995" s="122" t="s">
        <v>5015</v>
      </c>
      <c r="I995">
        <v>7938</v>
      </c>
      <c r="J995">
        <v>2</v>
      </c>
      <c r="K995" s="122" t="s">
        <v>5016</v>
      </c>
      <c r="L995">
        <v>2000</v>
      </c>
    </row>
    <row r="996" spans="1:12" ht="112" x14ac:dyDescent="0.2">
      <c r="A996" t="s">
        <v>4967</v>
      </c>
      <c r="B996" t="s">
        <v>4046</v>
      </c>
      <c r="C996">
        <v>10</v>
      </c>
      <c r="D996" t="s">
        <v>1433</v>
      </c>
      <c r="E996" t="s">
        <v>1421</v>
      </c>
      <c r="F996" s="122" t="s">
        <v>1445</v>
      </c>
      <c r="G996" s="122" t="s">
        <v>1446</v>
      </c>
      <c r="H996" s="122" t="s">
        <v>5017</v>
      </c>
      <c r="I996">
        <v>7938</v>
      </c>
      <c r="J996">
        <v>0</v>
      </c>
      <c r="K996" s="122" t="s">
        <v>3997</v>
      </c>
      <c r="L996">
        <v>2000</v>
      </c>
    </row>
    <row r="997" spans="1:12" ht="80" x14ac:dyDescent="0.2">
      <c r="A997" t="s">
        <v>4967</v>
      </c>
      <c r="B997" t="s">
        <v>4046</v>
      </c>
      <c r="C997">
        <v>11</v>
      </c>
      <c r="D997" t="s">
        <v>1433</v>
      </c>
      <c r="E997" t="s">
        <v>1447</v>
      </c>
      <c r="F997" s="122" t="s">
        <v>1448</v>
      </c>
      <c r="G997" s="122" t="s">
        <v>4011</v>
      </c>
      <c r="H997" s="122" t="s">
        <v>5018</v>
      </c>
      <c r="I997">
        <v>7938</v>
      </c>
      <c r="J997">
        <v>0</v>
      </c>
      <c r="K997" s="122" t="s">
        <v>5019</v>
      </c>
      <c r="L997">
        <v>2000</v>
      </c>
    </row>
    <row r="998" spans="1:12" ht="64" x14ac:dyDescent="0.2">
      <c r="A998" t="s">
        <v>4967</v>
      </c>
      <c r="B998" t="s">
        <v>4046</v>
      </c>
      <c r="C998">
        <v>12</v>
      </c>
      <c r="D998" t="s">
        <v>1433</v>
      </c>
      <c r="E998" t="s">
        <v>1434</v>
      </c>
      <c r="F998" s="122" t="s">
        <v>1450</v>
      </c>
      <c r="G998" s="196">
        <v>16881928.100000001</v>
      </c>
      <c r="H998" s="122" t="s">
        <v>5020</v>
      </c>
      <c r="I998">
        <v>7938</v>
      </c>
      <c r="J998">
        <v>0</v>
      </c>
      <c r="K998" s="122" t="s">
        <v>5021</v>
      </c>
      <c r="L998">
        <v>2000</v>
      </c>
    </row>
    <row r="999" spans="1:12" ht="48" x14ac:dyDescent="0.2">
      <c r="A999" t="s">
        <v>4967</v>
      </c>
      <c r="B999" t="s">
        <v>4046</v>
      </c>
      <c r="C999">
        <v>13</v>
      </c>
      <c r="D999" t="s">
        <v>1452</v>
      </c>
      <c r="E999" t="s">
        <v>1453</v>
      </c>
      <c r="F999" s="122" t="s">
        <v>1454</v>
      </c>
      <c r="G999" s="122">
        <v>19</v>
      </c>
      <c r="H999" s="122">
        <v>3</v>
      </c>
      <c r="I999">
        <v>7938</v>
      </c>
      <c r="J999">
        <v>0</v>
      </c>
      <c r="K999" s="122" t="s">
        <v>5022</v>
      </c>
      <c r="L999">
        <v>2000</v>
      </c>
    </row>
    <row r="1000" spans="1:12" ht="80" x14ac:dyDescent="0.2">
      <c r="A1000" t="s">
        <v>4967</v>
      </c>
      <c r="B1000" t="s">
        <v>4046</v>
      </c>
      <c r="C1000">
        <v>14</v>
      </c>
      <c r="D1000" t="s">
        <v>1452</v>
      </c>
      <c r="E1000" t="s">
        <v>1453</v>
      </c>
      <c r="F1000" s="122" t="s">
        <v>1455</v>
      </c>
      <c r="G1000" s="122">
        <v>9</v>
      </c>
      <c r="H1000" s="122" t="s">
        <v>5023</v>
      </c>
      <c r="I1000">
        <v>7938</v>
      </c>
      <c r="J1000">
        <v>0</v>
      </c>
      <c r="K1000" s="122" t="s">
        <v>5024</v>
      </c>
      <c r="L1000">
        <v>2000</v>
      </c>
    </row>
    <row r="1001" spans="1:12" ht="112" x14ac:dyDescent="0.2">
      <c r="A1001" t="s">
        <v>4967</v>
      </c>
      <c r="B1001" t="s">
        <v>4046</v>
      </c>
      <c r="C1001">
        <v>15</v>
      </c>
      <c r="D1001" t="s">
        <v>1452</v>
      </c>
      <c r="E1001" t="s">
        <v>1447</v>
      </c>
      <c r="F1001" s="122" t="s">
        <v>1457</v>
      </c>
      <c r="G1001" s="122">
        <v>50</v>
      </c>
      <c r="H1001" s="122" t="s">
        <v>5025</v>
      </c>
      <c r="I1001">
        <v>7938</v>
      </c>
      <c r="J1001">
        <v>0</v>
      </c>
      <c r="K1001" s="122" t="s">
        <v>5026</v>
      </c>
      <c r="L1001">
        <v>2000</v>
      </c>
    </row>
    <row r="1002" spans="1:12" ht="64" x14ac:dyDescent="0.2">
      <c r="A1002" t="s">
        <v>4967</v>
      </c>
      <c r="B1002" t="s">
        <v>4046</v>
      </c>
      <c r="C1002">
        <v>16</v>
      </c>
      <c r="D1002" t="s">
        <v>1452</v>
      </c>
      <c r="E1002" t="s">
        <v>1434</v>
      </c>
      <c r="F1002" s="122" t="s">
        <v>1458</v>
      </c>
      <c r="G1002" s="122" t="s">
        <v>1497</v>
      </c>
      <c r="H1002" s="122" t="s">
        <v>5027</v>
      </c>
      <c r="I1002">
        <v>7938</v>
      </c>
      <c r="J1002">
        <v>0</v>
      </c>
      <c r="K1002" s="122" t="s">
        <v>5028</v>
      </c>
      <c r="L1002">
        <v>2000</v>
      </c>
    </row>
    <row r="1003" spans="1:12" ht="80" x14ac:dyDescent="0.2">
      <c r="A1003" t="s">
        <v>4967</v>
      </c>
      <c r="B1003" t="s">
        <v>4046</v>
      </c>
      <c r="C1003">
        <v>17</v>
      </c>
      <c r="D1003" t="s">
        <v>1452</v>
      </c>
      <c r="E1003" t="s">
        <v>1421</v>
      </c>
      <c r="F1003" s="122" t="s">
        <v>1460</v>
      </c>
      <c r="G1003" s="122" t="s">
        <v>1500</v>
      </c>
      <c r="H1003" s="122" t="s">
        <v>5029</v>
      </c>
      <c r="I1003">
        <v>7938</v>
      </c>
      <c r="J1003">
        <v>0</v>
      </c>
      <c r="K1003" s="122" t="s">
        <v>4388</v>
      </c>
      <c r="L1003">
        <v>2000</v>
      </c>
    </row>
    <row r="1004" spans="1:12" ht="64" x14ac:dyDescent="0.2">
      <c r="A1004" t="s">
        <v>4967</v>
      </c>
      <c r="B1004" t="s">
        <v>4046</v>
      </c>
      <c r="C1004">
        <v>18</v>
      </c>
      <c r="D1004" t="s">
        <v>1452</v>
      </c>
      <c r="E1004" t="s">
        <v>1440</v>
      </c>
      <c r="F1004" s="122" t="s">
        <v>1462</v>
      </c>
      <c r="G1004" s="122" t="s">
        <v>1502</v>
      </c>
      <c r="H1004" s="122" t="s">
        <v>4668</v>
      </c>
      <c r="I1004">
        <v>7938</v>
      </c>
      <c r="J1004">
        <v>0</v>
      </c>
      <c r="K1004" s="122" t="s">
        <v>4669</v>
      </c>
      <c r="L1004">
        <v>2000</v>
      </c>
    </row>
    <row r="1005" spans="1:12" ht="64" x14ac:dyDescent="0.2">
      <c r="A1005" t="s">
        <v>4967</v>
      </c>
      <c r="B1005" t="s">
        <v>4046</v>
      </c>
      <c r="C1005">
        <v>19</v>
      </c>
      <c r="D1005" t="s">
        <v>1452</v>
      </c>
      <c r="E1005" t="s">
        <v>1464</v>
      </c>
      <c r="F1005" s="122" t="s">
        <v>1465</v>
      </c>
      <c r="G1005" s="122" t="s">
        <v>1503</v>
      </c>
      <c r="H1005" s="122" t="s">
        <v>5030</v>
      </c>
      <c r="I1005">
        <v>7938</v>
      </c>
      <c r="J1005">
        <v>0</v>
      </c>
      <c r="K1005" s="122" t="s">
        <v>4106</v>
      </c>
      <c r="L1005">
        <v>2000</v>
      </c>
    </row>
    <row r="1006" spans="1:12" ht="128" x14ac:dyDescent="0.2">
      <c r="A1006" t="s">
        <v>4967</v>
      </c>
      <c r="B1006" t="s">
        <v>4046</v>
      </c>
      <c r="C1006">
        <v>20</v>
      </c>
      <c r="D1006" t="s">
        <v>1452</v>
      </c>
      <c r="E1006" t="s">
        <v>1464</v>
      </c>
      <c r="F1006" s="122" t="s">
        <v>1467</v>
      </c>
      <c r="G1006" s="122" t="s">
        <v>1513</v>
      </c>
      <c r="H1006" s="122" t="s">
        <v>5031</v>
      </c>
    </row>
    <row r="1008" spans="1:12" x14ac:dyDescent="0.2">
      <c r="A1008" t="s">
        <v>5032</v>
      </c>
      <c r="B1008">
        <v>837</v>
      </c>
      <c r="C1008" t="s">
        <v>5033</v>
      </c>
      <c r="D1008">
        <v>571</v>
      </c>
      <c r="E1008" t="s">
        <v>5034</v>
      </c>
    </row>
    <row r="1010" spans="1:12" ht="48" x14ac:dyDescent="0.2">
      <c r="A1010" t="s">
        <v>5035</v>
      </c>
      <c r="B1010" t="s">
        <v>5036</v>
      </c>
      <c r="C1010" t="s">
        <v>5037</v>
      </c>
      <c r="D1010">
        <v>7938</v>
      </c>
      <c r="E1010">
        <v>0</v>
      </c>
      <c r="F1010" s="122" t="s">
        <v>5038</v>
      </c>
      <c r="G1010" s="122">
        <v>2000</v>
      </c>
    </row>
    <row r="1011" spans="1:12" ht="96" x14ac:dyDescent="0.2">
      <c r="A1011" t="s">
        <v>4967</v>
      </c>
      <c r="B1011" t="s">
        <v>4110</v>
      </c>
      <c r="C1011">
        <v>1</v>
      </c>
      <c r="D1011" t="s">
        <v>1420</v>
      </c>
      <c r="E1011" t="s">
        <v>1421</v>
      </c>
      <c r="F1011" s="122" t="s">
        <v>1422</v>
      </c>
      <c r="G1011" s="122" t="s">
        <v>1423</v>
      </c>
      <c r="H1011" s="122" t="s">
        <v>5039</v>
      </c>
      <c r="I1011">
        <v>31934</v>
      </c>
      <c r="J1011">
        <v>0</v>
      </c>
      <c r="K1011" s="122" t="s">
        <v>5040</v>
      </c>
      <c r="L1011">
        <v>8000</v>
      </c>
    </row>
    <row r="1012" spans="1:12" ht="192" x14ac:dyDescent="0.2">
      <c r="A1012" t="s">
        <v>4967</v>
      </c>
      <c r="B1012" t="s">
        <v>4110</v>
      </c>
      <c r="C1012">
        <v>2</v>
      </c>
      <c r="D1012" t="s">
        <v>1420</v>
      </c>
      <c r="E1012" t="s">
        <v>1421</v>
      </c>
      <c r="F1012" s="122" t="s">
        <v>1425</v>
      </c>
      <c r="G1012" s="122">
        <v>8</v>
      </c>
      <c r="H1012" s="122" t="s">
        <v>5041</v>
      </c>
      <c r="I1012">
        <v>31923</v>
      </c>
      <c r="J1012">
        <v>0</v>
      </c>
      <c r="K1012" s="122" t="s">
        <v>5042</v>
      </c>
      <c r="L1012">
        <v>8000</v>
      </c>
    </row>
    <row r="1013" spans="1:12" ht="128" x14ac:dyDescent="0.2">
      <c r="A1013" t="s">
        <v>4967</v>
      </c>
      <c r="B1013" t="s">
        <v>4110</v>
      </c>
      <c r="C1013">
        <v>3</v>
      </c>
      <c r="D1013" t="s">
        <v>1420</v>
      </c>
      <c r="E1013" t="s">
        <v>1421</v>
      </c>
      <c r="F1013" s="122" t="s">
        <v>1427</v>
      </c>
      <c r="G1013" s="122" t="s">
        <v>1428</v>
      </c>
      <c r="H1013" s="122" t="s">
        <v>5043</v>
      </c>
      <c r="I1013">
        <v>28496</v>
      </c>
      <c r="J1013">
        <v>2</v>
      </c>
      <c r="K1013" s="122" t="s">
        <v>5044</v>
      </c>
      <c r="L1013">
        <v>8000</v>
      </c>
    </row>
    <row r="1014" spans="1:12" ht="80" x14ac:dyDescent="0.2">
      <c r="A1014" t="s">
        <v>4967</v>
      </c>
      <c r="B1014" t="s">
        <v>4110</v>
      </c>
      <c r="C1014">
        <v>4</v>
      </c>
      <c r="D1014" t="s">
        <v>1420</v>
      </c>
      <c r="E1014" t="s">
        <v>1429</v>
      </c>
      <c r="F1014" s="122" t="s">
        <v>1430</v>
      </c>
      <c r="G1014" s="122">
        <v>88</v>
      </c>
      <c r="H1014" s="122" t="s">
        <v>5045</v>
      </c>
      <c r="I1014">
        <v>29451</v>
      </c>
      <c r="J1014">
        <v>2</v>
      </c>
      <c r="K1014" s="122" t="s">
        <v>5046</v>
      </c>
      <c r="L1014">
        <v>8000</v>
      </c>
    </row>
    <row r="1015" spans="1:12" ht="80" x14ac:dyDescent="0.2">
      <c r="A1015" t="s">
        <v>4967</v>
      </c>
      <c r="B1015" t="s">
        <v>4110</v>
      </c>
      <c r="C1015">
        <v>5</v>
      </c>
      <c r="D1015" t="s">
        <v>1420</v>
      </c>
      <c r="E1015" t="s">
        <v>1421</v>
      </c>
      <c r="F1015" s="122" t="s">
        <v>1431</v>
      </c>
      <c r="G1015" s="122" t="s">
        <v>1432</v>
      </c>
      <c r="H1015" s="122" t="s">
        <v>4562</v>
      </c>
      <c r="I1015">
        <v>27738</v>
      </c>
      <c r="J1015">
        <v>3</v>
      </c>
      <c r="K1015" s="122" t="s">
        <v>4976</v>
      </c>
      <c r="L1015">
        <v>8000</v>
      </c>
    </row>
    <row r="1016" spans="1:12" ht="64" x14ac:dyDescent="0.2">
      <c r="A1016" t="s">
        <v>4967</v>
      </c>
      <c r="B1016" t="s">
        <v>4110</v>
      </c>
      <c r="C1016">
        <v>6</v>
      </c>
      <c r="D1016" t="s">
        <v>1433</v>
      </c>
      <c r="E1016" t="s">
        <v>1434</v>
      </c>
      <c r="F1016" s="122" t="s">
        <v>1435</v>
      </c>
      <c r="G1016" s="122" t="s">
        <v>1436</v>
      </c>
      <c r="H1016" s="122" t="s">
        <v>5047</v>
      </c>
      <c r="I1016">
        <v>31889</v>
      </c>
      <c r="J1016">
        <v>3</v>
      </c>
      <c r="K1016" s="122" t="s">
        <v>5048</v>
      </c>
      <c r="L1016">
        <v>8000</v>
      </c>
    </row>
    <row r="1017" spans="1:12" ht="64" x14ac:dyDescent="0.2">
      <c r="A1017" t="s">
        <v>4967</v>
      </c>
      <c r="B1017" t="s">
        <v>4110</v>
      </c>
      <c r="C1017">
        <v>7</v>
      </c>
      <c r="D1017" t="s">
        <v>1433</v>
      </c>
      <c r="E1017" t="s">
        <v>1434</v>
      </c>
      <c r="F1017" s="122" t="s">
        <v>1438</v>
      </c>
      <c r="G1017" s="122" t="s">
        <v>1469</v>
      </c>
      <c r="H1017" s="122" t="s">
        <v>5049</v>
      </c>
      <c r="I1017">
        <v>26064</v>
      </c>
      <c r="J1017">
        <v>0</v>
      </c>
      <c r="K1017" s="122" t="s">
        <v>5050</v>
      </c>
      <c r="L1017">
        <v>8000</v>
      </c>
    </row>
    <row r="1018" spans="1:12" ht="96" x14ac:dyDescent="0.2">
      <c r="A1018" t="s">
        <v>4967</v>
      </c>
      <c r="B1018" t="s">
        <v>4110</v>
      </c>
      <c r="C1018">
        <v>8</v>
      </c>
      <c r="D1018" t="s">
        <v>1433</v>
      </c>
      <c r="E1018" t="s">
        <v>1440</v>
      </c>
      <c r="F1018" s="122" t="s">
        <v>1441</v>
      </c>
      <c r="G1018" s="122" t="s">
        <v>1470</v>
      </c>
      <c r="H1018" s="122" t="s">
        <v>5051</v>
      </c>
      <c r="I1018">
        <v>31856</v>
      </c>
      <c r="J1018">
        <v>3</v>
      </c>
      <c r="K1018" s="122" t="s">
        <v>5052</v>
      </c>
      <c r="L1018">
        <v>8000</v>
      </c>
    </row>
    <row r="1019" spans="1:12" ht="96" x14ac:dyDescent="0.2">
      <c r="A1019" t="s">
        <v>4967</v>
      </c>
      <c r="B1019" t="s">
        <v>4110</v>
      </c>
      <c r="C1019">
        <v>9</v>
      </c>
      <c r="D1019" t="s">
        <v>1433</v>
      </c>
      <c r="E1019" t="s">
        <v>1440</v>
      </c>
      <c r="F1019" s="122" t="s">
        <v>1443</v>
      </c>
      <c r="G1019" s="122" t="s">
        <v>1477</v>
      </c>
      <c r="H1019" s="122" t="s">
        <v>5053</v>
      </c>
      <c r="I1019">
        <v>26225</v>
      </c>
      <c r="J1019">
        <v>0</v>
      </c>
      <c r="K1019" s="122" t="s">
        <v>5054</v>
      </c>
      <c r="L1019">
        <v>8000</v>
      </c>
    </row>
    <row r="1020" spans="1:12" ht="112" x14ac:dyDescent="0.2">
      <c r="A1020" t="s">
        <v>4967</v>
      </c>
      <c r="B1020" t="s">
        <v>4110</v>
      </c>
      <c r="C1020">
        <v>10</v>
      </c>
      <c r="D1020" t="s">
        <v>1433</v>
      </c>
      <c r="E1020" t="s">
        <v>1421</v>
      </c>
      <c r="F1020" s="122" t="s">
        <v>1445</v>
      </c>
      <c r="G1020" s="122" t="s">
        <v>1446</v>
      </c>
      <c r="H1020" s="122" t="s">
        <v>4704</v>
      </c>
      <c r="I1020">
        <v>28942</v>
      </c>
      <c r="J1020">
        <v>3</v>
      </c>
      <c r="K1020" s="122" t="s">
        <v>4705</v>
      </c>
      <c r="L1020">
        <v>8000</v>
      </c>
    </row>
    <row r="1021" spans="1:12" ht="64" x14ac:dyDescent="0.2">
      <c r="A1021" t="s">
        <v>4967</v>
      </c>
      <c r="B1021" t="s">
        <v>4110</v>
      </c>
      <c r="C1021">
        <v>11</v>
      </c>
      <c r="D1021" t="s">
        <v>1433</v>
      </c>
      <c r="E1021" t="s">
        <v>1447</v>
      </c>
      <c r="F1021" s="122" t="s">
        <v>1448</v>
      </c>
      <c r="G1021" s="122" t="s">
        <v>4011</v>
      </c>
      <c r="H1021" s="122" t="s">
        <v>4574</v>
      </c>
      <c r="I1021">
        <v>31899</v>
      </c>
      <c r="J1021">
        <v>3</v>
      </c>
      <c r="K1021" s="122" t="s">
        <v>4575</v>
      </c>
      <c r="L1021">
        <v>8000</v>
      </c>
    </row>
    <row r="1022" spans="1:12" ht="64" x14ac:dyDescent="0.2">
      <c r="A1022" t="s">
        <v>4967</v>
      </c>
      <c r="B1022" t="s">
        <v>4110</v>
      </c>
      <c r="C1022">
        <v>12</v>
      </c>
      <c r="D1022" t="s">
        <v>1433</v>
      </c>
      <c r="E1022" t="s">
        <v>1434</v>
      </c>
      <c r="F1022" s="122" t="s">
        <v>1450</v>
      </c>
      <c r="G1022" s="196">
        <v>16881928.100000001</v>
      </c>
      <c r="H1022" s="122" t="s">
        <v>4128</v>
      </c>
      <c r="I1022">
        <v>29453</v>
      </c>
      <c r="J1022">
        <v>3</v>
      </c>
      <c r="K1022" s="122" t="s">
        <v>5055</v>
      </c>
      <c r="L1022">
        <v>8000</v>
      </c>
    </row>
    <row r="1023" spans="1:12" ht="96" x14ac:dyDescent="0.2">
      <c r="A1023" t="s">
        <v>4967</v>
      </c>
      <c r="B1023" t="s">
        <v>4110</v>
      </c>
      <c r="C1023">
        <v>13</v>
      </c>
      <c r="D1023" t="s">
        <v>1452</v>
      </c>
      <c r="E1023" t="s">
        <v>1453</v>
      </c>
      <c r="F1023" s="122" t="s">
        <v>1454</v>
      </c>
      <c r="G1023" s="122">
        <v>19</v>
      </c>
      <c r="H1023" s="122" t="s">
        <v>5056</v>
      </c>
      <c r="I1023">
        <v>31839</v>
      </c>
      <c r="J1023">
        <v>0</v>
      </c>
      <c r="K1023" s="122" t="s">
        <v>5057</v>
      </c>
      <c r="L1023">
        <v>8000</v>
      </c>
    </row>
    <row r="1024" spans="1:12" ht="48" x14ac:dyDescent="0.2">
      <c r="A1024" t="s">
        <v>4967</v>
      </c>
      <c r="B1024" t="s">
        <v>4110</v>
      </c>
      <c r="C1024">
        <v>14</v>
      </c>
      <c r="D1024" t="s">
        <v>1452</v>
      </c>
      <c r="E1024" t="s">
        <v>1453</v>
      </c>
      <c r="F1024" s="122" t="s">
        <v>1455</v>
      </c>
      <c r="G1024" s="122">
        <v>9</v>
      </c>
      <c r="H1024" s="122" t="s">
        <v>5058</v>
      </c>
    </row>
    <row r="1025" spans="1:12" x14ac:dyDescent="0.2">
      <c r="A1025" t="s">
        <v>2916</v>
      </c>
    </row>
    <row r="1026" spans="1:12" x14ac:dyDescent="0.2">
      <c r="A1026" t="s">
        <v>2917</v>
      </c>
    </row>
    <row r="1027" spans="1:12" x14ac:dyDescent="0.2">
      <c r="A1027" t="s">
        <v>5059</v>
      </c>
      <c r="B1027">
        <v>26917</v>
      </c>
      <c r="C1027">
        <v>2</v>
      </c>
      <c r="D1027" t="s">
        <v>5060</v>
      </c>
      <c r="E1027">
        <v>8000</v>
      </c>
    </row>
    <row r="1028" spans="1:12" ht="64" x14ac:dyDescent="0.2">
      <c r="A1028" t="s">
        <v>4967</v>
      </c>
      <c r="B1028" t="s">
        <v>4110</v>
      </c>
      <c r="C1028">
        <v>15</v>
      </c>
      <c r="D1028" t="s">
        <v>1452</v>
      </c>
      <c r="E1028" t="s">
        <v>1447</v>
      </c>
      <c r="F1028" s="122" t="s">
        <v>1457</v>
      </c>
      <c r="G1028" s="122">
        <v>50</v>
      </c>
      <c r="H1028" s="122">
        <v>24</v>
      </c>
      <c r="I1028">
        <v>31901</v>
      </c>
      <c r="J1028">
        <v>2</v>
      </c>
      <c r="K1028" s="122" t="s">
        <v>5061</v>
      </c>
      <c r="L1028">
        <v>8000</v>
      </c>
    </row>
    <row r="1029" spans="1:12" ht="96" x14ac:dyDescent="0.2">
      <c r="A1029" t="s">
        <v>4967</v>
      </c>
      <c r="B1029" t="s">
        <v>4110</v>
      </c>
      <c r="C1029">
        <v>16</v>
      </c>
      <c r="D1029" t="s">
        <v>1452</v>
      </c>
      <c r="E1029" t="s">
        <v>1434</v>
      </c>
      <c r="F1029" s="122" t="s">
        <v>1458</v>
      </c>
      <c r="G1029" s="122" t="s">
        <v>1497</v>
      </c>
      <c r="H1029" s="122" t="s">
        <v>5062</v>
      </c>
      <c r="I1029">
        <v>29800</v>
      </c>
      <c r="J1029">
        <v>0</v>
      </c>
      <c r="K1029" s="122" t="s">
        <v>5063</v>
      </c>
      <c r="L1029">
        <v>8000</v>
      </c>
    </row>
    <row r="1030" spans="1:12" ht="64" x14ac:dyDescent="0.2">
      <c r="A1030" t="s">
        <v>4967</v>
      </c>
      <c r="B1030" t="s">
        <v>4110</v>
      </c>
      <c r="C1030">
        <v>17</v>
      </c>
      <c r="D1030" t="s">
        <v>1452</v>
      </c>
      <c r="E1030" t="s">
        <v>1421</v>
      </c>
      <c r="F1030" s="122" t="s">
        <v>1460</v>
      </c>
      <c r="G1030" s="122" t="s">
        <v>1500</v>
      </c>
      <c r="H1030" s="122" t="s">
        <v>5064</v>
      </c>
      <c r="I1030">
        <v>29348</v>
      </c>
      <c r="J1030">
        <v>3</v>
      </c>
      <c r="K1030" s="122" t="s">
        <v>5065</v>
      </c>
      <c r="L1030">
        <v>8000</v>
      </c>
    </row>
    <row r="1031" spans="1:12" ht="112" x14ac:dyDescent="0.2">
      <c r="A1031" t="s">
        <v>4967</v>
      </c>
      <c r="B1031" t="s">
        <v>4110</v>
      </c>
      <c r="C1031">
        <v>18</v>
      </c>
      <c r="D1031" t="s">
        <v>1452</v>
      </c>
      <c r="E1031" t="s">
        <v>1440</v>
      </c>
      <c r="F1031" s="122" t="s">
        <v>1462</v>
      </c>
      <c r="G1031" s="122" t="s">
        <v>1502</v>
      </c>
      <c r="H1031" s="122" t="s">
        <v>5066</v>
      </c>
      <c r="I1031">
        <v>31609</v>
      </c>
      <c r="J1031">
        <v>0</v>
      </c>
      <c r="K1031" s="122" t="s">
        <v>3997</v>
      </c>
      <c r="L1031">
        <v>8000</v>
      </c>
    </row>
    <row r="1032" spans="1:12" ht="80" x14ac:dyDescent="0.2">
      <c r="A1032" t="s">
        <v>4967</v>
      </c>
      <c r="B1032" t="s">
        <v>4110</v>
      </c>
      <c r="C1032">
        <v>19</v>
      </c>
      <c r="D1032" t="s">
        <v>1452</v>
      </c>
      <c r="E1032" t="s">
        <v>1464</v>
      </c>
      <c r="F1032" s="122" t="s">
        <v>1465</v>
      </c>
      <c r="G1032" s="122" t="s">
        <v>1503</v>
      </c>
      <c r="H1032" s="122" t="s">
        <v>5067</v>
      </c>
      <c r="I1032">
        <v>29254</v>
      </c>
      <c r="J1032">
        <v>0</v>
      </c>
      <c r="K1032" s="122" t="s">
        <v>5068</v>
      </c>
      <c r="L1032">
        <v>8000</v>
      </c>
    </row>
    <row r="1033" spans="1:12" ht="160" x14ac:dyDescent="0.2">
      <c r="A1033" t="s">
        <v>4967</v>
      </c>
      <c r="B1033" t="s">
        <v>4110</v>
      </c>
      <c r="C1033">
        <v>20</v>
      </c>
      <c r="D1033" t="s">
        <v>1452</v>
      </c>
      <c r="E1033" t="s">
        <v>1464</v>
      </c>
      <c r="F1033" s="122" t="s">
        <v>1467</v>
      </c>
      <c r="G1033" s="122" t="s">
        <v>1513</v>
      </c>
      <c r="H1033" s="122" t="s">
        <v>5069</v>
      </c>
      <c r="I1033">
        <v>31914</v>
      </c>
      <c r="J1033">
        <v>0</v>
      </c>
      <c r="K1033" s="122" t="s">
        <v>5070</v>
      </c>
      <c r="L1033">
        <v>8000</v>
      </c>
    </row>
    <row r="1034" spans="1:12" ht="64" x14ac:dyDescent="0.2">
      <c r="A1034" t="s">
        <v>4967</v>
      </c>
      <c r="B1034" t="s">
        <v>4155</v>
      </c>
      <c r="C1034">
        <v>1</v>
      </c>
      <c r="D1034" t="s">
        <v>1420</v>
      </c>
      <c r="E1034" t="s">
        <v>1421</v>
      </c>
      <c r="F1034" s="122" t="s">
        <v>1422</v>
      </c>
      <c r="G1034" s="122" t="s">
        <v>1423</v>
      </c>
      <c r="H1034" s="122" t="s">
        <v>4600</v>
      </c>
      <c r="I1034">
        <v>31863</v>
      </c>
      <c r="J1034">
        <v>0</v>
      </c>
      <c r="K1034" s="122" t="s">
        <v>4092</v>
      </c>
      <c r="L1034">
        <v>8000</v>
      </c>
    </row>
    <row r="1035" spans="1:12" ht="64" x14ac:dyDescent="0.2">
      <c r="A1035" t="s">
        <v>4967</v>
      </c>
      <c r="B1035" t="s">
        <v>4155</v>
      </c>
      <c r="C1035">
        <v>2</v>
      </c>
      <c r="D1035" t="s">
        <v>1420</v>
      </c>
      <c r="E1035" t="s">
        <v>1421</v>
      </c>
      <c r="F1035" s="122" t="s">
        <v>1425</v>
      </c>
      <c r="G1035" s="122">
        <v>8</v>
      </c>
      <c r="H1035" s="122" t="s">
        <v>5071</v>
      </c>
      <c r="I1035">
        <v>31863</v>
      </c>
      <c r="J1035">
        <v>0</v>
      </c>
      <c r="K1035" s="122" t="s">
        <v>5072</v>
      </c>
      <c r="L1035">
        <v>8000</v>
      </c>
    </row>
    <row r="1036" spans="1:12" ht="96" x14ac:dyDescent="0.2">
      <c r="A1036" t="s">
        <v>4967</v>
      </c>
      <c r="B1036" t="s">
        <v>4155</v>
      </c>
      <c r="C1036">
        <v>3</v>
      </c>
      <c r="D1036" t="s">
        <v>1420</v>
      </c>
      <c r="E1036" t="s">
        <v>1421</v>
      </c>
      <c r="F1036" s="122" t="s">
        <v>1427</v>
      </c>
      <c r="G1036" s="122" t="s">
        <v>1428</v>
      </c>
      <c r="H1036" s="122" t="s">
        <v>5073</v>
      </c>
      <c r="I1036">
        <v>31863</v>
      </c>
      <c r="J1036">
        <v>3</v>
      </c>
      <c r="K1036" s="122" t="s">
        <v>5074</v>
      </c>
      <c r="L1036">
        <v>8000</v>
      </c>
    </row>
    <row r="1037" spans="1:12" ht="64" x14ac:dyDescent="0.2">
      <c r="A1037" t="s">
        <v>4967</v>
      </c>
      <c r="B1037" t="s">
        <v>4155</v>
      </c>
      <c r="C1037">
        <v>4</v>
      </c>
      <c r="D1037" t="s">
        <v>1420</v>
      </c>
      <c r="E1037" t="s">
        <v>1429</v>
      </c>
      <c r="F1037" s="122" t="s">
        <v>1430</v>
      </c>
      <c r="G1037" s="122">
        <v>88</v>
      </c>
      <c r="H1037" s="122" t="s">
        <v>5075</v>
      </c>
      <c r="I1037">
        <v>31863</v>
      </c>
      <c r="J1037">
        <v>0</v>
      </c>
      <c r="K1037" s="122" t="s">
        <v>5076</v>
      </c>
      <c r="L1037">
        <v>8000</v>
      </c>
    </row>
    <row r="1038" spans="1:12" ht="144" x14ac:dyDescent="0.2">
      <c r="A1038" t="s">
        <v>4967</v>
      </c>
      <c r="B1038" t="s">
        <v>4155</v>
      </c>
      <c r="C1038">
        <v>5</v>
      </c>
      <c r="D1038" t="s">
        <v>1420</v>
      </c>
      <c r="E1038" t="s">
        <v>1421</v>
      </c>
      <c r="F1038" s="122" t="s">
        <v>1431</v>
      </c>
      <c r="G1038" s="122" t="s">
        <v>1432</v>
      </c>
      <c r="H1038" s="122" t="s">
        <v>5077</v>
      </c>
      <c r="I1038">
        <v>31863</v>
      </c>
      <c r="J1038">
        <v>3</v>
      </c>
      <c r="K1038" s="122" t="s">
        <v>4751</v>
      </c>
      <c r="L1038">
        <v>8000</v>
      </c>
    </row>
    <row r="1039" spans="1:12" ht="96" x14ac:dyDescent="0.2">
      <c r="A1039" t="s">
        <v>4967</v>
      </c>
      <c r="B1039" t="s">
        <v>4155</v>
      </c>
      <c r="C1039">
        <v>6</v>
      </c>
      <c r="D1039" t="s">
        <v>1433</v>
      </c>
      <c r="E1039" t="s">
        <v>1434</v>
      </c>
      <c r="F1039" s="122" t="s">
        <v>1435</v>
      </c>
      <c r="G1039" s="122" t="s">
        <v>1436</v>
      </c>
      <c r="H1039" s="122" t="s">
        <v>5078</v>
      </c>
      <c r="I1039">
        <v>31863</v>
      </c>
      <c r="J1039">
        <v>0</v>
      </c>
      <c r="K1039" s="122" t="s">
        <v>5079</v>
      </c>
      <c r="L1039">
        <v>8000</v>
      </c>
    </row>
    <row r="1040" spans="1:12" ht="80" x14ac:dyDescent="0.2">
      <c r="A1040" t="s">
        <v>4967</v>
      </c>
      <c r="B1040" t="s">
        <v>4155</v>
      </c>
      <c r="C1040">
        <v>7</v>
      </c>
      <c r="D1040" t="s">
        <v>1433</v>
      </c>
      <c r="E1040" t="s">
        <v>1434</v>
      </c>
      <c r="F1040" s="122" t="s">
        <v>1438</v>
      </c>
      <c r="G1040" s="122" t="s">
        <v>1469</v>
      </c>
      <c r="H1040" s="122" t="s">
        <v>5080</v>
      </c>
      <c r="I1040">
        <v>31863</v>
      </c>
      <c r="J1040">
        <v>0</v>
      </c>
      <c r="K1040" s="122" t="s">
        <v>5081</v>
      </c>
      <c r="L1040">
        <v>8000</v>
      </c>
    </row>
    <row r="1041" spans="1:12" ht="96" x14ac:dyDescent="0.2">
      <c r="A1041" t="s">
        <v>4967</v>
      </c>
      <c r="B1041" t="s">
        <v>4155</v>
      </c>
      <c r="C1041">
        <v>8</v>
      </c>
      <c r="D1041" t="s">
        <v>1433</v>
      </c>
      <c r="E1041" t="s">
        <v>1440</v>
      </c>
      <c r="F1041" s="122" t="s">
        <v>1441</v>
      </c>
      <c r="G1041" s="122" t="s">
        <v>1470</v>
      </c>
      <c r="H1041" s="122" t="s">
        <v>5082</v>
      </c>
      <c r="I1041">
        <v>31863</v>
      </c>
      <c r="J1041">
        <v>0</v>
      </c>
      <c r="K1041" s="122" t="s">
        <v>5083</v>
      </c>
      <c r="L1041">
        <v>8000</v>
      </c>
    </row>
    <row r="1042" spans="1:12" ht="96" x14ac:dyDescent="0.2">
      <c r="A1042" t="s">
        <v>4967</v>
      </c>
      <c r="B1042" t="s">
        <v>4155</v>
      </c>
      <c r="C1042">
        <v>9</v>
      </c>
      <c r="D1042" t="s">
        <v>1433</v>
      </c>
      <c r="E1042" t="s">
        <v>1440</v>
      </c>
      <c r="F1042" s="122" t="s">
        <v>1443</v>
      </c>
      <c r="G1042" s="122" t="s">
        <v>1477</v>
      </c>
      <c r="H1042" s="122" t="s">
        <v>5084</v>
      </c>
      <c r="I1042">
        <v>31863</v>
      </c>
      <c r="J1042">
        <v>0</v>
      </c>
      <c r="K1042" s="122" t="s">
        <v>4514</v>
      </c>
      <c r="L1042">
        <v>8000</v>
      </c>
    </row>
    <row r="1043" spans="1:12" ht="112" x14ac:dyDescent="0.2">
      <c r="A1043" t="s">
        <v>4967</v>
      </c>
      <c r="B1043" t="s">
        <v>4155</v>
      </c>
      <c r="C1043">
        <v>10</v>
      </c>
      <c r="D1043" t="s">
        <v>1433</v>
      </c>
      <c r="E1043" t="s">
        <v>1421</v>
      </c>
      <c r="F1043" s="122" t="s">
        <v>1445</v>
      </c>
      <c r="G1043" s="122" t="s">
        <v>1446</v>
      </c>
      <c r="H1043" s="122" t="s">
        <v>5085</v>
      </c>
      <c r="I1043">
        <v>31863</v>
      </c>
      <c r="J1043">
        <v>0</v>
      </c>
      <c r="K1043" s="122" t="s">
        <v>5086</v>
      </c>
      <c r="L1043">
        <v>8000</v>
      </c>
    </row>
    <row r="1044" spans="1:12" ht="64" x14ac:dyDescent="0.2">
      <c r="A1044" t="s">
        <v>4967</v>
      </c>
      <c r="B1044" t="s">
        <v>4155</v>
      </c>
      <c r="C1044">
        <v>11</v>
      </c>
      <c r="D1044" t="s">
        <v>1433</v>
      </c>
      <c r="E1044" t="s">
        <v>1447</v>
      </c>
      <c r="F1044" s="122" t="s">
        <v>1448</v>
      </c>
      <c r="G1044" s="122" t="s">
        <v>4011</v>
      </c>
      <c r="H1044" s="122" t="s">
        <v>5087</v>
      </c>
      <c r="I1044">
        <v>31863</v>
      </c>
      <c r="J1044">
        <v>2</v>
      </c>
      <c r="K1044" s="122" t="s">
        <v>5088</v>
      </c>
      <c r="L1044">
        <v>8000</v>
      </c>
    </row>
    <row r="1045" spans="1:12" ht="64" x14ac:dyDescent="0.2">
      <c r="A1045" t="s">
        <v>4967</v>
      </c>
      <c r="B1045" t="s">
        <v>4155</v>
      </c>
      <c r="C1045">
        <v>12</v>
      </c>
      <c r="D1045" t="s">
        <v>1433</v>
      </c>
      <c r="E1045" t="s">
        <v>1434</v>
      </c>
      <c r="F1045" s="122" t="s">
        <v>1450</v>
      </c>
      <c r="G1045" s="196">
        <v>16881928.100000001</v>
      </c>
      <c r="H1045" s="122" t="s">
        <v>5089</v>
      </c>
      <c r="I1045">
        <v>31863</v>
      </c>
      <c r="J1045">
        <v>0</v>
      </c>
      <c r="K1045" s="122" t="s">
        <v>5090</v>
      </c>
      <c r="L1045">
        <v>8000</v>
      </c>
    </row>
    <row r="1046" spans="1:12" ht="208" x14ac:dyDescent="0.2">
      <c r="A1046" t="s">
        <v>4967</v>
      </c>
      <c r="B1046" t="s">
        <v>4155</v>
      </c>
      <c r="C1046">
        <v>13</v>
      </c>
      <c r="D1046" t="s">
        <v>1452</v>
      </c>
      <c r="E1046" t="s">
        <v>1453</v>
      </c>
      <c r="F1046" s="122" t="s">
        <v>1454</v>
      </c>
      <c r="G1046" s="122">
        <v>19</v>
      </c>
      <c r="H1046" s="122" t="s">
        <v>5091</v>
      </c>
      <c r="I1046">
        <v>31863</v>
      </c>
      <c r="J1046">
        <v>0</v>
      </c>
      <c r="K1046" s="122" t="s">
        <v>5092</v>
      </c>
      <c r="L1046">
        <v>8000</v>
      </c>
    </row>
    <row r="1047" spans="1:12" ht="64" x14ac:dyDescent="0.2">
      <c r="A1047" t="s">
        <v>4967</v>
      </c>
      <c r="B1047" t="s">
        <v>4155</v>
      </c>
      <c r="C1047">
        <v>14</v>
      </c>
      <c r="D1047" t="s">
        <v>1452</v>
      </c>
      <c r="E1047" t="s">
        <v>1453</v>
      </c>
      <c r="F1047" s="122" t="s">
        <v>1455</v>
      </c>
      <c r="G1047" s="122">
        <v>9</v>
      </c>
      <c r="H1047" s="122" t="s">
        <v>5093</v>
      </c>
      <c r="I1047">
        <v>31863</v>
      </c>
      <c r="J1047">
        <v>2</v>
      </c>
      <c r="K1047" s="122" t="s">
        <v>5094</v>
      </c>
      <c r="L1047">
        <v>8000</v>
      </c>
    </row>
    <row r="1048" spans="1:12" ht="48" x14ac:dyDescent="0.2">
      <c r="A1048" t="s">
        <v>4967</v>
      </c>
      <c r="B1048" t="s">
        <v>4155</v>
      </c>
      <c r="C1048">
        <v>15</v>
      </c>
      <c r="D1048" t="s">
        <v>1452</v>
      </c>
      <c r="E1048" t="s">
        <v>1447</v>
      </c>
      <c r="F1048" s="122" t="s">
        <v>1457</v>
      </c>
      <c r="G1048" s="122">
        <v>50</v>
      </c>
      <c r="H1048" s="122">
        <v>0</v>
      </c>
      <c r="I1048">
        <v>31863</v>
      </c>
      <c r="J1048">
        <v>0</v>
      </c>
      <c r="K1048" s="122" t="s">
        <v>4171</v>
      </c>
      <c r="L1048">
        <v>8000</v>
      </c>
    </row>
    <row r="1049" spans="1:12" ht="112" x14ac:dyDescent="0.2">
      <c r="A1049" t="s">
        <v>4967</v>
      </c>
      <c r="B1049" t="s">
        <v>4155</v>
      </c>
      <c r="C1049">
        <v>16</v>
      </c>
      <c r="D1049" t="s">
        <v>1452</v>
      </c>
      <c r="E1049" t="s">
        <v>1434</v>
      </c>
      <c r="F1049" s="122" t="s">
        <v>1458</v>
      </c>
      <c r="G1049" s="122" t="s">
        <v>1497</v>
      </c>
      <c r="H1049" s="122" t="s">
        <v>5095</v>
      </c>
      <c r="I1049">
        <v>31863</v>
      </c>
      <c r="J1049">
        <v>2</v>
      </c>
      <c r="K1049" s="122" t="s">
        <v>5096</v>
      </c>
      <c r="L1049">
        <v>8000</v>
      </c>
    </row>
    <row r="1050" spans="1:12" ht="80" x14ac:dyDescent="0.2">
      <c r="A1050" t="s">
        <v>4967</v>
      </c>
      <c r="B1050" t="s">
        <v>4155</v>
      </c>
      <c r="C1050">
        <v>17</v>
      </c>
      <c r="D1050" t="s">
        <v>1452</v>
      </c>
      <c r="E1050" t="s">
        <v>1421</v>
      </c>
      <c r="F1050" s="122" t="s">
        <v>1460</v>
      </c>
      <c r="G1050" s="122" t="s">
        <v>1500</v>
      </c>
      <c r="H1050" s="122" t="s">
        <v>5097</v>
      </c>
      <c r="I1050">
        <v>31863</v>
      </c>
      <c r="J1050">
        <v>3</v>
      </c>
      <c r="K1050" s="122" t="s">
        <v>5098</v>
      </c>
      <c r="L1050">
        <v>8000</v>
      </c>
    </row>
    <row r="1051" spans="1:12" ht="64" x14ac:dyDescent="0.2">
      <c r="A1051" t="s">
        <v>4967</v>
      </c>
      <c r="B1051" t="s">
        <v>4155</v>
      </c>
      <c r="C1051">
        <v>18</v>
      </c>
      <c r="D1051" t="s">
        <v>1452</v>
      </c>
      <c r="E1051" t="s">
        <v>1440</v>
      </c>
      <c r="F1051" s="122" t="s">
        <v>1462</v>
      </c>
      <c r="G1051" s="122" t="s">
        <v>1502</v>
      </c>
      <c r="H1051" s="122" t="s">
        <v>4668</v>
      </c>
      <c r="I1051">
        <v>31863</v>
      </c>
      <c r="J1051">
        <v>0</v>
      </c>
      <c r="K1051" s="122" t="s">
        <v>4669</v>
      </c>
      <c r="L1051">
        <v>8000</v>
      </c>
    </row>
    <row r="1052" spans="1:12" ht="64" x14ac:dyDescent="0.2">
      <c r="A1052" t="s">
        <v>4967</v>
      </c>
      <c r="B1052" t="s">
        <v>4155</v>
      </c>
      <c r="C1052">
        <v>19</v>
      </c>
      <c r="D1052" t="s">
        <v>1452</v>
      </c>
      <c r="E1052" t="s">
        <v>1464</v>
      </c>
      <c r="F1052" s="122" t="s">
        <v>1465</v>
      </c>
      <c r="G1052" s="122" t="s">
        <v>1503</v>
      </c>
      <c r="H1052" s="122" t="s">
        <v>5099</v>
      </c>
      <c r="I1052">
        <v>31863</v>
      </c>
      <c r="J1052">
        <v>1</v>
      </c>
      <c r="K1052" s="122" t="s">
        <v>4774</v>
      </c>
      <c r="L1052">
        <v>8000</v>
      </c>
    </row>
    <row r="1053" spans="1:12" ht="128" x14ac:dyDescent="0.2">
      <c r="A1053" t="s">
        <v>4967</v>
      </c>
      <c r="B1053" t="s">
        <v>4155</v>
      </c>
      <c r="C1053">
        <v>20</v>
      </c>
      <c r="D1053" t="s">
        <v>1452</v>
      </c>
      <c r="E1053" t="s">
        <v>1464</v>
      </c>
      <c r="F1053" s="122" t="s">
        <v>1467</v>
      </c>
      <c r="G1053" s="122" t="s">
        <v>1513</v>
      </c>
      <c r="H1053" s="122" t="s">
        <v>5100</v>
      </c>
    </row>
    <row r="1055" spans="1:12" ht="16" x14ac:dyDescent="0.2">
      <c r="A1055" t="s">
        <v>4776</v>
      </c>
      <c r="B1055" t="s">
        <v>4777</v>
      </c>
      <c r="C1055">
        <v>469</v>
      </c>
      <c r="D1055" t="s">
        <v>5101</v>
      </c>
      <c r="E1055">
        <v>663</v>
      </c>
      <c r="F1055" s="122" t="s">
        <v>4378</v>
      </c>
      <c r="G1055" s="122">
        <v>194</v>
      </c>
      <c r="H1055" s="122" t="s">
        <v>5102</v>
      </c>
    </row>
    <row r="1056" spans="1:12" ht="16" x14ac:dyDescent="0.2">
      <c r="A1056" t="s">
        <v>4781</v>
      </c>
      <c r="B1056" t="s">
        <v>4782</v>
      </c>
      <c r="C1056">
        <v>135</v>
      </c>
      <c r="D1056" t="s">
        <v>5103</v>
      </c>
      <c r="E1056">
        <v>614</v>
      </c>
      <c r="F1056" s="122" t="s">
        <v>5104</v>
      </c>
      <c r="G1056" s="122">
        <v>479</v>
      </c>
      <c r="H1056" s="122" t="s">
        <v>5105</v>
      </c>
    </row>
    <row r="1057" spans="1:12" ht="16" x14ac:dyDescent="0.2">
      <c r="A1057" t="s">
        <v>5106</v>
      </c>
      <c r="B1057" t="s">
        <v>5107</v>
      </c>
      <c r="C1057" t="s">
        <v>5108</v>
      </c>
      <c r="D1057">
        <v>837</v>
      </c>
      <c r="E1057" t="s">
        <v>4676</v>
      </c>
      <c r="F1057" s="122">
        <v>571</v>
      </c>
      <c r="G1057" s="122" t="s">
        <v>5109</v>
      </c>
      <c r="H1057" s="122">
        <v>31863</v>
      </c>
      <c r="I1057">
        <v>1</v>
      </c>
      <c r="J1057" t="s">
        <v>4553</v>
      </c>
      <c r="K1057" s="122">
        <v>8000</v>
      </c>
    </row>
    <row r="1058" spans="1:12" ht="96" x14ac:dyDescent="0.2">
      <c r="A1058" t="s">
        <v>4967</v>
      </c>
      <c r="B1058" t="s">
        <v>4184</v>
      </c>
      <c r="C1058">
        <v>1</v>
      </c>
      <c r="D1058" t="s">
        <v>1420</v>
      </c>
      <c r="E1058" t="s">
        <v>1421</v>
      </c>
      <c r="F1058" s="122" t="s">
        <v>1422</v>
      </c>
      <c r="G1058" s="122" t="s">
        <v>1423</v>
      </c>
      <c r="H1058" s="122" t="s">
        <v>5110</v>
      </c>
      <c r="I1058">
        <v>32265</v>
      </c>
      <c r="J1058">
        <v>0</v>
      </c>
      <c r="K1058" s="122" t="s">
        <v>5111</v>
      </c>
      <c r="L1058">
        <v>16000</v>
      </c>
    </row>
    <row r="1059" spans="1:12" ht="64" x14ac:dyDescent="0.2">
      <c r="A1059" t="s">
        <v>4967</v>
      </c>
      <c r="B1059" t="s">
        <v>4184</v>
      </c>
      <c r="C1059">
        <v>2</v>
      </c>
      <c r="D1059" t="s">
        <v>1420</v>
      </c>
      <c r="E1059" t="s">
        <v>1421</v>
      </c>
      <c r="F1059" s="122" t="s">
        <v>1425</v>
      </c>
      <c r="G1059" s="122">
        <v>8</v>
      </c>
      <c r="H1059" s="122" t="s">
        <v>5112</v>
      </c>
      <c r="I1059">
        <v>44203</v>
      </c>
      <c r="J1059">
        <v>2</v>
      </c>
      <c r="K1059" s="122" t="s">
        <v>5113</v>
      </c>
      <c r="L1059">
        <v>16000</v>
      </c>
    </row>
    <row r="1060" spans="1:12" ht="128" x14ac:dyDescent="0.2">
      <c r="A1060" t="s">
        <v>4967</v>
      </c>
      <c r="B1060" t="s">
        <v>4184</v>
      </c>
      <c r="C1060">
        <v>3</v>
      </c>
      <c r="D1060" t="s">
        <v>1420</v>
      </c>
      <c r="E1060" t="s">
        <v>1421</v>
      </c>
      <c r="F1060" s="122" t="s">
        <v>1427</v>
      </c>
      <c r="G1060" s="122" t="s">
        <v>1428</v>
      </c>
      <c r="H1060" s="122" t="s">
        <v>5114</v>
      </c>
      <c r="I1060">
        <v>28496</v>
      </c>
      <c r="J1060">
        <v>0</v>
      </c>
      <c r="K1060" s="122" t="s">
        <v>5115</v>
      </c>
      <c r="L1060">
        <v>16000</v>
      </c>
    </row>
    <row r="1061" spans="1:12" ht="64" x14ac:dyDescent="0.2">
      <c r="A1061" t="s">
        <v>4967</v>
      </c>
      <c r="B1061" t="s">
        <v>4184</v>
      </c>
      <c r="C1061">
        <v>4</v>
      </c>
      <c r="D1061" t="s">
        <v>1420</v>
      </c>
      <c r="E1061" t="s">
        <v>1429</v>
      </c>
      <c r="F1061" s="122" t="s">
        <v>1430</v>
      </c>
      <c r="G1061" s="122">
        <v>88</v>
      </c>
      <c r="H1061" s="122" t="s">
        <v>5116</v>
      </c>
    </row>
    <row r="1063" spans="1:12" x14ac:dyDescent="0.2">
      <c r="A1063" t="s">
        <v>5117</v>
      </c>
      <c r="B1063" t="s">
        <v>5118</v>
      </c>
      <c r="C1063">
        <v>29451</v>
      </c>
      <c r="D1063">
        <v>2</v>
      </c>
      <c r="E1063" t="s">
        <v>5119</v>
      </c>
      <c r="F1063" s="122">
        <v>16000</v>
      </c>
    </row>
    <row r="1064" spans="1:12" ht="48" x14ac:dyDescent="0.2">
      <c r="A1064" t="s">
        <v>4967</v>
      </c>
      <c r="B1064" t="s">
        <v>4184</v>
      </c>
      <c r="C1064">
        <v>5</v>
      </c>
      <c r="D1064" t="s">
        <v>1420</v>
      </c>
      <c r="E1064" t="s">
        <v>1421</v>
      </c>
      <c r="F1064" s="122" t="s">
        <v>1431</v>
      </c>
      <c r="G1064" s="122" t="s">
        <v>1432</v>
      </c>
      <c r="H1064" s="122" t="s">
        <v>4562</v>
      </c>
      <c r="I1064">
        <v>27738</v>
      </c>
      <c r="J1064">
        <v>3</v>
      </c>
      <c r="K1064" s="122" t="s">
        <v>5120</v>
      </c>
      <c r="L1064">
        <v>16000</v>
      </c>
    </row>
    <row r="1065" spans="1:12" ht="64" x14ac:dyDescent="0.2">
      <c r="A1065" t="s">
        <v>4967</v>
      </c>
      <c r="B1065" t="s">
        <v>4184</v>
      </c>
      <c r="C1065">
        <v>6</v>
      </c>
      <c r="D1065" t="s">
        <v>1433</v>
      </c>
      <c r="E1065" t="s">
        <v>1434</v>
      </c>
      <c r="F1065" s="122" t="s">
        <v>1435</v>
      </c>
      <c r="G1065" s="122" t="s">
        <v>1436</v>
      </c>
      <c r="H1065" s="122" t="s">
        <v>5121</v>
      </c>
      <c r="I1065">
        <v>32711</v>
      </c>
      <c r="J1065">
        <v>3</v>
      </c>
      <c r="K1065" s="122" t="s">
        <v>5122</v>
      </c>
      <c r="L1065">
        <v>16000</v>
      </c>
    </row>
    <row r="1066" spans="1:12" ht="64" x14ac:dyDescent="0.2">
      <c r="A1066" t="s">
        <v>4967</v>
      </c>
      <c r="B1066" t="s">
        <v>4184</v>
      </c>
      <c r="C1066">
        <v>7</v>
      </c>
      <c r="D1066" t="s">
        <v>1433</v>
      </c>
      <c r="E1066" t="s">
        <v>1434</v>
      </c>
      <c r="F1066" s="122" t="s">
        <v>1438</v>
      </c>
      <c r="G1066" s="122" t="s">
        <v>1469</v>
      </c>
      <c r="H1066" s="122" t="s">
        <v>4979</v>
      </c>
      <c r="I1066">
        <v>26064</v>
      </c>
      <c r="J1066">
        <v>0</v>
      </c>
      <c r="K1066" s="122" t="s">
        <v>4980</v>
      </c>
      <c r="L1066">
        <v>16000</v>
      </c>
    </row>
    <row r="1067" spans="1:12" ht="144" x14ac:dyDescent="0.2">
      <c r="A1067" t="s">
        <v>4967</v>
      </c>
      <c r="B1067" t="s">
        <v>4184</v>
      </c>
      <c r="C1067">
        <v>8</v>
      </c>
      <c r="D1067" t="s">
        <v>1433</v>
      </c>
      <c r="E1067" t="s">
        <v>1440</v>
      </c>
      <c r="F1067" s="122" t="s">
        <v>1441</v>
      </c>
      <c r="G1067" s="122" t="s">
        <v>1470</v>
      </c>
      <c r="H1067" s="122" t="s">
        <v>5123</v>
      </c>
      <c r="I1067">
        <v>41486</v>
      </c>
      <c r="J1067">
        <v>3</v>
      </c>
      <c r="K1067" s="122" t="s">
        <v>4123</v>
      </c>
      <c r="L1067">
        <v>16000</v>
      </c>
    </row>
    <row r="1068" spans="1:12" ht="64" x14ac:dyDescent="0.2">
      <c r="A1068" t="s">
        <v>4967</v>
      </c>
      <c r="B1068" t="s">
        <v>4184</v>
      </c>
      <c r="C1068">
        <v>9</v>
      </c>
      <c r="D1068" t="s">
        <v>1433</v>
      </c>
      <c r="E1068" t="s">
        <v>1440</v>
      </c>
      <c r="F1068" s="122" t="s">
        <v>1443</v>
      </c>
      <c r="G1068" s="122" t="s">
        <v>1477</v>
      </c>
      <c r="H1068" s="122" t="s">
        <v>5124</v>
      </c>
      <c r="I1068">
        <v>26225</v>
      </c>
      <c r="J1068">
        <v>0</v>
      </c>
      <c r="K1068" s="122" t="s">
        <v>5125</v>
      </c>
      <c r="L1068">
        <v>16000</v>
      </c>
    </row>
    <row r="1069" spans="1:12" ht="112" x14ac:dyDescent="0.2">
      <c r="A1069" t="s">
        <v>4967</v>
      </c>
      <c r="B1069" t="s">
        <v>4184</v>
      </c>
      <c r="C1069">
        <v>10</v>
      </c>
      <c r="D1069" t="s">
        <v>1433</v>
      </c>
      <c r="E1069" t="s">
        <v>1421</v>
      </c>
      <c r="F1069" s="122" t="s">
        <v>1445</v>
      </c>
      <c r="G1069" s="122" t="s">
        <v>1446</v>
      </c>
      <c r="H1069" s="122" t="s">
        <v>4704</v>
      </c>
      <c r="I1069">
        <v>28942</v>
      </c>
      <c r="J1069">
        <v>3</v>
      </c>
      <c r="K1069" s="122" t="s">
        <v>4705</v>
      </c>
      <c r="L1069">
        <v>16000</v>
      </c>
    </row>
    <row r="1070" spans="1:12" ht="64" x14ac:dyDescent="0.2">
      <c r="A1070" t="s">
        <v>4967</v>
      </c>
      <c r="B1070" t="s">
        <v>4184</v>
      </c>
      <c r="C1070">
        <v>11</v>
      </c>
      <c r="D1070" t="s">
        <v>1433</v>
      </c>
      <c r="E1070" t="s">
        <v>1447</v>
      </c>
      <c r="F1070" s="122" t="s">
        <v>1448</v>
      </c>
      <c r="G1070" s="122" t="s">
        <v>4011</v>
      </c>
      <c r="H1070" s="122" t="s">
        <v>5126</v>
      </c>
      <c r="I1070">
        <v>34521</v>
      </c>
      <c r="J1070">
        <v>3</v>
      </c>
      <c r="K1070" s="122" t="s">
        <v>4575</v>
      </c>
      <c r="L1070">
        <v>16000</v>
      </c>
    </row>
    <row r="1071" spans="1:12" ht="64" x14ac:dyDescent="0.2">
      <c r="A1071" t="s">
        <v>4967</v>
      </c>
      <c r="B1071" t="s">
        <v>4184</v>
      </c>
      <c r="C1071">
        <v>12</v>
      </c>
      <c r="D1071" t="s">
        <v>1433</v>
      </c>
      <c r="E1071" t="s">
        <v>1434</v>
      </c>
      <c r="F1071" s="122" t="s">
        <v>1450</v>
      </c>
      <c r="G1071" s="196">
        <v>16881928.100000001</v>
      </c>
      <c r="H1071" s="122" t="s">
        <v>4576</v>
      </c>
      <c r="I1071">
        <v>29453</v>
      </c>
      <c r="J1071">
        <v>3</v>
      </c>
      <c r="K1071" s="122" t="s">
        <v>5127</v>
      </c>
      <c r="L1071">
        <v>16000</v>
      </c>
    </row>
    <row r="1072" spans="1:12" ht="64" x14ac:dyDescent="0.2">
      <c r="A1072" t="s">
        <v>4967</v>
      </c>
      <c r="B1072" t="s">
        <v>4184</v>
      </c>
      <c r="C1072">
        <v>13</v>
      </c>
      <c r="D1072" t="s">
        <v>1452</v>
      </c>
      <c r="E1072" t="s">
        <v>1453</v>
      </c>
      <c r="F1072" s="122" t="s">
        <v>1454</v>
      </c>
      <c r="G1072" s="122">
        <v>19</v>
      </c>
      <c r="H1072" s="122" t="s">
        <v>5128</v>
      </c>
      <c r="I1072">
        <v>33104</v>
      </c>
      <c r="J1072">
        <v>0</v>
      </c>
      <c r="K1072" s="122" t="s">
        <v>4892</v>
      </c>
      <c r="L1072">
        <v>16000</v>
      </c>
    </row>
    <row r="1073" spans="1:12" ht="48" x14ac:dyDescent="0.2">
      <c r="A1073" t="s">
        <v>4967</v>
      </c>
      <c r="B1073" t="s">
        <v>4184</v>
      </c>
      <c r="C1073">
        <v>14</v>
      </c>
      <c r="D1073" t="s">
        <v>1452</v>
      </c>
      <c r="E1073" t="s">
        <v>1453</v>
      </c>
      <c r="F1073" s="122" t="s">
        <v>1455</v>
      </c>
      <c r="G1073" s="122">
        <v>9</v>
      </c>
      <c r="H1073" s="122" t="s">
        <v>5129</v>
      </c>
    </row>
    <row r="1075" spans="1:12" x14ac:dyDescent="0.2">
      <c r="A1075" t="s">
        <v>3030</v>
      </c>
    </row>
    <row r="1076" spans="1:12" x14ac:dyDescent="0.2">
      <c r="A1076" t="s">
        <v>3031</v>
      </c>
    </row>
    <row r="1077" spans="1:12" x14ac:dyDescent="0.2">
      <c r="A1077" t="s">
        <v>5130</v>
      </c>
      <c r="B1077">
        <v>26917</v>
      </c>
      <c r="C1077">
        <v>0</v>
      </c>
      <c r="D1077" t="s">
        <v>5131</v>
      </c>
      <c r="E1077">
        <v>16000</v>
      </c>
    </row>
    <row r="1078" spans="1:12" ht="48" x14ac:dyDescent="0.2">
      <c r="A1078" t="s">
        <v>4967</v>
      </c>
      <c r="B1078" t="s">
        <v>4184</v>
      </c>
      <c r="C1078">
        <v>15</v>
      </c>
      <c r="D1078" t="s">
        <v>1452</v>
      </c>
      <c r="E1078" t="s">
        <v>1447</v>
      </c>
      <c r="F1078" s="122" t="s">
        <v>1457</v>
      </c>
      <c r="G1078" s="122">
        <v>50</v>
      </c>
      <c r="H1078" s="122">
        <v>27</v>
      </c>
      <c r="I1078">
        <v>34915</v>
      </c>
      <c r="J1078">
        <v>0</v>
      </c>
      <c r="K1078" s="122" t="s">
        <v>5132</v>
      </c>
      <c r="L1078">
        <v>16000</v>
      </c>
    </row>
    <row r="1079" spans="1:12" ht="80" x14ac:dyDescent="0.2">
      <c r="A1079" t="s">
        <v>4967</v>
      </c>
      <c r="B1079" t="s">
        <v>4184</v>
      </c>
      <c r="C1079">
        <v>16</v>
      </c>
      <c r="D1079" t="s">
        <v>1452</v>
      </c>
      <c r="E1079" t="s">
        <v>1434</v>
      </c>
      <c r="F1079" s="122" t="s">
        <v>1458</v>
      </c>
      <c r="G1079" s="122" t="s">
        <v>1497</v>
      </c>
      <c r="H1079" s="122" t="s">
        <v>5133</v>
      </c>
      <c r="I1079">
        <v>29800</v>
      </c>
      <c r="J1079">
        <v>0</v>
      </c>
      <c r="K1079" s="122" t="s">
        <v>5134</v>
      </c>
      <c r="L1079">
        <v>16000</v>
      </c>
    </row>
    <row r="1080" spans="1:12" ht="80" x14ac:dyDescent="0.2">
      <c r="A1080" t="s">
        <v>4967</v>
      </c>
      <c r="B1080" t="s">
        <v>4184</v>
      </c>
      <c r="C1080">
        <v>17</v>
      </c>
      <c r="D1080" t="s">
        <v>1452</v>
      </c>
      <c r="E1080" t="s">
        <v>1421</v>
      </c>
      <c r="F1080" s="122" t="s">
        <v>1460</v>
      </c>
      <c r="G1080" s="122" t="s">
        <v>1500</v>
      </c>
      <c r="H1080" s="122" t="s">
        <v>5135</v>
      </c>
      <c r="I1080">
        <v>29348</v>
      </c>
      <c r="J1080">
        <v>2</v>
      </c>
      <c r="K1080" s="122" t="s">
        <v>5136</v>
      </c>
      <c r="L1080">
        <v>16000</v>
      </c>
    </row>
    <row r="1081" spans="1:12" ht="160" x14ac:dyDescent="0.2">
      <c r="A1081" t="s">
        <v>4967</v>
      </c>
      <c r="B1081" t="s">
        <v>4184</v>
      </c>
      <c r="C1081">
        <v>18</v>
      </c>
      <c r="D1081" t="s">
        <v>1452</v>
      </c>
      <c r="E1081" t="s">
        <v>1440</v>
      </c>
      <c r="F1081" s="122" t="s">
        <v>1462</v>
      </c>
      <c r="G1081" s="122" t="s">
        <v>1502</v>
      </c>
      <c r="H1081" s="122" t="s">
        <v>5137</v>
      </c>
    </row>
    <row r="1083" spans="1:12" x14ac:dyDescent="0.2">
      <c r="A1083" t="s">
        <v>5138</v>
      </c>
      <c r="B1083">
        <v>31609</v>
      </c>
      <c r="C1083">
        <v>0</v>
      </c>
      <c r="D1083" t="s">
        <v>5139</v>
      </c>
      <c r="E1083">
        <v>16000</v>
      </c>
    </row>
    <row r="1084" spans="1:12" ht="80" x14ac:dyDescent="0.2">
      <c r="A1084" t="s">
        <v>4967</v>
      </c>
      <c r="B1084" t="s">
        <v>4184</v>
      </c>
      <c r="C1084">
        <v>19</v>
      </c>
      <c r="D1084" t="s">
        <v>1452</v>
      </c>
      <c r="E1084" t="s">
        <v>1464</v>
      </c>
      <c r="F1084" s="122" t="s">
        <v>1465</v>
      </c>
      <c r="G1084" s="122" t="s">
        <v>1503</v>
      </c>
      <c r="H1084" s="122" t="s">
        <v>5067</v>
      </c>
      <c r="I1084">
        <v>29254</v>
      </c>
      <c r="J1084">
        <v>0</v>
      </c>
      <c r="K1084" s="122" t="s">
        <v>5068</v>
      </c>
      <c r="L1084">
        <v>16000</v>
      </c>
    </row>
    <row r="1085" spans="1:12" ht="128" x14ac:dyDescent="0.2">
      <c r="A1085" t="s">
        <v>4967</v>
      </c>
      <c r="B1085" t="s">
        <v>4184</v>
      </c>
      <c r="C1085">
        <v>20</v>
      </c>
      <c r="D1085" t="s">
        <v>1452</v>
      </c>
      <c r="E1085" t="s">
        <v>1464</v>
      </c>
      <c r="F1085" s="122" t="s">
        <v>1467</v>
      </c>
      <c r="G1085" s="122" t="s">
        <v>1513</v>
      </c>
      <c r="H1085" s="122" t="s">
        <v>5140</v>
      </c>
    </row>
    <row r="1086" spans="1:12" x14ac:dyDescent="0.2">
      <c r="A1086" t="s">
        <v>5141</v>
      </c>
      <c r="B1086" t="s">
        <v>4220</v>
      </c>
      <c r="C1086" t="s">
        <v>4221</v>
      </c>
      <c r="D1086" t="s">
        <v>4222</v>
      </c>
    </row>
    <row r="1087" spans="1:12" x14ac:dyDescent="0.2">
      <c r="A1087" t="s">
        <v>5142</v>
      </c>
      <c r="B1087" t="s">
        <v>4224</v>
      </c>
      <c r="C1087" t="s">
        <v>4225</v>
      </c>
    </row>
    <row r="1088" spans="1:12" ht="64" x14ac:dyDescent="0.2">
      <c r="A1088" t="s">
        <v>5143</v>
      </c>
      <c r="B1088" t="s">
        <v>4227</v>
      </c>
      <c r="C1088" t="s">
        <v>4228</v>
      </c>
      <c r="D1088">
        <v>33951</v>
      </c>
      <c r="E1088">
        <v>0</v>
      </c>
      <c r="F1088" s="122" t="s">
        <v>5144</v>
      </c>
      <c r="G1088" s="122">
        <v>16000</v>
      </c>
    </row>
    <row r="1089" spans="1:12" ht="48" x14ac:dyDescent="0.2">
      <c r="A1089" t="s">
        <v>4967</v>
      </c>
      <c r="B1089" t="s">
        <v>4230</v>
      </c>
      <c r="C1089">
        <v>1</v>
      </c>
      <c r="D1089" t="s">
        <v>1420</v>
      </c>
      <c r="E1089" t="s">
        <v>1421</v>
      </c>
      <c r="F1089" s="122" t="s">
        <v>1422</v>
      </c>
      <c r="G1089" s="122" t="s">
        <v>1423</v>
      </c>
      <c r="H1089" s="122" t="s">
        <v>5145</v>
      </c>
      <c r="I1089">
        <v>63940</v>
      </c>
      <c r="J1089">
        <v>3</v>
      </c>
      <c r="K1089" s="122" t="s">
        <v>5146</v>
      </c>
      <c r="L1089">
        <v>16000</v>
      </c>
    </row>
    <row r="1090" spans="1:12" ht="48" x14ac:dyDescent="0.2">
      <c r="A1090" t="s">
        <v>4967</v>
      </c>
      <c r="B1090" t="s">
        <v>4230</v>
      </c>
      <c r="C1090">
        <v>2</v>
      </c>
      <c r="D1090" t="s">
        <v>1420</v>
      </c>
      <c r="E1090" t="s">
        <v>1421</v>
      </c>
      <c r="F1090" s="122" t="s">
        <v>1425</v>
      </c>
      <c r="G1090" s="122">
        <v>8</v>
      </c>
      <c r="H1090" s="122">
        <v>7</v>
      </c>
      <c r="I1090">
        <v>63940</v>
      </c>
      <c r="J1090">
        <v>2</v>
      </c>
      <c r="K1090" s="122" t="s">
        <v>5147</v>
      </c>
      <c r="L1090">
        <v>16000</v>
      </c>
    </row>
    <row r="1091" spans="1:12" ht="112" x14ac:dyDescent="0.2">
      <c r="A1091" t="s">
        <v>4967</v>
      </c>
      <c r="B1091" t="s">
        <v>4230</v>
      </c>
      <c r="C1091">
        <v>3</v>
      </c>
      <c r="D1091" t="s">
        <v>1420</v>
      </c>
      <c r="E1091" t="s">
        <v>1421</v>
      </c>
      <c r="F1091" s="122" t="s">
        <v>1427</v>
      </c>
      <c r="G1091" s="122" t="s">
        <v>1428</v>
      </c>
      <c r="H1091" s="122" t="s">
        <v>5148</v>
      </c>
      <c r="I1091">
        <v>63940</v>
      </c>
      <c r="J1091">
        <v>3</v>
      </c>
      <c r="K1091" s="122" t="s">
        <v>4408</v>
      </c>
      <c r="L1091">
        <v>16000</v>
      </c>
    </row>
    <row r="1092" spans="1:12" ht="64" x14ac:dyDescent="0.2">
      <c r="A1092" t="s">
        <v>4967</v>
      </c>
      <c r="B1092" t="s">
        <v>4230</v>
      </c>
      <c r="C1092">
        <v>4</v>
      </c>
      <c r="D1092" t="s">
        <v>1420</v>
      </c>
      <c r="E1092" t="s">
        <v>1429</v>
      </c>
      <c r="F1092" s="122" t="s">
        <v>1430</v>
      </c>
      <c r="G1092" s="122">
        <v>88</v>
      </c>
      <c r="H1092" s="122">
        <v>24</v>
      </c>
      <c r="I1092">
        <v>63940</v>
      </c>
      <c r="J1092">
        <v>2</v>
      </c>
      <c r="K1092" s="122" t="s">
        <v>5149</v>
      </c>
      <c r="L1092">
        <v>16000</v>
      </c>
    </row>
    <row r="1093" spans="1:12" ht="48" x14ac:dyDescent="0.2">
      <c r="A1093" t="s">
        <v>4967</v>
      </c>
      <c r="B1093" t="s">
        <v>4230</v>
      </c>
      <c r="C1093">
        <v>5</v>
      </c>
      <c r="D1093" t="s">
        <v>1420</v>
      </c>
      <c r="E1093" t="s">
        <v>1421</v>
      </c>
      <c r="F1093" s="122" t="s">
        <v>1431</v>
      </c>
      <c r="G1093" s="122" t="s">
        <v>1432</v>
      </c>
      <c r="H1093" s="122" t="s">
        <v>1432</v>
      </c>
      <c r="I1093">
        <v>63940</v>
      </c>
      <c r="J1093">
        <v>3</v>
      </c>
      <c r="K1093" s="122" t="s">
        <v>5150</v>
      </c>
      <c r="L1093">
        <v>16000</v>
      </c>
    </row>
    <row r="1094" spans="1:12" ht="48" x14ac:dyDescent="0.2">
      <c r="A1094" t="s">
        <v>4967</v>
      </c>
      <c r="B1094" t="s">
        <v>4230</v>
      </c>
      <c r="C1094">
        <v>6</v>
      </c>
      <c r="D1094" t="s">
        <v>1433</v>
      </c>
      <c r="E1094" t="s">
        <v>1434</v>
      </c>
      <c r="F1094" s="122" t="s">
        <v>1435</v>
      </c>
      <c r="G1094" s="122" t="s">
        <v>1436</v>
      </c>
      <c r="H1094" s="122" t="s">
        <v>5151</v>
      </c>
      <c r="I1094">
        <v>63940</v>
      </c>
      <c r="J1094">
        <v>2</v>
      </c>
      <c r="K1094" s="122" t="s">
        <v>5152</v>
      </c>
      <c r="L1094">
        <v>16000</v>
      </c>
    </row>
    <row r="1095" spans="1:12" ht="64" x14ac:dyDescent="0.2">
      <c r="A1095" t="s">
        <v>4967</v>
      </c>
      <c r="B1095" t="s">
        <v>4230</v>
      </c>
      <c r="C1095">
        <v>7</v>
      </c>
      <c r="D1095" t="s">
        <v>1433</v>
      </c>
      <c r="E1095" t="s">
        <v>1434</v>
      </c>
      <c r="F1095" s="122" t="s">
        <v>1438</v>
      </c>
      <c r="G1095" s="122" t="s">
        <v>1469</v>
      </c>
      <c r="H1095" s="122" t="s">
        <v>5153</v>
      </c>
      <c r="I1095">
        <v>63940</v>
      </c>
      <c r="J1095">
        <v>2</v>
      </c>
      <c r="K1095" s="122" t="s">
        <v>5154</v>
      </c>
      <c r="L1095">
        <v>16000</v>
      </c>
    </row>
    <row r="1096" spans="1:12" ht="64" x14ac:dyDescent="0.2">
      <c r="A1096" t="s">
        <v>4967</v>
      </c>
      <c r="B1096" t="s">
        <v>4230</v>
      </c>
      <c r="C1096">
        <v>8</v>
      </c>
      <c r="D1096" t="s">
        <v>1433</v>
      </c>
      <c r="E1096" t="s">
        <v>1440</v>
      </c>
      <c r="F1096" s="122" t="s">
        <v>1441</v>
      </c>
      <c r="G1096" s="122" t="s">
        <v>1470</v>
      </c>
      <c r="H1096" s="122" t="s">
        <v>5155</v>
      </c>
    </row>
    <row r="1098" spans="1:12" x14ac:dyDescent="0.2">
      <c r="A1098" t="s">
        <v>5156</v>
      </c>
      <c r="B1098">
        <v>412</v>
      </c>
      <c r="C1098" t="s">
        <v>5157</v>
      </c>
    </row>
    <row r="1099" spans="1:12" ht="48" x14ac:dyDescent="0.2">
      <c r="A1099" t="s">
        <v>5158</v>
      </c>
      <c r="B1099">
        <v>246</v>
      </c>
      <c r="C1099" t="s">
        <v>5159</v>
      </c>
      <c r="D1099">
        <v>63940</v>
      </c>
      <c r="E1099">
        <v>2</v>
      </c>
      <c r="F1099" s="122" t="s">
        <v>5160</v>
      </c>
      <c r="G1099" s="122">
        <v>16000</v>
      </c>
    </row>
    <row r="1100" spans="1:12" ht="409.6" x14ac:dyDescent="0.2">
      <c r="A1100" t="s">
        <v>4967</v>
      </c>
      <c r="B1100" t="s">
        <v>4230</v>
      </c>
      <c r="C1100">
        <v>9</v>
      </c>
      <c r="D1100" t="s">
        <v>1433</v>
      </c>
      <c r="E1100" t="s">
        <v>1440</v>
      </c>
      <c r="F1100" s="122" t="s">
        <v>1443</v>
      </c>
      <c r="G1100" s="122" t="s">
        <v>1477</v>
      </c>
      <c r="H1100" s="122" t="s">
        <v>5161</v>
      </c>
      <c r="I1100">
        <v>63940</v>
      </c>
      <c r="J1100">
        <v>0</v>
      </c>
      <c r="K1100" s="122" t="s">
        <v>5162</v>
      </c>
      <c r="L1100">
        <v>16000</v>
      </c>
    </row>
    <row r="1101" spans="1:12" ht="112" x14ac:dyDescent="0.2">
      <c r="A1101" t="s">
        <v>4967</v>
      </c>
      <c r="B1101" t="s">
        <v>4230</v>
      </c>
      <c r="C1101">
        <v>10</v>
      </c>
      <c r="D1101" t="s">
        <v>1433</v>
      </c>
      <c r="E1101" t="s">
        <v>1421</v>
      </c>
      <c r="F1101" s="122" t="s">
        <v>1445</v>
      </c>
      <c r="G1101" s="122" t="s">
        <v>1446</v>
      </c>
      <c r="H1101" s="122" t="s">
        <v>5163</v>
      </c>
      <c r="I1101">
        <v>63940</v>
      </c>
      <c r="J1101">
        <v>3</v>
      </c>
      <c r="K1101" s="122" t="s">
        <v>5164</v>
      </c>
      <c r="L1101">
        <v>16000</v>
      </c>
    </row>
    <row r="1102" spans="1:12" ht="64" x14ac:dyDescent="0.2">
      <c r="A1102" t="s">
        <v>4967</v>
      </c>
      <c r="B1102" t="s">
        <v>4230</v>
      </c>
      <c r="C1102">
        <v>11</v>
      </c>
      <c r="D1102" t="s">
        <v>1433</v>
      </c>
      <c r="E1102" t="s">
        <v>1447</v>
      </c>
      <c r="F1102" s="122" t="s">
        <v>1448</v>
      </c>
      <c r="G1102" s="122" t="s">
        <v>4011</v>
      </c>
      <c r="H1102" s="122" t="s">
        <v>5165</v>
      </c>
      <c r="I1102">
        <v>63940</v>
      </c>
      <c r="J1102">
        <v>0</v>
      </c>
      <c r="K1102" s="122" t="s">
        <v>5019</v>
      </c>
      <c r="L1102">
        <v>16000</v>
      </c>
    </row>
    <row r="1103" spans="1:12" ht="64" x14ac:dyDescent="0.2">
      <c r="A1103" t="s">
        <v>4967</v>
      </c>
      <c r="B1103" t="s">
        <v>4230</v>
      </c>
      <c r="C1103">
        <v>12</v>
      </c>
      <c r="D1103" t="s">
        <v>1433</v>
      </c>
      <c r="E1103" t="s">
        <v>1434</v>
      </c>
      <c r="F1103" s="122" t="s">
        <v>1450</v>
      </c>
      <c r="G1103" s="196">
        <v>16881928.100000001</v>
      </c>
      <c r="H1103" s="122" t="s">
        <v>5020</v>
      </c>
      <c r="I1103">
        <v>63940</v>
      </c>
      <c r="J1103">
        <v>0</v>
      </c>
      <c r="K1103" s="122" t="s">
        <v>5021</v>
      </c>
      <c r="L1103">
        <v>16000</v>
      </c>
    </row>
    <row r="1104" spans="1:12" ht="48" x14ac:dyDescent="0.2">
      <c r="A1104" t="s">
        <v>4967</v>
      </c>
      <c r="B1104" t="s">
        <v>4230</v>
      </c>
      <c r="C1104">
        <v>13</v>
      </c>
      <c r="D1104" t="s">
        <v>1452</v>
      </c>
      <c r="E1104" t="s">
        <v>1453</v>
      </c>
      <c r="F1104" s="122" t="s">
        <v>1454</v>
      </c>
      <c r="G1104" s="122">
        <v>19</v>
      </c>
      <c r="H1104" s="122">
        <v>8</v>
      </c>
      <c r="I1104">
        <v>63940</v>
      </c>
      <c r="J1104">
        <v>0</v>
      </c>
      <c r="K1104" s="122" t="s">
        <v>5166</v>
      </c>
      <c r="L1104">
        <v>16000</v>
      </c>
    </row>
    <row r="1105" spans="1:12" ht="48" x14ac:dyDescent="0.2">
      <c r="A1105" t="s">
        <v>4967</v>
      </c>
      <c r="B1105" t="s">
        <v>4230</v>
      </c>
      <c r="C1105">
        <v>14</v>
      </c>
      <c r="D1105" t="s">
        <v>1452</v>
      </c>
      <c r="E1105" t="s">
        <v>1453</v>
      </c>
      <c r="F1105" s="122" t="s">
        <v>1455</v>
      </c>
      <c r="G1105" s="122">
        <v>9</v>
      </c>
      <c r="H1105" s="122">
        <v>0</v>
      </c>
      <c r="I1105">
        <v>63940</v>
      </c>
      <c r="J1105">
        <v>0</v>
      </c>
      <c r="K1105" s="122" t="s">
        <v>4095</v>
      </c>
      <c r="L1105">
        <v>16000</v>
      </c>
    </row>
    <row r="1106" spans="1:12" ht="128" x14ac:dyDescent="0.2">
      <c r="A1106" t="s">
        <v>4967</v>
      </c>
      <c r="B1106" t="s">
        <v>4230</v>
      </c>
      <c r="C1106">
        <v>15</v>
      </c>
      <c r="D1106" t="s">
        <v>1452</v>
      </c>
      <c r="E1106" t="s">
        <v>1447</v>
      </c>
      <c r="F1106" s="122" t="s">
        <v>1457</v>
      </c>
      <c r="G1106" s="122">
        <v>50</v>
      </c>
      <c r="H1106" s="122" t="s">
        <v>5167</v>
      </c>
      <c r="I1106">
        <v>63940</v>
      </c>
      <c r="J1106">
        <v>0</v>
      </c>
      <c r="K1106" s="122" t="s">
        <v>5168</v>
      </c>
      <c r="L1106">
        <v>16000</v>
      </c>
    </row>
    <row r="1107" spans="1:12" ht="64" x14ac:dyDescent="0.2">
      <c r="A1107" t="s">
        <v>4967</v>
      </c>
      <c r="B1107" t="s">
        <v>4230</v>
      </c>
      <c r="C1107">
        <v>16</v>
      </c>
      <c r="D1107" t="s">
        <v>1452</v>
      </c>
      <c r="E1107" t="s">
        <v>1434</v>
      </c>
      <c r="F1107" s="122" t="s">
        <v>1458</v>
      </c>
      <c r="G1107" s="122" t="s">
        <v>1497</v>
      </c>
      <c r="H1107" s="197">
        <v>0.31459999999999999</v>
      </c>
      <c r="I1107">
        <v>63940</v>
      </c>
      <c r="J1107">
        <v>2</v>
      </c>
      <c r="K1107" s="122" t="s">
        <v>5169</v>
      </c>
      <c r="L1107">
        <v>16000</v>
      </c>
    </row>
    <row r="1108" spans="1:12" ht="96" x14ac:dyDescent="0.2">
      <c r="A1108" t="s">
        <v>4967</v>
      </c>
      <c r="B1108" t="s">
        <v>4230</v>
      </c>
      <c r="C1108">
        <v>17</v>
      </c>
      <c r="D1108" t="s">
        <v>1452</v>
      </c>
      <c r="E1108" t="s">
        <v>1421</v>
      </c>
      <c r="F1108" s="122" t="s">
        <v>1460</v>
      </c>
      <c r="G1108" s="122" t="s">
        <v>1500</v>
      </c>
      <c r="H1108" s="122" t="s">
        <v>5170</v>
      </c>
      <c r="I1108">
        <v>63940</v>
      </c>
      <c r="J1108">
        <v>0</v>
      </c>
      <c r="K1108" s="122" t="s">
        <v>5171</v>
      </c>
      <c r="L1108">
        <v>16000</v>
      </c>
    </row>
    <row r="1109" spans="1:12" ht="96" x14ac:dyDescent="0.2">
      <c r="A1109" t="s">
        <v>4967</v>
      </c>
      <c r="B1109" t="s">
        <v>4230</v>
      </c>
      <c r="C1109">
        <v>18</v>
      </c>
      <c r="D1109" t="s">
        <v>1452</v>
      </c>
      <c r="E1109" t="s">
        <v>1440</v>
      </c>
      <c r="F1109" s="122" t="s">
        <v>1462</v>
      </c>
      <c r="G1109" s="122" t="s">
        <v>1502</v>
      </c>
      <c r="H1109" s="122" t="s">
        <v>5172</v>
      </c>
      <c r="I1109">
        <v>63940</v>
      </c>
      <c r="J1109">
        <v>0</v>
      </c>
      <c r="K1109" s="122" t="s">
        <v>5173</v>
      </c>
      <c r="L1109">
        <v>16000</v>
      </c>
    </row>
    <row r="1110" spans="1:12" ht="64" x14ac:dyDescent="0.2">
      <c r="A1110" t="s">
        <v>4967</v>
      </c>
      <c r="B1110" t="s">
        <v>4230</v>
      </c>
      <c r="C1110">
        <v>19</v>
      </c>
      <c r="D1110" t="s">
        <v>1452</v>
      </c>
      <c r="E1110" t="s">
        <v>1464</v>
      </c>
      <c r="F1110" s="122" t="s">
        <v>1465</v>
      </c>
      <c r="G1110" s="122" t="s">
        <v>1503</v>
      </c>
      <c r="H1110" s="122" t="s">
        <v>5174</v>
      </c>
      <c r="I1110">
        <v>63940</v>
      </c>
      <c r="J1110">
        <v>1</v>
      </c>
      <c r="K1110" s="122" t="s">
        <v>4774</v>
      </c>
      <c r="L1110">
        <v>16000</v>
      </c>
    </row>
    <row r="1111" spans="1:12" ht="128" x14ac:dyDescent="0.2">
      <c r="A1111" t="s">
        <v>4967</v>
      </c>
      <c r="B1111" t="s">
        <v>4230</v>
      </c>
      <c r="C1111">
        <v>20</v>
      </c>
      <c r="D1111" t="s">
        <v>1452</v>
      </c>
      <c r="E1111" t="s">
        <v>1464</v>
      </c>
      <c r="F1111" s="122" t="s">
        <v>1467</v>
      </c>
      <c r="G1111" s="122" t="s">
        <v>1513</v>
      </c>
      <c r="H1111" s="122" t="s">
        <v>5100</v>
      </c>
    </row>
    <row r="1113" spans="1:12" ht="16" x14ac:dyDescent="0.2">
      <c r="A1113" t="s">
        <v>5175</v>
      </c>
      <c r="B1113">
        <v>469</v>
      </c>
      <c r="C1113" t="s">
        <v>5101</v>
      </c>
      <c r="D1113">
        <v>663</v>
      </c>
      <c r="E1113" t="s">
        <v>4378</v>
      </c>
      <c r="F1113" s="122">
        <v>194</v>
      </c>
      <c r="G1113" s="122" t="s">
        <v>5102</v>
      </c>
    </row>
    <row r="1114" spans="1:12" ht="16" x14ac:dyDescent="0.2">
      <c r="A1114" t="s">
        <v>5176</v>
      </c>
      <c r="B1114">
        <v>135</v>
      </c>
      <c r="C1114" t="s">
        <v>5103</v>
      </c>
      <c r="D1114">
        <v>614</v>
      </c>
      <c r="E1114" t="s">
        <v>5104</v>
      </c>
      <c r="F1114" s="122">
        <v>479</v>
      </c>
      <c r="G1114" s="122" t="s">
        <v>5105</v>
      </c>
    </row>
    <row r="1115" spans="1:12" ht="16" x14ac:dyDescent="0.2">
      <c r="A1115" t="s">
        <v>5177</v>
      </c>
      <c r="B1115" t="s">
        <v>5178</v>
      </c>
      <c r="C1115">
        <v>345</v>
      </c>
      <c r="D1115" t="s">
        <v>5179</v>
      </c>
      <c r="E1115">
        <v>799</v>
      </c>
      <c r="F1115" s="122" t="s">
        <v>5180</v>
      </c>
      <c r="G1115" s="122">
        <v>63940</v>
      </c>
      <c r="H1115" s="122">
        <v>1</v>
      </c>
      <c r="I1115" t="s">
        <v>5181</v>
      </c>
      <c r="J1115">
        <v>16000</v>
      </c>
    </row>
    <row r="1116" spans="1:12" ht="96" x14ac:dyDescent="0.2">
      <c r="A1116" t="s">
        <v>4967</v>
      </c>
      <c r="B1116" t="s">
        <v>4396</v>
      </c>
      <c r="C1116">
        <v>1</v>
      </c>
      <c r="D1116" t="s">
        <v>1420</v>
      </c>
      <c r="E1116" t="s">
        <v>1421</v>
      </c>
      <c r="F1116" s="122" t="s">
        <v>1422</v>
      </c>
      <c r="G1116" s="122" t="s">
        <v>1423</v>
      </c>
      <c r="H1116" s="122" t="s">
        <v>5182</v>
      </c>
      <c r="I1116">
        <v>32265</v>
      </c>
      <c r="J1116">
        <v>0</v>
      </c>
      <c r="K1116" s="122" t="s">
        <v>4690</v>
      </c>
      <c r="L1116" t="s">
        <v>2039</v>
      </c>
    </row>
    <row r="1117" spans="1:12" ht="64" x14ac:dyDescent="0.2">
      <c r="A1117" t="s">
        <v>4967</v>
      </c>
      <c r="B1117" t="s">
        <v>4396</v>
      </c>
      <c r="C1117">
        <v>2</v>
      </c>
      <c r="D1117" t="s">
        <v>1420</v>
      </c>
      <c r="E1117" t="s">
        <v>1421</v>
      </c>
      <c r="F1117" s="122" t="s">
        <v>1425</v>
      </c>
      <c r="G1117" s="122">
        <v>8</v>
      </c>
      <c r="H1117" s="122" t="s">
        <v>5183</v>
      </c>
      <c r="I1117">
        <v>44203</v>
      </c>
      <c r="J1117">
        <v>2</v>
      </c>
      <c r="K1117" s="122" t="s">
        <v>5184</v>
      </c>
      <c r="L1117" t="s">
        <v>2039</v>
      </c>
    </row>
    <row r="1118" spans="1:12" ht="128" x14ac:dyDescent="0.2">
      <c r="A1118" t="s">
        <v>4967</v>
      </c>
      <c r="B1118" t="s">
        <v>4396</v>
      </c>
      <c r="C1118">
        <v>3</v>
      </c>
      <c r="D1118" t="s">
        <v>1420</v>
      </c>
      <c r="E1118" t="s">
        <v>1421</v>
      </c>
      <c r="F1118" s="122" t="s">
        <v>1427</v>
      </c>
      <c r="G1118" s="122" t="s">
        <v>1428</v>
      </c>
      <c r="H1118" s="122" t="s">
        <v>4693</v>
      </c>
      <c r="I1118">
        <v>28496</v>
      </c>
      <c r="J1118">
        <v>2</v>
      </c>
      <c r="K1118" s="122" t="s">
        <v>4796</v>
      </c>
      <c r="L1118" t="s">
        <v>2039</v>
      </c>
    </row>
    <row r="1119" spans="1:12" ht="48" x14ac:dyDescent="0.2">
      <c r="A1119" t="s">
        <v>4967</v>
      </c>
      <c r="B1119" t="s">
        <v>4396</v>
      </c>
      <c r="C1119">
        <v>4</v>
      </c>
      <c r="D1119" t="s">
        <v>1420</v>
      </c>
      <c r="E1119" t="s">
        <v>1429</v>
      </c>
      <c r="F1119" s="122" t="s">
        <v>1430</v>
      </c>
      <c r="G1119" s="122">
        <v>88</v>
      </c>
      <c r="H1119" s="122">
        <v>64</v>
      </c>
      <c r="I1119">
        <v>29451</v>
      </c>
      <c r="J1119">
        <v>2</v>
      </c>
      <c r="K1119" s="122" t="s">
        <v>5185</v>
      </c>
      <c r="L1119" t="s">
        <v>2039</v>
      </c>
    </row>
    <row r="1120" spans="1:12" ht="80" x14ac:dyDescent="0.2">
      <c r="A1120" t="s">
        <v>4967</v>
      </c>
      <c r="B1120" t="s">
        <v>4396</v>
      </c>
      <c r="C1120">
        <v>5</v>
      </c>
      <c r="D1120" t="s">
        <v>1420</v>
      </c>
      <c r="E1120" t="s">
        <v>1421</v>
      </c>
      <c r="F1120" s="122" t="s">
        <v>1431</v>
      </c>
      <c r="G1120" s="122" t="s">
        <v>1432</v>
      </c>
      <c r="H1120" s="122" t="s">
        <v>4562</v>
      </c>
      <c r="I1120">
        <v>27738</v>
      </c>
      <c r="J1120">
        <v>3</v>
      </c>
      <c r="K1120" s="122" t="s">
        <v>5186</v>
      </c>
      <c r="L1120" t="s">
        <v>2039</v>
      </c>
    </row>
    <row r="1121" spans="1:12" ht="64" x14ac:dyDescent="0.2">
      <c r="A1121" t="s">
        <v>4967</v>
      </c>
      <c r="B1121" t="s">
        <v>4396</v>
      </c>
      <c r="C1121">
        <v>6</v>
      </c>
      <c r="D1121" t="s">
        <v>1433</v>
      </c>
      <c r="E1121" t="s">
        <v>1434</v>
      </c>
      <c r="F1121" s="122" t="s">
        <v>1435</v>
      </c>
      <c r="G1121" s="122" t="s">
        <v>1436</v>
      </c>
      <c r="H1121" s="122" t="s">
        <v>5121</v>
      </c>
      <c r="I1121">
        <v>32711</v>
      </c>
      <c r="J1121">
        <v>3</v>
      </c>
      <c r="K1121" s="122" t="s">
        <v>5187</v>
      </c>
      <c r="L1121" t="s">
        <v>2039</v>
      </c>
    </row>
    <row r="1122" spans="1:12" ht="64" x14ac:dyDescent="0.2">
      <c r="A1122" t="s">
        <v>4967</v>
      </c>
      <c r="B1122" t="s">
        <v>4396</v>
      </c>
      <c r="C1122">
        <v>7</v>
      </c>
      <c r="D1122" t="s">
        <v>1433</v>
      </c>
      <c r="E1122" t="s">
        <v>1434</v>
      </c>
      <c r="F1122" s="122" t="s">
        <v>1438</v>
      </c>
      <c r="G1122" s="122" t="s">
        <v>1469</v>
      </c>
      <c r="H1122" s="122" t="s">
        <v>4979</v>
      </c>
      <c r="I1122">
        <v>26064</v>
      </c>
      <c r="J1122">
        <v>0</v>
      </c>
      <c r="K1122" s="122" t="s">
        <v>4980</v>
      </c>
      <c r="L1122" t="s">
        <v>2039</v>
      </c>
    </row>
    <row r="1123" spans="1:12" ht="96" x14ac:dyDescent="0.2">
      <c r="A1123" t="s">
        <v>4967</v>
      </c>
      <c r="B1123" t="s">
        <v>4396</v>
      </c>
      <c r="C1123">
        <v>8</v>
      </c>
      <c r="D1123" t="s">
        <v>1433</v>
      </c>
      <c r="E1123" t="s">
        <v>1440</v>
      </c>
      <c r="F1123" s="122" t="s">
        <v>1441</v>
      </c>
      <c r="G1123" s="122" t="s">
        <v>1470</v>
      </c>
      <c r="H1123" s="122" t="s">
        <v>5188</v>
      </c>
      <c r="I1123">
        <v>41486</v>
      </c>
      <c r="J1123">
        <v>3</v>
      </c>
      <c r="K1123" s="122" t="s">
        <v>4123</v>
      </c>
      <c r="L1123" t="s">
        <v>2039</v>
      </c>
    </row>
    <row r="1124" spans="1:12" ht="64" x14ac:dyDescent="0.2">
      <c r="A1124" t="s">
        <v>4967</v>
      </c>
      <c r="B1124" t="s">
        <v>4396</v>
      </c>
      <c r="C1124">
        <v>9</v>
      </c>
      <c r="D1124" t="s">
        <v>1433</v>
      </c>
      <c r="E1124" t="s">
        <v>1440</v>
      </c>
      <c r="F1124" s="122" t="s">
        <v>1443</v>
      </c>
      <c r="G1124" s="122" t="s">
        <v>1477</v>
      </c>
      <c r="H1124" s="122" t="s">
        <v>5189</v>
      </c>
      <c r="I1124">
        <v>26225</v>
      </c>
      <c r="J1124">
        <v>0</v>
      </c>
      <c r="K1124" s="122" t="s">
        <v>5190</v>
      </c>
      <c r="L1124" t="s">
        <v>2039</v>
      </c>
    </row>
    <row r="1125" spans="1:12" ht="112" x14ac:dyDescent="0.2">
      <c r="A1125" t="s">
        <v>4967</v>
      </c>
      <c r="B1125" t="s">
        <v>4396</v>
      </c>
      <c r="C1125">
        <v>10</v>
      </c>
      <c r="D1125" t="s">
        <v>1433</v>
      </c>
      <c r="E1125" t="s">
        <v>1421</v>
      </c>
      <c r="F1125" s="122" t="s">
        <v>1445</v>
      </c>
      <c r="G1125" s="122" t="s">
        <v>1446</v>
      </c>
      <c r="H1125" s="122" t="s">
        <v>5191</v>
      </c>
      <c r="I1125">
        <v>28942</v>
      </c>
      <c r="J1125">
        <v>3</v>
      </c>
      <c r="K1125" s="122" t="s">
        <v>5192</v>
      </c>
      <c r="L1125" t="s">
        <v>2039</v>
      </c>
    </row>
    <row r="1126" spans="1:12" ht="64" x14ac:dyDescent="0.2">
      <c r="A1126" t="s">
        <v>4967</v>
      </c>
      <c r="B1126" t="s">
        <v>4396</v>
      </c>
      <c r="C1126">
        <v>11</v>
      </c>
      <c r="D1126" t="s">
        <v>1433</v>
      </c>
      <c r="E1126" t="s">
        <v>1447</v>
      </c>
      <c r="F1126" s="122" t="s">
        <v>1448</v>
      </c>
      <c r="G1126" s="122" t="s">
        <v>4011</v>
      </c>
      <c r="H1126" s="122" t="s">
        <v>5126</v>
      </c>
      <c r="I1126">
        <v>34521</v>
      </c>
      <c r="J1126">
        <v>3</v>
      </c>
      <c r="K1126" s="122" t="s">
        <v>4575</v>
      </c>
      <c r="L1126" t="s">
        <v>2039</v>
      </c>
    </row>
    <row r="1127" spans="1:12" ht="64" x14ac:dyDescent="0.2">
      <c r="A1127" t="s">
        <v>4967</v>
      </c>
      <c r="B1127" t="s">
        <v>4396</v>
      </c>
      <c r="C1127">
        <v>12</v>
      </c>
      <c r="D1127" t="s">
        <v>1433</v>
      </c>
      <c r="E1127" t="s">
        <v>1434</v>
      </c>
      <c r="F1127" s="122" t="s">
        <v>1450</v>
      </c>
      <c r="G1127" s="196">
        <v>16881928.100000001</v>
      </c>
      <c r="H1127" s="122" t="s">
        <v>4128</v>
      </c>
      <c r="I1127">
        <v>29453</v>
      </c>
      <c r="J1127">
        <v>3</v>
      </c>
      <c r="K1127" s="122" t="s">
        <v>5055</v>
      </c>
      <c r="L1127" t="s">
        <v>2039</v>
      </c>
    </row>
    <row r="1128" spans="1:12" ht="96" x14ac:dyDescent="0.2">
      <c r="A1128" t="s">
        <v>4967</v>
      </c>
      <c r="B1128" t="s">
        <v>4396</v>
      </c>
      <c r="C1128">
        <v>13</v>
      </c>
      <c r="D1128" t="s">
        <v>1452</v>
      </c>
      <c r="E1128" t="s">
        <v>1453</v>
      </c>
      <c r="F1128" s="122" t="s">
        <v>1454</v>
      </c>
      <c r="G1128" s="122">
        <v>19</v>
      </c>
      <c r="H1128" s="122" t="s">
        <v>5056</v>
      </c>
      <c r="I1128">
        <v>33104</v>
      </c>
      <c r="J1128">
        <v>0</v>
      </c>
      <c r="K1128" s="122" t="s">
        <v>5193</v>
      </c>
      <c r="L1128" t="s">
        <v>2039</v>
      </c>
    </row>
    <row r="1129" spans="1:12" ht="64" x14ac:dyDescent="0.2">
      <c r="A1129" t="s">
        <v>4967</v>
      </c>
      <c r="B1129" t="s">
        <v>4396</v>
      </c>
      <c r="C1129">
        <v>14</v>
      </c>
      <c r="D1129" t="s">
        <v>1452</v>
      </c>
      <c r="E1129" t="s">
        <v>1453</v>
      </c>
      <c r="F1129" s="122" t="s">
        <v>1455</v>
      </c>
      <c r="G1129" s="122">
        <v>9</v>
      </c>
      <c r="H1129" s="122">
        <v>3</v>
      </c>
      <c r="I1129">
        <v>26917</v>
      </c>
      <c r="J1129">
        <v>2</v>
      </c>
      <c r="K1129" s="122" t="s">
        <v>5194</v>
      </c>
      <c r="L1129" t="s">
        <v>2039</v>
      </c>
    </row>
    <row r="1130" spans="1:12" ht="48" x14ac:dyDescent="0.2">
      <c r="A1130" t="s">
        <v>4967</v>
      </c>
      <c r="B1130" t="s">
        <v>4396</v>
      </c>
      <c r="C1130">
        <v>15</v>
      </c>
      <c r="D1130" t="s">
        <v>1452</v>
      </c>
      <c r="E1130" t="s">
        <v>1447</v>
      </c>
      <c r="F1130" s="122" t="s">
        <v>1457</v>
      </c>
      <c r="G1130" s="122">
        <v>50</v>
      </c>
      <c r="H1130" s="122">
        <v>28</v>
      </c>
      <c r="I1130">
        <v>34915</v>
      </c>
      <c r="J1130">
        <v>0</v>
      </c>
      <c r="K1130" s="122" t="s">
        <v>5195</v>
      </c>
      <c r="L1130" t="s">
        <v>2039</v>
      </c>
    </row>
    <row r="1131" spans="1:12" ht="96" x14ac:dyDescent="0.2">
      <c r="A1131" t="s">
        <v>4967</v>
      </c>
      <c r="B1131" t="s">
        <v>4396</v>
      </c>
      <c r="C1131">
        <v>16</v>
      </c>
      <c r="D1131" t="s">
        <v>1452</v>
      </c>
      <c r="E1131" t="s">
        <v>1434</v>
      </c>
      <c r="F1131" s="122" t="s">
        <v>1458</v>
      </c>
      <c r="G1131" s="122" t="s">
        <v>1497</v>
      </c>
      <c r="H1131" s="122" t="s">
        <v>5196</v>
      </c>
      <c r="I1131">
        <v>29800</v>
      </c>
      <c r="J1131">
        <v>0</v>
      </c>
      <c r="K1131" s="122" t="s">
        <v>5197</v>
      </c>
      <c r="L1131" t="s">
        <v>2039</v>
      </c>
    </row>
    <row r="1132" spans="1:12" ht="80" x14ac:dyDescent="0.2">
      <c r="A1132" t="s">
        <v>4967</v>
      </c>
      <c r="B1132" t="s">
        <v>4396</v>
      </c>
      <c r="C1132">
        <v>17</v>
      </c>
      <c r="D1132" t="s">
        <v>1452</v>
      </c>
      <c r="E1132" t="s">
        <v>1421</v>
      </c>
      <c r="F1132" s="122" t="s">
        <v>1460</v>
      </c>
      <c r="G1132" s="122" t="s">
        <v>1500</v>
      </c>
      <c r="H1132" s="122" t="s">
        <v>5198</v>
      </c>
      <c r="I1132">
        <v>29348</v>
      </c>
      <c r="J1132">
        <v>3</v>
      </c>
      <c r="K1132" s="122" t="s">
        <v>5199</v>
      </c>
      <c r="L1132" t="s">
        <v>2039</v>
      </c>
    </row>
    <row r="1133" spans="1:12" ht="128" x14ac:dyDescent="0.2">
      <c r="A1133" t="s">
        <v>4967</v>
      </c>
      <c r="B1133" t="s">
        <v>4396</v>
      </c>
      <c r="C1133">
        <v>18</v>
      </c>
      <c r="D1133" t="s">
        <v>1452</v>
      </c>
      <c r="E1133" t="s">
        <v>1440</v>
      </c>
      <c r="F1133" s="122" t="s">
        <v>1462</v>
      </c>
      <c r="G1133" s="122" t="s">
        <v>1502</v>
      </c>
      <c r="H1133" s="122" t="s">
        <v>5200</v>
      </c>
      <c r="I1133">
        <v>31609</v>
      </c>
      <c r="J1133">
        <v>0</v>
      </c>
      <c r="K1133" s="122" t="s">
        <v>5201</v>
      </c>
      <c r="L1133" t="s">
        <v>2039</v>
      </c>
    </row>
    <row r="1134" spans="1:12" ht="64" x14ac:dyDescent="0.2">
      <c r="A1134" t="s">
        <v>4967</v>
      </c>
      <c r="B1134" t="s">
        <v>4396</v>
      </c>
      <c r="C1134">
        <v>19</v>
      </c>
      <c r="D1134" t="s">
        <v>1452</v>
      </c>
      <c r="E1134" t="s">
        <v>1464</v>
      </c>
      <c r="F1134" s="122" t="s">
        <v>1465</v>
      </c>
      <c r="G1134" s="122" t="s">
        <v>1503</v>
      </c>
      <c r="H1134" s="122" t="s">
        <v>5202</v>
      </c>
      <c r="I1134">
        <v>29254</v>
      </c>
      <c r="J1134">
        <v>0</v>
      </c>
      <c r="K1134" s="122" t="s">
        <v>5203</v>
      </c>
      <c r="L1134" t="s">
        <v>2039</v>
      </c>
    </row>
    <row r="1135" spans="1:12" ht="128" x14ac:dyDescent="0.2">
      <c r="A1135" t="s">
        <v>4967</v>
      </c>
      <c r="B1135" t="s">
        <v>4396</v>
      </c>
      <c r="C1135">
        <v>20</v>
      </c>
      <c r="D1135" t="s">
        <v>1452</v>
      </c>
      <c r="E1135" t="s">
        <v>1464</v>
      </c>
      <c r="F1135" s="122" t="s">
        <v>1467</v>
      </c>
      <c r="G1135" s="122" t="s">
        <v>1513</v>
      </c>
      <c r="H1135" s="122" t="s">
        <v>5204</v>
      </c>
    </row>
    <row r="1136" spans="1:12" x14ac:dyDescent="0.2">
      <c r="A1136" t="s">
        <v>5205</v>
      </c>
      <c r="B1136" t="s">
        <v>4220</v>
      </c>
      <c r="C1136" t="s">
        <v>5206</v>
      </c>
      <c r="D1136" t="s">
        <v>5207</v>
      </c>
    </row>
    <row r="1137" spans="1:12" x14ac:dyDescent="0.2">
      <c r="A1137" t="s">
        <v>5208</v>
      </c>
      <c r="B1137" t="s">
        <v>5209</v>
      </c>
      <c r="C1137" t="s">
        <v>5210</v>
      </c>
    </row>
    <row r="1138" spans="1:12" ht="64" x14ac:dyDescent="0.2">
      <c r="A1138" t="s">
        <v>5211</v>
      </c>
      <c r="B1138" t="s">
        <v>5212</v>
      </c>
      <c r="C1138" t="s">
        <v>5213</v>
      </c>
      <c r="D1138">
        <v>33951</v>
      </c>
      <c r="E1138">
        <v>0</v>
      </c>
      <c r="F1138" s="122" t="s">
        <v>5214</v>
      </c>
      <c r="G1138" s="122" t="s">
        <v>2039</v>
      </c>
    </row>
    <row r="1139" spans="1:12" ht="48" x14ac:dyDescent="0.2">
      <c r="A1139" t="s">
        <v>4967</v>
      </c>
      <c r="B1139" t="s">
        <v>4407</v>
      </c>
      <c r="C1139">
        <v>1</v>
      </c>
      <c r="D1139" t="s">
        <v>1420</v>
      </c>
      <c r="E1139" t="s">
        <v>1421</v>
      </c>
      <c r="F1139" s="122" t="s">
        <v>1422</v>
      </c>
      <c r="G1139" s="122" t="s">
        <v>1423</v>
      </c>
      <c r="H1139" s="122" t="s">
        <v>1423</v>
      </c>
      <c r="I1139">
        <v>104672</v>
      </c>
      <c r="J1139">
        <v>3</v>
      </c>
      <c r="K1139" s="122" t="s">
        <v>4823</v>
      </c>
      <c r="L1139" t="s">
        <v>2039</v>
      </c>
    </row>
    <row r="1140" spans="1:12" ht="64" x14ac:dyDescent="0.2">
      <c r="A1140" t="s">
        <v>4967</v>
      </c>
      <c r="B1140" t="s">
        <v>4407</v>
      </c>
      <c r="C1140">
        <v>2</v>
      </c>
      <c r="D1140" t="s">
        <v>1420</v>
      </c>
      <c r="E1140" t="s">
        <v>1421</v>
      </c>
      <c r="F1140" s="122" t="s">
        <v>1425</v>
      </c>
      <c r="G1140" s="122">
        <v>8</v>
      </c>
      <c r="H1140" s="122" t="s">
        <v>5215</v>
      </c>
      <c r="I1140">
        <v>104672</v>
      </c>
      <c r="J1140">
        <v>2</v>
      </c>
      <c r="K1140" s="122" t="s">
        <v>5216</v>
      </c>
      <c r="L1140" t="s">
        <v>2039</v>
      </c>
    </row>
    <row r="1141" spans="1:12" ht="96" x14ac:dyDescent="0.2">
      <c r="A1141" t="s">
        <v>4967</v>
      </c>
      <c r="B1141" t="s">
        <v>4407</v>
      </c>
      <c r="C1141">
        <v>3</v>
      </c>
      <c r="D1141" t="s">
        <v>1420</v>
      </c>
      <c r="E1141" t="s">
        <v>1421</v>
      </c>
      <c r="F1141" s="122" t="s">
        <v>1427</v>
      </c>
      <c r="G1141" s="122" t="s">
        <v>1428</v>
      </c>
      <c r="H1141" s="122" t="s">
        <v>5217</v>
      </c>
      <c r="I1141">
        <v>104672</v>
      </c>
      <c r="J1141">
        <v>3</v>
      </c>
      <c r="K1141" s="122" t="s">
        <v>5074</v>
      </c>
      <c r="L1141" t="s">
        <v>2039</v>
      </c>
    </row>
    <row r="1142" spans="1:12" ht="48" x14ac:dyDescent="0.2">
      <c r="A1142" t="s">
        <v>4967</v>
      </c>
      <c r="B1142" t="s">
        <v>4407</v>
      </c>
      <c r="C1142">
        <v>4</v>
      </c>
      <c r="D1142" t="s">
        <v>1420</v>
      </c>
      <c r="E1142" t="s">
        <v>1429</v>
      </c>
      <c r="F1142" s="122" t="s">
        <v>1430</v>
      </c>
      <c r="G1142" s="122">
        <v>88</v>
      </c>
      <c r="H1142" s="122">
        <v>52</v>
      </c>
      <c r="I1142">
        <v>104672</v>
      </c>
      <c r="J1142">
        <v>0</v>
      </c>
      <c r="K1142" s="122" t="s">
        <v>5218</v>
      </c>
      <c r="L1142" t="s">
        <v>2039</v>
      </c>
    </row>
    <row r="1143" spans="1:12" ht="48" x14ac:dyDescent="0.2">
      <c r="A1143" t="s">
        <v>4967</v>
      </c>
      <c r="B1143" t="s">
        <v>4407</v>
      </c>
      <c r="C1143">
        <v>5</v>
      </c>
      <c r="D1143" t="s">
        <v>1420</v>
      </c>
      <c r="E1143" t="s">
        <v>1421</v>
      </c>
      <c r="F1143" s="122" t="s">
        <v>1431</v>
      </c>
      <c r="G1143" s="122" t="s">
        <v>1432</v>
      </c>
      <c r="H1143" s="122" t="s">
        <v>1432</v>
      </c>
      <c r="I1143">
        <v>104672</v>
      </c>
      <c r="J1143">
        <v>3</v>
      </c>
      <c r="K1143" s="122" t="s">
        <v>5150</v>
      </c>
      <c r="L1143" t="s">
        <v>2039</v>
      </c>
    </row>
    <row r="1144" spans="1:12" ht="64" x14ac:dyDescent="0.2">
      <c r="A1144" t="s">
        <v>4967</v>
      </c>
      <c r="B1144" t="s">
        <v>4407</v>
      </c>
      <c r="C1144">
        <v>6</v>
      </c>
      <c r="D1144" t="s">
        <v>1433</v>
      </c>
      <c r="E1144" t="s">
        <v>1434</v>
      </c>
      <c r="F1144" s="122" t="s">
        <v>1435</v>
      </c>
      <c r="G1144" s="122" t="s">
        <v>1436</v>
      </c>
      <c r="H1144" s="122" t="s">
        <v>5219</v>
      </c>
      <c r="I1144">
        <v>104672</v>
      </c>
      <c r="J1144">
        <v>3</v>
      </c>
      <c r="K1144" s="122" t="s">
        <v>5220</v>
      </c>
      <c r="L1144" t="s">
        <v>2039</v>
      </c>
    </row>
    <row r="1145" spans="1:12" ht="48" x14ac:dyDescent="0.2">
      <c r="A1145" t="s">
        <v>4967</v>
      </c>
      <c r="B1145" t="s">
        <v>4407</v>
      </c>
      <c r="C1145">
        <v>7</v>
      </c>
      <c r="D1145" t="s">
        <v>1433</v>
      </c>
      <c r="E1145" t="s">
        <v>1434</v>
      </c>
      <c r="F1145" s="122" t="s">
        <v>1438</v>
      </c>
      <c r="G1145" s="122" t="s">
        <v>1469</v>
      </c>
      <c r="H1145" s="122" t="s">
        <v>5221</v>
      </c>
      <c r="I1145">
        <v>104672</v>
      </c>
      <c r="J1145">
        <v>2</v>
      </c>
      <c r="K1145" s="122" t="s">
        <v>5222</v>
      </c>
      <c r="L1145" t="s">
        <v>2039</v>
      </c>
    </row>
    <row r="1146" spans="1:12" ht="112" x14ac:dyDescent="0.2">
      <c r="A1146" t="s">
        <v>4967</v>
      </c>
      <c r="B1146" t="s">
        <v>4407</v>
      </c>
      <c r="C1146">
        <v>8</v>
      </c>
      <c r="D1146" t="s">
        <v>1433</v>
      </c>
      <c r="E1146" t="s">
        <v>1440</v>
      </c>
      <c r="F1146" s="122" t="s">
        <v>1441</v>
      </c>
      <c r="G1146" s="122" t="s">
        <v>1470</v>
      </c>
      <c r="H1146" s="122" t="s">
        <v>5223</v>
      </c>
      <c r="I1146">
        <v>104672</v>
      </c>
      <c r="J1146">
        <v>2</v>
      </c>
      <c r="K1146" s="122" t="s">
        <v>5224</v>
      </c>
      <c r="L1146" t="s">
        <v>2039</v>
      </c>
    </row>
    <row r="1147" spans="1:12" ht="80" x14ac:dyDescent="0.2">
      <c r="A1147" t="s">
        <v>4967</v>
      </c>
      <c r="B1147" t="s">
        <v>4407</v>
      </c>
      <c r="C1147">
        <v>9</v>
      </c>
      <c r="D1147" t="s">
        <v>1433</v>
      </c>
      <c r="E1147" t="s">
        <v>1440</v>
      </c>
      <c r="F1147" s="122" t="s">
        <v>1443</v>
      </c>
      <c r="G1147" s="122" t="s">
        <v>1477</v>
      </c>
      <c r="H1147" s="122" t="s">
        <v>5225</v>
      </c>
      <c r="I1147">
        <v>104672</v>
      </c>
      <c r="J1147">
        <v>0</v>
      </c>
      <c r="K1147" s="122" t="s">
        <v>5226</v>
      </c>
      <c r="L1147" t="s">
        <v>2039</v>
      </c>
    </row>
    <row r="1148" spans="1:12" ht="112" x14ac:dyDescent="0.2">
      <c r="A1148" t="s">
        <v>4967</v>
      </c>
      <c r="B1148" t="s">
        <v>4407</v>
      </c>
      <c r="C1148">
        <v>10</v>
      </c>
      <c r="D1148" t="s">
        <v>1433</v>
      </c>
      <c r="E1148" t="s">
        <v>1421</v>
      </c>
      <c r="F1148" s="122" t="s">
        <v>1445</v>
      </c>
      <c r="G1148" s="122" t="s">
        <v>1446</v>
      </c>
      <c r="H1148" s="122" t="s">
        <v>5227</v>
      </c>
      <c r="I1148">
        <v>104672</v>
      </c>
      <c r="J1148">
        <v>0</v>
      </c>
      <c r="K1148" s="122" t="s">
        <v>3997</v>
      </c>
      <c r="L1148" t="s">
        <v>2039</v>
      </c>
    </row>
    <row r="1149" spans="1:12" ht="96" x14ac:dyDescent="0.2">
      <c r="A1149" t="s">
        <v>4967</v>
      </c>
      <c r="B1149" t="s">
        <v>4407</v>
      </c>
      <c r="C1149">
        <v>11</v>
      </c>
      <c r="D1149" t="s">
        <v>1433</v>
      </c>
      <c r="E1149" t="s">
        <v>1447</v>
      </c>
      <c r="F1149" s="122" t="s">
        <v>1448</v>
      </c>
      <c r="G1149" s="122" t="s">
        <v>4011</v>
      </c>
      <c r="H1149" s="122" t="s">
        <v>5228</v>
      </c>
      <c r="I1149">
        <v>104672</v>
      </c>
      <c r="J1149">
        <v>2</v>
      </c>
      <c r="K1149" s="122" t="s">
        <v>5229</v>
      </c>
      <c r="L1149" t="s">
        <v>2039</v>
      </c>
    </row>
    <row r="1150" spans="1:12" ht="48" x14ac:dyDescent="0.2">
      <c r="A1150" t="s">
        <v>4967</v>
      </c>
      <c r="B1150" t="s">
        <v>4407</v>
      </c>
      <c r="C1150">
        <v>12</v>
      </c>
      <c r="D1150" t="s">
        <v>1433</v>
      </c>
      <c r="E1150" t="s">
        <v>1434</v>
      </c>
      <c r="F1150" s="122" t="s">
        <v>1450</v>
      </c>
      <c r="G1150" s="196">
        <v>16881928.100000001</v>
      </c>
      <c r="H1150" s="122" t="s">
        <v>5230</v>
      </c>
      <c r="I1150">
        <v>104672</v>
      </c>
      <c r="J1150">
        <v>0</v>
      </c>
      <c r="K1150" s="122" t="s">
        <v>5231</v>
      </c>
      <c r="L1150" t="s">
        <v>2039</v>
      </c>
    </row>
    <row r="1151" spans="1:12" ht="64" x14ac:dyDescent="0.2">
      <c r="A1151" t="s">
        <v>4967</v>
      </c>
      <c r="B1151" t="s">
        <v>4407</v>
      </c>
      <c r="C1151">
        <v>13</v>
      </c>
      <c r="D1151" t="s">
        <v>1452</v>
      </c>
      <c r="E1151" t="s">
        <v>1453</v>
      </c>
      <c r="F1151" s="122" t="s">
        <v>1454</v>
      </c>
      <c r="G1151" s="122">
        <v>19</v>
      </c>
      <c r="H1151" s="122">
        <v>22</v>
      </c>
      <c r="I1151">
        <v>104672</v>
      </c>
      <c r="J1151">
        <v>2</v>
      </c>
      <c r="K1151" s="122" t="s">
        <v>5232</v>
      </c>
      <c r="L1151" t="s">
        <v>2039</v>
      </c>
    </row>
    <row r="1152" spans="1:12" ht="64" x14ac:dyDescent="0.2">
      <c r="A1152" t="s">
        <v>4967</v>
      </c>
      <c r="B1152" t="s">
        <v>4407</v>
      </c>
      <c r="C1152">
        <v>14</v>
      </c>
      <c r="D1152" t="s">
        <v>1452</v>
      </c>
      <c r="E1152" t="s">
        <v>1453</v>
      </c>
      <c r="F1152" s="122" t="s">
        <v>1455</v>
      </c>
      <c r="G1152" s="122">
        <v>9</v>
      </c>
      <c r="H1152" s="122">
        <v>1</v>
      </c>
      <c r="I1152">
        <v>104672</v>
      </c>
      <c r="J1152">
        <v>2</v>
      </c>
      <c r="K1152" s="122" t="s">
        <v>5233</v>
      </c>
      <c r="L1152" t="s">
        <v>2039</v>
      </c>
    </row>
    <row r="1153" spans="1:12" ht="144" x14ac:dyDescent="0.2">
      <c r="A1153" t="s">
        <v>4967</v>
      </c>
      <c r="B1153" t="s">
        <v>4407</v>
      </c>
      <c r="C1153">
        <v>15</v>
      </c>
      <c r="D1153" t="s">
        <v>1452</v>
      </c>
      <c r="E1153" t="s">
        <v>1447</v>
      </c>
      <c r="F1153" s="122" t="s">
        <v>1457</v>
      </c>
      <c r="G1153" s="122">
        <v>50</v>
      </c>
      <c r="H1153" s="122" t="s">
        <v>5234</v>
      </c>
      <c r="I1153">
        <v>104672</v>
      </c>
      <c r="J1153">
        <v>0</v>
      </c>
      <c r="K1153" s="122" t="s">
        <v>5235</v>
      </c>
      <c r="L1153" t="s">
        <v>2039</v>
      </c>
    </row>
    <row r="1154" spans="1:12" ht="64" x14ac:dyDescent="0.2">
      <c r="A1154" t="s">
        <v>4967</v>
      </c>
      <c r="B1154" t="s">
        <v>4407</v>
      </c>
      <c r="C1154">
        <v>16</v>
      </c>
      <c r="D1154" t="s">
        <v>1452</v>
      </c>
      <c r="E1154" t="s">
        <v>1434</v>
      </c>
      <c r="F1154" s="122" t="s">
        <v>1458</v>
      </c>
      <c r="G1154" s="122" t="s">
        <v>1497</v>
      </c>
      <c r="H1154" s="197">
        <v>0.34100000000000003</v>
      </c>
      <c r="I1154">
        <v>104672</v>
      </c>
      <c r="J1154">
        <v>1</v>
      </c>
      <c r="K1154" s="122" t="s">
        <v>5236</v>
      </c>
      <c r="L1154" t="s">
        <v>2039</v>
      </c>
    </row>
    <row r="1155" spans="1:12" ht="128" x14ac:dyDescent="0.2">
      <c r="A1155" t="s">
        <v>4967</v>
      </c>
      <c r="B1155" t="s">
        <v>4407</v>
      </c>
      <c r="C1155">
        <v>17</v>
      </c>
      <c r="D1155" t="s">
        <v>1452</v>
      </c>
      <c r="E1155" t="s">
        <v>1421</v>
      </c>
      <c r="F1155" s="122" t="s">
        <v>1460</v>
      </c>
      <c r="G1155" s="122" t="s">
        <v>1500</v>
      </c>
      <c r="H1155" s="122" t="s">
        <v>5237</v>
      </c>
      <c r="I1155">
        <v>104672</v>
      </c>
      <c r="J1155">
        <v>0</v>
      </c>
      <c r="K1155" s="122" t="s">
        <v>4388</v>
      </c>
      <c r="L1155" t="s">
        <v>2039</v>
      </c>
    </row>
    <row r="1156" spans="1:12" ht="112" x14ac:dyDescent="0.2">
      <c r="A1156" t="s">
        <v>4967</v>
      </c>
      <c r="B1156" t="s">
        <v>4407</v>
      </c>
      <c r="C1156">
        <v>18</v>
      </c>
      <c r="D1156" t="s">
        <v>1452</v>
      </c>
      <c r="E1156" t="s">
        <v>1440</v>
      </c>
      <c r="F1156" s="122" t="s">
        <v>1462</v>
      </c>
      <c r="G1156" s="122" t="s">
        <v>1502</v>
      </c>
      <c r="H1156" s="122" t="s">
        <v>5238</v>
      </c>
      <c r="I1156">
        <v>104672</v>
      </c>
      <c r="J1156">
        <v>3</v>
      </c>
      <c r="K1156" s="122" t="s">
        <v>4540</v>
      </c>
      <c r="L1156" t="s">
        <v>2039</v>
      </c>
    </row>
    <row r="1157" spans="1:12" ht="48" x14ac:dyDescent="0.2">
      <c r="A1157" t="s">
        <v>4967</v>
      </c>
      <c r="B1157" t="s">
        <v>4407</v>
      </c>
      <c r="C1157">
        <v>19</v>
      </c>
      <c r="D1157" t="s">
        <v>1452</v>
      </c>
      <c r="E1157" t="s">
        <v>1464</v>
      </c>
      <c r="F1157" s="122" t="s">
        <v>1465</v>
      </c>
      <c r="G1157" s="122" t="s">
        <v>1503</v>
      </c>
      <c r="H1157" s="122" t="s">
        <v>5239</v>
      </c>
    </row>
    <row r="1158" spans="1:12" x14ac:dyDescent="0.2">
      <c r="A1158" t="s">
        <v>3185</v>
      </c>
    </row>
    <row r="1159" spans="1:12" x14ac:dyDescent="0.2">
      <c r="A1159" t="s">
        <v>5240</v>
      </c>
      <c r="B1159">
        <v>104672</v>
      </c>
      <c r="C1159">
        <v>1</v>
      </c>
      <c r="D1159" t="s">
        <v>4774</v>
      </c>
      <c r="E1159" t="s">
        <v>2039</v>
      </c>
    </row>
    <row r="1160" spans="1:12" ht="144" x14ac:dyDescent="0.2">
      <c r="A1160" t="s">
        <v>4967</v>
      </c>
      <c r="B1160" t="s">
        <v>4407</v>
      </c>
      <c r="C1160">
        <v>20</v>
      </c>
      <c r="D1160" t="s">
        <v>1452</v>
      </c>
      <c r="E1160" t="s">
        <v>1464</v>
      </c>
      <c r="F1160" s="122" t="s">
        <v>1467</v>
      </c>
      <c r="G1160" s="122" t="s">
        <v>1513</v>
      </c>
      <c r="H1160" s="122" t="s">
        <v>5241</v>
      </c>
    </row>
    <row r="1161" spans="1:12" ht="16" x14ac:dyDescent="0.2">
      <c r="A1161" t="s">
        <v>5242</v>
      </c>
      <c r="B1161">
        <v>135</v>
      </c>
      <c r="C1161" t="s">
        <v>5243</v>
      </c>
      <c r="D1161">
        <v>614</v>
      </c>
      <c r="E1161" t="s">
        <v>5244</v>
      </c>
      <c r="F1161" s="122">
        <v>479</v>
      </c>
      <c r="G1161" s="122" t="s">
        <v>5245</v>
      </c>
    </row>
    <row r="1162" spans="1:12" ht="16" x14ac:dyDescent="0.2">
      <c r="A1162" t="s">
        <v>5246</v>
      </c>
      <c r="B1162" t="s">
        <v>5247</v>
      </c>
      <c r="C1162" t="s">
        <v>5248</v>
      </c>
      <c r="D1162" t="s">
        <v>5249</v>
      </c>
      <c r="E1162">
        <v>244</v>
      </c>
      <c r="F1162" s="122" t="s">
        <v>5250</v>
      </c>
      <c r="G1162" s="122" t="s">
        <v>5251</v>
      </c>
      <c r="H1162" s="122">
        <v>104672</v>
      </c>
      <c r="I1162">
        <v>1</v>
      </c>
      <c r="J1162" t="s">
        <v>4822</v>
      </c>
      <c r="K1162" s="122" t="s">
        <v>2039</v>
      </c>
    </row>
    <row r="1163" spans="1:12" ht="48" x14ac:dyDescent="0.2">
      <c r="A1163" t="s">
        <v>5252</v>
      </c>
      <c r="B1163" t="s">
        <v>3991</v>
      </c>
      <c r="C1163">
        <v>1</v>
      </c>
      <c r="D1163" t="s">
        <v>1420</v>
      </c>
      <c r="E1163" t="s">
        <v>1421</v>
      </c>
      <c r="F1163" s="122" t="s">
        <v>1422</v>
      </c>
      <c r="G1163" s="122" t="s">
        <v>1423</v>
      </c>
      <c r="H1163" s="122" t="s">
        <v>5253</v>
      </c>
      <c r="I1163">
        <v>7863</v>
      </c>
      <c r="J1163">
        <v>0</v>
      </c>
      <c r="K1163" s="122" t="s">
        <v>5254</v>
      </c>
      <c r="L1163">
        <v>2000</v>
      </c>
    </row>
    <row r="1164" spans="1:12" ht="64" x14ac:dyDescent="0.2">
      <c r="A1164" t="s">
        <v>5252</v>
      </c>
      <c r="B1164" t="s">
        <v>3991</v>
      </c>
      <c r="C1164">
        <v>2</v>
      </c>
      <c r="D1164" t="s">
        <v>1420</v>
      </c>
      <c r="E1164" t="s">
        <v>1421</v>
      </c>
      <c r="F1164" s="122" t="s">
        <v>1425</v>
      </c>
      <c r="G1164" s="122">
        <v>8</v>
      </c>
      <c r="H1164" s="122" t="s">
        <v>5255</v>
      </c>
      <c r="I1164">
        <v>7969</v>
      </c>
      <c r="J1164">
        <v>0</v>
      </c>
      <c r="K1164" s="122" t="s">
        <v>5256</v>
      </c>
      <c r="L1164">
        <v>2000</v>
      </c>
    </row>
    <row r="1165" spans="1:12" ht="64" x14ac:dyDescent="0.2">
      <c r="A1165" t="s">
        <v>5252</v>
      </c>
      <c r="B1165" t="s">
        <v>3991</v>
      </c>
      <c r="C1165">
        <v>3</v>
      </c>
      <c r="D1165" t="s">
        <v>1420</v>
      </c>
      <c r="E1165" t="s">
        <v>1421</v>
      </c>
      <c r="F1165" s="122" t="s">
        <v>1427</v>
      </c>
      <c r="G1165" s="122" t="s">
        <v>1428</v>
      </c>
      <c r="H1165" s="122" t="s">
        <v>5257</v>
      </c>
      <c r="I1165">
        <v>7895</v>
      </c>
      <c r="J1165">
        <v>0</v>
      </c>
      <c r="K1165" s="122" t="s">
        <v>3997</v>
      </c>
      <c r="L1165">
        <v>2000</v>
      </c>
    </row>
    <row r="1166" spans="1:12" ht="48" x14ac:dyDescent="0.2">
      <c r="A1166" t="s">
        <v>5252</v>
      </c>
      <c r="B1166" t="s">
        <v>3991</v>
      </c>
      <c r="C1166">
        <v>4</v>
      </c>
      <c r="D1166" t="s">
        <v>1420</v>
      </c>
      <c r="E1166" t="s">
        <v>1429</v>
      </c>
      <c r="F1166" s="122" t="s">
        <v>1430</v>
      </c>
      <c r="G1166" s="122">
        <v>88</v>
      </c>
      <c r="H1166" s="122">
        <v>37</v>
      </c>
      <c r="I1166">
        <v>7965</v>
      </c>
      <c r="J1166">
        <v>0</v>
      </c>
      <c r="K1166" s="122" t="s">
        <v>5258</v>
      </c>
      <c r="L1166">
        <v>2000</v>
      </c>
    </row>
    <row r="1167" spans="1:12" ht="64" x14ac:dyDescent="0.2">
      <c r="A1167" t="s">
        <v>5252</v>
      </c>
      <c r="B1167" t="s">
        <v>3991</v>
      </c>
      <c r="C1167">
        <v>5</v>
      </c>
      <c r="D1167" t="s">
        <v>1420</v>
      </c>
      <c r="E1167" t="s">
        <v>1421</v>
      </c>
      <c r="F1167" s="122" t="s">
        <v>1431</v>
      </c>
      <c r="G1167" s="122" t="s">
        <v>1432</v>
      </c>
      <c r="H1167" s="122" t="s">
        <v>3999</v>
      </c>
      <c r="I1167">
        <v>7967</v>
      </c>
      <c r="J1167">
        <v>3</v>
      </c>
      <c r="K1167" s="122" t="s">
        <v>4119</v>
      </c>
      <c r="L1167">
        <v>2000</v>
      </c>
    </row>
    <row r="1168" spans="1:12" ht="80" x14ac:dyDescent="0.2">
      <c r="A1168" t="s">
        <v>5252</v>
      </c>
      <c r="B1168" t="s">
        <v>3991</v>
      </c>
      <c r="C1168">
        <v>6</v>
      </c>
      <c r="D1168" t="s">
        <v>1433</v>
      </c>
      <c r="E1168" t="s">
        <v>1434</v>
      </c>
      <c r="F1168" s="122" t="s">
        <v>1435</v>
      </c>
      <c r="G1168" s="122" t="s">
        <v>1436</v>
      </c>
      <c r="H1168" s="122" t="s">
        <v>5259</v>
      </c>
      <c r="I1168">
        <v>7916</v>
      </c>
      <c r="J1168">
        <v>3</v>
      </c>
      <c r="K1168" s="122" t="s">
        <v>5260</v>
      </c>
      <c r="L1168">
        <v>2000</v>
      </c>
    </row>
    <row r="1169" spans="1:12" ht="64" x14ac:dyDescent="0.2">
      <c r="A1169" t="s">
        <v>5252</v>
      </c>
      <c r="B1169" t="s">
        <v>3991</v>
      </c>
      <c r="C1169">
        <v>7</v>
      </c>
      <c r="D1169" t="s">
        <v>1433</v>
      </c>
      <c r="E1169" t="s">
        <v>1434</v>
      </c>
      <c r="F1169" s="122" t="s">
        <v>1438</v>
      </c>
      <c r="G1169" s="122" t="s">
        <v>1469</v>
      </c>
      <c r="H1169" s="122" t="s">
        <v>5261</v>
      </c>
      <c r="I1169">
        <v>7955</v>
      </c>
      <c r="J1169">
        <v>0</v>
      </c>
      <c r="K1169" s="122" t="s">
        <v>5262</v>
      </c>
      <c r="L1169">
        <v>2000</v>
      </c>
    </row>
    <row r="1170" spans="1:12" ht="80" x14ac:dyDescent="0.2">
      <c r="A1170" t="s">
        <v>5252</v>
      </c>
      <c r="B1170" t="s">
        <v>3991</v>
      </c>
      <c r="C1170">
        <v>8</v>
      </c>
      <c r="D1170" t="s">
        <v>1433</v>
      </c>
      <c r="E1170" t="s">
        <v>1440</v>
      </c>
      <c r="F1170" s="122" t="s">
        <v>1441</v>
      </c>
      <c r="G1170" s="122" t="s">
        <v>1470</v>
      </c>
      <c r="H1170" s="122" t="s">
        <v>5263</v>
      </c>
      <c r="I1170">
        <v>7816</v>
      </c>
      <c r="J1170">
        <v>0</v>
      </c>
      <c r="K1170" s="122" t="s">
        <v>5264</v>
      </c>
      <c r="L1170">
        <v>2000</v>
      </c>
    </row>
    <row r="1171" spans="1:12" ht="64" x14ac:dyDescent="0.2">
      <c r="A1171" t="s">
        <v>5252</v>
      </c>
      <c r="B1171" t="s">
        <v>3991</v>
      </c>
      <c r="C1171">
        <v>9</v>
      </c>
      <c r="D1171" t="s">
        <v>1433</v>
      </c>
      <c r="E1171" t="s">
        <v>1440</v>
      </c>
      <c r="F1171" s="122" t="s">
        <v>1443</v>
      </c>
      <c r="G1171" s="122" t="s">
        <v>1477</v>
      </c>
      <c r="H1171" s="122" t="s">
        <v>5265</v>
      </c>
      <c r="I1171">
        <v>7962</v>
      </c>
      <c r="J1171">
        <v>2</v>
      </c>
      <c r="K1171" s="122" t="s">
        <v>5266</v>
      </c>
      <c r="L1171">
        <v>2000</v>
      </c>
    </row>
    <row r="1172" spans="1:12" ht="64" x14ac:dyDescent="0.2">
      <c r="A1172" t="s">
        <v>5252</v>
      </c>
      <c r="B1172" t="s">
        <v>3991</v>
      </c>
      <c r="C1172">
        <v>10</v>
      </c>
      <c r="D1172" t="s">
        <v>1433</v>
      </c>
      <c r="E1172" t="s">
        <v>1421</v>
      </c>
      <c r="F1172" s="122" t="s">
        <v>1445</v>
      </c>
      <c r="G1172" s="122" t="s">
        <v>1446</v>
      </c>
      <c r="H1172" s="122" t="s">
        <v>5267</v>
      </c>
      <c r="I1172">
        <v>7994</v>
      </c>
      <c r="J1172">
        <v>0</v>
      </c>
      <c r="K1172" s="122" t="s">
        <v>5268</v>
      </c>
      <c r="L1172">
        <v>2000</v>
      </c>
    </row>
    <row r="1173" spans="1:12" ht="64" x14ac:dyDescent="0.2">
      <c r="A1173" t="s">
        <v>5252</v>
      </c>
      <c r="B1173" t="s">
        <v>3991</v>
      </c>
      <c r="C1173">
        <v>11</v>
      </c>
      <c r="D1173" t="s">
        <v>1433</v>
      </c>
      <c r="E1173" t="s">
        <v>1447</v>
      </c>
      <c r="F1173" s="122" t="s">
        <v>1448</v>
      </c>
      <c r="G1173" s="122" t="s">
        <v>4011</v>
      </c>
      <c r="H1173" s="122" t="s">
        <v>5269</v>
      </c>
      <c r="I1173">
        <v>7908</v>
      </c>
      <c r="J1173">
        <v>3</v>
      </c>
      <c r="K1173" s="122" t="s">
        <v>5270</v>
      </c>
      <c r="L1173">
        <v>2000</v>
      </c>
    </row>
    <row r="1174" spans="1:12" ht="64" x14ac:dyDescent="0.2">
      <c r="A1174" t="s">
        <v>5252</v>
      </c>
      <c r="B1174" t="s">
        <v>3991</v>
      </c>
      <c r="C1174">
        <v>12</v>
      </c>
      <c r="D1174" t="s">
        <v>1433</v>
      </c>
      <c r="E1174" t="s">
        <v>1434</v>
      </c>
      <c r="F1174" s="122" t="s">
        <v>1450</v>
      </c>
      <c r="G1174" s="196">
        <v>16881928.100000001</v>
      </c>
      <c r="H1174" s="122" t="s">
        <v>4014</v>
      </c>
      <c r="I1174">
        <v>7985</v>
      </c>
      <c r="J1174">
        <v>0</v>
      </c>
      <c r="K1174" s="122" t="s">
        <v>4015</v>
      </c>
      <c r="L1174">
        <v>2000</v>
      </c>
    </row>
    <row r="1175" spans="1:12" ht="48" x14ac:dyDescent="0.2">
      <c r="A1175" t="s">
        <v>5252</v>
      </c>
      <c r="B1175" t="s">
        <v>3991</v>
      </c>
      <c r="C1175">
        <v>13</v>
      </c>
      <c r="D1175" t="s">
        <v>1452</v>
      </c>
      <c r="E1175" t="s">
        <v>1453</v>
      </c>
      <c r="F1175" s="122" t="s">
        <v>1454</v>
      </c>
      <c r="G1175" s="122">
        <v>19</v>
      </c>
      <c r="H1175" s="122" t="s">
        <v>5271</v>
      </c>
      <c r="I1175">
        <v>7969</v>
      </c>
      <c r="J1175">
        <v>0</v>
      </c>
      <c r="K1175" s="122" t="s">
        <v>5272</v>
      </c>
      <c r="L1175">
        <v>2000</v>
      </c>
    </row>
    <row r="1176" spans="1:12" ht="48" x14ac:dyDescent="0.2">
      <c r="A1176" t="s">
        <v>5252</v>
      </c>
      <c r="B1176" t="s">
        <v>3991</v>
      </c>
      <c r="C1176">
        <v>14</v>
      </c>
      <c r="D1176" t="s">
        <v>1452</v>
      </c>
      <c r="E1176" t="s">
        <v>1453</v>
      </c>
      <c r="F1176" s="122" t="s">
        <v>1455</v>
      </c>
      <c r="G1176" s="122">
        <v>9</v>
      </c>
      <c r="H1176" s="122">
        <v>3</v>
      </c>
      <c r="I1176">
        <v>7912</v>
      </c>
      <c r="J1176">
        <v>0</v>
      </c>
      <c r="K1176" s="122" t="s">
        <v>5273</v>
      </c>
      <c r="L1176">
        <v>2000</v>
      </c>
    </row>
    <row r="1177" spans="1:12" ht="48" x14ac:dyDescent="0.2">
      <c r="A1177" t="s">
        <v>5252</v>
      </c>
      <c r="B1177" t="s">
        <v>3991</v>
      </c>
      <c r="C1177">
        <v>15</v>
      </c>
      <c r="D1177" t="s">
        <v>1452</v>
      </c>
      <c r="E1177" t="s">
        <v>1447</v>
      </c>
      <c r="F1177" s="122" t="s">
        <v>1457</v>
      </c>
      <c r="G1177" s="122">
        <v>50</v>
      </c>
      <c r="H1177" s="122">
        <v>11</v>
      </c>
      <c r="I1177">
        <v>7876</v>
      </c>
      <c r="J1177">
        <v>0</v>
      </c>
      <c r="K1177" s="122" t="s">
        <v>5274</v>
      </c>
      <c r="L1177">
        <v>2000</v>
      </c>
    </row>
    <row r="1178" spans="1:12" ht="96" x14ac:dyDescent="0.2">
      <c r="A1178" t="s">
        <v>5252</v>
      </c>
      <c r="B1178" t="s">
        <v>3991</v>
      </c>
      <c r="C1178">
        <v>16</v>
      </c>
      <c r="D1178" t="s">
        <v>1452</v>
      </c>
      <c r="E1178" t="s">
        <v>1434</v>
      </c>
      <c r="F1178" s="122" t="s">
        <v>1458</v>
      </c>
      <c r="G1178" s="122" t="s">
        <v>1497</v>
      </c>
      <c r="H1178" s="122" t="s">
        <v>5275</v>
      </c>
      <c r="I1178">
        <v>7883</v>
      </c>
      <c r="J1178">
        <v>0</v>
      </c>
      <c r="K1178" s="122" t="s">
        <v>5276</v>
      </c>
      <c r="L1178">
        <v>2000</v>
      </c>
    </row>
    <row r="1179" spans="1:12" ht="48" x14ac:dyDescent="0.2">
      <c r="A1179" t="s">
        <v>5252</v>
      </c>
      <c r="B1179" t="s">
        <v>3991</v>
      </c>
      <c r="C1179">
        <v>17</v>
      </c>
      <c r="D1179" t="s">
        <v>1452</v>
      </c>
      <c r="E1179" t="s">
        <v>1421</v>
      </c>
      <c r="F1179" s="122" t="s">
        <v>1460</v>
      </c>
      <c r="G1179" s="122" t="s">
        <v>1500</v>
      </c>
      <c r="H1179" s="122" t="s">
        <v>5277</v>
      </c>
      <c r="I1179">
        <v>7899</v>
      </c>
      <c r="J1179">
        <v>0</v>
      </c>
      <c r="K1179" s="122" t="s">
        <v>4388</v>
      </c>
      <c r="L1179">
        <v>2000</v>
      </c>
    </row>
    <row r="1180" spans="1:12" ht="80" x14ac:dyDescent="0.2">
      <c r="A1180" t="s">
        <v>5252</v>
      </c>
      <c r="B1180" t="s">
        <v>3991</v>
      </c>
      <c r="C1180">
        <v>18</v>
      </c>
      <c r="D1180" t="s">
        <v>1452</v>
      </c>
      <c r="E1180" t="s">
        <v>1440</v>
      </c>
      <c r="F1180" s="122" t="s">
        <v>1462</v>
      </c>
      <c r="G1180" s="122" t="s">
        <v>1502</v>
      </c>
      <c r="H1180" s="122" t="s">
        <v>5263</v>
      </c>
      <c r="I1180">
        <v>7942</v>
      </c>
      <c r="J1180">
        <v>0</v>
      </c>
      <c r="K1180" s="122" t="s">
        <v>5278</v>
      </c>
      <c r="L1180">
        <v>2000</v>
      </c>
    </row>
    <row r="1181" spans="1:12" ht="64" x14ac:dyDescent="0.2">
      <c r="A1181" t="s">
        <v>5252</v>
      </c>
      <c r="B1181" t="s">
        <v>3991</v>
      </c>
      <c r="C1181">
        <v>19</v>
      </c>
      <c r="D1181" t="s">
        <v>1452</v>
      </c>
      <c r="E1181" t="s">
        <v>1464</v>
      </c>
      <c r="F1181" s="122" t="s">
        <v>1465</v>
      </c>
      <c r="G1181" s="122" t="s">
        <v>1503</v>
      </c>
      <c r="H1181" s="122" t="s">
        <v>5279</v>
      </c>
      <c r="I1181">
        <v>7849</v>
      </c>
      <c r="J1181">
        <v>0</v>
      </c>
      <c r="K1181" s="122" t="s">
        <v>5280</v>
      </c>
      <c r="L1181">
        <v>2000</v>
      </c>
    </row>
    <row r="1182" spans="1:12" ht="128" x14ac:dyDescent="0.2">
      <c r="A1182" t="s">
        <v>5252</v>
      </c>
      <c r="B1182" t="s">
        <v>3991</v>
      </c>
      <c r="C1182">
        <v>20</v>
      </c>
      <c r="D1182" t="s">
        <v>1452</v>
      </c>
      <c r="E1182" t="s">
        <v>1464</v>
      </c>
      <c r="F1182" s="122" t="s">
        <v>1467</v>
      </c>
      <c r="G1182" s="122" t="s">
        <v>1513</v>
      </c>
      <c r="H1182" s="122" t="s">
        <v>5281</v>
      </c>
    </row>
    <row r="1183" spans="1:12" x14ac:dyDescent="0.2">
      <c r="A1183" t="s">
        <v>3225</v>
      </c>
    </row>
    <row r="1184" spans="1:12" x14ac:dyDescent="0.2">
      <c r="A1184" t="s">
        <v>5282</v>
      </c>
      <c r="B1184" t="s">
        <v>5283</v>
      </c>
      <c r="C1184">
        <v>7934</v>
      </c>
      <c r="D1184">
        <v>0</v>
      </c>
      <c r="E1184" t="s">
        <v>4229</v>
      </c>
      <c r="F1184" s="122">
        <v>2000</v>
      </c>
    </row>
    <row r="1185" spans="1:12" ht="48" x14ac:dyDescent="0.2">
      <c r="A1185" t="s">
        <v>5252</v>
      </c>
      <c r="B1185" t="s">
        <v>4046</v>
      </c>
      <c r="C1185">
        <v>1</v>
      </c>
      <c r="D1185" t="s">
        <v>1420</v>
      </c>
      <c r="E1185" t="s">
        <v>1421</v>
      </c>
      <c r="F1185" s="122" t="s">
        <v>1422</v>
      </c>
      <c r="G1185" s="122" t="s">
        <v>1423</v>
      </c>
      <c r="H1185" s="122" t="s">
        <v>5284</v>
      </c>
      <c r="I1185">
        <v>7938</v>
      </c>
      <c r="J1185">
        <v>0</v>
      </c>
      <c r="K1185" s="122" t="s">
        <v>5285</v>
      </c>
      <c r="L1185">
        <v>2000</v>
      </c>
    </row>
    <row r="1186" spans="1:12" ht="64" x14ac:dyDescent="0.2">
      <c r="A1186" t="s">
        <v>5252</v>
      </c>
      <c r="B1186" t="s">
        <v>4046</v>
      </c>
      <c r="C1186">
        <v>2</v>
      </c>
      <c r="D1186" t="s">
        <v>1420</v>
      </c>
      <c r="E1186" t="s">
        <v>1421</v>
      </c>
      <c r="F1186" s="122" t="s">
        <v>1425</v>
      </c>
      <c r="G1186" s="122">
        <v>8</v>
      </c>
      <c r="H1186" s="122" t="s">
        <v>5286</v>
      </c>
      <c r="I1186">
        <v>7938</v>
      </c>
      <c r="J1186">
        <v>0</v>
      </c>
      <c r="K1186" s="122" t="s">
        <v>5287</v>
      </c>
      <c r="L1186">
        <v>2000</v>
      </c>
    </row>
    <row r="1187" spans="1:12" ht="96" x14ac:dyDescent="0.2">
      <c r="A1187" t="s">
        <v>5252</v>
      </c>
      <c r="B1187" t="s">
        <v>4046</v>
      </c>
      <c r="C1187">
        <v>3</v>
      </c>
      <c r="D1187" t="s">
        <v>1420</v>
      </c>
      <c r="E1187" t="s">
        <v>1421</v>
      </c>
      <c r="F1187" s="122" t="s">
        <v>1427</v>
      </c>
      <c r="G1187" s="122" t="s">
        <v>1428</v>
      </c>
      <c r="H1187" s="122" t="s">
        <v>5288</v>
      </c>
      <c r="I1187">
        <v>7938</v>
      </c>
      <c r="J1187">
        <v>0</v>
      </c>
      <c r="K1187" s="122" t="s">
        <v>3997</v>
      </c>
      <c r="L1187">
        <v>2000</v>
      </c>
    </row>
    <row r="1188" spans="1:12" ht="48" x14ac:dyDescent="0.2">
      <c r="A1188" t="s">
        <v>5252</v>
      </c>
      <c r="B1188" t="s">
        <v>4046</v>
      </c>
      <c r="C1188">
        <v>4</v>
      </c>
      <c r="D1188" t="s">
        <v>1420</v>
      </c>
      <c r="E1188" t="s">
        <v>1429</v>
      </c>
      <c r="F1188" s="122" t="s">
        <v>1430</v>
      </c>
      <c r="G1188" s="122">
        <v>88</v>
      </c>
      <c r="H1188" s="122">
        <v>5</v>
      </c>
      <c r="I1188">
        <v>7938</v>
      </c>
      <c r="J1188">
        <v>0</v>
      </c>
      <c r="K1188" s="122" t="s">
        <v>5289</v>
      </c>
      <c r="L1188">
        <v>2000</v>
      </c>
    </row>
    <row r="1189" spans="1:12" ht="48" x14ac:dyDescent="0.2">
      <c r="A1189" t="s">
        <v>5252</v>
      </c>
      <c r="B1189" t="s">
        <v>4046</v>
      </c>
      <c r="C1189">
        <v>5</v>
      </c>
      <c r="D1189" t="s">
        <v>1420</v>
      </c>
      <c r="E1189" t="s">
        <v>1421</v>
      </c>
      <c r="F1189" s="122" t="s">
        <v>1431</v>
      </c>
      <c r="G1189" s="122" t="s">
        <v>1432</v>
      </c>
      <c r="H1189" s="122" t="s">
        <v>4053</v>
      </c>
      <c r="I1189">
        <v>7938</v>
      </c>
      <c r="J1189">
        <v>3</v>
      </c>
      <c r="K1189" s="122" t="s">
        <v>4232</v>
      </c>
      <c r="L1189">
        <v>2000</v>
      </c>
    </row>
    <row r="1190" spans="1:12" ht="64" x14ac:dyDescent="0.2">
      <c r="A1190" t="s">
        <v>5252</v>
      </c>
      <c r="B1190" t="s">
        <v>4046</v>
      </c>
      <c r="C1190">
        <v>6</v>
      </c>
      <c r="D1190" t="s">
        <v>1433</v>
      </c>
      <c r="E1190" t="s">
        <v>1434</v>
      </c>
      <c r="F1190" s="122" t="s">
        <v>1435</v>
      </c>
      <c r="G1190" s="122" t="s">
        <v>1436</v>
      </c>
      <c r="H1190" s="122" t="s">
        <v>5290</v>
      </c>
      <c r="I1190">
        <v>7938</v>
      </c>
      <c r="J1190">
        <v>0</v>
      </c>
      <c r="K1190" s="122" t="s">
        <v>4056</v>
      </c>
      <c r="L1190">
        <v>2000</v>
      </c>
    </row>
    <row r="1191" spans="1:12" ht="112" x14ac:dyDescent="0.2">
      <c r="A1191" t="s">
        <v>5252</v>
      </c>
      <c r="B1191" t="s">
        <v>4046</v>
      </c>
      <c r="C1191">
        <v>7</v>
      </c>
      <c r="D1191" t="s">
        <v>1433</v>
      </c>
      <c r="E1191" t="s">
        <v>1434</v>
      </c>
      <c r="F1191" s="122" t="s">
        <v>1438</v>
      </c>
      <c r="G1191" s="122" t="s">
        <v>1469</v>
      </c>
      <c r="H1191" s="122" t="s">
        <v>5291</v>
      </c>
      <c r="I1191">
        <v>7938</v>
      </c>
      <c r="J1191">
        <v>0</v>
      </c>
      <c r="K1191" s="122" t="s">
        <v>5292</v>
      </c>
      <c r="L1191">
        <v>2000</v>
      </c>
    </row>
    <row r="1192" spans="1:12" ht="80" x14ac:dyDescent="0.2">
      <c r="A1192" t="s">
        <v>5252</v>
      </c>
      <c r="B1192" t="s">
        <v>4046</v>
      </c>
      <c r="C1192">
        <v>8</v>
      </c>
      <c r="D1192" t="s">
        <v>1433</v>
      </c>
      <c r="E1192" t="s">
        <v>1440</v>
      </c>
      <c r="F1192" s="122" t="s">
        <v>1441</v>
      </c>
      <c r="G1192" s="122" t="s">
        <v>1470</v>
      </c>
      <c r="H1192" s="122" t="s">
        <v>5263</v>
      </c>
      <c r="I1192">
        <v>7938</v>
      </c>
      <c r="J1192">
        <v>0</v>
      </c>
      <c r="K1192" s="122" t="s">
        <v>5293</v>
      </c>
      <c r="L1192">
        <v>2000</v>
      </c>
    </row>
    <row r="1193" spans="1:12" ht="64" x14ac:dyDescent="0.2">
      <c r="A1193" t="s">
        <v>5252</v>
      </c>
      <c r="B1193" t="s">
        <v>4046</v>
      </c>
      <c r="C1193">
        <v>9</v>
      </c>
      <c r="D1193" t="s">
        <v>1433</v>
      </c>
      <c r="E1193" t="s">
        <v>1440</v>
      </c>
      <c r="F1193" s="122" t="s">
        <v>1443</v>
      </c>
      <c r="G1193" s="122" t="s">
        <v>1477</v>
      </c>
      <c r="H1193" s="122" t="s">
        <v>5294</v>
      </c>
      <c r="I1193">
        <v>7938</v>
      </c>
      <c r="J1193">
        <v>0</v>
      </c>
      <c r="K1193" s="122" t="s">
        <v>5295</v>
      </c>
      <c r="L1193">
        <v>2000</v>
      </c>
    </row>
    <row r="1194" spans="1:12" ht="64" x14ac:dyDescent="0.2">
      <c r="A1194" t="s">
        <v>5252</v>
      </c>
      <c r="B1194" t="s">
        <v>4046</v>
      </c>
      <c r="C1194">
        <v>10</v>
      </c>
      <c r="D1194" t="s">
        <v>1433</v>
      </c>
      <c r="E1194" t="s">
        <v>1421</v>
      </c>
      <c r="F1194" s="122" t="s">
        <v>1445</v>
      </c>
      <c r="G1194" s="122" t="s">
        <v>1446</v>
      </c>
      <c r="H1194" s="122" t="s">
        <v>5296</v>
      </c>
      <c r="I1194">
        <v>7938</v>
      </c>
      <c r="J1194">
        <v>0</v>
      </c>
      <c r="K1194" s="122" t="s">
        <v>4088</v>
      </c>
      <c r="L1194">
        <v>2000</v>
      </c>
    </row>
    <row r="1195" spans="1:12" ht="64" x14ac:dyDescent="0.2">
      <c r="A1195" t="s">
        <v>5252</v>
      </c>
      <c r="B1195" t="s">
        <v>4046</v>
      </c>
      <c r="C1195">
        <v>11</v>
      </c>
      <c r="D1195" t="s">
        <v>1433</v>
      </c>
      <c r="E1195" t="s">
        <v>1447</v>
      </c>
      <c r="F1195" s="122" t="s">
        <v>1448</v>
      </c>
      <c r="G1195" s="122" t="s">
        <v>4011</v>
      </c>
      <c r="H1195" s="122" t="s">
        <v>5297</v>
      </c>
      <c r="I1195">
        <v>7938</v>
      </c>
      <c r="J1195">
        <v>0</v>
      </c>
      <c r="K1195" s="122" t="s">
        <v>5298</v>
      </c>
      <c r="L1195">
        <v>2000</v>
      </c>
    </row>
    <row r="1196" spans="1:12" ht="64" x14ac:dyDescent="0.2">
      <c r="A1196" t="s">
        <v>5252</v>
      </c>
      <c r="B1196" t="s">
        <v>4046</v>
      </c>
      <c r="C1196">
        <v>12</v>
      </c>
      <c r="D1196" t="s">
        <v>1433</v>
      </c>
      <c r="E1196" t="s">
        <v>1434</v>
      </c>
      <c r="F1196" s="122" t="s">
        <v>1450</v>
      </c>
      <c r="G1196" s="196">
        <v>16881928.100000001</v>
      </c>
      <c r="H1196" s="122" t="s">
        <v>5284</v>
      </c>
      <c r="I1196">
        <v>7938</v>
      </c>
      <c r="J1196">
        <v>0</v>
      </c>
      <c r="K1196" s="122" t="s">
        <v>5299</v>
      </c>
      <c r="L1196">
        <v>2000</v>
      </c>
    </row>
    <row r="1197" spans="1:12" ht="48" x14ac:dyDescent="0.2">
      <c r="A1197" t="s">
        <v>5252</v>
      </c>
      <c r="B1197" t="s">
        <v>4046</v>
      </c>
      <c r="C1197">
        <v>13</v>
      </c>
      <c r="D1197" t="s">
        <v>1452</v>
      </c>
      <c r="E1197" t="s">
        <v>1453</v>
      </c>
      <c r="F1197" s="122" t="s">
        <v>1454</v>
      </c>
      <c r="G1197" s="122">
        <v>19</v>
      </c>
      <c r="H1197" s="122">
        <v>3</v>
      </c>
      <c r="I1197">
        <v>7938</v>
      </c>
      <c r="J1197">
        <v>0</v>
      </c>
      <c r="K1197" s="122" t="s">
        <v>5022</v>
      </c>
      <c r="L1197">
        <v>2000</v>
      </c>
    </row>
    <row r="1198" spans="1:12" ht="48" x14ac:dyDescent="0.2">
      <c r="A1198" t="s">
        <v>5252</v>
      </c>
      <c r="B1198" t="s">
        <v>4046</v>
      </c>
      <c r="C1198">
        <v>14</v>
      </c>
      <c r="D1198" t="s">
        <v>1452</v>
      </c>
      <c r="E1198" t="s">
        <v>1453</v>
      </c>
      <c r="F1198" s="122" t="s">
        <v>1455</v>
      </c>
      <c r="G1198" s="122">
        <v>9</v>
      </c>
      <c r="H1198" s="122">
        <v>0</v>
      </c>
      <c r="I1198">
        <v>7938</v>
      </c>
      <c r="J1198">
        <v>0</v>
      </c>
      <c r="K1198" s="122" t="s">
        <v>4095</v>
      </c>
      <c r="L1198">
        <v>2000</v>
      </c>
    </row>
    <row r="1199" spans="1:12" ht="48" x14ac:dyDescent="0.2">
      <c r="A1199" t="s">
        <v>5252</v>
      </c>
      <c r="B1199" t="s">
        <v>4046</v>
      </c>
      <c r="C1199">
        <v>15</v>
      </c>
      <c r="D1199" t="s">
        <v>1452</v>
      </c>
      <c r="E1199" t="s">
        <v>1447</v>
      </c>
      <c r="F1199" s="122" t="s">
        <v>1457</v>
      </c>
      <c r="G1199" s="122">
        <v>50</v>
      </c>
      <c r="H1199" s="122">
        <v>0</v>
      </c>
      <c r="I1199">
        <v>7938</v>
      </c>
      <c r="J1199">
        <v>0</v>
      </c>
      <c r="K1199" s="122" t="s">
        <v>4171</v>
      </c>
      <c r="L1199">
        <v>2000</v>
      </c>
    </row>
    <row r="1200" spans="1:12" ht="80" x14ac:dyDescent="0.2">
      <c r="A1200" t="s">
        <v>5252</v>
      </c>
      <c r="B1200" t="s">
        <v>4046</v>
      </c>
      <c r="C1200">
        <v>16</v>
      </c>
      <c r="D1200" t="s">
        <v>1452</v>
      </c>
      <c r="E1200" t="s">
        <v>1434</v>
      </c>
      <c r="F1200" s="122" t="s">
        <v>1458</v>
      </c>
      <c r="G1200" s="122" t="s">
        <v>1497</v>
      </c>
      <c r="H1200" s="122" t="s">
        <v>5300</v>
      </c>
      <c r="I1200">
        <v>7938</v>
      </c>
      <c r="J1200">
        <v>0</v>
      </c>
      <c r="K1200" s="122" t="s">
        <v>5301</v>
      </c>
      <c r="L1200">
        <v>2000</v>
      </c>
    </row>
    <row r="1201" spans="1:12" ht="48" x14ac:dyDescent="0.2">
      <c r="A1201" t="s">
        <v>5252</v>
      </c>
      <c r="B1201" t="s">
        <v>4046</v>
      </c>
      <c r="C1201">
        <v>17</v>
      </c>
      <c r="D1201" t="s">
        <v>1452</v>
      </c>
      <c r="E1201" t="s">
        <v>1421</v>
      </c>
      <c r="F1201" s="122" t="s">
        <v>1460</v>
      </c>
      <c r="G1201" s="122" t="s">
        <v>1500</v>
      </c>
      <c r="H1201" s="122" t="s">
        <v>5302</v>
      </c>
      <c r="I1201">
        <v>7938</v>
      </c>
      <c r="J1201">
        <v>0</v>
      </c>
      <c r="K1201" s="122" t="s">
        <v>4388</v>
      </c>
      <c r="L1201">
        <v>2000</v>
      </c>
    </row>
    <row r="1202" spans="1:12" ht="80" x14ac:dyDescent="0.2">
      <c r="A1202" t="s">
        <v>5252</v>
      </c>
      <c r="B1202" t="s">
        <v>4046</v>
      </c>
      <c r="C1202">
        <v>18</v>
      </c>
      <c r="D1202" t="s">
        <v>1452</v>
      </c>
      <c r="E1202" t="s">
        <v>1440</v>
      </c>
      <c r="F1202" s="122" t="s">
        <v>1462</v>
      </c>
      <c r="G1202" s="122" t="s">
        <v>1502</v>
      </c>
      <c r="H1202" s="122" t="s">
        <v>5303</v>
      </c>
      <c r="I1202">
        <v>7938</v>
      </c>
      <c r="J1202">
        <v>0</v>
      </c>
      <c r="K1202" s="122" t="s">
        <v>5304</v>
      </c>
      <c r="L1202">
        <v>2000</v>
      </c>
    </row>
    <row r="1203" spans="1:12" ht="48" x14ac:dyDescent="0.2">
      <c r="A1203" t="s">
        <v>5252</v>
      </c>
      <c r="B1203" t="s">
        <v>4046</v>
      </c>
      <c r="C1203">
        <v>19</v>
      </c>
      <c r="D1203" t="s">
        <v>1452</v>
      </c>
      <c r="E1203" t="s">
        <v>1464</v>
      </c>
      <c r="F1203" s="122" t="s">
        <v>1465</v>
      </c>
      <c r="G1203" s="122" t="s">
        <v>1503</v>
      </c>
      <c r="H1203" s="122" t="s">
        <v>5305</v>
      </c>
    </row>
    <row r="1204" spans="1:12" x14ac:dyDescent="0.2">
      <c r="A1204" t="s">
        <v>5306</v>
      </c>
      <c r="B1204">
        <v>7938</v>
      </c>
      <c r="C1204">
        <v>0</v>
      </c>
      <c r="D1204" t="s">
        <v>5307</v>
      </c>
      <c r="E1204">
        <v>2000</v>
      </c>
    </row>
    <row r="1205" spans="1:12" ht="128" x14ac:dyDescent="0.2">
      <c r="A1205" t="s">
        <v>5252</v>
      </c>
      <c r="B1205" t="s">
        <v>4046</v>
      </c>
      <c r="C1205">
        <v>20</v>
      </c>
      <c r="D1205" t="s">
        <v>1452</v>
      </c>
      <c r="E1205" t="s">
        <v>1464</v>
      </c>
      <c r="F1205" s="122" t="s">
        <v>1467</v>
      </c>
      <c r="G1205" s="122" t="s">
        <v>1513</v>
      </c>
      <c r="H1205" s="122" t="s">
        <v>5308</v>
      </c>
    </row>
    <row r="1206" spans="1:12" x14ac:dyDescent="0.2">
      <c r="A1206" t="s">
        <v>3257</v>
      </c>
    </row>
    <row r="1207" spans="1:12" x14ac:dyDescent="0.2">
      <c r="A1207" t="s">
        <v>5309</v>
      </c>
      <c r="B1207">
        <v>7938</v>
      </c>
      <c r="C1207">
        <v>0</v>
      </c>
      <c r="D1207" t="s">
        <v>5310</v>
      </c>
      <c r="E1207">
        <v>2000</v>
      </c>
    </row>
    <row r="1208" spans="1:12" ht="64" x14ac:dyDescent="0.2">
      <c r="A1208" t="s">
        <v>5252</v>
      </c>
      <c r="B1208" t="s">
        <v>4110</v>
      </c>
      <c r="C1208">
        <v>1</v>
      </c>
      <c r="D1208" t="s">
        <v>1420</v>
      </c>
      <c r="E1208" t="s">
        <v>1421</v>
      </c>
      <c r="F1208" s="122" t="s">
        <v>1422</v>
      </c>
      <c r="G1208" s="122" t="s">
        <v>1423</v>
      </c>
      <c r="H1208" s="122" t="s">
        <v>5311</v>
      </c>
      <c r="I1208">
        <v>31934</v>
      </c>
      <c r="J1208">
        <v>0</v>
      </c>
      <c r="K1208" s="122" t="s">
        <v>5312</v>
      </c>
      <c r="L1208">
        <v>8000</v>
      </c>
    </row>
    <row r="1209" spans="1:12" ht="64" x14ac:dyDescent="0.2">
      <c r="A1209" t="s">
        <v>5252</v>
      </c>
      <c r="B1209" t="s">
        <v>4110</v>
      </c>
      <c r="C1209">
        <v>2</v>
      </c>
      <c r="D1209" t="s">
        <v>1420</v>
      </c>
      <c r="E1209" t="s">
        <v>1421</v>
      </c>
      <c r="F1209" s="122" t="s">
        <v>1425</v>
      </c>
      <c r="G1209" s="122">
        <v>8</v>
      </c>
      <c r="H1209" s="122">
        <v>2</v>
      </c>
      <c r="I1209">
        <v>31923</v>
      </c>
      <c r="J1209">
        <v>2</v>
      </c>
      <c r="K1209" s="122" t="s">
        <v>5313</v>
      </c>
      <c r="L1209">
        <v>8000</v>
      </c>
    </row>
    <row r="1210" spans="1:12" ht="64" x14ac:dyDescent="0.2">
      <c r="A1210" t="s">
        <v>5252</v>
      </c>
      <c r="B1210" t="s">
        <v>4110</v>
      </c>
      <c r="C1210">
        <v>3</v>
      </c>
      <c r="D1210" t="s">
        <v>1420</v>
      </c>
      <c r="E1210" t="s">
        <v>1421</v>
      </c>
      <c r="F1210" s="122" t="s">
        <v>1427</v>
      </c>
      <c r="G1210" s="122" t="s">
        <v>1428</v>
      </c>
      <c r="H1210" s="122" t="s">
        <v>5314</v>
      </c>
      <c r="I1210">
        <v>28496</v>
      </c>
      <c r="J1210">
        <v>0</v>
      </c>
      <c r="K1210" s="122" t="s">
        <v>3997</v>
      </c>
      <c r="L1210">
        <v>8000</v>
      </c>
    </row>
    <row r="1211" spans="1:12" ht="48" x14ac:dyDescent="0.2">
      <c r="A1211" t="s">
        <v>5252</v>
      </c>
      <c r="B1211" t="s">
        <v>4110</v>
      </c>
      <c r="C1211">
        <v>4</v>
      </c>
      <c r="D1211" t="s">
        <v>1420</v>
      </c>
      <c r="E1211" t="s">
        <v>1429</v>
      </c>
      <c r="F1211" s="122" t="s">
        <v>1430</v>
      </c>
      <c r="G1211" s="122">
        <v>88</v>
      </c>
      <c r="H1211" s="122">
        <v>47</v>
      </c>
      <c r="I1211">
        <v>29451</v>
      </c>
      <c r="J1211">
        <v>0</v>
      </c>
      <c r="K1211" s="122" t="s">
        <v>5315</v>
      </c>
      <c r="L1211">
        <v>8000</v>
      </c>
    </row>
    <row r="1212" spans="1:12" ht="64" x14ac:dyDescent="0.2">
      <c r="A1212" t="s">
        <v>5252</v>
      </c>
      <c r="B1212" t="s">
        <v>4110</v>
      </c>
      <c r="C1212">
        <v>5</v>
      </c>
      <c r="D1212" t="s">
        <v>1420</v>
      </c>
      <c r="E1212" t="s">
        <v>1421</v>
      </c>
      <c r="F1212" s="122" t="s">
        <v>1431</v>
      </c>
      <c r="G1212" s="122" t="s">
        <v>1432</v>
      </c>
      <c r="H1212" s="122" t="s">
        <v>3999</v>
      </c>
      <c r="I1212">
        <v>27738</v>
      </c>
      <c r="J1212">
        <v>3</v>
      </c>
      <c r="K1212" s="122" t="s">
        <v>4563</v>
      </c>
      <c r="L1212">
        <v>8000</v>
      </c>
    </row>
    <row r="1213" spans="1:12" ht="64" x14ac:dyDescent="0.2">
      <c r="A1213" t="s">
        <v>5252</v>
      </c>
      <c r="B1213" t="s">
        <v>4110</v>
      </c>
      <c r="C1213">
        <v>6</v>
      </c>
      <c r="D1213" t="s">
        <v>1433</v>
      </c>
      <c r="E1213" t="s">
        <v>1434</v>
      </c>
      <c r="F1213" s="122" t="s">
        <v>1435</v>
      </c>
      <c r="G1213" s="122" t="s">
        <v>1436</v>
      </c>
      <c r="H1213" s="122" t="s">
        <v>5316</v>
      </c>
      <c r="I1213">
        <v>31889</v>
      </c>
      <c r="J1213">
        <v>3</v>
      </c>
      <c r="K1213" s="122" t="s">
        <v>5122</v>
      </c>
      <c r="L1213">
        <v>8000</v>
      </c>
    </row>
    <row r="1214" spans="1:12" ht="128" x14ac:dyDescent="0.2">
      <c r="A1214" t="s">
        <v>5252</v>
      </c>
      <c r="B1214" t="s">
        <v>4110</v>
      </c>
      <c r="C1214">
        <v>7</v>
      </c>
      <c r="D1214" t="s">
        <v>1433</v>
      </c>
      <c r="E1214" t="s">
        <v>1434</v>
      </c>
      <c r="F1214" s="122" t="s">
        <v>1438</v>
      </c>
      <c r="G1214" s="122" t="s">
        <v>1469</v>
      </c>
      <c r="H1214" s="122" t="s">
        <v>5317</v>
      </c>
      <c r="I1214">
        <v>26064</v>
      </c>
      <c r="J1214">
        <v>0</v>
      </c>
      <c r="K1214" s="122" t="s">
        <v>5318</v>
      </c>
      <c r="L1214">
        <v>8000</v>
      </c>
    </row>
    <row r="1215" spans="1:12" ht="64" x14ac:dyDescent="0.2">
      <c r="A1215" t="s">
        <v>5252</v>
      </c>
      <c r="B1215" t="s">
        <v>4110</v>
      </c>
      <c r="C1215">
        <v>8</v>
      </c>
      <c r="D1215" t="s">
        <v>1433</v>
      </c>
      <c r="E1215" t="s">
        <v>1440</v>
      </c>
      <c r="F1215" s="122" t="s">
        <v>1441</v>
      </c>
      <c r="G1215" s="122" t="s">
        <v>1470</v>
      </c>
      <c r="H1215" s="122" t="s">
        <v>5319</v>
      </c>
      <c r="I1215">
        <v>31856</v>
      </c>
      <c r="J1215">
        <v>3</v>
      </c>
      <c r="K1215" s="122" t="s">
        <v>5320</v>
      </c>
      <c r="L1215">
        <v>8000</v>
      </c>
    </row>
    <row r="1216" spans="1:12" ht="64" x14ac:dyDescent="0.2">
      <c r="A1216" t="s">
        <v>5252</v>
      </c>
      <c r="B1216" t="s">
        <v>4110</v>
      </c>
      <c r="C1216">
        <v>9</v>
      </c>
      <c r="D1216" t="s">
        <v>1433</v>
      </c>
      <c r="E1216" t="s">
        <v>1440</v>
      </c>
      <c r="F1216" s="122" t="s">
        <v>1443</v>
      </c>
      <c r="G1216" s="122" t="s">
        <v>1477</v>
      </c>
      <c r="H1216" s="122" t="s">
        <v>5321</v>
      </c>
      <c r="I1216">
        <v>26225</v>
      </c>
      <c r="J1216">
        <v>2</v>
      </c>
      <c r="K1216" s="122" t="s">
        <v>5322</v>
      </c>
      <c r="L1216">
        <v>8000</v>
      </c>
    </row>
    <row r="1217" spans="1:12" ht="96" x14ac:dyDescent="0.2">
      <c r="A1217" t="s">
        <v>5252</v>
      </c>
      <c r="B1217" t="s">
        <v>4110</v>
      </c>
      <c r="C1217">
        <v>10</v>
      </c>
      <c r="D1217" t="s">
        <v>1433</v>
      </c>
      <c r="E1217" t="s">
        <v>1421</v>
      </c>
      <c r="F1217" s="122" t="s">
        <v>1445</v>
      </c>
      <c r="G1217" s="122" t="s">
        <v>1446</v>
      </c>
      <c r="H1217" s="122" t="s">
        <v>5323</v>
      </c>
      <c r="I1217">
        <v>28942</v>
      </c>
      <c r="J1217">
        <v>3</v>
      </c>
      <c r="K1217" s="122" t="s">
        <v>4401</v>
      </c>
      <c r="L1217">
        <v>8000</v>
      </c>
    </row>
    <row r="1218" spans="1:12" ht="64" x14ac:dyDescent="0.2">
      <c r="A1218" t="s">
        <v>5252</v>
      </c>
      <c r="B1218" t="s">
        <v>4110</v>
      </c>
      <c r="C1218">
        <v>11</v>
      </c>
      <c r="D1218" t="s">
        <v>1433</v>
      </c>
      <c r="E1218" t="s">
        <v>1447</v>
      </c>
      <c r="F1218" s="122" t="s">
        <v>1448</v>
      </c>
      <c r="G1218" s="122" t="s">
        <v>4011</v>
      </c>
      <c r="H1218" s="122" t="s">
        <v>5324</v>
      </c>
      <c r="I1218">
        <v>31899</v>
      </c>
      <c r="J1218">
        <v>3</v>
      </c>
      <c r="K1218" s="122" t="s">
        <v>5325</v>
      </c>
      <c r="L1218">
        <v>8000</v>
      </c>
    </row>
    <row r="1219" spans="1:12" ht="80" x14ac:dyDescent="0.2">
      <c r="A1219" t="s">
        <v>5252</v>
      </c>
      <c r="B1219" t="s">
        <v>4110</v>
      </c>
      <c r="C1219">
        <v>12</v>
      </c>
      <c r="D1219" t="s">
        <v>1433</v>
      </c>
      <c r="E1219" t="s">
        <v>1434</v>
      </c>
      <c r="F1219" s="122" t="s">
        <v>1450</v>
      </c>
      <c r="G1219" s="196">
        <v>16881928.100000001</v>
      </c>
      <c r="H1219" s="122" t="s">
        <v>5326</v>
      </c>
      <c r="I1219">
        <v>29453</v>
      </c>
      <c r="J1219">
        <v>3</v>
      </c>
      <c r="K1219" s="122" t="s">
        <v>5327</v>
      </c>
      <c r="L1219">
        <v>8000</v>
      </c>
    </row>
    <row r="1220" spans="1:12" ht="48" x14ac:dyDescent="0.2">
      <c r="A1220" t="s">
        <v>5252</v>
      </c>
      <c r="B1220" t="s">
        <v>4110</v>
      </c>
      <c r="C1220">
        <v>13</v>
      </c>
      <c r="D1220" t="s">
        <v>1452</v>
      </c>
      <c r="E1220" t="s">
        <v>1453</v>
      </c>
      <c r="F1220" s="122" t="s">
        <v>1454</v>
      </c>
      <c r="G1220" s="122">
        <v>19</v>
      </c>
      <c r="H1220" s="122" t="s">
        <v>5328</v>
      </c>
      <c r="I1220">
        <v>31839</v>
      </c>
      <c r="J1220">
        <v>2</v>
      </c>
      <c r="K1220" s="122" t="s">
        <v>5329</v>
      </c>
      <c r="L1220">
        <v>8000</v>
      </c>
    </row>
    <row r="1221" spans="1:12" ht="64" x14ac:dyDescent="0.2">
      <c r="A1221" t="s">
        <v>5252</v>
      </c>
      <c r="B1221" t="s">
        <v>4110</v>
      </c>
      <c r="C1221">
        <v>14</v>
      </c>
      <c r="D1221" t="s">
        <v>1452</v>
      </c>
      <c r="E1221" t="s">
        <v>1453</v>
      </c>
      <c r="F1221" s="122" t="s">
        <v>1455</v>
      </c>
      <c r="G1221" s="122">
        <v>9</v>
      </c>
      <c r="H1221" s="122">
        <v>10</v>
      </c>
      <c r="I1221">
        <v>26917</v>
      </c>
      <c r="J1221">
        <v>2</v>
      </c>
      <c r="K1221" s="122" t="s">
        <v>5330</v>
      </c>
      <c r="L1221">
        <v>8000</v>
      </c>
    </row>
    <row r="1222" spans="1:12" ht="48" x14ac:dyDescent="0.2">
      <c r="A1222" t="s">
        <v>5252</v>
      </c>
      <c r="B1222" t="s">
        <v>4110</v>
      </c>
      <c r="C1222">
        <v>15</v>
      </c>
      <c r="D1222" t="s">
        <v>1452</v>
      </c>
      <c r="E1222" t="s">
        <v>1447</v>
      </c>
      <c r="F1222" s="122" t="s">
        <v>1457</v>
      </c>
      <c r="G1222" s="122">
        <v>50</v>
      </c>
      <c r="H1222" s="122">
        <v>15</v>
      </c>
      <c r="I1222">
        <v>31901</v>
      </c>
      <c r="J1222">
        <v>0</v>
      </c>
      <c r="K1222" s="122" t="s">
        <v>5331</v>
      </c>
      <c r="L1222">
        <v>8000</v>
      </c>
    </row>
    <row r="1223" spans="1:12" ht="64" x14ac:dyDescent="0.2">
      <c r="A1223" t="s">
        <v>5252</v>
      </c>
      <c r="B1223" t="s">
        <v>4110</v>
      </c>
      <c r="C1223">
        <v>16</v>
      </c>
      <c r="D1223" t="s">
        <v>1452</v>
      </c>
      <c r="E1223" t="s">
        <v>1434</v>
      </c>
      <c r="F1223" s="122" t="s">
        <v>1458</v>
      </c>
      <c r="G1223" s="122" t="s">
        <v>1497</v>
      </c>
      <c r="H1223" s="122" t="s">
        <v>5332</v>
      </c>
      <c r="I1223">
        <v>29800</v>
      </c>
      <c r="J1223">
        <v>0</v>
      </c>
      <c r="K1223" s="122" t="s">
        <v>5333</v>
      </c>
      <c r="L1223">
        <v>8000</v>
      </c>
    </row>
    <row r="1224" spans="1:12" ht="48" x14ac:dyDescent="0.2">
      <c r="A1224" t="s">
        <v>5252</v>
      </c>
      <c r="B1224" t="s">
        <v>4110</v>
      </c>
      <c r="C1224">
        <v>17</v>
      </c>
      <c r="D1224" t="s">
        <v>1452</v>
      </c>
      <c r="E1224" t="s">
        <v>1421</v>
      </c>
      <c r="F1224" s="122" t="s">
        <v>1460</v>
      </c>
      <c r="G1224" s="122" t="s">
        <v>1500</v>
      </c>
      <c r="H1224" s="122" t="s">
        <v>5334</v>
      </c>
      <c r="I1224">
        <v>29348</v>
      </c>
      <c r="J1224">
        <v>0</v>
      </c>
      <c r="K1224" s="122" t="s">
        <v>4388</v>
      </c>
      <c r="L1224">
        <v>8000</v>
      </c>
    </row>
    <row r="1225" spans="1:12" ht="112" x14ac:dyDescent="0.2">
      <c r="A1225" t="s">
        <v>5252</v>
      </c>
      <c r="B1225" t="s">
        <v>4110</v>
      </c>
      <c r="C1225">
        <v>18</v>
      </c>
      <c r="D1225" t="s">
        <v>1452</v>
      </c>
      <c r="E1225" t="s">
        <v>1440</v>
      </c>
      <c r="F1225" s="122" t="s">
        <v>1462</v>
      </c>
      <c r="G1225" s="122" t="s">
        <v>1502</v>
      </c>
      <c r="H1225" s="122" t="s">
        <v>5335</v>
      </c>
      <c r="I1225">
        <v>31609</v>
      </c>
      <c r="J1225">
        <v>0</v>
      </c>
      <c r="K1225" s="122" t="s">
        <v>3997</v>
      </c>
      <c r="L1225">
        <v>8000</v>
      </c>
    </row>
    <row r="1226" spans="1:12" ht="80" x14ac:dyDescent="0.2">
      <c r="A1226" t="s">
        <v>5252</v>
      </c>
      <c r="B1226" t="s">
        <v>4110</v>
      </c>
      <c r="C1226">
        <v>19</v>
      </c>
      <c r="D1226" t="s">
        <v>1452</v>
      </c>
      <c r="E1226" t="s">
        <v>1464</v>
      </c>
      <c r="F1226" s="122" t="s">
        <v>1465</v>
      </c>
      <c r="G1226" s="122" t="s">
        <v>1503</v>
      </c>
      <c r="H1226" s="122" t="s">
        <v>5336</v>
      </c>
      <c r="I1226">
        <v>29254</v>
      </c>
      <c r="J1226">
        <v>0</v>
      </c>
      <c r="K1226" s="122" t="s">
        <v>5068</v>
      </c>
      <c r="L1226">
        <v>8000</v>
      </c>
    </row>
    <row r="1227" spans="1:12" ht="128" x14ac:dyDescent="0.2">
      <c r="A1227" t="s">
        <v>5252</v>
      </c>
      <c r="B1227" t="s">
        <v>4110</v>
      </c>
      <c r="C1227">
        <v>20</v>
      </c>
      <c r="D1227" t="s">
        <v>1452</v>
      </c>
      <c r="E1227" t="s">
        <v>1464</v>
      </c>
      <c r="F1227" s="122" t="s">
        <v>1467</v>
      </c>
      <c r="G1227" s="122" t="s">
        <v>1513</v>
      </c>
      <c r="H1227" s="122" t="s">
        <v>5337</v>
      </c>
    </row>
    <row r="1228" spans="1:12" x14ac:dyDescent="0.2">
      <c r="A1228" t="s">
        <v>3297</v>
      </c>
    </row>
    <row r="1229" spans="1:12" x14ac:dyDescent="0.2">
      <c r="A1229" t="s">
        <v>5338</v>
      </c>
      <c r="B1229" t="s">
        <v>5339</v>
      </c>
      <c r="C1229">
        <v>31914</v>
      </c>
      <c r="D1229">
        <v>0</v>
      </c>
      <c r="E1229" t="s">
        <v>5340</v>
      </c>
      <c r="F1229" s="122">
        <v>8000</v>
      </c>
    </row>
    <row r="1230" spans="1:12" ht="48" x14ac:dyDescent="0.2">
      <c r="A1230" t="s">
        <v>5252</v>
      </c>
      <c r="B1230" t="s">
        <v>4155</v>
      </c>
      <c r="C1230">
        <v>1</v>
      </c>
      <c r="D1230" t="s">
        <v>1420</v>
      </c>
      <c r="E1230" t="s">
        <v>1421</v>
      </c>
      <c r="F1230" s="122" t="s">
        <v>1422</v>
      </c>
      <c r="G1230" s="122" t="s">
        <v>1423</v>
      </c>
      <c r="H1230" s="122" t="s">
        <v>5263</v>
      </c>
      <c r="I1230">
        <v>31863</v>
      </c>
      <c r="J1230">
        <v>0</v>
      </c>
      <c r="K1230" s="122" t="s">
        <v>5341</v>
      </c>
      <c r="L1230">
        <v>8000</v>
      </c>
    </row>
    <row r="1231" spans="1:12" ht="64" x14ac:dyDescent="0.2">
      <c r="A1231" t="s">
        <v>5252</v>
      </c>
      <c r="B1231" t="s">
        <v>4155</v>
      </c>
      <c r="C1231">
        <v>2</v>
      </c>
      <c r="D1231" t="s">
        <v>1420</v>
      </c>
      <c r="E1231" t="s">
        <v>1421</v>
      </c>
      <c r="F1231" s="122" t="s">
        <v>1425</v>
      </c>
      <c r="G1231" s="122">
        <v>8</v>
      </c>
      <c r="H1231" s="122" t="s">
        <v>5342</v>
      </c>
      <c r="I1231">
        <v>31863</v>
      </c>
      <c r="J1231">
        <v>0</v>
      </c>
      <c r="K1231" s="122" t="s">
        <v>4740</v>
      </c>
      <c r="L1231">
        <v>8000</v>
      </c>
    </row>
    <row r="1232" spans="1:12" ht="64" x14ac:dyDescent="0.2">
      <c r="A1232" t="s">
        <v>5252</v>
      </c>
      <c r="B1232" t="s">
        <v>4155</v>
      </c>
      <c r="C1232">
        <v>3</v>
      </c>
      <c r="D1232" t="s">
        <v>1420</v>
      </c>
      <c r="E1232" t="s">
        <v>1421</v>
      </c>
      <c r="F1232" s="122" t="s">
        <v>1427</v>
      </c>
      <c r="G1232" s="122" t="s">
        <v>1428</v>
      </c>
      <c r="H1232" s="122" t="s">
        <v>5343</v>
      </c>
      <c r="I1232">
        <v>31863</v>
      </c>
      <c r="J1232">
        <v>0</v>
      </c>
      <c r="K1232" s="122" t="s">
        <v>5344</v>
      </c>
      <c r="L1232">
        <v>8000</v>
      </c>
    </row>
    <row r="1233" spans="1:12" ht="48" x14ac:dyDescent="0.2">
      <c r="A1233" t="s">
        <v>5252</v>
      </c>
      <c r="B1233" t="s">
        <v>4155</v>
      </c>
      <c r="C1233">
        <v>4</v>
      </c>
      <c r="D1233" t="s">
        <v>1420</v>
      </c>
      <c r="E1233" t="s">
        <v>1429</v>
      </c>
      <c r="F1233" s="122" t="s">
        <v>1430</v>
      </c>
      <c r="G1233" s="122">
        <v>88</v>
      </c>
      <c r="H1233" s="122">
        <v>15</v>
      </c>
      <c r="I1233">
        <v>31863</v>
      </c>
      <c r="J1233">
        <v>0</v>
      </c>
      <c r="K1233" s="122" t="s">
        <v>5345</v>
      </c>
      <c r="L1233">
        <v>8000</v>
      </c>
    </row>
    <row r="1234" spans="1:12" ht="64" x14ac:dyDescent="0.2">
      <c r="A1234" t="s">
        <v>5252</v>
      </c>
      <c r="B1234" t="s">
        <v>4155</v>
      </c>
      <c r="C1234">
        <v>5</v>
      </c>
      <c r="D1234" t="s">
        <v>1420</v>
      </c>
      <c r="E1234" t="s">
        <v>1421</v>
      </c>
      <c r="F1234" s="122" t="s">
        <v>1431</v>
      </c>
      <c r="G1234" s="122" t="s">
        <v>1432</v>
      </c>
      <c r="H1234" s="122" t="s">
        <v>5346</v>
      </c>
      <c r="I1234">
        <v>31863</v>
      </c>
      <c r="J1234">
        <v>0</v>
      </c>
      <c r="K1234" s="122" t="s">
        <v>5347</v>
      </c>
      <c r="L1234">
        <v>8000</v>
      </c>
    </row>
    <row r="1235" spans="1:12" ht="48" x14ac:dyDescent="0.2">
      <c r="A1235" t="s">
        <v>5252</v>
      </c>
      <c r="B1235" t="s">
        <v>4155</v>
      </c>
      <c r="C1235">
        <v>6</v>
      </c>
      <c r="D1235" t="s">
        <v>1433</v>
      </c>
      <c r="E1235" t="s">
        <v>1434</v>
      </c>
      <c r="F1235" s="122" t="s">
        <v>1435</v>
      </c>
      <c r="G1235" s="122" t="s">
        <v>1436</v>
      </c>
      <c r="H1235" s="122" t="s">
        <v>5348</v>
      </c>
      <c r="I1235">
        <v>31863</v>
      </c>
      <c r="J1235">
        <v>0</v>
      </c>
      <c r="K1235" s="122" t="s">
        <v>5349</v>
      </c>
      <c r="L1235">
        <v>8000</v>
      </c>
    </row>
    <row r="1236" spans="1:12" ht="80" x14ac:dyDescent="0.2">
      <c r="A1236" t="s">
        <v>5252</v>
      </c>
      <c r="B1236" t="s">
        <v>4155</v>
      </c>
      <c r="C1236">
        <v>7</v>
      </c>
      <c r="D1236" t="s">
        <v>1433</v>
      </c>
      <c r="E1236" t="s">
        <v>1434</v>
      </c>
      <c r="F1236" s="122" t="s">
        <v>1438</v>
      </c>
      <c r="G1236" s="122" t="s">
        <v>1469</v>
      </c>
      <c r="H1236" s="122" t="s">
        <v>5350</v>
      </c>
      <c r="I1236">
        <v>31863</v>
      </c>
      <c r="J1236">
        <v>0</v>
      </c>
      <c r="K1236" s="122" t="s">
        <v>5351</v>
      </c>
      <c r="L1236">
        <v>8000</v>
      </c>
    </row>
    <row r="1237" spans="1:12" ht="112" x14ac:dyDescent="0.2">
      <c r="A1237" t="s">
        <v>5252</v>
      </c>
      <c r="B1237" t="s">
        <v>4155</v>
      </c>
      <c r="C1237">
        <v>8</v>
      </c>
      <c r="D1237" t="s">
        <v>1433</v>
      </c>
      <c r="E1237" t="s">
        <v>1440</v>
      </c>
      <c r="F1237" s="122" t="s">
        <v>1441</v>
      </c>
      <c r="G1237" s="122" t="s">
        <v>1470</v>
      </c>
      <c r="H1237" s="122" t="s">
        <v>5352</v>
      </c>
      <c r="I1237">
        <v>31863</v>
      </c>
      <c r="J1237">
        <v>0</v>
      </c>
      <c r="K1237" s="122" t="s">
        <v>5353</v>
      </c>
      <c r="L1237">
        <v>8000</v>
      </c>
    </row>
    <row r="1238" spans="1:12" ht="64" x14ac:dyDescent="0.2">
      <c r="A1238" t="s">
        <v>5252</v>
      </c>
      <c r="B1238" t="s">
        <v>4155</v>
      </c>
      <c r="C1238">
        <v>9</v>
      </c>
      <c r="D1238" t="s">
        <v>1433</v>
      </c>
      <c r="E1238" t="s">
        <v>1440</v>
      </c>
      <c r="F1238" s="122" t="s">
        <v>1443</v>
      </c>
      <c r="G1238" s="122" t="s">
        <v>1477</v>
      </c>
      <c r="H1238" s="122" t="s">
        <v>5354</v>
      </c>
    </row>
    <row r="1240" spans="1:12" x14ac:dyDescent="0.2">
      <c r="A1240" t="s">
        <v>5355</v>
      </c>
      <c r="B1240">
        <v>31863</v>
      </c>
      <c r="C1240">
        <v>2</v>
      </c>
      <c r="D1240" t="s">
        <v>5356</v>
      </c>
      <c r="E1240">
        <v>8000</v>
      </c>
    </row>
    <row r="1241" spans="1:12" ht="80" x14ac:dyDescent="0.2">
      <c r="A1241" t="s">
        <v>5252</v>
      </c>
      <c r="B1241" t="s">
        <v>4155</v>
      </c>
      <c r="C1241">
        <v>10</v>
      </c>
      <c r="D1241" t="s">
        <v>1433</v>
      </c>
      <c r="E1241" t="s">
        <v>1421</v>
      </c>
      <c r="F1241" s="122" t="s">
        <v>1445</v>
      </c>
      <c r="G1241" s="122" t="s">
        <v>1446</v>
      </c>
      <c r="H1241" s="122">
        <v>3220</v>
      </c>
      <c r="I1241">
        <v>31863</v>
      </c>
      <c r="J1241">
        <v>0</v>
      </c>
      <c r="K1241" s="122" t="s">
        <v>5357</v>
      </c>
      <c r="L1241">
        <v>8000</v>
      </c>
    </row>
    <row r="1242" spans="1:12" ht="64" x14ac:dyDescent="0.2">
      <c r="A1242" t="s">
        <v>5252</v>
      </c>
      <c r="B1242" t="s">
        <v>4155</v>
      </c>
      <c r="C1242">
        <v>11</v>
      </c>
      <c r="D1242" t="s">
        <v>1433</v>
      </c>
      <c r="E1242" t="s">
        <v>1447</v>
      </c>
      <c r="F1242" s="122" t="s">
        <v>1448</v>
      </c>
      <c r="G1242" s="122" t="s">
        <v>4011</v>
      </c>
      <c r="H1242" s="122" t="s">
        <v>5358</v>
      </c>
      <c r="I1242">
        <v>31863</v>
      </c>
      <c r="J1242">
        <v>0</v>
      </c>
      <c r="K1242" s="122" t="s">
        <v>5359</v>
      </c>
      <c r="L1242">
        <v>8000</v>
      </c>
    </row>
    <row r="1243" spans="1:12" ht="48" x14ac:dyDescent="0.2">
      <c r="A1243" t="s">
        <v>5252</v>
      </c>
      <c r="B1243" t="s">
        <v>4155</v>
      </c>
      <c r="C1243">
        <v>12</v>
      </c>
      <c r="D1243" t="s">
        <v>1433</v>
      </c>
      <c r="E1243" t="s">
        <v>1434</v>
      </c>
      <c r="F1243" s="122" t="s">
        <v>1450</v>
      </c>
      <c r="G1243" s="196">
        <v>16881928.100000001</v>
      </c>
      <c r="H1243" s="122" t="s">
        <v>5263</v>
      </c>
      <c r="I1243">
        <v>31863</v>
      </c>
      <c r="J1243">
        <v>0</v>
      </c>
      <c r="K1243" s="122" t="s">
        <v>5360</v>
      </c>
      <c r="L1243">
        <v>8000</v>
      </c>
    </row>
    <row r="1244" spans="1:12" ht="48" x14ac:dyDescent="0.2">
      <c r="A1244" t="s">
        <v>5252</v>
      </c>
      <c r="B1244" t="s">
        <v>4155</v>
      </c>
      <c r="C1244">
        <v>13</v>
      </c>
      <c r="D1244" t="s">
        <v>1452</v>
      </c>
      <c r="E1244" t="s">
        <v>1453</v>
      </c>
      <c r="F1244" s="122" t="s">
        <v>1454</v>
      </c>
      <c r="G1244" s="122">
        <v>19</v>
      </c>
      <c r="H1244" s="122">
        <v>10</v>
      </c>
      <c r="I1244">
        <v>31863</v>
      </c>
      <c r="J1244">
        <v>2</v>
      </c>
      <c r="K1244" s="122" t="s">
        <v>5361</v>
      </c>
      <c r="L1244">
        <v>8000</v>
      </c>
    </row>
    <row r="1245" spans="1:12" ht="48" x14ac:dyDescent="0.2">
      <c r="A1245" t="s">
        <v>5252</v>
      </c>
      <c r="B1245" t="s">
        <v>4155</v>
      </c>
      <c r="C1245">
        <v>14</v>
      </c>
      <c r="D1245" t="s">
        <v>1452</v>
      </c>
      <c r="E1245" t="s">
        <v>1453</v>
      </c>
      <c r="F1245" s="122" t="s">
        <v>1455</v>
      </c>
      <c r="G1245" s="122">
        <v>9</v>
      </c>
      <c r="H1245" s="122">
        <v>1</v>
      </c>
      <c r="I1245">
        <v>31863</v>
      </c>
      <c r="J1245">
        <v>0</v>
      </c>
      <c r="K1245" s="122" t="s">
        <v>5362</v>
      </c>
      <c r="L1245">
        <v>8000</v>
      </c>
    </row>
    <row r="1246" spans="1:12" ht="64" x14ac:dyDescent="0.2">
      <c r="A1246" t="s">
        <v>5252</v>
      </c>
      <c r="B1246" t="s">
        <v>4155</v>
      </c>
      <c r="C1246">
        <v>15</v>
      </c>
      <c r="D1246" t="s">
        <v>1452</v>
      </c>
      <c r="E1246" t="s">
        <v>1447</v>
      </c>
      <c r="F1246" s="122" t="s">
        <v>1457</v>
      </c>
      <c r="G1246" s="122">
        <v>50</v>
      </c>
      <c r="H1246" s="122">
        <v>11</v>
      </c>
      <c r="I1246">
        <v>31863</v>
      </c>
      <c r="J1246">
        <v>2</v>
      </c>
      <c r="K1246" s="122" t="s">
        <v>5363</v>
      </c>
      <c r="L1246">
        <v>8000</v>
      </c>
    </row>
    <row r="1247" spans="1:12" ht="64" x14ac:dyDescent="0.2">
      <c r="A1247" t="s">
        <v>5252</v>
      </c>
      <c r="B1247" t="s">
        <v>4155</v>
      </c>
      <c r="C1247">
        <v>16</v>
      </c>
      <c r="D1247" t="s">
        <v>1452</v>
      </c>
      <c r="E1247" t="s">
        <v>1434</v>
      </c>
      <c r="F1247" s="122" t="s">
        <v>1458</v>
      </c>
      <c r="G1247" s="122" t="s">
        <v>1497</v>
      </c>
      <c r="H1247" s="122" t="s">
        <v>5364</v>
      </c>
    </row>
    <row r="1249" spans="1:36" ht="16" x14ac:dyDescent="0.2">
      <c r="A1249" t="s">
        <v>5365</v>
      </c>
      <c r="B1249">
        <v>0</v>
      </c>
      <c r="C1249" t="s">
        <v>5366</v>
      </c>
      <c r="D1249">
        <v>837</v>
      </c>
      <c r="E1249" t="s">
        <v>5367</v>
      </c>
      <c r="F1249" s="122" t="s">
        <v>4618</v>
      </c>
      <c r="G1249" s="122">
        <v>297</v>
      </c>
      <c r="H1249" s="122" t="s">
        <v>5368</v>
      </c>
      <c r="I1249" t="s">
        <v>5369</v>
      </c>
      <c r="J1249">
        <v>168</v>
      </c>
      <c r="K1249" s="122" t="s">
        <v>5370</v>
      </c>
      <c r="L1249">
        <v>85</v>
      </c>
      <c r="M1249" t="s">
        <v>5371</v>
      </c>
      <c r="N1249" t="s">
        <v>5372</v>
      </c>
      <c r="O1249" t="s">
        <v>5373</v>
      </c>
      <c r="P1249" t="s">
        <v>5374</v>
      </c>
      <c r="Q1249" t="s">
        <v>5375</v>
      </c>
      <c r="R1249" t="s">
        <v>5376</v>
      </c>
      <c r="S1249" t="s">
        <v>5377</v>
      </c>
      <c r="T1249" t="s">
        <v>5378</v>
      </c>
      <c r="U1249" t="s">
        <v>5379</v>
      </c>
      <c r="V1249" t="s">
        <v>5380</v>
      </c>
      <c r="W1249" t="s">
        <v>5381</v>
      </c>
      <c r="X1249" t="s">
        <v>5382</v>
      </c>
      <c r="Y1249" t="s">
        <v>5383</v>
      </c>
      <c r="Z1249">
        <v>787</v>
      </c>
      <c r="AA1249" t="s">
        <v>5384</v>
      </c>
      <c r="AB1249" t="s">
        <v>5385</v>
      </c>
      <c r="AC1249">
        <v>77</v>
      </c>
      <c r="AD1249" t="s">
        <v>5386</v>
      </c>
      <c r="AE1249">
        <v>670</v>
      </c>
      <c r="AF1249" t="s">
        <v>5387</v>
      </c>
      <c r="AG1249">
        <v>875</v>
      </c>
      <c r="AH1249" t="s">
        <v>5388</v>
      </c>
      <c r="AI1249">
        <v>0</v>
      </c>
      <c r="AJ1249" t="s">
        <v>5389</v>
      </c>
    </row>
    <row r="1251" spans="1:36" x14ac:dyDescent="0.2">
      <c r="A1251" t="s">
        <v>5390</v>
      </c>
      <c r="B1251">
        <v>663</v>
      </c>
      <c r="C1251" t="s">
        <v>5391</v>
      </c>
      <c r="D1251">
        <v>0</v>
      </c>
      <c r="E1251" t="s">
        <v>5392</v>
      </c>
    </row>
    <row r="1253" spans="1:36" x14ac:dyDescent="0.2">
      <c r="A1253" t="s">
        <v>5393</v>
      </c>
      <c r="B1253">
        <v>31863</v>
      </c>
      <c r="C1253">
        <v>0</v>
      </c>
      <c r="D1253" t="s">
        <v>5394</v>
      </c>
      <c r="E1253">
        <v>8000</v>
      </c>
    </row>
    <row r="1254" spans="1:36" ht="80" x14ac:dyDescent="0.2">
      <c r="A1254" t="s">
        <v>5252</v>
      </c>
      <c r="B1254" t="s">
        <v>4155</v>
      </c>
      <c r="C1254">
        <v>17</v>
      </c>
      <c r="D1254" t="s">
        <v>1452</v>
      </c>
      <c r="E1254" t="s">
        <v>1421</v>
      </c>
      <c r="F1254" s="122" t="s">
        <v>1460</v>
      </c>
      <c r="G1254" s="122" t="s">
        <v>1500</v>
      </c>
      <c r="H1254" s="122" t="s">
        <v>5395</v>
      </c>
      <c r="I1254">
        <v>31863</v>
      </c>
      <c r="J1254">
        <v>0</v>
      </c>
      <c r="K1254" s="122" t="s">
        <v>5396</v>
      </c>
      <c r="L1254">
        <v>8000</v>
      </c>
    </row>
    <row r="1255" spans="1:36" ht="64" x14ac:dyDescent="0.2">
      <c r="A1255" t="s">
        <v>5252</v>
      </c>
      <c r="B1255" t="s">
        <v>4155</v>
      </c>
      <c r="C1255">
        <v>18</v>
      </c>
      <c r="D1255" t="s">
        <v>1452</v>
      </c>
      <c r="E1255" t="s">
        <v>1440</v>
      </c>
      <c r="F1255" s="122" t="s">
        <v>1462</v>
      </c>
      <c r="G1255" s="122" t="s">
        <v>1502</v>
      </c>
      <c r="H1255" s="122" t="s">
        <v>5397</v>
      </c>
      <c r="I1255">
        <v>31863</v>
      </c>
      <c r="J1255">
        <v>0</v>
      </c>
      <c r="K1255" s="122" t="s">
        <v>4669</v>
      </c>
      <c r="L1255">
        <v>8000</v>
      </c>
    </row>
    <row r="1256" spans="1:36" ht="48" x14ac:dyDescent="0.2">
      <c r="A1256" t="s">
        <v>5252</v>
      </c>
      <c r="B1256" t="s">
        <v>4155</v>
      </c>
      <c r="C1256">
        <v>19</v>
      </c>
      <c r="D1256" t="s">
        <v>1452</v>
      </c>
      <c r="E1256" t="s">
        <v>1464</v>
      </c>
      <c r="F1256" s="122" t="s">
        <v>1465</v>
      </c>
      <c r="G1256" s="122" t="s">
        <v>1503</v>
      </c>
      <c r="H1256" s="122" t="s">
        <v>4175</v>
      </c>
    </row>
    <row r="1257" spans="1:36" x14ac:dyDescent="0.2">
      <c r="A1257" t="s">
        <v>5398</v>
      </c>
      <c r="B1257">
        <v>31863</v>
      </c>
      <c r="C1257">
        <v>0</v>
      </c>
      <c r="D1257" t="s">
        <v>4106</v>
      </c>
      <c r="E1257">
        <v>8000</v>
      </c>
    </row>
    <row r="1258" spans="1:36" ht="128" x14ac:dyDescent="0.2">
      <c r="A1258" t="s">
        <v>5252</v>
      </c>
      <c r="B1258" t="s">
        <v>4155</v>
      </c>
      <c r="C1258">
        <v>20</v>
      </c>
      <c r="D1258" t="s">
        <v>1452</v>
      </c>
      <c r="E1258" t="s">
        <v>1464</v>
      </c>
      <c r="F1258" s="122" t="s">
        <v>1467</v>
      </c>
      <c r="G1258" s="122" t="s">
        <v>1513</v>
      </c>
      <c r="H1258" s="122" t="s">
        <v>5399</v>
      </c>
    </row>
    <row r="1259" spans="1:36" ht="16" x14ac:dyDescent="0.2">
      <c r="A1259" t="s">
        <v>5400</v>
      </c>
      <c r="B1259" t="s">
        <v>5401</v>
      </c>
      <c r="C1259">
        <v>297</v>
      </c>
      <c r="D1259" t="s">
        <v>5402</v>
      </c>
      <c r="E1259">
        <v>553</v>
      </c>
      <c r="F1259" s="122" t="s">
        <v>5403</v>
      </c>
    </row>
    <row r="1260" spans="1:36" ht="16" x14ac:dyDescent="0.2">
      <c r="A1260" t="s">
        <v>5404</v>
      </c>
      <c r="B1260" t="s">
        <v>5405</v>
      </c>
      <c r="C1260">
        <v>249</v>
      </c>
      <c r="D1260" t="s">
        <v>5406</v>
      </c>
      <c r="E1260">
        <v>512</v>
      </c>
      <c r="F1260" s="122" t="s">
        <v>5407</v>
      </c>
      <c r="G1260" s="122">
        <v>31863</v>
      </c>
      <c r="H1260" s="122">
        <v>0</v>
      </c>
      <c r="I1260" t="s">
        <v>5408</v>
      </c>
      <c r="J1260">
        <v>8000</v>
      </c>
    </row>
    <row r="1261" spans="1:36" ht="64" x14ac:dyDescent="0.2">
      <c r="A1261" t="s">
        <v>5252</v>
      </c>
      <c r="B1261" t="s">
        <v>4184</v>
      </c>
      <c r="C1261">
        <v>1</v>
      </c>
      <c r="D1261" t="s">
        <v>1420</v>
      </c>
      <c r="E1261" t="s">
        <v>1421</v>
      </c>
      <c r="F1261" s="122" t="s">
        <v>1422</v>
      </c>
      <c r="G1261" s="122" t="s">
        <v>1423</v>
      </c>
      <c r="H1261" s="122" t="s">
        <v>5311</v>
      </c>
      <c r="I1261">
        <v>32265</v>
      </c>
      <c r="J1261">
        <v>0</v>
      </c>
      <c r="K1261" s="122" t="s">
        <v>5312</v>
      </c>
      <c r="L1261">
        <v>16000</v>
      </c>
    </row>
    <row r="1262" spans="1:36" ht="48" x14ac:dyDescent="0.2">
      <c r="A1262" t="s">
        <v>5252</v>
      </c>
      <c r="B1262" t="s">
        <v>4184</v>
      </c>
      <c r="C1262">
        <v>2</v>
      </c>
      <c r="D1262" t="s">
        <v>1420</v>
      </c>
      <c r="E1262" t="s">
        <v>1421</v>
      </c>
      <c r="F1262" s="122" t="s">
        <v>1425</v>
      </c>
      <c r="G1262" s="122">
        <v>8</v>
      </c>
      <c r="H1262" s="122">
        <v>5</v>
      </c>
      <c r="I1262">
        <v>44203</v>
      </c>
      <c r="J1262">
        <v>2</v>
      </c>
      <c r="K1262" s="122" t="s">
        <v>5409</v>
      </c>
      <c r="L1262">
        <v>16000</v>
      </c>
    </row>
    <row r="1263" spans="1:36" ht="64" x14ac:dyDescent="0.2">
      <c r="A1263" t="s">
        <v>5252</v>
      </c>
      <c r="B1263" t="s">
        <v>4184</v>
      </c>
      <c r="C1263">
        <v>3</v>
      </c>
      <c r="D1263" t="s">
        <v>1420</v>
      </c>
      <c r="E1263" t="s">
        <v>1421</v>
      </c>
      <c r="F1263" s="122" t="s">
        <v>1427</v>
      </c>
      <c r="G1263" s="122" t="s">
        <v>1428</v>
      </c>
      <c r="H1263" s="122" t="s">
        <v>5314</v>
      </c>
      <c r="I1263">
        <v>28496</v>
      </c>
      <c r="J1263">
        <v>0</v>
      </c>
      <c r="K1263" s="122" t="s">
        <v>3997</v>
      </c>
      <c r="L1263">
        <v>16000</v>
      </c>
    </row>
    <row r="1264" spans="1:36" ht="48" x14ac:dyDescent="0.2">
      <c r="A1264" t="s">
        <v>5252</v>
      </c>
      <c r="B1264" t="s">
        <v>4184</v>
      </c>
      <c r="C1264">
        <v>4</v>
      </c>
      <c r="D1264" t="s">
        <v>1420</v>
      </c>
      <c r="E1264" t="s">
        <v>1429</v>
      </c>
      <c r="F1264" s="122" t="s">
        <v>1430</v>
      </c>
      <c r="G1264" s="122">
        <v>88</v>
      </c>
      <c r="H1264" s="122">
        <v>47</v>
      </c>
      <c r="I1264">
        <v>29451</v>
      </c>
      <c r="J1264">
        <v>0</v>
      </c>
      <c r="K1264" s="122" t="s">
        <v>5315</v>
      </c>
      <c r="L1264">
        <v>16000</v>
      </c>
    </row>
    <row r="1265" spans="1:12" ht="64" x14ac:dyDescent="0.2">
      <c r="A1265" t="s">
        <v>5252</v>
      </c>
      <c r="B1265" t="s">
        <v>4184</v>
      </c>
      <c r="C1265">
        <v>5</v>
      </c>
      <c r="D1265" t="s">
        <v>1420</v>
      </c>
      <c r="E1265" t="s">
        <v>1421</v>
      </c>
      <c r="F1265" s="122" t="s">
        <v>1431</v>
      </c>
      <c r="G1265" s="122" t="s">
        <v>1432</v>
      </c>
      <c r="H1265" s="122" t="s">
        <v>3999</v>
      </c>
      <c r="I1265">
        <v>27738</v>
      </c>
      <c r="J1265">
        <v>3</v>
      </c>
      <c r="K1265" s="122" t="s">
        <v>4189</v>
      </c>
      <c r="L1265">
        <v>16000</v>
      </c>
    </row>
    <row r="1266" spans="1:12" ht="64" x14ac:dyDescent="0.2">
      <c r="A1266" t="s">
        <v>5252</v>
      </c>
      <c r="B1266" t="s">
        <v>4184</v>
      </c>
      <c r="C1266">
        <v>6</v>
      </c>
      <c r="D1266" t="s">
        <v>1433</v>
      </c>
      <c r="E1266" t="s">
        <v>1434</v>
      </c>
      <c r="F1266" s="122" t="s">
        <v>1435</v>
      </c>
      <c r="G1266" s="122" t="s">
        <v>1436</v>
      </c>
      <c r="H1266" s="122" t="s">
        <v>5316</v>
      </c>
      <c r="I1266">
        <v>32711</v>
      </c>
      <c r="J1266">
        <v>3</v>
      </c>
      <c r="K1266" s="122" t="s">
        <v>5410</v>
      </c>
      <c r="L1266">
        <v>16000</v>
      </c>
    </row>
    <row r="1267" spans="1:12" ht="128" x14ac:dyDescent="0.2">
      <c r="A1267" t="s">
        <v>5252</v>
      </c>
      <c r="B1267" t="s">
        <v>4184</v>
      </c>
      <c r="C1267">
        <v>7</v>
      </c>
      <c r="D1267" t="s">
        <v>1433</v>
      </c>
      <c r="E1267" t="s">
        <v>1434</v>
      </c>
      <c r="F1267" s="122" t="s">
        <v>1438</v>
      </c>
      <c r="G1267" s="122" t="s">
        <v>1469</v>
      </c>
      <c r="H1267" s="122" t="s">
        <v>5317</v>
      </c>
      <c r="I1267">
        <v>26064</v>
      </c>
      <c r="J1267">
        <v>0</v>
      </c>
      <c r="K1267" s="122" t="s">
        <v>5318</v>
      </c>
      <c r="L1267">
        <v>16000</v>
      </c>
    </row>
    <row r="1268" spans="1:12" ht="64" x14ac:dyDescent="0.2">
      <c r="A1268" t="s">
        <v>5252</v>
      </c>
      <c r="B1268" t="s">
        <v>4184</v>
      </c>
      <c r="C1268">
        <v>8</v>
      </c>
      <c r="D1268" t="s">
        <v>1433</v>
      </c>
      <c r="E1268" t="s">
        <v>1440</v>
      </c>
      <c r="F1268" s="122" t="s">
        <v>1441</v>
      </c>
      <c r="G1268" s="122" t="s">
        <v>1470</v>
      </c>
      <c r="H1268" s="122" t="s">
        <v>5411</v>
      </c>
    </row>
    <row r="1270" spans="1:12" x14ac:dyDescent="0.2">
      <c r="A1270" t="s">
        <v>5412</v>
      </c>
      <c r="B1270">
        <v>621</v>
      </c>
      <c r="C1270" t="s">
        <v>5413</v>
      </c>
    </row>
    <row r="1271" spans="1:12" ht="64" x14ac:dyDescent="0.2">
      <c r="A1271" t="s">
        <v>5414</v>
      </c>
      <c r="B1271">
        <v>424</v>
      </c>
      <c r="C1271" t="s">
        <v>5415</v>
      </c>
      <c r="D1271">
        <v>41486</v>
      </c>
      <c r="E1271">
        <v>3</v>
      </c>
      <c r="F1271" s="122" t="s">
        <v>4802</v>
      </c>
      <c r="G1271" s="122">
        <v>16000</v>
      </c>
    </row>
    <row r="1272" spans="1:12" ht="64" x14ac:dyDescent="0.2">
      <c r="A1272" t="s">
        <v>5252</v>
      </c>
      <c r="B1272" t="s">
        <v>4184</v>
      </c>
      <c r="C1272">
        <v>9</v>
      </c>
      <c r="D1272" t="s">
        <v>1433</v>
      </c>
      <c r="E1272" t="s">
        <v>1440</v>
      </c>
      <c r="F1272" s="122" t="s">
        <v>1443</v>
      </c>
      <c r="G1272" s="122" t="s">
        <v>1477</v>
      </c>
      <c r="H1272" s="122" t="s">
        <v>5321</v>
      </c>
      <c r="I1272">
        <v>26225</v>
      </c>
      <c r="J1272">
        <v>2</v>
      </c>
      <c r="K1272" s="122" t="s">
        <v>5322</v>
      </c>
      <c r="L1272">
        <v>16000</v>
      </c>
    </row>
    <row r="1273" spans="1:12" ht="96" x14ac:dyDescent="0.2">
      <c r="A1273" t="s">
        <v>5252</v>
      </c>
      <c r="B1273" t="s">
        <v>4184</v>
      </c>
      <c r="C1273">
        <v>10</v>
      </c>
      <c r="D1273" t="s">
        <v>1433</v>
      </c>
      <c r="E1273" t="s">
        <v>1421</v>
      </c>
      <c r="F1273" s="122" t="s">
        <v>1445</v>
      </c>
      <c r="G1273" s="122" t="s">
        <v>1446</v>
      </c>
      <c r="H1273" s="122" t="s">
        <v>5323</v>
      </c>
      <c r="I1273">
        <v>28942</v>
      </c>
      <c r="J1273">
        <v>3</v>
      </c>
      <c r="K1273" s="122" t="s">
        <v>4401</v>
      </c>
      <c r="L1273">
        <v>16000</v>
      </c>
    </row>
    <row r="1274" spans="1:12" ht="64" x14ac:dyDescent="0.2">
      <c r="A1274" t="s">
        <v>5252</v>
      </c>
      <c r="B1274" t="s">
        <v>4184</v>
      </c>
      <c r="C1274">
        <v>11</v>
      </c>
      <c r="D1274" t="s">
        <v>1433</v>
      </c>
      <c r="E1274" t="s">
        <v>1447</v>
      </c>
      <c r="F1274" s="122" t="s">
        <v>1448</v>
      </c>
      <c r="G1274" s="122" t="s">
        <v>4011</v>
      </c>
      <c r="H1274" s="122" t="s">
        <v>5269</v>
      </c>
      <c r="I1274">
        <v>34521</v>
      </c>
      <c r="J1274">
        <v>3</v>
      </c>
      <c r="K1274" s="122" t="s">
        <v>5416</v>
      </c>
      <c r="L1274">
        <v>16000</v>
      </c>
    </row>
    <row r="1275" spans="1:12" ht="80" x14ac:dyDescent="0.2">
      <c r="A1275" t="s">
        <v>5252</v>
      </c>
      <c r="B1275" t="s">
        <v>4184</v>
      </c>
      <c r="C1275">
        <v>12</v>
      </c>
      <c r="D1275" t="s">
        <v>1433</v>
      </c>
      <c r="E1275" t="s">
        <v>1434</v>
      </c>
      <c r="F1275" s="122" t="s">
        <v>1450</v>
      </c>
      <c r="G1275" s="196">
        <v>16881928.100000001</v>
      </c>
      <c r="H1275" s="122" t="s">
        <v>5326</v>
      </c>
      <c r="I1275">
        <v>29453</v>
      </c>
      <c r="J1275">
        <v>1</v>
      </c>
      <c r="K1275" s="122" t="s">
        <v>5417</v>
      </c>
      <c r="L1275">
        <v>16000</v>
      </c>
    </row>
    <row r="1276" spans="1:12" ht="80" x14ac:dyDescent="0.2">
      <c r="A1276" t="s">
        <v>5252</v>
      </c>
      <c r="B1276" t="s">
        <v>4184</v>
      </c>
      <c r="C1276">
        <v>13</v>
      </c>
      <c r="D1276" t="s">
        <v>1452</v>
      </c>
      <c r="E1276" t="s">
        <v>1453</v>
      </c>
      <c r="F1276" s="122" t="s">
        <v>1454</v>
      </c>
      <c r="G1276" s="122">
        <v>19</v>
      </c>
      <c r="H1276" s="122" t="s">
        <v>5328</v>
      </c>
      <c r="I1276">
        <v>33104</v>
      </c>
      <c r="J1276">
        <v>2</v>
      </c>
      <c r="K1276" s="122" t="s">
        <v>5418</v>
      </c>
      <c r="L1276">
        <v>16000</v>
      </c>
    </row>
    <row r="1277" spans="1:12" ht="64" x14ac:dyDescent="0.2">
      <c r="A1277" t="s">
        <v>5252</v>
      </c>
      <c r="B1277" t="s">
        <v>4184</v>
      </c>
      <c r="C1277">
        <v>14</v>
      </c>
      <c r="D1277" t="s">
        <v>1452</v>
      </c>
      <c r="E1277" t="s">
        <v>1453</v>
      </c>
      <c r="F1277" s="122" t="s">
        <v>1455</v>
      </c>
      <c r="G1277" s="122">
        <v>9</v>
      </c>
      <c r="H1277" s="122">
        <v>10</v>
      </c>
      <c r="I1277">
        <v>26917</v>
      </c>
      <c r="J1277">
        <v>2</v>
      </c>
      <c r="K1277" s="122" t="s">
        <v>5330</v>
      </c>
      <c r="L1277">
        <v>16000</v>
      </c>
    </row>
    <row r="1278" spans="1:12" ht="48" x14ac:dyDescent="0.2">
      <c r="A1278" t="s">
        <v>5252</v>
      </c>
      <c r="B1278" t="s">
        <v>4184</v>
      </c>
      <c r="C1278">
        <v>15</v>
      </c>
      <c r="D1278" t="s">
        <v>1452</v>
      </c>
      <c r="E1278" t="s">
        <v>1447</v>
      </c>
      <c r="F1278" s="122" t="s">
        <v>1457</v>
      </c>
      <c r="G1278" s="122">
        <v>50</v>
      </c>
      <c r="H1278" s="122">
        <v>15</v>
      </c>
      <c r="I1278">
        <v>34915</v>
      </c>
      <c r="J1278">
        <v>0</v>
      </c>
      <c r="K1278" s="122" t="s">
        <v>5331</v>
      </c>
      <c r="L1278">
        <v>16000</v>
      </c>
    </row>
    <row r="1279" spans="1:12" ht="64" x14ac:dyDescent="0.2">
      <c r="A1279" t="s">
        <v>5252</v>
      </c>
      <c r="B1279" t="s">
        <v>4184</v>
      </c>
      <c r="C1279">
        <v>16</v>
      </c>
      <c r="D1279" t="s">
        <v>1452</v>
      </c>
      <c r="E1279" t="s">
        <v>1434</v>
      </c>
      <c r="F1279" s="122" t="s">
        <v>1458</v>
      </c>
      <c r="G1279" s="122" t="s">
        <v>1497</v>
      </c>
      <c r="H1279" s="122" t="s">
        <v>5332</v>
      </c>
      <c r="I1279">
        <v>29800</v>
      </c>
      <c r="J1279">
        <v>0</v>
      </c>
      <c r="K1279" s="122" t="s">
        <v>5419</v>
      </c>
      <c r="L1279">
        <v>16000</v>
      </c>
    </row>
    <row r="1280" spans="1:12" ht="48" x14ac:dyDescent="0.2">
      <c r="A1280" t="s">
        <v>5252</v>
      </c>
      <c r="B1280" t="s">
        <v>4184</v>
      </c>
      <c r="C1280">
        <v>17</v>
      </c>
      <c r="D1280" t="s">
        <v>1452</v>
      </c>
      <c r="E1280" t="s">
        <v>1421</v>
      </c>
      <c r="F1280" s="122" t="s">
        <v>1460</v>
      </c>
      <c r="G1280" s="122" t="s">
        <v>1500</v>
      </c>
      <c r="H1280" s="122" t="s">
        <v>5334</v>
      </c>
      <c r="I1280">
        <v>29348</v>
      </c>
      <c r="J1280">
        <v>0</v>
      </c>
      <c r="K1280" s="122" t="s">
        <v>4388</v>
      </c>
      <c r="L1280">
        <v>16000</v>
      </c>
    </row>
    <row r="1281" spans="1:12" ht="112" x14ac:dyDescent="0.2">
      <c r="A1281" t="s">
        <v>5252</v>
      </c>
      <c r="B1281" t="s">
        <v>4184</v>
      </c>
      <c r="C1281">
        <v>18</v>
      </c>
      <c r="D1281" t="s">
        <v>1452</v>
      </c>
      <c r="E1281" t="s">
        <v>1440</v>
      </c>
      <c r="F1281" s="122" t="s">
        <v>1462</v>
      </c>
      <c r="G1281" s="122" t="s">
        <v>1502</v>
      </c>
      <c r="H1281" s="122" t="s">
        <v>5335</v>
      </c>
      <c r="I1281">
        <v>31609</v>
      </c>
      <c r="J1281">
        <v>0</v>
      </c>
      <c r="K1281" s="122" t="s">
        <v>3997</v>
      </c>
      <c r="L1281">
        <v>16000</v>
      </c>
    </row>
    <row r="1282" spans="1:12" ht="80" x14ac:dyDescent="0.2">
      <c r="A1282" t="s">
        <v>5252</v>
      </c>
      <c r="B1282" t="s">
        <v>4184</v>
      </c>
      <c r="C1282">
        <v>19</v>
      </c>
      <c r="D1282" t="s">
        <v>1452</v>
      </c>
      <c r="E1282" t="s">
        <v>1464</v>
      </c>
      <c r="F1282" s="122" t="s">
        <v>1465</v>
      </c>
      <c r="G1282" s="122" t="s">
        <v>1503</v>
      </c>
      <c r="H1282" s="122" t="s">
        <v>5336</v>
      </c>
      <c r="I1282">
        <v>29254</v>
      </c>
      <c r="J1282">
        <v>0</v>
      </c>
      <c r="K1282" s="122" t="s">
        <v>5068</v>
      </c>
      <c r="L1282">
        <v>16000</v>
      </c>
    </row>
    <row r="1283" spans="1:12" ht="128" x14ac:dyDescent="0.2">
      <c r="A1283" t="s">
        <v>5252</v>
      </c>
      <c r="B1283" t="s">
        <v>4184</v>
      </c>
      <c r="C1283">
        <v>20</v>
      </c>
      <c r="D1283" t="s">
        <v>1452</v>
      </c>
      <c r="E1283" t="s">
        <v>1464</v>
      </c>
      <c r="F1283" s="122" t="s">
        <v>1467</v>
      </c>
      <c r="G1283" s="122" t="s">
        <v>1513</v>
      </c>
      <c r="H1283" s="122" t="s">
        <v>5420</v>
      </c>
    </row>
    <row r="1284" spans="1:12" x14ac:dyDescent="0.2">
      <c r="A1284" t="s">
        <v>5421</v>
      </c>
      <c r="B1284" t="s">
        <v>5422</v>
      </c>
    </row>
    <row r="1285" spans="1:12" x14ac:dyDescent="0.2">
      <c r="A1285" t="s">
        <v>5423</v>
      </c>
      <c r="B1285">
        <v>33951</v>
      </c>
      <c r="C1285">
        <v>0</v>
      </c>
      <c r="D1285" t="s">
        <v>5424</v>
      </c>
      <c r="E1285">
        <v>16000</v>
      </c>
    </row>
    <row r="1286" spans="1:12" ht="64" x14ac:dyDescent="0.2">
      <c r="A1286" t="s">
        <v>5252</v>
      </c>
      <c r="B1286" t="s">
        <v>4230</v>
      </c>
      <c r="C1286">
        <v>1</v>
      </c>
      <c r="D1286" t="s">
        <v>1420</v>
      </c>
      <c r="E1286" t="s">
        <v>1421</v>
      </c>
      <c r="F1286" s="122" t="s">
        <v>1422</v>
      </c>
      <c r="G1286" s="122" t="s">
        <v>1423</v>
      </c>
      <c r="H1286" s="122">
        <v>42380106.399999999</v>
      </c>
      <c r="I1286">
        <v>63940</v>
      </c>
      <c r="J1286">
        <v>3</v>
      </c>
      <c r="K1286" s="122" t="s">
        <v>5425</v>
      </c>
      <c r="L1286">
        <v>16000</v>
      </c>
    </row>
    <row r="1287" spans="1:12" ht="64" x14ac:dyDescent="0.2">
      <c r="A1287" t="s">
        <v>5252</v>
      </c>
      <c r="B1287" t="s">
        <v>4230</v>
      </c>
      <c r="C1287">
        <v>2</v>
      </c>
      <c r="D1287" t="s">
        <v>1420</v>
      </c>
      <c r="E1287" t="s">
        <v>1421</v>
      </c>
      <c r="F1287" s="122" t="s">
        <v>1425</v>
      </c>
      <c r="G1287" s="122">
        <v>8</v>
      </c>
      <c r="H1287" s="122">
        <v>3</v>
      </c>
      <c r="I1287">
        <v>63940</v>
      </c>
      <c r="J1287">
        <v>2</v>
      </c>
      <c r="K1287" s="122" t="s">
        <v>5426</v>
      </c>
      <c r="L1287">
        <v>16000</v>
      </c>
    </row>
    <row r="1288" spans="1:12" ht="80" x14ac:dyDescent="0.2">
      <c r="A1288" t="s">
        <v>5252</v>
      </c>
      <c r="B1288" t="s">
        <v>4230</v>
      </c>
      <c r="C1288">
        <v>3</v>
      </c>
      <c r="D1288" t="s">
        <v>1420</v>
      </c>
      <c r="E1288" t="s">
        <v>1421</v>
      </c>
      <c r="F1288" s="122" t="s">
        <v>1427</v>
      </c>
      <c r="G1288" s="122" t="s">
        <v>1428</v>
      </c>
      <c r="H1288" s="122" t="s">
        <v>5427</v>
      </c>
      <c r="I1288">
        <v>63940</v>
      </c>
      <c r="J1288">
        <v>3</v>
      </c>
      <c r="K1288" s="122" t="s">
        <v>5428</v>
      </c>
      <c r="L1288">
        <v>16000</v>
      </c>
    </row>
    <row r="1289" spans="1:12" ht="64" x14ac:dyDescent="0.2">
      <c r="A1289" t="s">
        <v>5252</v>
      </c>
      <c r="B1289" t="s">
        <v>4230</v>
      </c>
      <c r="C1289">
        <v>4</v>
      </c>
      <c r="D1289" t="s">
        <v>1420</v>
      </c>
      <c r="E1289" t="s">
        <v>1429</v>
      </c>
      <c r="F1289" s="122" t="s">
        <v>1430</v>
      </c>
      <c r="G1289" s="122">
        <v>88</v>
      </c>
      <c r="H1289" s="122">
        <v>25</v>
      </c>
      <c r="I1289">
        <v>63940</v>
      </c>
      <c r="J1289">
        <v>2</v>
      </c>
      <c r="K1289" s="122" t="s">
        <v>5429</v>
      </c>
      <c r="L1289">
        <v>16000</v>
      </c>
    </row>
    <row r="1290" spans="1:12" ht="48" x14ac:dyDescent="0.2">
      <c r="A1290" t="s">
        <v>5252</v>
      </c>
      <c r="B1290" t="s">
        <v>4230</v>
      </c>
      <c r="C1290">
        <v>5</v>
      </c>
      <c r="D1290" t="s">
        <v>1420</v>
      </c>
      <c r="E1290" t="s">
        <v>1421</v>
      </c>
      <c r="F1290" s="122" t="s">
        <v>1431</v>
      </c>
      <c r="G1290" s="122" t="s">
        <v>1432</v>
      </c>
      <c r="H1290" s="122" t="s">
        <v>4053</v>
      </c>
      <c r="I1290">
        <v>63940</v>
      </c>
      <c r="J1290">
        <v>3</v>
      </c>
      <c r="K1290" s="122" t="s">
        <v>5430</v>
      </c>
      <c r="L1290">
        <v>16000</v>
      </c>
    </row>
    <row r="1291" spans="1:12" ht="64" x14ac:dyDescent="0.2">
      <c r="A1291" t="s">
        <v>5252</v>
      </c>
      <c r="B1291" t="s">
        <v>4230</v>
      </c>
      <c r="C1291">
        <v>6</v>
      </c>
      <c r="D1291" t="s">
        <v>1433</v>
      </c>
      <c r="E1291" t="s">
        <v>1434</v>
      </c>
      <c r="F1291" s="122" t="s">
        <v>1435</v>
      </c>
      <c r="G1291" s="122" t="s">
        <v>1436</v>
      </c>
      <c r="H1291" s="122" t="s">
        <v>5431</v>
      </c>
      <c r="I1291">
        <v>63940</v>
      </c>
      <c r="J1291">
        <v>3</v>
      </c>
      <c r="K1291" s="122" t="s">
        <v>5432</v>
      </c>
      <c r="L1291">
        <v>16000</v>
      </c>
    </row>
    <row r="1292" spans="1:12" ht="96" x14ac:dyDescent="0.2">
      <c r="A1292" t="s">
        <v>5252</v>
      </c>
      <c r="B1292" t="s">
        <v>4230</v>
      </c>
      <c r="C1292">
        <v>7</v>
      </c>
      <c r="D1292" t="s">
        <v>1433</v>
      </c>
      <c r="E1292" t="s">
        <v>1434</v>
      </c>
      <c r="F1292" s="122" t="s">
        <v>1438</v>
      </c>
      <c r="G1292" s="122" t="s">
        <v>1469</v>
      </c>
      <c r="H1292" s="122" t="s">
        <v>5433</v>
      </c>
      <c r="I1292">
        <v>63940</v>
      </c>
      <c r="J1292">
        <v>0</v>
      </c>
      <c r="K1292" s="122" t="s">
        <v>5434</v>
      </c>
      <c r="L1292">
        <v>16000</v>
      </c>
    </row>
    <row r="1293" spans="1:12" ht="64" x14ac:dyDescent="0.2">
      <c r="A1293" t="s">
        <v>5252</v>
      </c>
      <c r="B1293" t="s">
        <v>4230</v>
      </c>
      <c r="C1293">
        <v>8</v>
      </c>
      <c r="D1293" t="s">
        <v>1433</v>
      </c>
      <c r="E1293" t="s">
        <v>1440</v>
      </c>
      <c r="F1293" s="122" t="s">
        <v>1441</v>
      </c>
      <c r="G1293" s="122" t="s">
        <v>1470</v>
      </c>
      <c r="H1293" s="122" t="s">
        <v>5435</v>
      </c>
    </row>
    <row r="1294" spans="1:12" x14ac:dyDescent="0.2">
      <c r="A1294" t="s">
        <v>5436</v>
      </c>
      <c r="B1294">
        <v>638</v>
      </c>
      <c r="C1294" t="s">
        <v>5437</v>
      </c>
    </row>
    <row r="1296" spans="1:12" x14ac:dyDescent="0.2">
      <c r="A1296" t="s">
        <v>5438</v>
      </c>
      <c r="B1296">
        <v>63940</v>
      </c>
      <c r="C1296">
        <v>2</v>
      </c>
      <c r="D1296" t="s">
        <v>5439</v>
      </c>
      <c r="E1296">
        <v>16000</v>
      </c>
    </row>
    <row r="1297" spans="1:12" ht="64" x14ac:dyDescent="0.2">
      <c r="A1297" t="s">
        <v>5252</v>
      </c>
      <c r="B1297" t="s">
        <v>4230</v>
      </c>
      <c r="C1297">
        <v>9</v>
      </c>
      <c r="D1297" t="s">
        <v>1433</v>
      </c>
      <c r="E1297" t="s">
        <v>1440</v>
      </c>
      <c r="F1297" s="122" t="s">
        <v>1443</v>
      </c>
      <c r="G1297" s="122" t="s">
        <v>1477</v>
      </c>
      <c r="H1297" s="122" t="s">
        <v>5440</v>
      </c>
      <c r="I1297">
        <v>63940</v>
      </c>
      <c r="J1297">
        <v>0</v>
      </c>
      <c r="K1297" s="122" t="s">
        <v>5441</v>
      </c>
      <c r="L1297">
        <v>16000</v>
      </c>
    </row>
    <row r="1298" spans="1:12" ht="64" x14ac:dyDescent="0.2">
      <c r="A1298" t="s">
        <v>5252</v>
      </c>
      <c r="B1298" t="s">
        <v>4230</v>
      </c>
      <c r="C1298">
        <v>10</v>
      </c>
      <c r="D1298" t="s">
        <v>1433</v>
      </c>
      <c r="E1298" t="s">
        <v>1421</v>
      </c>
      <c r="F1298" s="122" t="s">
        <v>1445</v>
      </c>
      <c r="G1298" s="122" t="s">
        <v>1446</v>
      </c>
      <c r="H1298" s="122" t="s">
        <v>5442</v>
      </c>
      <c r="I1298">
        <v>63940</v>
      </c>
      <c r="J1298">
        <v>1</v>
      </c>
      <c r="K1298" s="122" t="s">
        <v>5443</v>
      </c>
      <c r="L1298">
        <v>16000</v>
      </c>
    </row>
    <row r="1299" spans="1:12" ht="64" x14ac:dyDescent="0.2">
      <c r="A1299" t="s">
        <v>5252</v>
      </c>
      <c r="B1299" t="s">
        <v>4230</v>
      </c>
      <c r="C1299">
        <v>11</v>
      </c>
      <c r="D1299" t="s">
        <v>1433</v>
      </c>
      <c r="E1299" t="s">
        <v>1447</v>
      </c>
      <c r="F1299" s="122" t="s">
        <v>1448</v>
      </c>
      <c r="G1299" s="122" t="s">
        <v>4011</v>
      </c>
      <c r="H1299" s="122" t="s">
        <v>5444</v>
      </c>
      <c r="I1299">
        <v>63940</v>
      </c>
      <c r="J1299">
        <v>3</v>
      </c>
      <c r="K1299" s="122" t="s">
        <v>5445</v>
      </c>
      <c r="L1299">
        <v>16000</v>
      </c>
    </row>
    <row r="1300" spans="1:12" ht="48" x14ac:dyDescent="0.2">
      <c r="A1300" t="s">
        <v>5252</v>
      </c>
      <c r="B1300" t="s">
        <v>4230</v>
      </c>
      <c r="C1300">
        <v>12</v>
      </c>
      <c r="D1300" t="s">
        <v>1433</v>
      </c>
      <c r="E1300" t="s">
        <v>1434</v>
      </c>
      <c r="F1300" s="122" t="s">
        <v>1450</v>
      </c>
      <c r="G1300" s="196">
        <v>16881928.100000001</v>
      </c>
      <c r="H1300" s="122" t="s">
        <v>5263</v>
      </c>
      <c r="I1300">
        <v>63940</v>
      </c>
      <c r="J1300">
        <v>0</v>
      </c>
      <c r="K1300" s="122" t="s">
        <v>5360</v>
      </c>
      <c r="L1300">
        <v>16000</v>
      </c>
    </row>
    <row r="1301" spans="1:12" ht="48" x14ac:dyDescent="0.2">
      <c r="A1301" t="s">
        <v>5252</v>
      </c>
      <c r="B1301" t="s">
        <v>4230</v>
      </c>
      <c r="C1301">
        <v>13</v>
      </c>
      <c r="D1301" t="s">
        <v>1452</v>
      </c>
      <c r="E1301" t="s">
        <v>1453</v>
      </c>
      <c r="F1301" s="122" t="s">
        <v>1454</v>
      </c>
      <c r="G1301" s="122">
        <v>19</v>
      </c>
      <c r="H1301" s="122">
        <v>10</v>
      </c>
      <c r="I1301">
        <v>63940</v>
      </c>
      <c r="J1301">
        <v>2</v>
      </c>
      <c r="K1301" s="122" t="s">
        <v>5446</v>
      </c>
      <c r="L1301">
        <v>16000</v>
      </c>
    </row>
    <row r="1302" spans="1:12" ht="64" x14ac:dyDescent="0.2">
      <c r="A1302" t="s">
        <v>5252</v>
      </c>
      <c r="B1302" t="s">
        <v>4230</v>
      </c>
      <c r="C1302">
        <v>14</v>
      </c>
      <c r="D1302" t="s">
        <v>1452</v>
      </c>
      <c r="E1302" t="s">
        <v>1453</v>
      </c>
      <c r="F1302" s="122" t="s">
        <v>1455</v>
      </c>
      <c r="G1302" s="122">
        <v>9</v>
      </c>
      <c r="H1302" s="122">
        <v>11</v>
      </c>
      <c r="I1302">
        <v>63940</v>
      </c>
      <c r="J1302">
        <v>2</v>
      </c>
      <c r="K1302" s="122" t="s">
        <v>5447</v>
      </c>
      <c r="L1302">
        <v>16000</v>
      </c>
    </row>
    <row r="1303" spans="1:12" ht="64" x14ac:dyDescent="0.2">
      <c r="A1303" t="s">
        <v>5252</v>
      </c>
      <c r="B1303" t="s">
        <v>4230</v>
      </c>
      <c r="C1303">
        <v>15</v>
      </c>
      <c r="D1303" t="s">
        <v>1452</v>
      </c>
      <c r="E1303" t="s">
        <v>1447</v>
      </c>
      <c r="F1303" s="122" t="s">
        <v>1457</v>
      </c>
      <c r="G1303" s="122">
        <v>50</v>
      </c>
      <c r="H1303" s="122">
        <v>10</v>
      </c>
      <c r="I1303">
        <v>63940</v>
      </c>
      <c r="J1303">
        <v>2</v>
      </c>
      <c r="K1303" s="122" t="s">
        <v>4993</v>
      </c>
      <c r="L1303">
        <v>16000</v>
      </c>
    </row>
    <row r="1304" spans="1:12" ht="64" x14ac:dyDescent="0.2">
      <c r="A1304" t="s">
        <v>5252</v>
      </c>
      <c r="B1304" t="s">
        <v>4230</v>
      </c>
      <c r="C1304">
        <v>16</v>
      </c>
      <c r="D1304" t="s">
        <v>1452</v>
      </c>
      <c r="E1304" t="s">
        <v>1434</v>
      </c>
      <c r="F1304" s="122" t="s">
        <v>1458</v>
      </c>
      <c r="G1304" s="122" t="s">
        <v>1497</v>
      </c>
      <c r="H1304" s="122" t="s">
        <v>5448</v>
      </c>
      <c r="I1304">
        <v>63940</v>
      </c>
      <c r="J1304">
        <v>0</v>
      </c>
      <c r="K1304" s="122" t="s">
        <v>5449</v>
      </c>
      <c r="L1304">
        <v>16000</v>
      </c>
    </row>
    <row r="1305" spans="1:12" ht="64" x14ac:dyDescent="0.2">
      <c r="A1305" t="s">
        <v>5252</v>
      </c>
      <c r="B1305" t="s">
        <v>4230</v>
      </c>
      <c r="C1305">
        <v>17</v>
      </c>
      <c r="D1305" t="s">
        <v>1452</v>
      </c>
      <c r="E1305" t="s">
        <v>1421</v>
      </c>
      <c r="F1305" s="122" t="s">
        <v>1460</v>
      </c>
      <c r="G1305" s="122" t="s">
        <v>1500</v>
      </c>
      <c r="H1305" s="122" t="s">
        <v>5450</v>
      </c>
      <c r="I1305">
        <v>63940</v>
      </c>
      <c r="J1305">
        <v>0</v>
      </c>
      <c r="K1305" s="122" t="s">
        <v>5451</v>
      </c>
      <c r="L1305">
        <v>16000</v>
      </c>
    </row>
    <row r="1306" spans="1:12" ht="64" x14ac:dyDescent="0.2">
      <c r="A1306" t="s">
        <v>5252</v>
      </c>
      <c r="B1306" t="s">
        <v>4230</v>
      </c>
      <c r="C1306">
        <v>18</v>
      </c>
      <c r="D1306" t="s">
        <v>1452</v>
      </c>
      <c r="E1306" t="s">
        <v>1440</v>
      </c>
      <c r="F1306" s="122" t="s">
        <v>1462</v>
      </c>
      <c r="G1306" s="122" t="s">
        <v>1502</v>
      </c>
      <c r="H1306" s="122" t="s">
        <v>5452</v>
      </c>
      <c r="I1306">
        <v>63940</v>
      </c>
      <c r="J1306">
        <v>0</v>
      </c>
      <c r="K1306" s="122" t="s">
        <v>3997</v>
      </c>
      <c r="L1306">
        <v>16000</v>
      </c>
    </row>
    <row r="1307" spans="1:12" ht="48" x14ac:dyDescent="0.2">
      <c r="A1307" t="s">
        <v>5252</v>
      </c>
      <c r="B1307" t="s">
        <v>4230</v>
      </c>
      <c r="C1307">
        <v>19</v>
      </c>
      <c r="D1307" t="s">
        <v>1452</v>
      </c>
      <c r="E1307" t="s">
        <v>1464</v>
      </c>
      <c r="F1307" s="122" t="s">
        <v>1465</v>
      </c>
      <c r="G1307" s="122" t="s">
        <v>1503</v>
      </c>
      <c r="H1307" s="122" t="s">
        <v>5453</v>
      </c>
    </row>
    <row r="1308" spans="1:12" x14ac:dyDescent="0.2">
      <c r="A1308" t="s">
        <v>5454</v>
      </c>
      <c r="B1308">
        <v>63940</v>
      </c>
      <c r="C1308">
        <v>0</v>
      </c>
      <c r="D1308" t="s">
        <v>4177</v>
      </c>
      <c r="E1308">
        <v>16000</v>
      </c>
    </row>
    <row r="1309" spans="1:12" ht="128" x14ac:dyDescent="0.2">
      <c r="A1309" t="s">
        <v>5252</v>
      </c>
      <c r="B1309" t="s">
        <v>4230</v>
      </c>
      <c r="C1309">
        <v>20</v>
      </c>
      <c r="D1309" t="s">
        <v>1452</v>
      </c>
      <c r="E1309" t="s">
        <v>1464</v>
      </c>
      <c r="F1309" s="122" t="s">
        <v>1467</v>
      </c>
      <c r="G1309" s="122" t="s">
        <v>1513</v>
      </c>
      <c r="H1309" s="122" t="s">
        <v>5455</v>
      </c>
    </row>
    <row r="1310" spans="1:12" x14ac:dyDescent="0.2">
      <c r="A1310" t="s">
        <v>5456</v>
      </c>
      <c r="B1310" t="s">
        <v>5457</v>
      </c>
    </row>
    <row r="1311" spans="1:12" x14ac:dyDescent="0.2">
      <c r="A1311" t="s">
        <v>5458</v>
      </c>
      <c r="B1311">
        <v>63940</v>
      </c>
      <c r="C1311">
        <v>1</v>
      </c>
      <c r="D1311" t="s">
        <v>5459</v>
      </c>
      <c r="E1311">
        <v>16000</v>
      </c>
    </row>
    <row r="1312" spans="1:12" ht="64" x14ac:dyDescent="0.2">
      <c r="A1312" t="s">
        <v>5252</v>
      </c>
      <c r="B1312" t="s">
        <v>4396</v>
      </c>
      <c r="C1312">
        <v>1</v>
      </c>
      <c r="D1312" t="s">
        <v>1420</v>
      </c>
      <c r="E1312" t="s">
        <v>1421</v>
      </c>
      <c r="F1312" s="122" t="s">
        <v>1422</v>
      </c>
      <c r="G1312" s="122" t="s">
        <v>1423</v>
      </c>
      <c r="H1312" s="122" t="s">
        <v>5311</v>
      </c>
      <c r="I1312">
        <v>32265</v>
      </c>
      <c r="J1312">
        <v>0</v>
      </c>
      <c r="K1312" s="122" t="s">
        <v>5312</v>
      </c>
      <c r="L1312" t="s">
        <v>2039</v>
      </c>
    </row>
    <row r="1313" spans="1:12" ht="64" x14ac:dyDescent="0.2">
      <c r="A1313" t="s">
        <v>5252</v>
      </c>
      <c r="B1313" t="s">
        <v>4396</v>
      </c>
      <c r="C1313">
        <v>2</v>
      </c>
      <c r="D1313" t="s">
        <v>1420</v>
      </c>
      <c r="E1313" t="s">
        <v>1421</v>
      </c>
      <c r="F1313" s="122" t="s">
        <v>1425</v>
      </c>
      <c r="G1313" s="122">
        <v>8</v>
      </c>
      <c r="H1313" s="122">
        <v>5</v>
      </c>
      <c r="I1313">
        <v>44203</v>
      </c>
      <c r="J1313">
        <v>2</v>
      </c>
      <c r="K1313" s="122" t="s">
        <v>5460</v>
      </c>
      <c r="L1313" t="s">
        <v>2039</v>
      </c>
    </row>
    <row r="1314" spans="1:12" ht="64" x14ac:dyDescent="0.2">
      <c r="A1314" t="s">
        <v>5252</v>
      </c>
      <c r="B1314" t="s">
        <v>4396</v>
      </c>
      <c r="C1314">
        <v>3</v>
      </c>
      <c r="D1314" t="s">
        <v>1420</v>
      </c>
      <c r="E1314" t="s">
        <v>1421</v>
      </c>
      <c r="F1314" s="122" t="s">
        <v>1427</v>
      </c>
      <c r="G1314" s="122" t="s">
        <v>1428</v>
      </c>
      <c r="H1314" s="122" t="s">
        <v>5314</v>
      </c>
      <c r="I1314">
        <v>28496</v>
      </c>
      <c r="J1314">
        <v>0</v>
      </c>
      <c r="K1314" s="122" t="s">
        <v>3997</v>
      </c>
      <c r="L1314" t="s">
        <v>2039</v>
      </c>
    </row>
    <row r="1315" spans="1:12" ht="48" x14ac:dyDescent="0.2">
      <c r="A1315" t="s">
        <v>5252</v>
      </c>
      <c r="B1315" t="s">
        <v>4396</v>
      </c>
      <c r="C1315">
        <v>4</v>
      </c>
      <c r="D1315" t="s">
        <v>1420</v>
      </c>
      <c r="E1315" t="s">
        <v>1429</v>
      </c>
      <c r="F1315" s="122" t="s">
        <v>1430</v>
      </c>
      <c r="G1315" s="122">
        <v>88</v>
      </c>
      <c r="H1315" s="122">
        <v>47</v>
      </c>
      <c r="I1315">
        <v>29451</v>
      </c>
      <c r="J1315">
        <v>0</v>
      </c>
      <c r="K1315" s="122" t="s">
        <v>5315</v>
      </c>
      <c r="L1315" t="s">
        <v>2039</v>
      </c>
    </row>
    <row r="1316" spans="1:12" ht="64" x14ac:dyDescent="0.2">
      <c r="A1316" t="s">
        <v>5252</v>
      </c>
      <c r="B1316" t="s">
        <v>4396</v>
      </c>
      <c r="C1316">
        <v>5</v>
      </c>
      <c r="D1316" t="s">
        <v>1420</v>
      </c>
      <c r="E1316" t="s">
        <v>1421</v>
      </c>
      <c r="F1316" s="122" t="s">
        <v>1431</v>
      </c>
      <c r="G1316" s="122" t="s">
        <v>1432</v>
      </c>
      <c r="H1316" s="122" t="s">
        <v>3999</v>
      </c>
      <c r="I1316">
        <v>27738</v>
      </c>
      <c r="J1316">
        <v>3</v>
      </c>
      <c r="K1316" s="122" t="s">
        <v>5461</v>
      </c>
      <c r="L1316" t="s">
        <v>2039</v>
      </c>
    </row>
    <row r="1317" spans="1:12" ht="64" x14ac:dyDescent="0.2">
      <c r="A1317" t="s">
        <v>5252</v>
      </c>
      <c r="B1317" t="s">
        <v>4396</v>
      </c>
      <c r="C1317">
        <v>6</v>
      </c>
      <c r="D1317" t="s">
        <v>1433</v>
      </c>
      <c r="E1317" t="s">
        <v>1434</v>
      </c>
      <c r="F1317" s="122" t="s">
        <v>1435</v>
      </c>
      <c r="G1317" s="122" t="s">
        <v>1436</v>
      </c>
      <c r="H1317" s="122" t="s">
        <v>5316</v>
      </c>
      <c r="I1317">
        <v>32711</v>
      </c>
      <c r="J1317">
        <v>3</v>
      </c>
      <c r="K1317" s="122" t="s">
        <v>5122</v>
      </c>
      <c r="L1317" t="s">
        <v>2039</v>
      </c>
    </row>
    <row r="1318" spans="1:12" ht="128" x14ac:dyDescent="0.2">
      <c r="A1318" t="s">
        <v>5252</v>
      </c>
      <c r="B1318" t="s">
        <v>4396</v>
      </c>
      <c r="C1318">
        <v>7</v>
      </c>
      <c r="D1318" t="s">
        <v>1433</v>
      </c>
      <c r="E1318" t="s">
        <v>1434</v>
      </c>
      <c r="F1318" s="122" t="s">
        <v>1438</v>
      </c>
      <c r="G1318" s="122" t="s">
        <v>1469</v>
      </c>
      <c r="H1318" s="122" t="s">
        <v>5317</v>
      </c>
      <c r="I1318">
        <v>26064</v>
      </c>
      <c r="J1318">
        <v>0</v>
      </c>
      <c r="K1318" s="122" t="s">
        <v>5318</v>
      </c>
      <c r="L1318" t="s">
        <v>2039</v>
      </c>
    </row>
    <row r="1319" spans="1:12" ht="64" x14ac:dyDescent="0.2">
      <c r="A1319" t="s">
        <v>5252</v>
      </c>
      <c r="B1319" t="s">
        <v>4396</v>
      </c>
      <c r="C1319">
        <v>8</v>
      </c>
      <c r="D1319" t="s">
        <v>1433</v>
      </c>
      <c r="E1319" t="s">
        <v>1440</v>
      </c>
      <c r="F1319" s="122" t="s">
        <v>1441</v>
      </c>
      <c r="G1319" s="122" t="s">
        <v>1470</v>
      </c>
      <c r="H1319" s="122" t="s">
        <v>5411</v>
      </c>
    </row>
    <row r="1321" spans="1:12" x14ac:dyDescent="0.2">
      <c r="A1321" t="s">
        <v>5412</v>
      </c>
      <c r="B1321">
        <v>621</v>
      </c>
      <c r="C1321" t="s">
        <v>5413</v>
      </c>
    </row>
    <row r="1322" spans="1:12" ht="64" x14ac:dyDescent="0.2">
      <c r="A1322" t="s">
        <v>5414</v>
      </c>
      <c r="B1322">
        <v>424</v>
      </c>
      <c r="C1322" t="s">
        <v>5415</v>
      </c>
      <c r="D1322">
        <v>41486</v>
      </c>
      <c r="E1322">
        <v>3</v>
      </c>
      <c r="F1322" s="122" t="s">
        <v>4802</v>
      </c>
      <c r="G1322" s="122" t="s">
        <v>2039</v>
      </c>
    </row>
    <row r="1323" spans="1:12" ht="64" x14ac:dyDescent="0.2">
      <c r="A1323" t="s">
        <v>5252</v>
      </c>
      <c r="B1323" t="s">
        <v>4396</v>
      </c>
      <c r="C1323">
        <v>9</v>
      </c>
      <c r="D1323" t="s">
        <v>1433</v>
      </c>
      <c r="E1323" t="s">
        <v>1440</v>
      </c>
      <c r="F1323" s="122" t="s">
        <v>1443</v>
      </c>
      <c r="G1323" s="122" t="s">
        <v>1477</v>
      </c>
      <c r="H1323" s="122" t="s">
        <v>5321</v>
      </c>
      <c r="I1323">
        <v>26225</v>
      </c>
      <c r="J1323">
        <v>2</v>
      </c>
      <c r="K1323" s="122" t="s">
        <v>5322</v>
      </c>
      <c r="L1323" t="s">
        <v>2039</v>
      </c>
    </row>
    <row r="1324" spans="1:12" ht="80" x14ac:dyDescent="0.2">
      <c r="A1324" t="s">
        <v>5252</v>
      </c>
      <c r="B1324" t="s">
        <v>4396</v>
      </c>
      <c r="C1324">
        <v>10</v>
      </c>
      <c r="D1324" t="s">
        <v>1433</v>
      </c>
      <c r="E1324" t="s">
        <v>1421</v>
      </c>
      <c r="F1324" s="122" t="s">
        <v>1445</v>
      </c>
      <c r="G1324" s="122" t="s">
        <v>1446</v>
      </c>
      <c r="H1324" s="122" t="s">
        <v>5462</v>
      </c>
      <c r="I1324">
        <v>28942</v>
      </c>
      <c r="J1324">
        <v>2</v>
      </c>
      <c r="K1324" s="122" t="s">
        <v>5463</v>
      </c>
      <c r="L1324" t="s">
        <v>2039</v>
      </c>
    </row>
    <row r="1325" spans="1:12" ht="64" x14ac:dyDescent="0.2">
      <c r="A1325" t="s">
        <v>5252</v>
      </c>
      <c r="B1325" t="s">
        <v>4396</v>
      </c>
      <c r="C1325">
        <v>11</v>
      </c>
      <c r="D1325" t="s">
        <v>1433</v>
      </c>
      <c r="E1325" t="s">
        <v>1447</v>
      </c>
      <c r="F1325" s="122" t="s">
        <v>1448</v>
      </c>
      <c r="G1325" s="122" t="s">
        <v>4011</v>
      </c>
      <c r="H1325" s="122" t="s">
        <v>5269</v>
      </c>
      <c r="I1325">
        <v>34521</v>
      </c>
      <c r="J1325">
        <v>3</v>
      </c>
      <c r="K1325" s="122" t="s">
        <v>5416</v>
      </c>
      <c r="L1325" t="s">
        <v>2039</v>
      </c>
    </row>
    <row r="1326" spans="1:12" ht="48" x14ac:dyDescent="0.2">
      <c r="A1326" t="s">
        <v>5252</v>
      </c>
      <c r="B1326" t="s">
        <v>4396</v>
      </c>
      <c r="C1326">
        <v>12</v>
      </c>
      <c r="D1326" t="s">
        <v>1433</v>
      </c>
      <c r="E1326" t="s">
        <v>1434</v>
      </c>
      <c r="F1326" s="122" t="s">
        <v>1450</v>
      </c>
      <c r="G1326" s="196">
        <v>16881928.100000001</v>
      </c>
      <c r="H1326" s="122" t="s">
        <v>5326</v>
      </c>
      <c r="I1326">
        <v>29453</v>
      </c>
      <c r="J1326">
        <v>2</v>
      </c>
      <c r="K1326" s="122" t="s">
        <v>5464</v>
      </c>
      <c r="L1326" t="s">
        <v>2039</v>
      </c>
    </row>
    <row r="1327" spans="1:12" ht="48" x14ac:dyDescent="0.2">
      <c r="A1327" t="s">
        <v>5252</v>
      </c>
      <c r="B1327" t="s">
        <v>4396</v>
      </c>
      <c r="C1327">
        <v>13</v>
      </c>
      <c r="D1327" t="s">
        <v>1452</v>
      </c>
      <c r="E1327" t="s">
        <v>1453</v>
      </c>
      <c r="F1327" s="122" t="s">
        <v>1454</v>
      </c>
      <c r="G1327" s="122">
        <v>19</v>
      </c>
      <c r="H1327" s="122" t="s">
        <v>5328</v>
      </c>
      <c r="I1327">
        <v>33104</v>
      </c>
      <c r="J1327">
        <v>2</v>
      </c>
      <c r="K1327" s="122" t="s">
        <v>5465</v>
      </c>
      <c r="L1327" t="s">
        <v>2039</v>
      </c>
    </row>
    <row r="1328" spans="1:12" ht="64" x14ac:dyDescent="0.2">
      <c r="A1328" t="s">
        <v>5252</v>
      </c>
      <c r="B1328" t="s">
        <v>4396</v>
      </c>
      <c r="C1328">
        <v>14</v>
      </c>
      <c r="D1328" t="s">
        <v>1452</v>
      </c>
      <c r="E1328" t="s">
        <v>1453</v>
      </c>
      <c r="F1328" s="122" t="s">
        <v>1455</v>
      </c>
      <c r="G1328" s="122">
        <v>9</v>
      </c>
      <c r="H1328" s="122">
        <v>10</v>
      </c>
      <c r="I1328">
        <v>26917</v>
      </c>
      <c r="J1328">
        <v>2</v>
      </c>
      <c r="K1328" s="122" t="s">
        <v>5330</v>
      </c>
      <c r="L1328" t="s">
        <v>2039</v>
      </c>
    </row>
    <row r="1329" spans="1:12" ht="48" x14ac:dyDescent="0.2">
      <c r="A1329" t="s">
        <v>5252</v>
      </c>
      <c r="B1329" t="s">
        <v>4396</v>
      </c>
      <c r="C1329">
        <v>15</v>
      </c>
      <c r="D1329" t="s">
        <v>1452</v>
      </c>
      <c r="E1329" t="s">
        <v>1447</v>
      </c>
      <c r="F1329" s="122" t="s">
        <v>1457</v>
      </c>
      <c r="G1329" s="122">
        <v>50</v>
      </c>
      <c r="H1329" s="122">
        <v>15</v>
      </c>
      <c r="I1329">
        <v>34915</v>
      </c>
      <c r="J1329">
        <v>0</v>
      </c>
      <c r="K1329" s="122" t="s">
        <v>5331</v>
      </c>
      <c r="L1329" t="s">
        <v>2039</v>
      </c>
    </row>
    <row r="1330" spans="1:12" ht="64" x14ac:dyDescent="0.2">
      <c r="A1330" t="s">
        <v>5252</v>
      </c>
      <c r="B1330" t="s">
        <v>4396</v>
      </c>
      <c r="C1330">
        <v>16</v>
      </c>
      <c r="D1330" t="s">
        <v>1452</v>
      </c>
      <c r="E1330" t="s">
        <v>1434</v>
      </c>
      <c r="F1330" s="122" t="s">
        <v>1458</v>
      </c>
      <c r="G1330" s="122" t="s">
        <v>1497</v>
      </c>
      <c r="H1330" s="122" t="s">
        <v>5332</v>
      </c>
      <c r="I1330">
        <v>29800</v>
      </c>
      <c r="J1330">
        <v>0</v>
      </c>
      <c r="K1330" s="122" t="s">
        <v>5419</v>
      </c>
      <c r="L1330" t="s">
        <v>2039</v>
      </c>
    </row>
    <row r="1331" spans="1:12" ht="48" x14ac:dyDescent="0.2">
      <c r="A1331" t="s">
        <v>5252</v>
      </c>
      <c r="B1331" t="s">
        <v>4396</v>
      </c>
      <c r="C1331">
        <v>17</v>
      </c>
      <c r="D1331" t="s">
        <v>1452</v>
      </c>
      <c r="E1331" t="s">
        <v>1421</v>
      </c>
      <c r="F1331" s="122" t="s">
        <v>1460</v>
      </c>
      <c r="G1331" s="122" t="s">
        <v>1500</v>
      </c>
      <c r="H1331" s="122" t="s">
        <v>5334</v>
      </c>
      <c r="I1331">
        <v>29348</v>
      </c>
      <c r="J1331">
        <v>0</v>
      </c>
      <c r="K1331" s="122" t="s">
        <v>4388</v>
      </c>
      <c r="L1331" t="s">
        <v>2039</v>
      </c>
    </row>
    <row r="1332" spans="1:12" ht="112" x14ac:dyDescent="0.2">
      <c r="A1332" t="s">
        <v>5252</v>
      </c>
      <c r="B1332" t="s">
        <v>4396</v>
      </c>
      <c r="C1332">
        <v>18</v>
      </c>
      <c r="D1332" t="s">
        <v>1452</v>
      </c>
      <c r="E1332" t="s">
        <v>1440</v>
      </c>
      <c r="F1332" s="122" t="s">
        <v>1462</v>
      </c>
      <c r="G1332" s="122" t="s">
        <v>1502</v>
      </c>
      <c r="H1332" s="122" t="s">
        <v>5335</v>
      </c>
      <c r="I1332">
        <v>31609</v>
      </c>
      <c r="J1332">
        <v>0</v>
      </c>
      <c r="K1332" s="122" t="s">
        <v>3997</v>
      </c>
      <c r="L1332" t="s">
        <v>2039</v>
      </c>
    </row>
    <row r="1333" spans="1:12" ht="80" x14ac:dyDescent="0.2">
      <c r="A1333" t="s">
        <v>5252</v>
      </c>
      <c r="B1333" t="s">
        <v>4396</v>
      </c>
      <c r="C1333">
        <v>19</v>
      </c>
      <c r="D1333" t="s">
        <v>1452</v>
      </c>
      <c r="E1333" t="s">
        <v>1464</v>
      </c>
      <c r="F1333" s="122" t="s">
        <v>1465</v>
      </c>
      <c r="G1333" s="122" t="s">
        <v>1503</v>
      </c>
      <c r="H1333" s="122" t="s">
        <v>5336</v>
      </c>
      <c r="I1333">
        <v>29254</v>
      </c>
      <c r="J1333">
        <v>0</v>
      </c>
      <c r="K1333" s="122" t="s">
        <v>5466</v>
      </c>
      <c r="L1333" t="s">
        <v>2039</v>
      </c>
    </row>
    <row r="1334" spans="1:12" ht="128" x14ac:dyDescent="0.2">
      <c r="A1334" t="s">
        <v>5252</v>
      </c>
      <c r="B1334" t="s">
        <v>4396</v>
      </c>
      <c r="C1334">
        <v>20</v>
      </c>
      <c r="D1334" t="s">
        <v>1452</v>
      </c>
      <c r="E1334" t="s">
        <v>1464</v>
      </c>
      <c r="F1334" s="122" t="s">
        <v>1467</v>
      </c>
      <c r="G1334" s="122" t="s">
        <v>1513</v>
      </c>
      <c r="H1334" s="122" t="s">
        <v>5420</v>
      </c>
    </row>
    <row r="1335" spans="1:12" x14ac:dyDescent="0.2">
      <c r="A1335" t="s">
        <v>5421</v>
      </c>
      <c r="B1335" t="s">
        <v>5422</v>
      </c>
    </row>
    <row r="1336" spans="1:12" x14ac:dyDescent="0.2">
      <c r="A1336" t="s">
        <v>5423</v>
      </c>
      <c r="B1336">
        <v>33951</v>
      </c>
      <c r="C1336">
        <v>0</v>
      </c>
      <c r="D1336" t="s">
        <v>5467</v>
      </c>
      <c r="E1336" t="s">
        <v>2039</v>
      </c>
    </row>
    <row r="1337" spans="1:12" ht="64" x14ac:dyDescent="0.2">
      <c r="A1337" t="s">
        <v>5252</v>
      </c>
      <c r="B1337" t="s">
        <v>4407</v>
      </c>
      <c r="C1337">
        <v>1</v>
      </c>
      <c r="D1337" t="s">
        <v>1420</v>
      </c>
      <c r="E1337" t="s">
        <v>1421</v>
      </c>
      <c r="F1337" s="122" t="s">
        <v>1422</v>
      </c>
      <c r="G1337" s="122" t="s">
        <v>1423</v>
      </c>
      <c r="H1337" s="122">
        <v>42380106.399999999</v>
      </c>
      <c r="I1337">
        <v>104672</v>
      </c>
      <c r="J1337">
        <v>3</v>
      </c>
      <c r="K1337" s="122" t="s">
        <v>5468</v>
      </c>
      <c r="L1337" t="s">
        <v>2039</v>
      </c>
    </row>
    <row r="1338" spans="1:12" ht="48" x14ac:dyDescent="0.2">
      <c r="A1338" t="s">
        <v>5252</v>
      </c>
      <c r="B1338" t="s">
        <v>4407</v>
      </c>
      <c r="C1338">
        <v>2</v>
      </c>
      <c r="D1338" t="s">
        <v>1420</v>
      </c>
      <c r="E1338" t="s">
        <v>1421</v>
      </c>
      <c r="F1338" s="122" t="s">
        <v>1425</v>
      </c>
      <c r="G1338" s="122">
        <v>8</v>
      </c>
      <c r="H1338" s="122">
        <v>3</v>
      </c>
      <c r="I1338">
        <v>104672</v>
      </c>
      <c r="J1338">
        <v>2</v>
      </c>
      <c r="K1338" s="122" t="s">
        <v>5469</v>
      </c>
      <c r="L1338" t="s">
        <v>2039</v>
      </c>
    </row>
    <row r="1339" spans="1:12" ht="64" x14ac:dyDescent="0.2">
      <c r="A1339" t="s">
        <v>5252</v>
      </c>
      <c r="B1339" t="s">
        <v>4407</v>
      </c>
      <c r="C1339">
        <v>3</v>
      </c>
      <c r="D1339" t="s">
        <v>1420</v>
      </c>
      <c r="E1339" t="s">
        <v>1421</v>
      </c>
      <c r="F1339" s="122" t="s">
        <v>1427</v>
      </c>
      <c r="G1339" s="122" t="s">
        <v>1428</v>
      </c>
      <c r="H1339" s="122" t="s">
        <v>5470</v>
      </c>
      <c r="I1339">
        <v>104672</v>
      </c>
      <c r="J1339">
        <v>3</v>
      </c>
      <c r="K1339" s="122" t="s">
        <v>5471</v>
      </c>
      <c r="L1339" t="s">
        <v>2039</v>
      </c>
    </row>
    <row r="1340" spans="1:12" ht="48" x14ac:dyDescent="0.2">
      <c r="A1340" t="s">
        <v>5252</v>
      </c>
      <c r="B1340" t="s">
        <v>4407</v>
      </c>
      <c r="C1340">
        <v>4</v>
      </c>
      <c r="D1340" t="s">
        <v>1420</v>
      </c>
      <c r="E1340" t="s">
        <v>1429</v>
      </c>
      <c r="F1340" s="122" t="s">
        <v>1430</v>
      </c>
      <c r="G1340" s="122">
        <v>88</v>
      </c>
      <c r="H1340" s="122">
        <v>47</v>
      </c>
      <c r="I1340">
        <v>104672</v>
      </c>
      <c r="J1340">
        <v>0</v>
      </c>
      <c r="K1340" s="122" t="s">
        <v>5315</v>
      </c>
      <c r="L1340" t="s">
        <v>2039</v>
      </c>
    </row>
    <row r="1341" spans="1:12" ht="64" x14ac:dyDescent="0.2">
      <c r="A1341" t="s">
        <v>5252</v>
      </c>
      <c r="B1341" t="s">
        <v>4407</v>
      </c>
      <c r="C1341">
        <v>5</v>
      </c>
      <c r="D1341" t="s">
        <v>1420</v>
      </c>
      <c r="E1341" t="s">
        <v>1421</v>
      </c>
      <c r="F1341" s="122" t="s">
        <v>1431</v>
      </c>
      <c r="G1341" s="122" t="s">
        <v>1432</v>
      </c>
      <c r="H1341" s="196">
        <v>1127306.8999999999</v>
      </c>
      <c r="I1341">
        <v>104672</v>
      </c>
      <c r="J1341">
        <v>2</v>
      </c>
      <c r="K1341" s="122" t="s">
        <v>5472</v>
      </c>
      <c r="L1341" t="s">
        <v>2039</v>
      </c>
    </row>
    <row r="1342" spans="1:12" ht="48" x14ac:dyDescent="0.2">
      <c r="A1342" t="s">
        <v>5252</v>
      </c>
      <c r="B1342" t="s">
        <v>4407</v>
      </c>
      <c r="C1342">
        <v>6</v>
      </c>
      <c r="D1342" t="s">
        <v>1433</v>
      </c>
      <c r="E1342" t="s">
        <v>1434</v>
      </c>
      <c r="F1342" s="122" t="s">
        <v>1435</v>
      </c>
      <c r="G1342" s="122" t="s">
        <v>1436</v>
      </c>
      <c r="H1342" s="122" t="s">
        <v>5473</v>
      </c>
      <c r="I1342">
        <v>104672</v>
      </c>
      <c r="J1342">
        <v>3</v>
      </c>
      <c r="K1342" s="122" t="s">
        <v>5474</v>
      </c>
      <c r="L1342" t="s">
        <v>2039</v>
      </c>
    </row>
    <row r="1343" spans="1:12" ht="64" x14ac:dyDescent="0.2">
      <c r="A1343" t="s">
        <v>5252</v>
      </c>
      <c r="B1343" t="s">
        <v>4407</v>
      </c>
      <c r="C1343">
        <v>7</v>
      </c>
      <c r="D1343" t="s">
        <v>1433</v>
      </c>
      <c r="E1343" t="s">
        <v>1434</v>
      </c>
      <c r="F1343" s="122" t="s">
        <v>1438</v>
      </c>
      <c r="G1343" s="122" t="s">
        <v>1469</v>
      </c>
      <c r="H1343" s="196">
        <v>1061483730.9</v>
      </c>
      <c r="I1343">
        <v>104672</v>
      </c>
      <c r="J1343">
        <v>0</v>
      </c>
      <c r="K1343" s="122" t="s">
        <v>5475</v>
      </c>
      <c r="L1343" t="s">
        <v>2039</v>
      </c>
    </row>
    <row r="1344" spans="1:12" ht="64" x14ac:dyDescent="0.2">
      <c r="A1344" t="s">
        <v>5252</v>
      </c>
      <c r="B1344" t="s">
        <v>4407</v>
      </c>
      <c r="C1344">
        <v>8</v>
      </c>
      <c r="D1344" t="s">
        <v>1433</v>
      </c>
      <c r="E1344" t="s">
        <v>1440</v>
      </c>
      <c r="F1344" s="122" t="s">
        <v>1441</v>
      </c>
      <c r="G1344" s="122" t="s">
        <v>1470</v>
      </c>
      <c r="H1344" s="122" t="s">
        <v>5476</v>
      </c>
    </row>
    <row r="1345" spans="1:12" x14ac:dyDescent="0.2">
      <c r="A1345" t="s">
        <v>5477</v>
      </c>
      <c r="B1345">
        <v>638</v>
      </c>
      <c r="C1345" t="s">
        <v>5437</v>
      </c>
    </row>
    <row r="1347" spans="1:12" x14ac:dyDescent="0.2">
      <c r="A1347" t="s">
        <v>5478</v>
      </c>
      <c r="B1347">
        <v>104672</v>
      </c>
      <c r="C1347">
        <v>2</v>
      </c>
      <c r="D1347" t="s">
        <v>5479</v>
      </c>
      <c r="E1347" t="s">
        <v>2039</v>
      </c>
    </row>
    <row r="1348" spans="1:12" ht="64" x14ac:dyDescent="0.2">
      <c r="A1348" t="s">
        <v>5252</v>
      </c>
      <c r="B1348" t="s">
        <v>4407</v>
      </c>
      <c r="C1348">
        <v>9</v>
      </c>
      <c r="D1348" t="s">
        <v>1433</v>
      </c>
      <c r="E1348" t="s">
        <v>1440</v>
      </c>
      <c r="F1348" s="122" t="s">
        <v>1443</v>
      </c>
      <c r="G1348" s="122" t="s">
        <v>1477</v>
      </c>
      <c r="H1348" s="122" t="s">
        <v>5480</v>
      </c>
    </row>
    <row r="1350" spans="1:12" ht="16" x14ac:dyDescent="0.2">
      <c r="A1350" t="s">
        <v>5481</v>
      </c>
      <c r="B1350" t="s">
        <v>5482</v>
      </c>
      <c r="C1350">
        <v>104672</v>
      </c>
      <c r="D1350">
        <v>2</v>
      </c>
      <c r="E1350" t="s">
        <v>5483</v>
      </c>
      <c r="F1350" s="122" t="s">
        <v>2039</v>
      </c>
    </row>
    <row r="1351" spans="1:12" ht="80" x14ac:dyDescent="0.2">
      <c r="A1351" t="s">
        <v>5252</v>
      </c>
      <c r="B1351" t="s">
        <v>4407</v>
      </c>
      <c r="C1351">
        <v>10</v>
      </c>
      <c r="D1351" t="s">
        <v>1433</v>
      </c>
      <c r="E1351" t="s">
        <v>1421</v>
      </c>
      <c r="F1351" s="122" t="s">
        <v>1445</v>
      </c>
      <c r="G1351" s="122" t="s">
        <v>1446</v>
      </c>
      <c r="H1351" s="122" t="s">
        <v>5484</v>
      </c>
      <c r="I1351">
        <v>104672</v>
      </c>
      <c r="J1351">
        <v>1</v>
      </c>
      <c r="K1351" s="122" t="s">
        <v>5485</v>
      </c>
      <c r="L1351" t="s">
        <v>2039</v>
      </c>
    </row>
    <row r="1352" spans="1:12" ht="64" x14ac:dyDescent="0.2">
      <c r="A1352" t="s">
        <v>5252</v>
      </c>
      <c r="B1352" t="s">
        <v>4407</v>
      </c>
      <c r="C1352">
        <v>11</v>
      </c>
      <c r="D1352" t="s">
        <v>1433</v>
      </c>
      <c r="E1352" t="s">
        <v>1447</v>
      </c>
      <c r="F1352" s="122" t="s">
        <v>1448</v>
      </c>
      <c r="G1352" s="122" t="s">
        <v>4011</v>
      </c>
      <c r="H1352" s="122" t="s">
        <v>5486</v>
      </c>
      <c r="I1352">
        <v>104672</v>
      </c>
      <c r="J1352">
        <v>3</v>
      </c>
      <c r="K1352" s="122" t="s">
        <v>5487</v>
      </c>
      <c r="L1352" t="s">
        <v>2039</v>
      </c>
    </row>
    <row r="1353" spans="1:12" ht="64" x14ac:dyDescent="0.2">
      <c r="A1353" t="s">
        <v>5252</v>
      </c>
      <c r="B1353" t="s">
        <v>4407</v>
      </c>
      <c r="C1353">
        <v>12</v>
      </c>
      <c r="D1353" t="s">
        <v>1433</v>
      </c>
      <c r="E1353" t="s">
        <v>1434</v>
      </c>
      <c r="F1353" s="122" t="s">
        <v>1450</v>
      </c>
      <c r="G1353" s="196">
        <v>16881928.100000001</v>
      </c>
      <c r="H1353" s="196">
        <v>8144958.2000000002</v>
      </c>
      <c r="I1353">
        <v>104672</v>
      </c>
      <c r="J1353">
        <v>2</v>
      </c>
      <c r="K1353" s="122" t="s">
        <v>5488</v>
      </c>
      <c r="L1353" t="s">
        <v>2039</v>
      </c>
    </row>
    <row r="1354" spans="1:12" ht="96" x14ac:dyDescent="0.2">
      <c r="A1354" t="s">
        <v>5252</v>
      </c>
      <c r="B1354" t="s">
        <v>4407</v>
      </c>
      <c r="C1354">
        <v>13</v>
      </c>
      <c r="D1354" t="s">
        <v>1452</v>
      </c>
      <c r="E1354" t="s">
        <v>1453</v>
      </c>
      <c r="F1354" s="122" t="s">
        <v>1454</v>
      </c>
      <c r="G1354" s="122">
        <v>19</v>
      </c>
      <c r="H1354" s="122">
        <v>10</v>
      </c>
      <c r="I1354">
        <v>104672</v>
      </c>
      <c r="J1354">
        <v>2</v>
      </c>
      <c r="K1354" s="122" t="s">
        <v>5489</v>
      </c>
      <c r="L1354" t="s">
        <v>2039</v>
      </c>
    </row>
    <row r="1355" spans="1:12" ht="64" x14ac:dyDescent="0.2">
      <c r="A1355" t="s">
        <v>5252</v>
      </c>
      <c r="B1355" t="s">
        <v>4407</v>
      </c>
      <c r="C1355">
        <v>14</v>
      </c>
      <c r="D1355" t="s">
        <v>1452</v>
      </c>
      <c r="E1355" t="s">
        <v>1453</v>
      </c>
      <c r="F1355" s="122" t="s">
        <v>1455</v>
      </c>
      <c r="G1355" s="122">
        <v>9</v>
      </c>
      <c r="H1355" s="122">
        <v>10</v>
      </c>
      <c r="I1355">
        <v>104672</v>
      </c>
      <c r="J1355">
        <v>2</v>
      </c>
      <c r="K1355" s="122" t="s">
        <v>5330</v>
      </c>
      <c r="L1355" t="s">
        <v>2039</v>
      </c>
    </row>
    <row r="1356" spans="1:12" ht="48" x14ac:dyDescent="0.2">
      <c r="A1356" t="s">
        <v>5252</v>
      </c>
      <c r="B1356" t="s">
        <v>4407</v>
      </c>
      <c r="C1356">
        <v>15</v>
      </c>
      <c r="D1356" t="s">
        <v>1452</v>
      </c>
      <c r="E1356" t="s">
        <v>1447</v>
      </c>
      <c r="F1356" s="122" t="s">
        <v>1457</v>
      </c>
      <c r="G1356" s="122">
        <v>50</v>
      </c>
      <c r="H1356" s="122">
        <v>11</v>
      </c>
      <c r="I1356">
        <v>104672</v>
      </c>
      <c r="J1356">
        <v>0</v>
      </c>
      <c r="K1356" s="122" t="s">
        <v>5274</v>
      </c>
      <c r="L1356" t="s">
        <v>2039</v>
      </c>
    </row>
    <row r="1357" spans="1:12" ht="64" x14ac:dyDescent="0.2">
      <c r="A1357" t="s">
        <v>5252</v>
      </c>
      <c r="B1357" t="s">
        <v>4407</v>
      </c>
      <c r="C1357">
        <v>16</v>
      </c>
      <c r="D1357" t="s">
        <v>1452</v>
      </c>
      <c r="E1357" t="s">
        <v>1434</v>
      </c>
      <c r="F1357" s="122" t="s">
        <v>1458</v>
      </c>
      <c r="G1357" s="122" t="s">
        <v>1497</v>
      </c>
      <c r="H1357" s="122" t="s">
        <v>5490</v>
      </c>
      <c r="I1357">
        <v>104672</v>
      </c>
      <c r="J1357">
        <v>0</v>
      </c>
      <c r="K1357" s="122" t="s">
        <v>5491</v>
      </c>
      <c r="L1357" t="s">
        <v>2039</v>
      </c>
    </row>
    <row r="1358" spans="1:12" ht="80" x14ac:dyDescent="0.2">
      <c r="A1358" t="s">
        <v>5252</v>
      </c>
      <c r="B1358" t="s">
        <v>4407</v>
      </c>
      <c r="C1358">
        <v>17</v>
      </c>
      <c r="D1358" t="s">
        <v>1452</v>
      </c>
      <c r="E1358" t="s">
        <v>1421</v>
      </c>
      <c r="F1358" s="122" t="s">
        <v>1460</v>
      </c>
      <c r="G1358" s="122" t="s">
        <v>1500</v>
      </c>
      <c r="H1358" s="122" t="s">
        <v>5450</v>
      </c>
      <c r="I1358">
        <v>104672</v>
      </c>
      <c r="J1358">
        <v>0</v>
      </c>
      <c r="K1358" s="122" t="s">
        <v>5492</v>
      </c>
      <c r="L1358" t="s">
        <v>2039</v>
      </c>
    </row>
    <row r="1359" spans="1:12" ht="64" x14ac:dyDescent="0.2">
      <c r="A1359" t="s">
        <v>5252</v>
      </c>
      <c r="B1359" t="s">
        <v>4407</v>
      </c>
      <c r="C1359">
        <v>18</v>
      </c>
      <c r="D1359" t="s">
        <v>1452</v>
      </c>
      <c r="E1359" t="s">
        <v>1440</v>
      </c>
      <c r="F1359" s="122" t="s">
        <v>1462</v>
      </c>
      <c r="G1359" s="122" t="s">
        <v>1502</v>
      </c>
      <c r="H1359" s="122" t="s">
        <v>5493</v>
      </c>
      <c r="I1359">
        <v>104672</v>
      </c>
      <c r="J1359">
        <v>0</v>
      </c>
      <c r="K1359" s="122" t="s">
        <v>5494</v>
      </c>
      <c r="L1359" t="s">
        <v>2039</v>
      </c>
    </row>
    <row r="1360" spans="1:12" ht="48" x14ac:dyDescent="0.2">
      <c r="A1360" t="s">
        <v>5252</v>
      </c>
      <c r="B1360" t="s">
        <v>4407</v>
      </c>
      <c r="C1360">
        <v>19</v>
      </c>
      <c r="D1360" t="s">
        <v>1452</v>
      </c>
      <c r="E1360" t="s">
        <v>1464</v>
      </c>
      <c r="F1360" s="122" t="s">
        <v>1465</v>
      </c>
      <c r="G1360" s="122" t="s">
        <v>1503</v>
      </c>
      <c r="H1360" s="122" t="s">
        <v>5495</v>
      </c>
    </row>
    <row r="1361" spans="1:12" x14ac:dyDescent="0.2">
      <c r="A1361" t="s">
        <v>5496</v>
      </c>
      <c r="B1361">
        <v>104672</v>
      </c>
      <c r="C1361">
        <v>0</v>
      </c>
      <c r="D1361" t="s">
        <v>4177</v>
      </c>
      <c r="E1361" t="s">
        <v>2039</v>
      </c>
    </row>
    <row r="1362" spans="1:12" ht="128" x14ac:dyDescent="0.2">
      <c r="A1362" t="s">
        <v>5252</v>
      </c>
      <c r="B1362" t="s">
        <v>4407</v>
      </c>
      <c r="C1362">
        <v>20</v>
      </c>
      <c r="D1362" t="s">
        <v>1452</v>
      </c>
      <c r="E1362" t="s">
        <v>1464</v>
      </c>
      <c r="F1362" s="122" t="s">
        <v>1467</v>
      </c>
      <c r="G1362" s="122" t="s">
        <v>1513</v>
      </c>
      <c r="H1362" s="122" t="s">
        <v>5497</v>
      </c>
    </row>
    <row r="1363" spans="1:12" x14ac:dyDescent="0.2">
      <c r="A1363" t="s">
        <v>5498</v>
      </c>
      <c r="B1363">
        <v>104672</v>
      </c>
      <c r="C1363">
        <v>1</v>
      </c>
      <c r="D1363" t="s">
        <v>5499</v>
      </c>
      <c r="E1363" t="s">
        <v>2039</v>
      </c>
    </row>
    <row r="1364" spans="1:12" ht="128" x14ac:dyDescent="0.2">
      <c r="A1364" t="s">
        <v>5500</v>
      </c>
      <c r="B1364" t="s">
        <v>3991</v>
      </c>
      <c r="C1364">
        <v>1</v>
      </c>
      <c r="D1364" t="s">
        <v>1420</v>
      </c>
      <c r="E1364" t="s">
        <v>1421</v>
      </c>
      <c r="F1364" s="122" t="s">
        <v>1422</v>
      </c>
      <c r="G1364" s="122" t="s">
        <v>1423</v>
      </c>
      <c r="H1364" s="122" t="s">
        <v>5501</v>
      </c>
      <c r="I1364">
        <v>7863</v>
      </c>
      <c r="J1364">
        <v>0</v>
      </c>
      <c r="K1364" s="122" t="s">
        <v>5502</v>
      </c>
      <c r="L1364">
        <v>2000</v>
      </c>
    </row>
    <row r="1365" spans="1:12" ht="32" x14ac:dyDescent="0.2">
      <c r="A1365" t="s">
        <v>5500</v>
      </c>
      <c r="B1365" t="s">
        <v>3991</v>
      </c>
      <c r="C1365">
        <v>2</v>
      </c>
      <c r="D1365" t="s">
        <v>1420</v>
      </c>
      <c r="E1365" t="s">
        <v>1421</v>
      </c>
      <c r="F1365" s="122" t="s">
        <v>1425</v>
      </c>
      <c r="G1365" s="122">
        <v>8</v>
      </c>
      <c r="H1365" s="122" t="s">
        <v>5503</v>
      </c>
      <c r="I1365">
        <v>7969</v>
      </c>
      <c r="J1365">
        <v>-1</v>
      </c>
      <c r="K1365" s="122" t="s">
        <v>5504</v>
      </c>
      <c r="L1365">
        <v>2000</v>
      </c>
    </row>
    <row r="1366" spans="1:12" ht="64" x14ac:dyDescent="0.2">
      <c r="A1366" t="s">
        <v>5500</v>
      </c>
      <c r="B1366" t="s">
        <v>3991</v>
      </c>
      <c r="C1366">
        <v>3</v>
      </c>
      <c r="D1366" t="s">
        <v>1420</v>
      </c>
      <c r="E1366" t="s">
        <v>1421</v>
      </c>
      <c r="F1366" s="122" t="s">
        <v>1427</v>
      </c>
      <c r="G1366" s="122" t="s">
        <v>1428</v>
      </c>
      <c r="H1366" s="122" t="s">
        <v>5505</v>
      </c>
      <c r="I1366">
        <v>7895</v>
      </c>
      <c r="J1366">
        <v>0</v>
      </c>
      <c r="K1366" s="122" t="s">
        <v>5506</v>
      </c>
      <c r="L1366">
        <v>2000</v>
      </c>
    </row>
    <row r="1367" spans="1:12" ht="64" x14ac:dyDescent="0.2">
      <c r="A1367" t="s">
        <v>5500</v>
      </c>
      <c r="B1367" t="s">
        <v>3991</v>
      </c>
      <c r="C1367">
        <v>4</v>
      </c>
      <c r="D1367" t="s">
        <v>1420</v>
      </c>
      <c r="E1367" t="s">
        <v>1429</v>
      </c>
      <c r="F1367" s="122" t="s">
        <v>1430</v>
      </c>
      <c r="G1367" s="122">
        <v>88</v>
      </c>
      <c r="H1367" s="122" t="s">
        <v>5507</v>
      </c>
      <c r="I1367">
        <v>7965</v>
      </c>
      <c r="J1367">
        <v>0</v>
      </c>
      <c r="K1367" s="122" t="s">
        <v>5508</v>
      </c>
      <c r="L1367">
        <v>2000</v>
      </c>
    </row>
    <row r="1368" spans="1:12" ht="64" x14ac:dyDescent="0.2">
      <c r="A1368" t="s">
        <v>5500</v>
      </c>
      <c r="B1368" t="s">
        <v>3991</v>
      </c>
      <c r="C1368">
        <v>5</v>
      </c>
      <c r="D1368" t="s">
        <v>1420</v>
      </c>
      <c r="E1368" t="s">
        <v>1421</v>
      </c>
      <c r="F1368" s="122" t="s">
        <v>1431</v>
      </c>
      <c r="G1368" s="122" t="s">
        <v>1432</v>
      </c>
      <c r="H1368" s="122" t="s">
        <v>3999</v>
      </c>
      <c r="I1368">
        <v>7967</v>
      </c>
      <c r="J1368">
        <v>3</v>
      </c>
      <c r="K1368" s="122" t="s">
        <v>4563</v>
      </c>
      <c r="L1368">
        <v>2000</v>
      </c>
    </row>
    <row r="1369" spans="1:12" ht="80" x14ac:dyDescent="0.2">
      <c r="A1369" t="s">
        <v>5500</v>
      </c>
      <c r="B1369" t="s">
        <v>3991</v>
      </c>
      <c r="C1369">
        <v>6</v>
      </c>
      <c r="D1369" t="s">
        <v>1433</v>
      </c>
      <c r="E1369" t="s">
        <v>1434</v>
      </c>
      <c r="F1369" s="122" t="s">
        <v>1435</v>
      </c>
      <c r="G1369" s="122" t="s">
        <v>1436</v>
      </c>
      <c r="H1369" s="122" t="s">
        <v>5509</v>
      </c>
      <c r="I1369">
        <v>7916</v>
      </c>
      <c r="J1369">
        <v>3</v>
      </c>
      <c r="K1369" s="122" t="s">
        <v>5510</v>
      </c>
      <c r="L1369">
        <v>2000</v>
      </c>
    </row>
    <row r="1370" spans="1:12" ht="64" x14ac:dyDescent="0.2">
      <c r="A1370" t="s">
        <v>5500</v>
      </c>
      <c r="B1370" t="s">
        <v>3991</v>
      </c>
      <c r="C1370">
        <v>7</v>
      </c>
      <c r="D1370" t="s">
        <v>1433</v>
      </c>
      <c r="E1370" t="s">
        <v>1434</v>
      </c>
      <c r="F1370" s="122" t="s">
        <v>1438</v>
      </c>
      <c r="G1370" s="122" t="s">
        <v>1469</v>
      </c>
      <c r="H1370" s="122" t="s">
        <v>4003</v>
      </c>
      <c r="I1370">
        <v>7955</v>
      </c>
      <c r="J1370">
        <v>0</v>
      </c>
      <c r="K1370" s="122" t="s">
        <v>5511</v>
      </c>
      <c r="L1370">
        <v>2000</v>
      </c>
    </row>
    <row r="1371" spans="1:12" ht="96" x14ac:dyDescent="0.2">
      <c r="A1371" t="s">
        <v>5500</v>
      </c>
      <c r="B1371" t="s">
        <v>3991</v>
      </c>
      <c r="C1371">
        <v>8</v>
      </c>
      <c r="D1371" t="s">
        <v>1433</v>
      </c>
      <c r="E1371" t="s">
        <v>1440</v>
      </c>
      <c r="F1371" s="122" t="s">
        <v>1441</v>
      </c>
      <c r="G1371" s="122" t="s">
        <v>1470</v>
      </c>
      <c r="H1371" s="122" t="s">
        <v>5512</v>
      </c>
      <c r="I1371">
        <v>7816</v>
      </c>
      <c r="J1371">
        <v>0</v>
      </c>
      <c r="K1371" s="122" t="s">
        <v>5513</v>
      </c>
      <c r="L1371">
        <v>2000</v>
      </c>
    </row>
    <row r="1372" spans="1:12" ht="128" x14ac:dyDescent="0.2">
      <c r="A1372" t="s">
        <v>5500</v>
      </c>
      <c r="B1372" t="s">
        <v>3991</v>
      </c>
      <c r="C1372">
        <v>9</v>
      </c>
      <c r="D1372" t="s">
        <v>1433</v>
      </c>
      <c r="E1372" t="s">
        <v>1440</v>
      </c>
      <c r="F1372" s="122" t="s">
        <v>1443</v>
      </c>
      <c r="G1372" s="122" t="s">
        <v>1477</v>
      </c>
      <c r="H1372" s="122" t="s">
        <v>5514</v>
      </c>
      <c r="I1372">
        <v>7962</v>
      </c>
      <c r="J1372">
        <v>0</v>
      </c>
      <c r="K1372" s="122" t="s">
        <v>4514</v>
      </c>
      <c r="L1372">
        <v>2000</v>
      </c>
    </row>
    <row r="1373" spans="1:12" ht="64" x14ac:dyDescent="0.2">
      <c r="A1373" t="s">
        <v>5500</v>
      </c>
      <c r="B1373" t="s">
        <v>3991</v>
      </c>
      <c r="C1373">
        <v>10</v>
      </c>
      <c r="D1373" t="s">
        <v>1433</v>
      </c>
      <c r="E1373" t="s">
        <v>1421</v>
      </c>
      <c r="F1373" s="122" t="s">
        <v>1445</v>
      </c>
      <c r="G1373" s="122" t="s">
        <v>1446</v>
      </c>
      <c r="H1373" s="122" t="s">
        <v>5515</v>
      </c>
      <c r="I1373">
        <v>7994</v>
      </c>
      <c r="J1373">
        <v>0</v>
      </c>
      <c r="K1373" s="122" t="s">
        <v>4088</v>
      </c>
      <c r="L1373">
        <v>2000</v>
      </c>
    </row>
    <row r="1374" spans="1:12" ht="64" x14ac:dyDescent="0.2">
      <c r="A1374" t="s">
        <v>5500</v>
      </c>
      <c r="B1374" t="s">
        <v>3991</v>
      </c>
      <c r="C1374">
        <v>11</v>
      </c>
      <c r="D1374" t="s">
        <v>1433</v>
      </c>
      <c r="E1374" t="s">
        <v>1447</v>
      </c>
      <c r="F1374" s="122" t="s">
        <v>1448</v>
      </c>
      <c r="G1374" s="122" t="s">
        <v>4011</v>
      </c>
      <c r="H1374" s="122" t="s">
        <v>5516</v>
      </c>
      <c r="I1374">
        <v>7908</v>
      </c>
      <c r="J1374">
        <v>3</v>
      </c>
      <c r="K1374" s="122" t="s">
        <v>5517</v>
      </c>
      <c r="L1374">
        <v>2000</v>
      </c>
    </row>
    <row r="1375" spans="1:12" ht="64" x14ac:dyDescent="0.2">
      <c r="A1375" t="s">
        <v>5500</v>
      </c>
      <c r="B1375" t="s">
        <v>3991</v>
      </c>
      <c r="C1375">
        <v>12</v>
      </c>
      <c r="D1375" t="s">
        <v>1433</v>
      </c>
      <c r="E1375" t="s">
        <v>1434</v>
      </c>
      <c r="F1375" s="122" t="s">
        <v>1450</v>
      </c>
      <c r="G1375" s="196">
        <v>16881928.100000001</v>
      </c>
      <c r="H1375" s="122" t="s">
        <v>4576</v>
      </c>
      <c r="I1375">
        <v>7985</v>
      </c>
      <c r="J1375">
        <v>0</v>
      </c>
      <c r="K1375" s="122" t="s">
        <v>4577</v>
      </c>
      <c r="L1375">
        <v>2000</v>
      </c>
    </row>
    <row r="1376" spans="1:12" ht="64" x14ac:dyDescent="0.2">
      <c r="A1376" t="s">
        <v>5500</v>
      </c>
      <c r="B1376" t="s">
        <v>3991</v>
      </c>
      <c r="C1376">
        <v>13</v>
      </c>
      <c r="D1376" t="s">
        <v>1452</v>
      </c>
      <c r="E1376" t="s">
        <v>1453</v>
      </c>
      <c r="F1376" s="122" t="s">
        <v>1454</v>
      </c>
      <c r="G1376" s="122">
        <v>19</v>
      </c>
      <c r="H1376" s="122" t="s">
        <v>5518</v>
      </c>
      <c r="I1376">
        <v>7969</v>
      </c>
      <c r="J1376">
        <v>0</v>
      </c>
      <c r="K1376" s="122" t="s">
        <v>5519</v>
      </c>
      <c r="L1376">
        <v>2000</v>
      </c>
    </row>
    <row r="1377" spans="1:12" ht="48" x14ac:dyDescent="0.2">
      <c r="A1377" t="s">
        <v>5500</v>
      </c>
      <c r="B1377" t="s">
        <v>3991</v>
      </c>
      <c r="C1377">
        <v>14</v>
      </c>
      <c r="D1377" t="s">
        <v>1452</v>
      </c>
      <c r="E1377" t="s">
        <v>1453</v>
      </c>
      <c r="F1377" s="122" t="s">
        <v>1455</v>
      </c>
      <c r="G1377" s="122">
        <v>9</v>
      </c>
      <c r="H1377" s="122" t="s">
        <v>5520</v>
      </c>
      <c r="I1377">
        <v>7912</v>
      </c>
      <c r="J1377">
        <v>2</v>
      </c>
      <c r="K1377" s="122" t="s">
        <v>5521</v>
      </c>
      <c r="L1377">
        <v>2000</v>
      </c>
    </row>
    <row r="1378" spans="1:12" ht="48" x14ac:dyDescent="0.2">
      <c r="A1378" t="s">
        <v>5500</v>
      </c>
      <c r="B1378" t="s">
        <v>3991</v>
      </c>
      <c r="C1378">
        <v>15</v>
      </c>
      <c r="D1378" t="s">
        <v>1452</v>
      </c>
      <c r="E1378" t="s">
        <v>1447</v>
      </c>
      <c r="F1378" s="122" t="s">
        <v>1457</v>
      </c>
      <c r="G1378" s="122">
        <v>50</v>
      </c>
      <c r="H1378" s="122" t="s">
        <v>5522</v>
      </c>
      <c r="I1378">
        <v>7876</v>
      </c>
      <c r="J1378">
        <v>2</v>
      </c>
      <c r="K1378" s="122" t="s">
        <v>5523</v>
      </c>
      <c r="L1378">
        <v>2000</v>
      </c>
    </row>
    <row r="1379" spans="1:12" ht="80" x14ac:dyDescent="0.2">
      <c r="A1379" t="s">
        <v>5500</v>
      </c>
      <c r="B1379" t="s">
        <v>3991</v>
      </c>
      <c r="C1379">
        <v>16</v>
      </c>
      <c r="D1379" t="s">
        <v>1452</v>
      </c>
      <c r="E1379" t="s">
        <v>1434</v>
      </c>
      <c r="F1379" s="122" t="s">
        <v>1458</v>
      </c>
      <c r="G1379" s="122" t="s">
        <v>1497</v>
      </c>
      <c r="H1379" s="122" t="s">
        <v>5524</v>
      </c>
      <c r="I1379">
        <v>7883</v>
      </c>
      <c r="J1379">
        <v>0</v>
      </c>
      <c r="K1379" s="122" t="s">
        <v>5525</v>
      </c>
      <c r="L1379">
        <v>2000</v>
      </c>
    </row>
    <row r="1380" spans="1:12" ht="48" x14ac:dyDescent="0.2">
      <c r="A1380" t="s">
        <v>5500</v>
      </c>
      <c r="B1380" t="s">
        <v>3991</v>
      </c>
      <c r="C1380">
        <v>17</v>
      </c>
      <c r="D1380" t="s">
        <v>1452</v>
      </c>
      <c r="E1380" t="s">
        <v>1421</v>
      </c>
      <c r="F1380" s="122" t="s">
        <v>1460</v>
      </c>
      <c r="G1380" s="122" t="s">
        <v>1500</v>
      </c>
      <c r="H1380" s="122" t="s">
        <v>5526</v>
      </c>
      <c r="I1380">
        <v>7899</v>
      </c>
      <c r="J1380">
        <v>0</v>
      </c>
      <c r="K1380" s="122" t="s">
        <v>4388</v>
      </c>
      <c r="L1380">
        <v>2000</v>
      </c>
    </row>
    <row r="1381" spans="1:12" ht="80" x14ac:dyDescent="0.2">
      <c r="A1381" t="s">
        <v>5500</v>
      </c>
      <c r="B1381" t="s">
        <v>3991</v>
      </c>
      <c r="C1381">
        <v>18</v>
      </c>
      <c r="D1381" t="s">
        <v>1452</v>
      </c>
      <c r="E1381" t="s">
        <v>1440</v>
      </c>
      <c r="F1381" s="122" t="s">
        <v>1462</v>
      </c>
      <c r="G1381" s="122" t="s">
        <v>1502</v>
      </c>
      <c r="H1381" s="122" t="s">
        <v>5527</v>
      </c>
      <c r="I1381">
        <v>7942</v>
      </c>
      <c r="J1381">
        <v>0</v>
      </c>
      <c r="K1381" s="122" t="s">
        <v>5528</v>
      </c>
      <c r="L1381">
        <v>2000</v>
      </c>
    </row>
    <row r="1382" spans="1:12" ht="64" x14ac:dyDescent="0.2">
      <c r="A1382" t="s">
        <v>5500</v>
      </c>
      <c r="B1382" t="s">
        <v>3991</v>
      </c>
      <c r="C1382">
        <v>19</v>
      </c>
      <c r="D1382" t="s">
        <v>1452</v>
      </c>
      <c r="E1382" t="s">
        <v>1464</v>
      </c>
      <c r="F1382" s="122" t="s">
        <v>1465</v>
      </c>
      <c r="G1382" s="122" t="s">
        <v>1503</v>
      </c>
      <c r="H1382" s="122" t="s">
        <v>5529</v>
      </c>
      <c r="I1382">
        <v>7849</v>
      </c>
      <c r="J1382">
        <v>0</v>
      </c>
      <c r="K1382" s="122" t="s">
        <v>5530</v>
      </c>
      <c r="L1382">
        <v>2000</v>
      </c>
    </row>
    <row r="1383" spans="1:12" ht="128" x14ac:dyDescent="0.2">
      <c r="A1383" t="s">
        <v>5500</v>
      </c>
      <c r="B1383" t="s">
        <v>3991</v>
      </c>
      <c r="C1383">
        <v>20</v>
      </c>
      <c r="D1383" t="s">
        <v>1452</v>
      </c>
      <c r="E1383" t="s">
        <v>1464</v>
      </c>
      <c r="F1383" s="122" t="s">
        <v>1467</v>
      </c>
      <c r="G1383" s="122" t="s">
        <v>1513</v>
      </c>
      <c r="H1383" s="122" t="s">
        <v>5531</v>
      </c>
      <c r="I1383">
        <v>7934</v>
      </c>
      <c r="J1383">
        <v>0</v>
      </c>
      <c r="K1383" s="122" t="s">
        <v>5532</v>
      </c>
      <c r="L1383">
        <v>2000</v>
      </c>
    </row>
    <row r="1384" spans="1:12" ht="160" x14ac:dyDescent="0.2">
      <c r="A1384" t="s">
        <v>5500</v>
      </c>
      <c r="B1384" t="s">
        <v>4046</v>
      </c>
      <c r="C1384">
        <v>1</v>
      </c>
      <c r="D1384" t="s">
        <v>1420</v>
      </c>
      <c r="E1384" t="s">
        <v>1421</v>
      </c>
      <c r="F1384" s="122" t="s">
        <v>1422</v>
      </c>
      <c r="G1384" s="122" t="s">
        <v>1423</v>
      </c>
      <c r="H1384" s="122" t="s">
        <v>5533</v>
      </c>
      <c r="I1384">
        <v>7938</v>
      </c>
      <c r="J1384">
        <v>0</v>
      </c>
      <c r="K1384" s="122" t="s">
        <v>5534</v>
      </c>
      <c r="L1384">
        <v>2000</v>
      </c>
    </row>
    <row r="1385" spans="1:12" ht="64" x14ac:dyDescent="0.2">
      <c r="A1385" t="s">
        <v>5500</v>
      </c>
      <c r="B1385" t="s">
        <v>4046</v>
      </c>
      <c r="C1385">
        <v>2</v>
      </c>
      <c r="D1385" t="s">
        <v>1420</v>
      </c>
      <c r="E1385" t="s">
        <v>1421</v>
      </c>
      <c r="F1385" s="122" t="s">
        <v>1425</v>
      </c>
      <c r="G1385" s="122">
        <v>8</v>
      </c>
      <c r="H1385" s="122" t="s">
        <v>5535</v>
      </c>
      <c r="I1385">
        <v>7938</v>
      </c>
      <c r="J1385">
        <v>0</v>
      </c>
      <c r="K1385" s="122" t="s">
        <v>4740</v>
      </c>
      <c r="L1385">
        <v>2000</v>
      </c>
    </row>
    <row r="1386" spans="1:12" ht="80" x14ac:dyDescent="0.2">
      <c r="A1386" t="s">
        <v>5500</v>
      </c>
      <c r="B1386" t="s">
        <v>4046</v>
      </c>
      <c r="C1386">
        <v>3</v>
      </c>
      <c r="D1386" t="s">
        <v>1420</v>
      </c>
      <c r="E1386" t="s">
        <v>1421</v>
      </c>
      <c r="F1386" s="122" t="s">
        <v>1427</v>
      </c>
      <c r="G1386" s="122" t="s">
        <v>1428</v>
      </c>
      <c r="H1386" s="122" t="s">
        <v>5536</v>
      </c>
      <c r="I1386">
        <v>7938</v>
      </c>
      <c r="J1386">
        <v>0</v>
      </c>
      <c r="K1386" s="122" t="s">
        <v>3997</v>
      </c>
      <c r="L1386">
        <v>2000</v>
      </c>
    </row>
    <row r="1387" spans="1:12" ht="48" x14ac:dyDescent="0.2">
      <c r="A1387" t="s">
        <v>5500</v>
      </c>
      <c r="B1387" t="s">
        <v>4046</v>
      </c>
      <c r="C1387">
        <v>4</v>
      </c>
      <c r="D1387" t="s">
        <v>1420</v>
      </c>
      <c r="E1387" t="s">
        <v>1429</v>
      </c>
      <c r="F1387" s="122" t="s">
        <v>1430</v>
      </c>
      <c r="G1387" s="122">
        <v>88</v>
      </c>
      <c r="H1387" s="122" t="s">
        <v>5537</v>
      </c>
      <c r="I1387">
        <v>7938</v>
      </c>
      <c r="J1387">
        <v>0</v>
      </c>
      <c r="K1387" s="122" t="s">
        <v>5538</v>
      </c>
      <c r="L1387">
        <v>2000</v>
      </c>
    </row>
    <row r="1388" spans="1:12" ht="48" x14ac:dyDescent="0.2">
      <c r="A1388" t="s">
        <v>5500</v>
      </c>
      <c r="B1388" t="s">
        <v>4046</v>
      </c>
      <c r="C1388">
        <v>5</v>
      </c>
      <c r="D1388" t="s">
        <v>1420</v>
      </c>
      <c r="E1388" t="s">
        <v>1421</v>
      </c>
      <c r="F1388" s="122" t="s">
        <v>1431</v>
      </c>
      <c r="G1388" s="122" t="s">
        <v>1432</v>
      </c>
      <c r="H1388" s="122" t="s">
        <v>5539</v>
      </c>
      <c r="I1388">
        <v>7938</v>
      </c>
      <c r="J1388">
        <v>3</v>
      </c>
      <c r="K1388" s="122" t="s">
        <v>4606</v>
      </c>
      <c r="L1388">
        <v>2000</v>
      </c>
    </row>
    <row r="1389" spans="1:12" ht="144" x14ac:dyDescent="0.2">
      <c r="A1389" t="s">
        <v>5500</v>
      </c>
      <c r="B1389" t="s">
        <v>4046</v>
      </c>
      <c r="C1389">
        <v>6</v>
      </c>
      <c r="D1389" t="s">
        <v>1433</v>
      </c>
      <c r="E1389" t="s">
        <v>1434</v>
      </c>
      <c r="F1389" s="122" t="s">
        <v>1435</v>
      </c>
      <c r="G1389" s="122" t="s">
        <v>1436</v>
      </c>
      <c r="H1389" s="122" t="s">
        <v>5540</v>
      </c>
      <c r="I1389">
        <v>7938</v>
      </c>
      <c r="J1389">
        <v>0</v>
      </c>
      <c r="K1389" s="122" t="s">
        <v>5541</v>
      </c>
      <c r="L1389">
        <v>2000</v>
      </c>
    </row>
    <row r="1390" spans="1:12" ht="64" x14ac:dyDescent="0.2">
      <c r="A1390" t="s">
        <v>5500</v>
      </c>
      <c r="B1390" t="s">
        <v>4046</v>
      </c>
      <c r="C1390">
        <v>7</v>
      </c>
      <c r="D1390" t="s">
        <v>1433</v>
      </c>
      <c r="E1390" t="s">
        <v>1434</v>
      </c>
      <c r="F1390" s="122" t="s">
        <v>1438</v>
      </c>
      <c r="G1390" s="122" t="s">
        <v>1469</v>
      </c>
      <c r="H1390" s="122" t="s">
        <v>5542</v>
      </c>
      <c r="I1390">
        <v>7938</v>
      </c>
      <c r="J1390">
        <v>0</v>
      </c>
      <c r="K1390" s="122" t="s">
        <v>5543</v>
      </c>
      <c r="L1390">
        <v>2000</v>
      </c>
    </row>
    <row r="1391" spans="1:12" ht="80" x14ac:dyDescent="0.2">
      <c r="A1391" t="s">
        <v>5500</v>
      </c>
      <c r="B1391" t="s">
        <v>4046</v>
      </c>
      <c r="C1391">
        <v>8</v>
      </c>
      <c r="D1391" t="s">
        <v>1433</v>
      </c>
      <c r="E1391" t="s">
        <v>1440</v>
      </c>
      <c r="F1391" s="122" t="s">
        <v>1441</v>
      </c>
      <c r="G1391" s="122" t="s">
        <v>1470</v>
      </c>
      <c r="H1391" s="122" t="s">
        <v>5544</v>
      </c>
      <c r="I1391">
        <v>7938</v>
      </c>
      <c r="J1391">
        <v>0</v>
      </c>
      <c r="K1391" s="122" t="s">
        <v>5545</v>
      </c>
      <c r="L1391">
        <v>2000</v>
      </c>
    </row>
    <row r="1392" spans="1:12" ht="64" x14ac:dyDescent="0.2">
      <c r="A1392" t="s">
        <v>5500</v>
      </c>
      <c r="B1392" t="s">
        <v>4046</v>
      </c>
      <c r="C1392">
        <v>9</v>
      </c>
      <c r="D1392" t="s">
        <v>1433</v>
      </c>
      <c r="E1392" t="s">
        <v>1440</v>
      </c>
      <c r="F1392" s="122" t="s">
        <v>1443</v>
      </c>
      <c r="G1392" s="122" t="s">
        <v>1477</v>
      </c>
      <c r="H1392" s="122" t="s">
        <v>5546</v>
      </c>
    </row>
    <row r="1393" spans="1:12" x14ac:dyDescent="0.2">
      <c r="A1393" t="s">
        <v>5547</v>
      </c>
      <c r="B1393">
        <v>405</v>
      </c>
      <c r="C1393" t="s">
        <v>5548</v>
      </c>
    </row>
    <row r="1394" spans="1:12" x14ac:dyDescent="0.2">
      <c r="A1394" t="s">
        <v>5549</v>
      </c>
      <c r="B1394">
        <v>7938</v>
      </c>
      <c r="C1394">
        <v>2</v>
      </c>
      <c r="D1394" t="s">
        <v>5550</v>
      </c>
      <c r="E1394">
        <v>2000</v>
      </c>
    </row>
    <row r="1395" spans="1:12" ht="64" x14ac:dyDescent="0.2">
      <c r="A1395" t="s">
        <v>5500</v>
      </c>
      <c r="B1395" t="s">
        <v>4046</v>
      </c>
      <c r="C1395">
        <v>10</v>
      </c>
      <c r="D1395" t="s">
        <v>1433</v>
      </c>
      <c r="E1395" t="s">
        <v>1421</v>
      </c>
      <c r="F1395" s="122" t="s">
        <v>1445</v>
      </c>
      <c r="G1395" s="122" t="s">
        <v>1446</v>
      </c>
      <c r="H1395" s="122" t="s">
        <v>5551</v>
      </c>
    </row>
    <row r="1396" spans="1:12" x14ac:dyDescent="0.2">
      <c r="A1396" t="s">
        <v>3538</v>
      </c>
    </row>
    <row r="1397" spans="1:12" x14ac:dyDescent="0.2">
      <c r="A1397" t="s">
        <v>5552</v>
      </c>
      <c r="B1397">
        <v>7938</v>
      </c>
      <c r="C1397">
        <v>0</v>
      </c>
      <c r="D1397" t="s">
        <v>5553</v>
      </c>
      <c r="E1397">
        <v>2000</v>
      </c>
    </row>
    <row r="1398" spans="1:12" ht="96" x14ac:dyDescent="0.2">
      <c r="A1398" t="s">
        <v>5500</v>
      </c>
      <c r="B1398" t="s">
        <v>4046</v>
      </c>
      <c r="C1398">
        <v>11</v>
      </c>
      <c r="D1398" t="s">
        <v>1433</v>
      </c>
      <c r="E1398" t="s">
        <v>1447</v>
      </c>
      <c r="F1398" s="122" t="s">
        <v>1448</v>
      </c>
      <c r="G1398" s="122" t="s">
        <v>4011</v>
      </c>
      <c r="H1398" s="122" t="s">
        <v>5554</v>
      </c>
      <c r="I1398">
        <v>7938</v>
      </c>
      <c r="J1398">
        <v>0</v>
      </c>
      <c r="K1398" s="122" t="s">
        <v>5555</v>
      </c>
      <c r="L1398">
        <v>2000</v>
      </c>
    </row>
    <row r="1399" spans="1:12" ht="64" x14ac:dyDescent="0.2">
      <c r="A1399" t="s">
        <v>5500</v>
      </c>
      <c r="B1399" t="s">
        <v>4046</v>
      </c>
      <c r="C1399">
        <v>12</v>
      </c>
      <c r="D1399" t="s">
        <v>1433</v>
      </c>
      <c r="E1399" t="s">
        <v>1434</v>
      </c>
      <c r="F1399" s="122" t="s">
        <v>1450</v>
      </c>
      <c r="G1399" s="196">
        <v>16881928.100000001</v>
      </c>
      <c r="H1399" s="122" t="s">
        <v>5556</v>
      </c>
      <c r="I1399">
        <v>7938</v>
      </c>
      <c r="J1399">
        <v>0</v>
      </c>
      <c r="K1399" s="122" t="s">
        <v>4659</v>
      </c>
      <c r="L1399">
        <v>2000</v>
      </c>
    </row>
    <row r="1400" spans="1:12" ht="112" x14ac:dyDescent="0.2">
      <c r="A1400" t="s">
        <v>5500</v>
      </c>
      <c r="B1400" t="s">
        <v>4046</v>
      </c>
      <c r="C1400">
        <v>13</v>
      </c>
      <c r="D1400" t="s">
        <v>1452</v>
      </c>
      <c r="E1400" t="s">
        <v>1453</v>
      </c>
      <c r="F1400" s="122" t="s">
        <v>1454</v>
      </c>
      <c r="G1400" s="122">
        <v>19</v>
      </c>
      <c r="H1400" s="122" t="s">
        <v>5557</v>
      </c>
      <c r="I1400">
        <v>7938</v>
      </c>
      <c r="J1400">
        <v>2</v>
      </c>
      <c r="K1400" s="122" t="s">
        <v>5558</v>
      </c>
      <c r="L1400">
        <v>2000</v>
      </c>
    </row>
    <row r="1401" spans="1:12" ht="160" x14ac:dyDescent="0.2">
      <c r="A1401" t="s">
        <v>5500</v>
      </c>
      <c r="B1401" t="s">
        <v>4046</v>
      </c>
      <c r="C1401">
        <v>14</v>
      </c>
      <c r="D1401" t="s">
        <v>1452</v>
      </c>
      <c r="E1401" t="s">
        <v>1453</v>
      </c>
      <c r="F1401" s="122" t="s">
        <v>1455</v>
      </c>
      <c r="G1401" s="122">
        <v>9</v>
      </c>
      <c r="H1401" s="122" t="s">
        <v>5559</v>
      </c>
      <c r="I1401">
        <v>7938</v>
      </c>
      <c r="J1401">
        <v>0</v>
      </c>
      <c r="K1401" s="122" t="s">
        <v>5560</v>
      </c>
      <c r="L1401">
        <v>2000</v>
      </c>
    </row>
    <row r="1402" spans="1:12" ht="64" x14ac:dyDescent="0.2">
      <c r="A1402" t="s">
        <v>5500</v>
      </c>
      <c r="B1402" t="s">
        <v>4046</v>
      </c>
      <c r="C1402">
        <v>15</v>
      </c>
      <c r="D1402" t="s">
        <v>1452</v>
      </c>
      <c r="E1402" t="s">
        <v>1447</v>
      </c>
      <c r="F1402" s="122" t="s">
        <v>1457</v>
      </c>
      <c r="G1402" s="122">
        <v>50</v>
      </c>
      <c r="H1402" s="122" t="s">
        <v>5561</v>
      </c>
      <c r="I1402">
        <v>7938</v>
      </c>
      <c r="J1402">
        <v>2</v>
      </c>
      <c r="K1402" s="122" t="s">
        <v>5562</v>
      </c>
      <c r="L1402">
        <v>2000</v>
      </c>
    </row>
    <row r="1403" spans="1:12" ht="64" x14ac:dyDescent="0.2">
      <c r="A1403" t="s">
        <v>5500</v>
      </c>
      <c r="B1403" t="s">
        <v>4046</v>
      </c>
      <c r="C1403">
        <v>16</v>
      </c>
      <c r="D1403" t="s">
        <v>1452</v>
      </c>
      <c r="E1403" t="s">
        <v>1434</v>
      </c>
      <c r="F1403" s="122" t="s">
        <v>1458</v>
      </c>
      <c r="G1403" s="122" t="s">
        <v>1497</v>
      </c>
      <c r="H1403" s="122" t="s">
        <v>5563</v>
      </c>
      <c r="I1403">
        <v>7938</v>
      </c>
      <c r="J1403">
        <v>0</v>
      </c>
      <c r="K1403" s="122" t="s">
        <v>5564</v>
      </c>
      <c r="L1403">
        <v>2000</v>
      </c>
    </row>
    <row r="1404" spans="1:12" ht="80" x14ac:dyDescent="0.2">
      <c r="A1404" t="s">
        <v>5500</v>
      </c>
      <c r="B1404" t="s">
        <v>4046</v>
      </c>
      <c r="C1404">
        <v>17</v>
      </c>
      <c r="D1404" t="s">
        <v>1452</v>
      </c>
      <c r="E1404" t="s">
        <v>1421</v>
      </c>
      <c r="F1404" s="122" t="s">
        <v>1460</v>
      </c>
      <c r="G1404" s="122" t="s">
        <v>1500</v>
      </c>
      <c r="H1404" s="122" t="s">
        <v>5565</v>
      </c>
      <c r="I1404">
        <v>7938</v>
      </c>
      <c r="J1404">
        <v>0</v>
      </c>
      <c r="K1404" s="122" t="s">
        <v>4101</v>
      </c>
      <c r="L1404">
        <v>2000</v>
      </c>
    </row>
    <row r="1405" spans="1:12" ht="64" x14ac:dyDescent="0.2">
      <c r="A1405" t="s">
        <v>5500</v>
      </c>
      <c r="B1405" t="s">
        <v>4046</v>
      </c>
      <c r="C1405">
        <v>18</v>
      </c>
      <c r="D1405" t="s">
        <v>1452</v>
      </c>
      <c r="E1405" t="s">
        <v>1440</v>
      </c>
      <c r="F1405" s="122" t="s">
        <v>1462</v>
      </c>
      <c r="G1405" s="122" t="s">
        <v>1502</v>
      </c>
      <c r="H1405" s="122" t="s">
        <v>5566</v>
      </c>
      <c r="I1405">
        <v>7938</v>
      </c>
      <c r="J1405">
        <v>0</v>
      </c>
      <c r="K1405" s="122" t="s">
        <v>5567</v>
      </c>
      <c r="L1405">
        <v>2000</v>
      </c>
    </row>
    <row r="1406" spans="1:12" ht="48" x14ac:dyDescent="0.2">
      <c r="A1406" t="s">
        <v>5500</v>
      </c>
      <c r="B1406" t="s">
        <v>4046</v>
      </c>
      <c r="C1406">
        <v>19</v>
      </c>
      <c r="D1406" t="s">
        <v>1452</v>
      </c>
      <c r="E1406" t="s">
        <v>1464</v>
      </c>
      <c r="F1406" s="122" t="s">
        <v>1465</v>
      </c>
      <c r="G1406" s="122" t="s">
        <v>1503</v>
      </c>
      <c r="H1406" s="122" t="s">
        <v>4104</v>
      </c>
    </row>
    <row r="1407" spans="1:12" x14ac:dyDescent="0.2">
      <c r="A1407" t="s">
        <v>3556</v>
      </c>
    </row>
    <row r="1408" spans="1:12" x14ac:dyDescent="0.2">
      <c r="A1408" t="s">
        <v>5568</v>
      </c>
      <c r="B1408">
        <v>7938</v>
      </c>
      <c r="C1408">
        <v>0</v>
      </c>
      <c r="D1408" t="s">
        <v>5569</v>
      </c>
      <c r="E1408">
        <v>2000</v>
      </c>
    </row>
    <row r="1409" spans="1:12" ht="128" x14ac:dyDescent="0.2">
      <c r="A1409" t="s">
        <v>5500</v>
      </c>
      <c r="B1409" t="s">
        <v>4046</v>
      </c>
      <c r="C1409">
        <v>20</v>
      </c>
      <c r="D1409" t="s">
        <v>1452</v>
      </c>
      <c r="E1409" t="s">
        <v>1464</v>
      </c>
      <c r="F1409" s="122" t="s">
        <v>1467</v>
      </c>
      <c r="G1409" s="122" t="s">
        <v>1513</v>
      </c>
      <c r="H1409" s="122" t="s">
        <v>5570</v>
      </c>
    </row>
    <row r="1411" spans="1:12" x14ac:dyDescent="0.2">
      <c r="A1411" t="s">
        <v>3559</v>
      </c>
    </row>
    <row r="1412" spans="1:12" x14ac:dyDescent="0.2">
      <c r="A1412" t="s">
        <v>5571</v>
      </c>
      <c r="B1412">
        <v>837</v>
      </c>
      <c r="C1412" t="s">
        <v>5572</v>
      </c>
    </row>
    <row r="1413" spans="1:12" x14ac:dyDescent="0.2">
      <c r="A1413" t="s">
        <v>5573</v>
      </c>
      <c r="B1413">
        <v>571</v>
      </c>
      <c r="C1413" t="s">
        <v>5574</v>
      </c>
    </row>
    <row r="1414" spans="1:12" x14ac:dyDescent="0.2">
      <c r="A1414" t="s">
        <v>5575</v>
      </c>
      <c r="B1414" t="s">
        <v>4548</v>
      </c>
    </row>
    <row r="1416" spans="1:12" x14ac:dyDescent="0.2">
      <c r="A1416" t="s">
        <v>5576</v>
      </c>
      <c r="B1416">
        <v>7938</v>
      </c>
      <c r="C1416">
        <v>0</v>
      </c>
      <c r="D1416" t="s">
        <v>5577</v>
      </c>
      <c r="E1416">
        <v>2000</v>
      </c>
    </row>
    <row r="1417" spans="1:12" ht="112" x14ac:dyDescent="0.2">
      <c r="A1417" t="s">
        <v>5500</v>
      </c>
      <c r="B1417" t="s">
        <v>4110</v>
      </c>
      <c r="C1417">
        <v>1</v>
      </c>
      <c r="D1417" t="s">
        <v>1420</v>
      </c>
      <c r="E1417" t="s">
        <v>1421</v>
      </c>
      <c r="F1417" s="122" t="s">
        <v>1422</v>
      </c>
      <c r="G1417" s="122" t="s">
        <v>1423</v>
      </c>
      <c r="H1417" s="122" t="s">
        <v>5578</v>
      </c>
      <c r="I1417">
        <v>31934</v>
      </c>
      <c r="J1417">
        <v>0</v>
      </c>
      <c r="K1417" s="122" t="s">
        <v>5579</v>
      </c>
      <c r="L1417">
        <v>8000</v>
      </c>
    </row>
    <row r="1418" spans="1:12" ht="144" x14ac:dyDescent="0.2">
      <c r="A1418" t="s">
        <v>5500</v>
      </c>
      <c r="B1418" t="s">
        <v>4110</v>
      </c>
      <c r="C1418">
        <v>2</v>
      </c>
      <c r="D1418" t="s">
        <v>1420</v>
      </c>
      <c r="E1418" t="s">
        <v>1421</v>
      </c>
      <c r="F1418" s="122" t="s">
        <v>1425</v>
      </c>
      <c r="G1418" s="122">
        <v>8</v>
      </c>
      <c r="H1418" s="122" t="s">
        <v>5580</v>
      </c>
      <c r="I1418">
        <v>31923</v>
      </c>
      <c r="J1418">
        <v>2</v>
      </c>
      <c r="K1418" s="122" t="s">
        <v>5581</v>
      </c>
      <c r="L1418">
        <v>8000</v>
      </c>
    </row>
    <row r="1419" spans="1:12" ht="96" x14ac:dyDescent="0.2">
      <c r="A1419" t="s">
        <v>5500</v>
      </c>
      <c r="B1419" t="s">
        <v>4110</v>
      </c>
      <c r="C1419">
        <v>3</v>
      </c>
      <c r="D1419" t="s">
        <v>1420</v>
      </c>
      <c r="E1419" t="s">
        <v>1421</v>
      </c>
      <c r="F1419" s="122" t="s">
        <v>1427</v>
      </c>
      <c r="G1419" s="122" t="s">
        <v>1428</v>
      </c>
      <c r="H1419" s="122" t="s">
        <v>5582</v>
      </c>
      <c r="I1419">
        <v>28496</v>
      </c>
      <c r="J1419">
        <v>0</v>
      </c>
      <c r="K1419" s="122" t="s">
        <v>3997</v>
      </c>
      <c r="L1419">
        <v>8000</v>
      </c>
    </row>
    <row r="1420" spans="1:12" ht="48" x14ac:dyDescent="0.2">
      <c r="A1420" t="s">
        <v>5500</v>
      </c>
      <c r="B1420" t="s">
        <v>4110</v>
      </c>
      <c r="C1420">
        <v>4</v>
      </c>
      <c r="D1420" t="s">
        <v>1420</v>
      </c>
      <c r="E1420" t="s">
        <v>1429</v>
      </c>
      <c r="F1420" s="122" t="s">
        <v>1430</v>
      </c>
      <c r="G1420" s="122">
        <v>88</v>
      </c>
      <c r="H1420" s="122" t="s">
        <v>5583</v>
      </c>
      <c r="I1420">
        <v>29451</v>
      </c>
      <c r="J1420">
        <v>2</v>
      </c>
      <c r="K1420" s="122" t="s">
        <v>5584</v>
      </c>
      <c r="L1420">
        <v>8000</v>
      </c>
    </row>
    <row r="1421" spans="1:12" ht="48" x14ac:dyDescent="0.2">
      <c r="A1421" t="s">
        <v>5500</v>
      </c>
      <c r="B1421" t="s">
        <v>4110</v>
      </c>
      <c r="C1421">
        <v>5</v>
      </c>
      <c r="D1421" t="s">
        <v>1420</v>
      </c>
      <c r="E1421" t="s">
        <v>1421</v>
      </c>
      <c r="F1421" s="122" t="s">
        <v>1431</v>
      </c>
      <c r="G1421" s="122" t="s">
        <v>1432</v>
      </c>
      <c r="H1421" s="122" t="s">
        <v>4562</v>
      </c>
      <c r="I1421">
        <v>27738</v>
      </c>
      <c r="J1421">
        <v>3</v>
      </c>
      <c r="K1421" s="122" t="s">
        <v>5120</v>
      </c>
      <c r="L1421">
        <v>8000</v>
      </c>
    </row>
    <row r="1422" spans="1:12" ht="64" x14ac:dyDescent="0.2">
      <c r="A1422" t="s">
        <v>5500</v>
      </c>
      <c r="B1422" t="s">
        <v>4110</v>
      </c>
      <c r="C1422">
        <v>6</v>
      </c>
      <c r="D1422" t="s">
        <v>1433</v>
      </c>
      <c r="E1422" t="s">
        <v>1434</v>
      </c>
      <c r="F1422" s="122" t="s">
        <v>1435</v>
      </c>
      <c r="G1422" s="122" t="s">
        <v>1436</v>
      </c>
      <c r="H1422" s="122" t="s">
        <v>5585</v>
      </c>
      <c r="I1422">
        <v>31889</v>
      </c>
      <c r="J1422">
        <v>3</v>
      </c>
      <c r="K1422" s="122" t="s">
        <v>5586</v>
      </c>
      <c r="L1422">
        <v>8000</v>
      </c>
    </row>
    <row r="1423" spans="1:12" ht="128" x14ac:dyDescent="0.2">
      <c r="A1423" t="s">
        <v>5500</v>
      </c>
      <c r="B1423" t="s">
        <v>4110</v>
      </c>
      <c r="C1423">
        <v>7</v>
      </c>
      <c r="D1423" t="s">
        <v>1433</v>
      </c>
      <c r="E1423" t="s">
        <v>1434</v>
      </c>
      <c r="F1423" s="122" t="s">
        <v>1438</v>
      </c>
      <c r="G1423" s="122" t="s">
        <v>1469</v>
      </c>
      <c r="H1423" s="122" t="s">
        <v>5587</v>
      </c>
      <c r="I1423">
        <v>26064</v>
      </c>
      <c r="J1423">
        <v>0</v>
      </c>
      <c r="K1423" s="122" t="s">
        <v>5588</v>
      </c>
      <c r="L1423">
        <v>8000</v>
      </c>
    </row>
    <row r="1424" spans="1:12" ht="80" x14ac:dyDescent="0.2">
      <c r="A1424" t="s">
        <v>5500</v>
      </c>
      <c r="B1424" t="s">
        <v>4110</v>
      </c>
      <c r="C1424">
        <v>8</v>
      </c>
      <c r="D1424" t="s">
        <v>1433</v>
      </c>
      <c r="E1424" t="s">
        <v>1440</v>
      </c>
      <c r="F1424" s="122" t="s">
        <v>1441</v>
      </c>
      <c r="G1424" s="122" t="s">
        <v>1470</v>
      </c>
      <c r="H1424" s="122" t="s">
        <v>5589</v>
      </c>
    </row>
    <row r="1425" spans="1:12" x14ac:dyDescent="0.2">
      <c r="A1425" t="s">
        <v>5590</v>
      </c>
      <c r="B1425" t="s">
        <v>5591</v>
      </c>
      <c r="C1425">
        <v>424</v>
      </c>
      <c r="D1425" t="s">
        <v>5592</v>
      </c>
    </row>
    <row r="1426" spans="1:12" x14ac:dyDescent="0.2">
      <c r="A1426" t="s">
        <v>5593</v>
      </c>
      <c r="B1426">
        <v>31856</v>
      </c>
      <c r="C1426">
        <v>3</v>
      </c>
      <c r="D1426" t="s">
        <v>5594</v>
      </c>
      <c r="E1426">
        <v>8000</v>
      </c>
    </row>
    <row r="1427" spans="1:12" ht="80" x14ac:dyDescent="0.2">
      <c r="A1427" t="s">
        <v>5500</v>
      </c>
      <c r="B1427" t="s">
        <v>4110</v>
      </c>
      <c r="C1427">
        <v>9</v>
      </c>
      <c r="D1427" t="s">
        <v>1433</v>
      </c>
      <c r="E1427" t="s">
        <v>1440</v>
      </c>
      <c r="F1427" s="122" t="s">
        <v>1443</v>
      </c>
      <c r="G1427" s="122" t="s">
        <v>1477</v>
      </c>
      <c r="H1427" s="122" t="s">
        <v>5595</v>
      </c>
      <c r="I1427">
        <v>26225</v>
      </c>
      <c r="J1427">
        <v>0</v>
      </c>
      <c r="K1427" s="122" t="s">
        <v>4514</v>
      </c>
      <c r="L1427">
        <v>8000</v>
      </c>
    </row>
    <row r="1428" spans="1:12" ht="80" x14ac:dyDescent="0.2">
      <c r="A1428" t="s">
        <v>5500</v>
      </c>
      <c r="B1428" t="s">
        <v>4110</v>
      </c>
      <c r="C1428">
        <v>10</v>
      </c>
      <c r="D1428" t="s">
        <v>1433</v>
      </c>
      <c r="E1428" t="s">
        <v>1421</v>
      </c>
      <c r="F1428" s="122" t="s">
        <v>1445</v>
      </c>
      <c r="G1428" s="122" t="s">
        <v>1446</v>
      </c>
      <c r="H1428" s="122" t="s">
        <v>5596</v>
      </c>
      <c r="I1428">
        <v>28942</v>
      </c>
      <c r="J1428">
        <v>3</v>
      </c>
      <c r="K1428" s="122" t="s">
        <v>4705</v>
      </c>
      <c r="L1428">
        <v>8000</v>
      </c>
    </row>
    <row r="1429" spans="1:12" ht="64" x14ac:dyDescent="0.2">
      <c r="A1429" t="s">
        <v>5500</v>
      </c>
      <c r="B1429" t="s">
        <v>4110</v>
      </c>
      <c r="C1429">
        <v>11</v>
      </c>
      <c r="D1429" t="s">
        <v>1433</v>
      </c>
      <c r="E1429" t="s">
        <v>1447</v>
      </c>
      <c r="F1429" s="122" t="s">
        <v>1448</v>
      </c>
      <c r="G1429" s="122" t="s">
        <v>4011</v>
      </c>
      <c r="H1429" s="122" t="s">
        <v>5503</v>
      </c>
      <c r="I1429">
        <v>31899</v>
      </c>
      <c r="J1429">
        <v>-1</v>
      </c>
      <c r="K1429" s="122" t="s">
        <v>5504</v>
      </c>
      <c r="L1429">
        <v>8000</v>
      </c>
    </row>
    <row r="1430" spans="1:12" ht="80" x14ac:dyDescent="0.2">
      <c r="A1430" t="s">
        <v>5500</v>
      </c>
      <c r="B1430" t="s">
        <v>4110</v>
      </c>
      <c r="C1430">
        <v>12</v>
      </c>
      <c r="D1430" t="s">
        <v>1433</v>
      </c>
      <c r="E1430" t="s">
        <v>1434</v>
      </c>
      <c r="F1430" s="122" t="s">
        <v>1450</v>
      </c>
      <c r="G1430" s="196">
        <v>16881928.100000001</v>
      </c>
      <c r="H1430" s="122" t="s">
        <v>5597</v>
      </c>
      <c r="I1430">
        <v>29453</v>
      </c>
      <c r="J1430">
        <v>3</v>
      </c>
      <c r="K1430" s="122" t="s">
        <v>5598</v>
      </c>
      <c r="L1430">
        <v>8000</v>
      </c>
    </row>
    <row r="1431" spans="1:12" ht="128" x14ac:dyDescent="0.2">
      <c r="A1431" t="s">
        <v>5500</v>
      </c>
      <c r="B1431" t="s">
        <v>4110</v>
      </c>
      <c r="C1431">
        <v>13</v>
      </c>
      <c r="D1431" t="s">
        <v>1452</v>
      </c>
      <c r="E1431" t="s">
        <v>1453</v>
      </c>
      <c r="F1431" s="122" t="s">
        <v>1454</v>
      </c>
      <c r="G1431" s="122">
        <v>19</v>
      </c>
      <c r="H1431" s="122" t="s">
        <v>5599</v>
      </c>
    </row>
    <row r="1433" spans="1:12" x14ac:dyDescent="0.2">
      <c r="A1433" t="s">
        <v>3595</v>
      </c>
    </row>
    <row r="1434" spans="1:12" x14ac:dyDescent="0.2">
      <c r="A1434" t="s">
        <v>3596</v>
      </c>
    </row>
    <row r="1435" spans="1:12" x14ac:dyDescent="0.2">
      <c r="A1435" t="s">
        <v>3597</v>
      </c>
    </row>
    <row r="1436" spans="1:12" x14ac:dyDescent="0.2">
      <c r="A1436" t="s">
        <v>3598</v>
      </c>
    </row>
    <row r="1437" spans="1:12" x14ac:dyDescent="0.2">
      <c r="A1437" t="s">
        <v>3599</v>
      </c>
    </row>
    <row r="1438" spans="1:12" x14ac:dyDescent="0.2">
      <c r="A1438" t="s">
        <v>3600</v>
      </c>
    </row>
    <row r="1439" spans="1:12" x14ac:dyDescent="0.2">
      <c r="A1439" t="s">
        <v>3601</v>
      </c>
    </row>
    <row r="1440" spans="1:12" x14ac:dyDescent="0.2">
      <c r="A1440" t="s">
        <v>3602</v>
      </c>
    </row>
    <row r="1441" spans="1:2" x14ac:dyDescent="0.2">
      <c r="A1441" t="s">
        <v>3603</v>
      </c>
    </row>
    <row r="1442" spans="1:2" x14ac:dyDescent="0.2">
      <c r="A1442" t="s">
        <v>3604</v>
      </c>
    </row>
    <row r="1443" spans="1:2" x14ac:dyDescent="0.2">
      <c r="A1443" t="s">
        <v>3605</v>
      </c>
    </row>
    <row r="1444" spans="1:2" x14ac:dyDescent="0.2">
      <c r="A1444" t="s">
        <v>3606</v>
      </c>
    </row>
    <row r="1445" spans="1:2" x14ac:dyDescent="0.2">
      <c r="A1445" t="s">
        <v>5600</v>
      </c>
      <c r="B1445" t="s">
        <v>4136</v>
      </c>
    </row>
    <row r="1446" spans="1:2" x14ac:dyDescent="0.2">
      <c r="A1446" t="s">
        <v>3608</v>
      </c>
    </row>
    <row r="1447" spans="1:2" x14ac:dyDescent="0.2">
      <c r="A1447" t="s">
        <v>3609</v>
      </c>
    </row>
    <row r="1448" spans="1:2" x14ac:dyDescent="0.2">
      <c r="A1448" t="s">
        <v>3610</v>
      </c>
    </row>
    <row r="1449" spans="1:2" x14ac:dyDescent="0.2">
      <c r="A1449" t="s">
        <v>3611</v>
      </c>
    </row>
    <row r="1450" spans="1:2" x14ac:dyDescent="0.2">
      <c r="A1450" t="s">
        <v>3612</v>
      </c>
    </row>
    <row r="1451" spans="1:2" x14ac:dyDescent="0.2">
      <c r="A1451" t="s">
        <v>3613</v>
      </c>
    </row>
    <row r="1452" spans="1:2" x14ac:dyDescent="0.2">
      <c r="A1452" t="s">
        <v>3614</v>
      </c>
    </row>
    <row r="1453" spans="1:2" x14ac:dyDescent="0.2">
      <c r="A1453" t="s">
        <v>3615</v>
      </c>
    </row>
    <row r="1455" spans="1:2" x14ac:dyDescent="0.2">
      <c r="A1455" t="s">
        <v>3616</v>
      </c>
    </row>
    <row r="1456" spans="1:2" x14ac:dyDescent="0.2">
      <c r="A1456" t="s">
        <v>3617</v>
      </c>
    </row>
    <row r="1457" spans="1:12" x14ac:dyDescent="0.2">
      <c r="A1457" t="s">
        <v>3618</v>
      </c>
    </row>
    <row r="1458" spans="1:12" x14ac:dyDescent="0.2">
      <c r="A1458" t="s">
        <v>3619</v>
      </c>
    </row>
    <row r="1460" spans="1:12" x14ac:dyDescent="0.2">
      <c r="A1460" t="s">
        <v>3620</v>
      </c>
    </row>
    <row r="1461" spans="1:12" x14ac:dyDescent="0.2">
      <c r="A1461" t="s">
        <v>5601</v>
      </c>
      <c r="B1461">
        <v>31839</v>
      </c>
      <c r="C1461">
        <v>2</v>
      </c>
      <c r="D1461" t="s">
        <v>5602</v>
      </c>
      <c r="E1461">
        <v>8000</v>
      </c>
    </row>
    <row r="1462" spans="1:12" ht="48" x14ac:dyDescent="0.2">
      <c r="A1462" t="s">
        <v>5500</v>
      </c>
      <c r="B1462" t="s">
        <v>4110</v>
      </c>
      <c r="C1462">
        <v>14</v>
      </c>
      <c r="D1462" t="s">
        <v>1452</v>
      </c>
      <c r="E1462" t="s">
        <v>1453</v>
      </c>
      <c r="F1462" s="122" t="s">
        <v>1455</v>
      </c>
      <c r="G1462" s="122">
        <v>9</v>
      </c>
      <c r="H1462" s="122" t="s">
        <v>5503</v>
      </c>
      <c r="I1462">
        <v>26917</v>
      </c>
      <c r="J1462">
        <v>-1</v>
      </c>
      <c r="K1462" s="122" t="s">
        <v>5504</v>
      </c>
      <c r="L1462">
        <v>8000</v>
      </c>
    </row>
    <row r="1463" spans="1:12" ht="64" x14ac:dyDescent="0.2">
      <c r="A1463" t="s">
        <v>5500</v>
      </c>
      <c r="B1463" t="s">
        <v>4110</v>
      </c>
      <c r="C1463">
        <v>15</v>
      </c>
      <c r="D1463" t="s">
        <v>1452</v>
      </c>
      <c r="E1463" t="s">
        <v>1447</v>
      </c>
      <c r="F1463" s="122" t="s">
        <v>1457</v>
      </c>
      <c r="G1463" s="122">
        <v>50</v>
      </c>
      <c r="H1463" s="122" t="s">
        <v>5603</v>
      </c>
      <c r="I1463">
        <v>31901</v>
      </c>
      <c r="J1463">
        <v>2</v>
      </c>
      <c r="K1463" s="122" t="s">
        <v>5604</v>
      </c>
      <c r="L1463">
        <v>8000</v>
      </c>
    </row>
    <row r="1464" spans="1:12" ht="160" x14ac:dyDescent="0.2">
      <c r="A1464" t="s">
        <v>5500</v>
      </c>
      <c r="B1464" t="s">
        <v>4110</v>
      </c>
      <c r="C1464">
        <v>16</v>
      </c>
      <c r="D1464" t="s">
        <v>1452</v>
      </c>
      <c r="E1464" t="s">
        <v>1434</v>
      </c>
      <c r="F1464" s="122" t="s">
        <v>1458</v>
      </c>
      <c r="G1464" s="122" t="s">
        <v>1497</v>
      </c>
      <c r="H1464" s="122" t="s">
        <v>5605</v>
      </c>
      <c r="I1464">
        <v>29800</v>
      </c>
      <c r="J1464">
        <v>1</v>
      </c>
      <c r="K1464" s="122" t="s">
        <v>5606</v>
      </c>
      <c r="L1464">
        <v>8000</v>
      </c>
    </row>
    <row r="1465" spans="1:12" ht="64" x14ac:dyDescent="0.2">
      <c r="A1465" t="s">
        <v>5500</v>
      </c>
      <c r="B1465" t="s">
        <v>4110</v>
      </c>
      <c r="C1465">
        <v>17</v>
      </c>
      <c r="D1465" t="s">
        <v>1452</v>
      </c>
      <c r="E1465" t="s">
        <v>1421</v>
      </c>
      <c r="F1465" s="122" t="s">
        <v>1460</v>
      </c>
      <c r="G1465" s="122" t="s">
        <v>1500</v>
      </c>
      <c r="H1465" s="122" t="s">
        <v>5607</v>
      </c>
      <c r="I1465">
        <v>29348</v>
      </c>
      <c r="J1465">
        <v>3</v>
      </c>
      <c r="K1465" s="122" t="s">
        <v>5065</v>
      </c>
      <c r="L1465">
        <v>8000</v>
      </c>
    </row>
    <row r="1466" spans="1:12" ht="80" x14ac:dyDescent="0.2">
      <c r="A1466" t="s">
        <v>5500</v>
      </c>
      <c r="B1466" t="s">
        <v>4110</v>
      </c>
      <c r="C1466">
        <v>18</v>
      </c>
      <c r="D1466" t="s">
        <v>1452</v>
      </c>
      <c r="E1466" t="s">
        <v>1440</v>
      </c>
      <c r="F1466" s="122" t="s">
        <v>1462</v>
      </c>
      <c r="G1466" s="122" t="s">
        <v>1502</v>
      </c>
      <c r="H1466" s="122" t="s">
        <v>5608</v>
      </c>
      <c r="I1466">
        <v>31609</v>
      </c>
      <c r="J1466">
        <v>0</v>
      </c>
      <c r="K1466" s="122" t="s">
        <v>3997</v>
      </c>
      <c r="L1466">
        <v>8000</v>
      </c>
    </row>
    <row r="1467" spans="1:12" ht="64" x14ac:dyDescent="0.2">
      <c r="A1467" t="s">
        <v>5500</v>
      </c>
      <c r="B1467" t="s">
        <v>4110</v>
      </c>
      <c r="C1467">
        <v>19</v>
      </c>
      <c r="D1467" t="s">
        <v>1452</v>
      </c>
      <c r="E1467" t="s">
        <v>1464</v>
      </c>
      <c r="F1467" s="122" t="s">
        <v>1465</v>
      </c>
      <c r="G1467" s="122" t="s">
        <v>1503</v>
      </c>
      <c r="H1467" s="122" t="s">
        <v>5609</v>
      </c>
      <c r="I1467">
        <v>29254</v>
      </c>
      <c r="J1467">
        <v>0</v>
      </c>
      <c r="K1467" s="122" t="s">
        <v>5610</v>
      </c>
      <c r="L1467">
        <v>8000</v>
      </c>
    </row>
    <row r="1468" spans="1:12" ht="224" x14ac:dyDescent="0.2">
      <c r="A1468" t="s">
        <v>5500</v>
      </c>
      <c r="B1468" t="s">
        <v>4110</v>
      </c>
      <c r="C1468">
        <v>20</v>
      </c>
      <c r="D1468" t="s">
        <v>1452</v>
      </c>
      <c r="E1468" t="s">
        <v>1464</v>
      </c>
      <c r="F1468" s="122" t="s">
        <v>1467</v>
      </c>
      <c r="G1468" s="122" t="s">
        <v>1513</v>
      </c>
      <c r="H1468" s="122" t="s">
        <v>5611</v>
      </c>
      <c r="I1468">
        <v>31914</v>
      </c>
      <c r="J1468">
        <v>0</v>
      </c>
      <c r="K1468" s="122" t="s">
        <v>5612</v>
      </c>
      <c r="L1468">
        <v>8000</v>
      </c>
    </row>
    <row r="1469" spans="1:12" ht="64" x14ac:dyDescent="0.2">
      <c r="A1469" t="s">
        <v>5500</v>
      </c>
      <c r="B1469" t="s">
        <v>4155</v>
      </c>
      <c r="C1469">
        <v>1</v>
      </c>
      <c r="D1469" t="s">
        <v>1420</v>
      </c>
      <c r="E1469" t="s">
        <v>1421</v>
      </c>
      <c r="F1469" s="122" t="s">
        <v>1422</v>
      </c>
      <c r="G1469" s="122" t="s">
        <v>1423</v>
      </c>
      <c r="H1469" s="122" t="s">
        <v>4738</v>
      </c>
      <c r="I1469">
        <v>31863</v>
      </c>
      <c r="J1469">
        <v>0</v>
      </c>
      <c r="K1469" s="122" t="s">
        <v>4092</v>
      </c>
      <c r="L1469">
        <v>8000</v>
      </c>
    </row>
    <row r="1470" spans="1:12" ht="64" x14ac:dyDescent="0.2">
      <c r="A1470" t="s">
        <v>5500</v>
      </c>
      <c r="B1470" t="s">
        <v>4155</v>
      </c>
      <c r="C1470">
        <v>2</v>
      </c>
      <c r="D1470" t="s">
        <v>1420</v>
      </c>
      <c r="E1470" t="s">
        <v>1421</v>
      </c>
      <c r="F1470" s="122" t="s">
        <v>1425</v>
      </c>
      <c r="G1470" s="122">
        <v>8</v>
      </c>
      <c r="H1470" s="122" t="s">
        <v>5535</v>
      </c>
      <c r="I1470">
        <v>31863</v>
      </c>
      <c r="J1470">
        <v>0</v>
      </c>
      <c r="K1470" s="122" t="s">
        <v>4740</v>
      </c>
      <c r="L1470">
        <v>8000</v>
      </c>
    </row>
    <row r="1471" spans="1:12" ht="64" x14ac:dyDescent="0.2">
      <c r="A1471" t="s">
        <v>5500</v>
      </c>
      <c r="B1471" t="s">
        <v>4155</v>
      </c>
      <c r="C1471">
        <v>3</v>
      </c>
      <c r="D1471" t="s">
        <v>1420</v>
      </c>
      <c r="E1471" t="s">
        <v>1421</v>
      </c>
      <c r="F1471" s="122" t="s">
        <v>1427</v>
      </c>
      <c r="G1471" s="122" t="s">
        <v>1428</v>
      </c>
      <c r="H1471" s="122" t="s">
        <v>3901</v>
      </c>
    </row>
    <row r="1472" spans="1:12" x14ac:dyDescent="0.2">
      <c r="A1472" t="s">
        <v>3643</v>
      </c>
    </row>
    <row r="1473" spans="1:12" x14ac:dyDescent="0.2">
      <c r="A1473" t="s">
        <v>5613</v>
      </c>
      <c r="B1473">
        <v>31863</v>
      </c>
      <c r="C1473">
        <v>3</v>
      </c>
      <c r="D1473" t="s">
        <v>5614</v>
      </c>
      <c r="E1473">
        <v>8000</v>
      </c>
    </row>
    <row r="1474" spans="1:12" ht="48" x14ac:dyDescent="0.2">
      <c r="A1474" t="s">
        <v>5500</v>
      </c>
      <c r="B1474" t="s">
        <v>4155</v>
      </c>
      <c r="C1474">
        <v>4</v>
      </c>
      <c r="D1474" t="s">
        <v>1420</v>
      </c>
      <c r="E1474" t="s">
        <v>1429</v>
      </c>
      <c r="F1474" s="122" t="s">
        <v>1430</v>
      </c>
      <c r="G1474" s="122">
        <v>88</v>
      </c>
      <c r="H1474" s="122" t="s">
        <v>5615</v>
      </c>
      <c r="I1474">
        <v>31863</v>
      </c>
      <c r="J1474">
        <v>1</v>
      </c>
      <c r="K1474" s="122" t="s">
        <v>5616</v>
      </c>
      <c r="L1474">
        <v>8000</v>
      </c>
    </row>
    <row r="1475" spans="1:12" ht="32" x14ac:dyDescent="0.2">
      <c r="A1475" t="s">
        <v>5500</v>
      </c>
      <c r="B1475" t="s">
        <v>4155</v>
      </c>
      <c r="C1475">
        <v>5</v>
      </c>
      <c r="D1475" t="s">
        <v>1420</v>
      </c>
      <c r="E1475" t="s">
        <v>1421</v>
      </c>
      <c r="F1475" s="122" t="s">
        <v>1431</v>
      </c>
      <c r="G1475" s="122" t="s">
        <v>1432</v>
      </c>
      <c r="H1475" s="122" t="s">
        <v>5503</v>
      </c>
      <c r="I1475">
        <v>31863</v>
      </c>
      <c r="J1475">
        <v>-1</v>
      </c>
      <c r="K1475" s="122" t="s">
        <v>5504</v>
      </c>
      <c r="L1475">
        <v>8000</v>
      </c>
    </row>
    <row r="1476" spans="1:12" ht="64" x14ac:dyDescent="0.2">
      <c r="A1476" t="s">
        <v>5500</v>
      </c>
      <c r="B1476" t="s">
        <v>4155</v>
      </c>
      <c r="C1476">
        <v>6</v>
      </c>
      <c r="D1476" t="s">
        <v>1433</v>
      </c>
      <c r="E1476" t="s">
        <v>1434</v>
      </c>
      <c r="F1476" s="122" t="s">
        <v>1435</v>
      </c>
      <c r="G1476" s="122" t="s">
        <v>1436</v>
      </c>
      <c r="H1476" s="122" t="s">
        <v>5617</v>
      </c>
      <c r="I1476">
        <v>31863</v>
      </c>
      <c r="J1476">
        <v>0</v>
      </c>
      <c r="K1476" s="122" t="s">
        <v>5618</v>
      </c>
      <c r="L1476">
        <v>8000</v>
      </c>
    </row>
    <row r="1477" spans="1:12" ht="96" x14ac:dyDescent="0.2">
      <c r="A1477" t="s">
        <v>5500</v>
      </c>
      <c r="B1477" t="s">
        <v>4155</v>
      </c>
      <c r="C1477">
        <v>7</v>
      </c>
      <c r="D1477" t="s">
        <v>1433</v>
      </c>
      <c r="E1477" t="s">
        <v>1434</v>
      </c>
      <c r="F1477" s="122" t="s">
        <v>1438</v>
      </c>
      <c r="G1477" s="122" t="s">
        <v>1469</v>
      </c>
      <c r="H1477" s="122" t="s">
        <v>5619</v>
      </c>
      <c r="I1477">
        <v>31863</v>
      </c>
      <c r="J1477">
        <v>2</v>
      </c>
      <c r="K1477" s="122" t="s">
        <v>5620</v>
      </c>
      <c r="L1477">
        <v>8000</v>
      </c>
    </row>
    <row r="1478" spans="1:12" ht="80" x14ac:dyDescent="0.2">
      <c r="A1478" t="s">
        <v>5500</v>
      </c>
      <c r="B1478" t="s">
        <v>4155</v>
      </c>
      <c r="C1478">
        <v>8</v>
      </c>
      <c r="D1478" t="s">
        <v>1433</v>
      </c>
      <c r="E1478" t="s">
        <v>1440</v>
      </c>
      <c r="F1478" s="122" t="s">
        <v>1441</v>
      </c>
      <c r="G1478" s="122" t="s">
        <v>1470</v>
      </c>
      <c r="H1478" s="122" t="s">
        <v>5544</v>
      </c>
      <c r="I1478">
        <v>31863</v>
      </c>
      <c r="J1478">
        <v>0</v>
      </c>
      <c r="K1478" s="122" t="s">
        <v>5621</v>
      </c>
      <c r="L1478">
        <v>8000</v>
      </c>
    </row>
    <row r="1479" spans="1:12" ht="80" x14ac:dyDescent="0.2">
      <c r="A1479" t="s">
        <v>5500</v>
      </c>
      <c r="B1479" t="s">
        <v>4155</v>
      </c>
      <c r="C1479">
        <v>9</v>
      </c>
      <c r="D1479" t="s">
        <v>1433</v>
      </c>
      <c r="E1479" t="s">
        <v>1440</v>
      </c>
      <c r="F1479" s="122" t="s">
        <v>1443</v>
      </c>
      <c r="G1479" s="122" t="s">
        <v>1477</v>
      </c>
      <c r="H1479" s="122" t="s">
        <v>5622</v>
      </c>
      <c r="I1479">
        <v>31863</v>
      </c>
      <c r="J1479">
        <v>2</v>
      </c>
      <c r="K1479" s="122" t="s">
        <v>5623</v>
      </c>
      <c r="L1479">
        <v>8000</v>
      </c>
    </row>
    <row r="1480" spans="1:12" ht="96" x14ac:dyDescent="0.2">
      <c r="A1480" t="s">
        <v>5500</v>
      </c>
      <c r="B1480" t="s">
        <v>4155</v>
      </c>
      <c r="C1480">
        <v>10</v>
      </c>
      <c r="D1480" t="s">
        <v>1433</v>
      </c>
      <c r="E1480" t="s">
        <v>1421</v>
      </c>
      <c r="F1480" s="122" t="s">
        <v>1445</v>
      </c>
      <c r="G1480" s="122" t="s">
        <v>1446</v>
      </c>
      <c r="H1480" s="122" t="s">
        <v>5624</v>
      </c>
      <c r="I1480">
        <v>31863</v>
      </c>
      <c r="J1480">
        <v>0</v>
      </c>
      <c r="K1480" s="122" t="s">
        <v>5625</v>
      </c>
      <c r="L1480">
        <v>8000</v>
      </c>
    </row>
    <row r="1481" spans="1:12" ht="288" x14ac:dyDescent="0.2">
      <c r="A1481" t="s">
        <v>5500</v>
      </c>
      <c r="B1481" t="s">
        <v>4155</v>
      </c>
      <c r="C1481">
        <v>11</v>
      </c>
      <c r="D1481" t="s">
        <v>1433</v>
      </c>
      <c r="E1481" t="s">
        <v>1447</v>
      </c>
      <c r="F1481" s="122" t="s">
        <v>1448</v>
      </c>
      <c r="G1481" s="122" t="s">
        <v>4011</v>
      </c>
      <c r="H1481" s="122" t="s">
        <v>5626</v>
      </c>
      <c r="I1481">
        <v>31863</v>
      </c>
      <c r="J1481">
        <v>0</v>
      </c>
      <c r="K1481" s="122" t="s">
        <v>5627</v>
      </c>
      <c r="L1481">
        <v>8000</v>
      </c>
    </row>
    <row r="1482" spans="1:12" ht="64" x14ac:dyDescent="0.2">
      <c r="A1482" t="s">
        <v>5500</v>
      </c>
      <c r="B1482" t="s">
        <v>4155</v>
      </c>
      <c r="C1482">
        <v>12</v>
      </c>
      <c r="D1482" t="s">
        <v>1433</v>
      </c>
      <c r="E1482" t="s">
        <v>1434</v>
      </c>
      <c r="F1482" s="122" t="s">
        <v>1450</v>
      </c>
      <c r="G1482" s="196">
        <v>16881928.100000001</v>
      </c>
      <c r="H1482" s="122" t="s">
        <v>4091</v>
      </c>
      <c r="I1482">
        <v>31863</v>
      </c>
      <c r="J1482">
        <v>0</v>
      </c>
      <c r="K1482" s="122" t="s">
        <v>4092</v>
      </c>
      <c r="L1482">
        <v>8000</v>
      </c>
    </row>
    <row r="1483" spans="1:12" ht="32" x14ac:dyDescent="0.2">
      <c r="A1483" t="s">
        <v>5500</v>
      </c>
      <c r="B1483" t="s">
        <v>4155</v>
      </c>
      <c r="C1483">
        <v>13</v>
      </c>
      <c r="D1483" t="s">
        <v>1452</v>
      </c>
      <c r="E1483" t="s">
        <v>1453</v>
      </c>
      <c r="F1483" s="122" t="s">
        <v>1454</v>
      </c>
      <c r="G1483" s="122">
        <v>19</v>
      </c>
      <c r="H1483" s="122" t="s">
        <v>5628</v>
      </c>
    </row>
    <row r="1485" spans="1:12" x14ac:dyDescent="0.2">
      <c r="A1485" t="s">
        <v>3666</v>
      </c>
    </row>
    <row r="1486" spans="1:12" x14ac:dyDescent="0.2">
      <c r="A1486" t="s">
        <v>3667</v>
      </c>
    </row>
    <row r="1487" spans="1:12" x14ac:dyDescent="0.2">
      <c r="A1487" t="s">
        <v>3668</v>
      </c>
    </row>
    <row r="1488" spans="1:12" x14ac:dyDescent="0.2">
      <c r="A1488" t="s">
        <v>3669</v>
      </c>
    </row>
    <row r="1489" spans="1:8" x14ac:dyDescent="0.2">
      <c r="A1489" t="s">
        <v>3670</v>
      </c>
    </row>
    <row r="1490" spans="1:8" x14ac:dyDescent="0.2">
      <c r="A1490" t="s">
        <v>5629</v>
      </c>
      <c r="B1490">
        <v>31863</v>
      </c>
      <c r="C1490">
        <v>1</v>
      </c>
      <c r="D1490" t="s">
        <v>5630</v>
      </c>
      <c r="E1490">
        <v>8000</v>
      </c>
    </row>
    <row r="1491" spans="1:8" ht="48" x14ac:dyDescent="0.2">
      <c r="A1491" t="s">
        <v>5500</v>
      </c>
      <c r="B1491" t="s">
        <v>4155</v>
      </c>
      <c r="C1491">
        <v>14</v>
      </c>
      <c r="D1491" t="s">
        <v>1452</v>
      </c>
      <c r="E1491" t="s">
        <v>1453</v>
      </c>
      <c r="F1491" s="122" t="s">
        <v>1455</v>
      </c>
      <c r="G1491" s="122">
        <v>9</v>
      </c>
      <c r="H1491" s="122" t="s">
        <v>5631</v>
      </c>
    </row>
    <row r="1493" spans="1:8" x14ac:dyDescent="0.2">
      <c r="A1493" t="s">
        <v>5632</v>
      </c>
      <c r="B1493" t="s">
        <v>5633</v>
      </c>
    </row>
    <row r="1494" spans="1:8" x14ac:dyDescent="0.2">
      <c r="A1494" t="s">
        <v>5634</v>
      </c>
      <c r="B1494" t="s">
        <v>5635</v>
      </c>
    </row>
    <row r="1495" spans="1:8" x14ac:dyDescent="0.2">
      <c r="A1495" t="s">
        <v>5636</v>
      </c>
      <c r="B1495" t="s">
        <v>5637</v>
      </c>
    </row>
    <row r="1496" spans="1:8" x14ac:dyDescent="0.2">
      <c r="A1496" t="s">
        <v>5638</v>
      </c>
    </row>
    <row r="1498" spans="1:8" x14ac:dyDescent="0.2">
      <c r="A1498" t="s">
        <v>5639</v>
      </c>
      <c r="B1498" t="s">
        <v>5640</v>
      </c>
    </row>
    <row r="1499" spans="1:8" x14ac:dyDescent="0.2">
      <c r="A1499" t="s">
        <v>5641</v>
      </c>
      <c r="B1499">
        <v>757</v>
      </c>
      <c r="C1499" t="s">
        <v>5642</v>
      </c>
    </row>
    <row r="1500" spans="1:8" x14ac:dyDescent="0.2">
      <c r="A1500" t="s">
        <v>5643</v>
      </c>
      <c r="B1500">
        <v>802</v>
      </c>
      <c r="C1500" t="s">
        <v>5644</v>
      </c>
    </row>
    <row r="1501" spans="1:8" x14ac:dyDescent="0.2">
      <c r="A1501" t="s">
        <v>5645</v>
      </c>
      <c r="B1501">
        <v>31863</v>
      </c>
      <c r="C1501">
        <v>2</v>
      </c>
      <c r="D1501" t="s">
        <v>5646</v>
      </c>
      <c r="E1501">
        <v>8000</v>
      </c>
    </row>
    <row r="1502" spans="1:8" ht="48" x14ac:dyDescent="0.2">
      <c r="A1502" t="s">
        <v>5500</v>
      </c>
      <c r="B1502" t="s">
        <v>4155</v>
      </c>
      <c r="C1502">
        <v>15</v>
      </c>
      <c r="D1502" t="s">
        <v>1452</v>
      </c>
      <c r="E1502" t="s">
        <v>1447</v>
      </c>
      <c r="F1502" s="122" t="s">
        <v>1457</v>
      </c>
      <c r="G1502" s="122">
        <v>50</v>
      </c>
      <c r="H1502" s="122" t="s">
        <v>5647</v>
      </c>
    </row>
    <row r="1503" spans="1:8" x14ac:dyDescent="0.2">
      <c r="A1503" t="s">
        <v>3682</v>
      </c>
    </row>
    <row r="1504" spans="1:8" x14ac:dyDescent="0.2">
      <c r="A1504" t="s">
        <v>3683</v>
      </c>
    </row>
    <row r="1505" spans="1:12" x14ac:dyDescent="0.2">
      <c r="A1505" t="s">
        <v>5648</v>
      </c>
      <c r="B1505">
        <v>31863</v>
      </c>
      <c r="C1505">
        <v>2</v>
      </c>
      <c r="D1505" t="s">
        <v>5649</v>
      </c>
      <c r="E1505">
        <v>8000</v>
      </c>
    </row>
    <row r="1506" spans="1:12" ht="144" x14ac:dyDescent="0.2">
      <c r="A1506" t="s">
        <v>5500</v>
      </c>
      <c r="B1506" t="s">
        <v>4155</v>
      </c>
      <c r="C1506">
        <v>16</v>
      </c>
      <c r="D1506" t="s">
        <v>1452</v>
      </c>
      <c r="E1506" t="s">
        <v>1434</v>
      </c>
      <c r="F1506" s="122" t="s">
        <v>1458</v>
      </c>
      <c r="G1506" s="122" t="s">
        <v>1497</v>
      </c>
      <c r="H1506" s="122" t="s">
        <v>5650</v>
      </c>
      <c r="I1506">
        <v>31863</v>
      </c>
      <c r="J1506">
        <v>0</v>
      </c>
      <c r="K1506" s="122" t="s">
        <v>5651</v>
      </c>
      <c r="L1506">
        <v>8000</v>
      </c>
    </row>
    <row r="1507" spans="1:12" ht="48" x14ac:dyDescent="0.2">
      <c r="A1507" t="s">
        <v>5500</v>
      </c>
      <c r="B1507" t="s">
        <v>4155</v>
      </c>
      <c r="C1507">
        <v>17</v>
      </c>
      <c r="D1507" t="s">
        <v>1452</v>
      </c>
      <c r="E1507" t="s">
        <v>1421</v>
      </c>
      <c r="F1507" s="122" t="s">
        <v>1460</v>
      </c>
      <c r="G1507" s="122" t="s">
        <v>1500</v>
      </c>
      <c r="H1507" s="122" t="s">
        <v>3818</v>
      </c>
    </row>
    <row r="1508" spans="1:12" x14ac:dyDescent="0.2">
      <c r="A1508" t="s">
        <v>3690</v>
      </c>
    </row>
    <row r="1509" spans="1:12" x14ac:dyDescent="0.2">
      <c r="A1509" t="s">
        <v>5652</v>
      </c>
      <c r="B1509">
        <v>31863</v>
      </c>
      <c r="C1509">
        <v>3</v>
      </c>
      <c r="D1509" t="s">
        <v>5653</v>
      </c>
      <c r="E1509">
        <v>8000</v>
      </c>
    </row>
    <row r="1510" spans="1:12" ht="64" x14ac:dyDescent="0.2">
      <c r="A1510" t="s">
        <v>5500</v>
      </c>
      <c r="B1510" t="s">
        <v>4155</v>
      </c>
      <c r="C1510">
        <v>18</v>
      </c>
      <c r="D1510" t="s">
        <v>1452</v>
      </c>
      <c r="E1510" t="s">
        <v>1440</v>
      </c>
      <c r="F1510" s="122" t="s">
        <v>1462</v>
      </c>
      <c r="G1510" s="122" t="s">
        <v>1502</v>
      </c>
      <c r="H1510" s="122" t="s">
        <v>5566</v>
      </c>
      <c r="I1510">
        <v>31863</v>
      </c>
      <c r="J1510">
        <v>0</v>
      </c>
      <c r="K1510" s="122" t="s">
        <v>5654</v>
      </c>
      <c r="L1510">
        <v>8000</v>
      </c>
    </row>
    <row r="1511" spans="1:12" ht="48" x14ac:dyDescent="0.2">
      <c r="A1511" t="s">
        <v>5500</v>
      </c>
      <c r="B1511" t="s">
        <v>4155</v>
      </c>
      <c r="C1511">
        <v>19</v>
      </c>
      <c r="D1511" t="s">
        <v>1452</v>
      </c>
      <c r="E1511" t="s">
        <v>1464</v>
      </c>
      <c r="F1511" s="122" t="s">
        <v>1465</v>
      </c>
      <c r="G1511" s="122" t="s">
        <v>1503</v>
      </c>
      <c r="H1511" s="122" t="s">
        <v>5655</v>
      </c>
    </row>
    <row r="1512" spans="1:12" x14ac:dyDescent="0.2">
      <c r="A1512" t="s">
        <v>3696</v>
      </c>
    </row>
    <row r="1513" spans="1:12" x14ac:dyDescent="0.2">
      <c r="A1513" t="s">
        <v>5656</v>
      </c>
      <c r="B1513">
        <v>31863</v>
      </c>
      <c r="C1513">
        <v>1</v>
      </c>
      <c r="D1513" t="s">
        <v>4774</v>
      </c>
      <c r="E1513">
        <v>8000</v>
      </c>
    </row>
    <row r="1514" spans="1:12" ht="128" x14ac:dyDescent="0.2">
      <c r="A1514" t="s">
        <v>5500</v>
      </c>
      <c r="B1514" t="s">
        <v>4155</v>
      </c>
      <c r="C1514">
        <v>20</v>
      </c>
      <c r="D1514" t="s">
        <v>1452</v>
      </c>
      <c r="E1514" t="s">
        <v>1464</v>
      </c>
      <c r="F1514" s="122" t="s">
        <v>1467</v>
      </c>
      <c r="G1514" s="122" t="s">
        <v>1513</v>
      </c>
      <c r="H1514" s="122" t="s">
        <v>5657</v>
      </c>
    </row>
    <row r="1515" spans="1:12" x14ac:dyDescent="0.2">
      <c r="A1515" t="s">
        <v>3700</v>
      </c>
    </row>
    <row r="1516" spans="1:12" ht="48" x14ac:dyDescent="0.2">
      <c r="A1516" t="s">
        <v>5658</v>
      </c>
      <c r="B1516" t="s">
        <v>4258</v>
      </c>
      <c r="C1516" t="s">
        <v>4259</v>
      </c>
      <c r="D1516" t="s">
        <v>5659</v>
      </c>
      <c r="E1516">
        <v>31863</v>
      </c>
      <c r="F1516" s="122">
        <v>1</v>
      </c>
      <c r="G1516" s="122" t="s">
        <v>4183</v>
      </c>
      <c r="H1516" s="122">
        <v>8000</v>
      </c>
    </row>
    <row r="1517" spans="1:12" ht="128" x14ac:dyDescent="0.2">
      <c r="A1517" t="s">
        <v>5500</v>
      </c>
      <c r="B1517" t="s">
        <v>4184</v>
      </c>
      <c r="C1517">
        <v>1</v>
      </c>
      <c r="D1517" t="s">
        <v>1420</v>
      </c>
      <c r="E1517" t="s">
        <v>1421</v>
      </c>
      <c r="F1517" s="122" t="s">
        <v>1422</v>
      </c>
      <c r="G1517" s="122" t="s">
        <v>1423</v>
      </c>
      <c r="H1517" s="122" t="s">
        <v>5660</v>
      </c>
      <c r="I1517">
        <v>32265</v>
      </c>
      <c r="J1517">
        <v>0</v>
      </c>
      <c r="K1517" s="122" t="s">
        <v>5502</v>
      </c>
      <c r="L1517">
        <v>16000</v>
      </c>
    </row>
    <row r="1518" spans="1:12" ht="32" x14ac:dyDescent="0.2">
      <c r="A1518" t="s">
        <v>5500</v>
      </c>
      <c r="B1518" t="s">
        <v>4184</v>
      </c>
      <c r="C1518">
        <v>2</v>
      </c>
      <c r="D1518" t="s">
        <v>1420</v>
      </c>
      <c r="E1518" t="s">
        <v>1421</v>
      </c>
      <c r="F1518" s="122" t="s">
        <v>1425</v>
      </c>
      <c r="G1518" s="122">
        <v>8</v>
      </c>
      <c r="H1518" s="122" t="s">
        <v>5661</v>
      </c>
    </row>
    <row r="1519" spans="1:12" x14ac:dyDescent="0.2">
      <c r="A1519" t="s">
        <v>3709</v>
      </c>
    </row>
    <row r="1520" spans="1:12" x14ac:dyDescent="0.2">
      <c r="A1520" t="s">
        <v>3710</v>
      </c>
    </row>
    <row r="1521" spans="1:64" x14ac:dyDescent="0.2">
      <c r="A1521" t="s">
        <v>3711</v>
      </c>
    </row>
    <row r="1522" spans="1:64" x14ac:dyDescent="0.2">
      <c r="A1522" t="s">
        <v>3712</v>
      </c>
    </row>
    <row r="1523" spans="1:64" x14ac:dyDescent="0.2">
      <c r="A1523" t="s">
        <v>3713</v>
      </c>
    </row>
    <row r="1524" spans="1:64" x14ac:dyDescent="0.2">
      <c r="A1524" t="s">
        <v>5662</v>
      </c>
      <c r="B1524">
        <v>44203</v>
      </c>
      <c r="C1524">
        <v>2</v>
      </c>
      <c r="D1524" t="s">
        <v>4187</v>
      </c>
      <c r="E1524">
        <v>16000</v>
      </c>
    </row>
    <row r="1525" spans="1:64" ht="64" x14ac:dyDescent="0.2">
      <c r="A1525" t="s">
        <v>5500</v>
      </c>
      <c r="B1525" t="s">
        <v>4184</v>
      </c>
      <c r="C1525">
        <v>3</v>
      </c>
      <c r="D1525" t="s">
        <v>1420</v>
      </c>
      <c r="E1525" t="s">
        <v>1421</v>
      </c>
      <c r="F1525" s="122" t="s">
        <v>1427</v>
      </c>
      <c r="G1525" s="122" t="s">
        <v>1428</v>
      </c>
      <c r="H1525" s="122" t="s">
        <v>5663</v>
      </c>
      <c r="I1525">
        <v>28496</v>
      </c>
      <c r="J1525">
        <v>0</v>
      </c>
      <c r="K1525" s="122" t="s">
        <v>5664</v>
      </c>
      <c r="L1525">
        <v>16000</v>
      </c>
    </row>
    <row r="1526" spans="1:64" ht="64" x14ac:dyDescent="0.2">
      <c r="A1526" t="s">
        <v>5500</v>
      </c>
      <c r="B1526" t="s">
        <v>4184</v>
      </c>
      <c r="C1526">
        <v>4</v>
      </c>
      <c r="D1526" t="s">
        <v>1420</v>
      </c>
      <c r="E1526" t="s">
        <v>1429</v>
      </c>
      <c r="F1526" s="122" t="s">
        <v>1430</v>
      </c>
      <c r="G1526" s="122">
        <v>88</v>
      </c>
      <c r="H1526" s="122" t="s">
        <v>5665</v>
      </c>
    </row>
    <row r="1528" spans="1:64" x14ac:dyDescent="0.2">
      <c r="A1528" t="s">
        <v>3717</v>
      </c>
    </row>
    <row r="1529" spans="1:64" x14ac:dyDescent="0.2">
      <c r="A1529">
        <v>11</v>
      </c>
      <c r="B1529">
        <v>12</v>
      </c>
      <c r="C1529">
        <v>13</v>
      </c>
      <c r="D1529">
        <v>14</v>
      </c>
      <c r="E1529">
        <v>15</v>
      </c>
      <c r="F1529" s="122">
        <v>16</v>
      </c>
      <c r="G1529" s="122">
        <v>17</v>
      </c>
      <c r="H1529" s="122">
        <v>18</v>
      </c>
      <c r="I1529">
        <v>19</v>
      </c>
      <c r="J1529">
        <v>20</v>
      </c>
      <c r="K1529" s="122">
        <v>21</v>
      </c>
      <c r="L1529">
        <v>22</v>
      </c>
      <c r="M1529">
        <v>23</v>
      </c>
      <c r="N1529">
        <v>24</v>
      </c>
      <c r="O1529">
        <v>25</v>
      </c>
      <c r="P1529">
        <v>26</v>
      </c>
      <c r="Q1529">
        <v>27</v>
      </c>
      <c r="R1529">
        <v>28</v>
      </c>
      <c r="S1529">
        <v>31</v>
      </c>
      <c r="T1529">
        <v>34</v>
      </c>
      <c r="U1529">
        <v>37</v>
      </c>
      <c r="V1529">
        <v>38</v>
      </c>
      <c r="W1529">
        <v>39</v>
      </c>
      <c r="X1529">
        <v>40</v>
      </c>
      <c r="Y1529">
        <v>41</v>
      </c>
      <c r="Z1529">
        <v>42</v>
      </c>
      <c r="AA1529">
        <v>43</v>
      </c>
      <c r="AB1529">
        <v>44</v>
      </c>
      <c r="AC1529">
        <v>45</v>
      </c>
      <c r="AD1529">
        <v>46</v>
      </c>
      <c r="AE1529">
        <v>47</v>
      </c>
      <c r="AF1529">
        <v>48</v>
      </c>
      <c r="AG1529">
        <v>49</v>
      </c>
      <c r="AH1529">
        <v>50</v>
      </c>
      <c r="AI1529">
        <v>51</v>
      </c>
      <c r="AJ1529">
        <v>52</v>
      </c>
      <c r="AK1529">
        <v>53</v>
      </c>
      <c r="AL1529">
        <v>54</v>
      </c>
      <c r="AM1529">
        <v>55</v>
      </c>
      <c r="AN1529">
        <v>56</v>
      </c>
      <c r="AO1529">
        <v>57</v>
      </c>
      <c r="AP1529">
        <v>58</v>
      </c>
      <c r="AQ1529">
        <v>59</v>
      </c>
      <c r="AR1529">
        <v>60</v>
      </c>
      <c r="AS1529">
        <v>64</v>
      </c>
      <c r="AT1529">
        <v>65</v>
      </c>
      <c r="AU1529">
        <v>68</v>
      </c>
      <c r="AV1529">
        <v>69</v>
      </c>
      <c r="AW1529">
        <v>70</v>
      </c>
      <c r="AX1529">
        <v>74</v>
      </c>
      <c r="AY1529">
        <v>79</v>
      </c>
      <c r="AZ1529">
        <v>80</v>
      </c>
      <c r="BA1529">
        <v>81</v>
      </c>
      <c r="BB1529">
        <v>82</v>
      </c>
      <c r="BC1529">
        <v>83</v>
      </c>
      <c r="BD1529">
        <v>84</v>
      </c>
      <c r="BE1529">
        <v>85</v>
      </c>
      <c r="BF1529">
        <v>86</v>
      </c>
      <c r="BG1529">
        <v>87</v>
      </c>
      <c r="BH1529" t="s">
        <v>5666</v>
      </c>
      <c r="BI1529">
        <v>29451</v>
      </c>
      <c r="BJ1529">
        <v>2</v>
      </c>
      <c r="BK1529" t="s">
        <v>5667</v>
      </c>
      <c r="BL1529">
        <v>16000</v>
      </c>
    </row>
    <row r="1530" spans="1:64" ht="64" x14ac:dyDescent="0.2">
      <c r="A1530" t="s">
        <v>5500</v>
      </c>
      <c r="B1530" t="s">
        <v>4184</v>
      </c>
      <c r="C1530">
        <v>5</v>
      </c>
      <c r="D1530" t="s">
        <v>1420</v>
      </c>
      <c r="E1530" t="s">
        <v>1421</v>
      </c>
      <c r="F1530" s="122" t="s">
        <v>1431</v>
      </c>
      <c r="G1530" s="122" t="s">
        <v>1432</v>
      </c>
      <c r="H1530" s="122" t="s">
        <v>4562</v>
      </c>
      <c r="I1530">
        <v>27738</v>
      </c>
      <c r="J1530">
        <v>3</v>
      </c>
      <c r="K1530" s="122" t="s">
        <v>5668</v>
      </c>
      <c r="L1530">
        <v>16000</v>
      </c>
    </row>
    <row r="1531" spans="1:64" ht="64" x14ac:dyDescent="0.2">
      <c r="A1531" t="s">
        <v>5500</v>
      </c>
      <c r="B1531" t="s">
        <v>4184</v>
      </c>
      <c r="C1531">
        <v>6</v>
      </c>
      <c r="D1531" t="s">
        <v>1433</v>
      </c>
      <c r="E1531" t="s">
        <v>1434</v>
      </c>
      <c r="F1531" s="122" t="s">
        <v>1435</v>
      </c>
      <c r="G1531" s="122" t="s">
        <v>1436</v>
      </c>
      <c r="H1531" s="122" t="s">
        <v>5669</v>
      </c>
      <c r="I1531">
        <v>32711</v>
      </c>
      <c r="J1531">
        <v>3</v>
      </c>
      <c r="K1531" s="122" t="s">
        <v>5670</v>
      </c>
      <c r="L1531">
        <v>16000</v>
      </c>
    </row>
    <row r="1532" spans="1:64" ht="64" x14ac:dyDescent="0.2">
      <c r="A1532" t="s">
        <v>5500</v>
      </c>
      <c r="B1532" t="s">
        <v>4184</v>
      </c>
      <c r="C1532">
        <v>7</v>
      </c>
      <c r="D1532" t="s">
        <v>1433</v>
      </c>
      <c r="E1532" t="s">
        <v>1434</v>
      </c>
      <c r="F1532" s="122" t="s">
        <v>1438</v>
      </c>
      <c r="G1532" s="122" t="s">
        <v>1469</v>
      </c>
      <c r="H1532" s="122" t="s">
        <v>5671</v>
      </c>
      <c r="I1532">
        <v>26064</v>
      </c>
      <c r="J1532">
        <v>0</v>
      </c>
      <c r="K1532" s="122" t="s">
        <v>5672</v>
      </c>
      <c r="L1532">
        <v>16000</v>
      </c>
    </row>
    <row r="1533" spans="1:64" ht="160" x14ac:dyDescent="0.2">
      <c r="A1533" t="s">
        <v>5500</v>
      </c>
      <c r="B1533" t="s">
        <v>4184</v>
      </c>
      <c r="C1533">
        <v>8</v>
      </c>
      <c r="D1533" t="s">
        <v>1433</v>
      </c>
      <c r="E1533" t="s">
        <v>1440</v>
      </c>
      <c r="F1533" s="122" t="s">
        <v>1441</v>
      </c>
      <c r="G1533" s="122" t="s">
        <v>1470</v>
      </c>
      <c r="H1533" s="122" t="s">
        <v>5673</v>
      </c>
      <c r="I1533">
        <v>41486</v>
      </c>
      <c r="J1533">
        <v>3</v>
      </c>
      <c r="K1533" s="122" t="s">
        <v>4123</v>
      </c>
      <c r="L1533">
        <v>16000</v>
      </c>
    </row>
    <row r="1534" spans="1:64" ht="112" x14ac:dyDescent="0.2">
      <c r="A1534" t="s">
        <v>5500</v>
      </c>
      <c r="B1534" t="s">
        <v>4184</v>
      </c>
      <c r="C1534">
        <v>9</v>
      </c>
      <c r="D1534" t="s">
        <v>1433</v>
      </c>
      <c r="E1534" t="s">
        <v>1440</v>
      </c>
      <c r="F1534" s="122" t="s">
        <v>1443</v>
      </c>
      <c r="G1534" s="122" t="s">
        <v>1477</v>
      </c>
      <c r="H1534" s="122" t="s">
        <v>5674</v>
      </c>
      <c r="I1534">
        <v>26225</v>
      </c>
      <c r="J1534">
        <v>0</v>
      </c>
      <c r="K1534" s="122" t="s">
        <v>5675</v>
      </c>
      <c r="L1534">
        <v>16000</v>
      </c>
    </row>
    <row r="1535" spans="1:64" ht="80" x14ac:dyDescent="0.2">
      <c r="A1535" t="s">
        <v>5500</v>
      </c>
      <c r="B1535" t="s">
        <v>4184</v>
      </c>
      <c r="C1535">
        <v>10</v>
      </c>
      <c r="D1535" t="s">
        <v>1433</v>
      </c>
      <c r="E1535" t="s">
        <v>1421</v>
      </c>
      <c r="F1535" s="122" t="s">
        <v>1445</v>
      </c>
      <c r="G1535" s="122" t="s">
        <v>1446</v>
      </c>
      <c r="H1535" s="122" t="s">
        <v>5596</v>
      </c>
      <c r="I1535">
        <v>28942</v>
      </c>
      <c r="J1535">
        <v>3</v>
      </c>
      <c r="K1535" s="122" t="s">
        <v>5676</v>
      </c>
      <c r="L1535">
        <v>16000</v>
      </c>
    </row>
    <row r="1536" spans="1:64" ht="64" x14ac:dyDescent="0.2">
      <c r="A1536" t="s">
        <v>5500</v>
      </c>
      <c r="B1536" t="s">
        <v>4184</v>
      </c>
      <c r="C1536">
        <v>11</v>
      </c>
      <c r="D1536" t="s">
        <v>1433</v>
      </c>
      <c r="E1536" t="s">
        <v>1447</v>
      </c>
      <c r="F1536" s="122" t="s">
        <v>1448</v>
      </c>
      <c r="G1536" s="122" t="s">
        <v>4011</v>
      </c>
      <c r="H1536" s="122" t="s">
        <v>5503</v>
      </c>
      <c r="I1536">
        <v>34521</v>
      </c>
      <c r="J1536">
        <v>-1</v>
      </c>
      <c r="K1536" s="122" t="s">
        <v>5504</v>
      </c>
      <c r="L1536">
        <v>16000</v>
      </c>
    </row>
    <row r="1537" spans="1:12" ht="64" x14ac:dyDescent="0.2">
      <c r="A1537" t="s">
        <v>5500</v>
      </c>
      <c r="B1537" t="s">
        <v>4184</v>
      </c>
      <c r="C1537">
        <v>12</v>
      </c>
      <c r="D1537" t="s">
        <v>1433</v>
      </c>
      <c r="E1537" t="s">
        <v>1434</v>
      </c>
      <c r="F1537" s="122" t="s">
        <v>1450</v>
      </c>
      <c r="G1537" s="196">
        <v>16881928.100000001</v>
      </c>
      <c r="H1537" s="122" t="s">
        <v>5677</v>
      </c>
      <c r="I1537">
        <v>29453</v>
      </c>
      <c r="J1537">
        <v>3</v>
      </c>
      <c r="K1537" s="122" t="s">
        <v>5678</v>
      </c>
      <c r="L1537">
        <v>16000</v>
      </c>
    </row>
    <row r="1538" spans="1:12" ht="112" x14ac:dyDescent="0.2">
      <c r="A1538" t="s">
        <v>5500</v>
      </c>
      <c r="B1538" t="s">
        <v>4184</v>
      </c>
      <c r="C1538">
        <v>13</v>
      </c>
      <c r="D1538" t="s">
        <v>1452</v>
      </c>
      <c r="E1538" t="s">
        <v>1453</v>
      </c>
      <c r="F1538" s="122" t="s">
        <v>1454</v>
      </c>
      <c r="G1538" s="122">
        <v>19</v>
      </c>
      <c r="H1538" s="122" t="s">
        <v>5679</v>
      </c>
      <c r="I1538">
        <v>33104</v>
      </c>
      <c r="J1538">
        <v>0</v>
      </c>
      <c r="K1538" s="122" t="s">
        <v>5680</v>
      </c>
      <c r="L1538">
        <v>16000</v>
      </c>
    </row>
    <row r="1539" spans="1:12" ht="48" x14ac:dyDescent="0.2">
      <c r="A1539" t="s">
        <v>5500</v>
      </c>
      <c r="B1539" t="s">
        <v>4184</v>
      </c>
      <c r="C1539">
        <v>14</v>
      </c>
      <c r="D1539" t="s">
        <v>1452</v>
      </c>
      <c r="E1539" t="s">
        <v>1453</v>
      </c>
      <c r="F1539" s="122" t="s">
        <v>1455</v>
      </c>
      <c r="G1539" s="122">
        <v>9</v>
      </c>
      <c r="H1539" s="122" t="s">
        <v>5681</v>
      </c>
    </row>
    <row r="1540" spans="1:12" x14ac:dyDescent="0.2">
      <c r="A1540" t="s">
        <v>5682</v>
      </c>
      <c r="B1540" t="s">
        <v>5683</v>
      </c>
      <c r="C1540" t="s">
        <v>4023</v>
      </c>
      <c r="D1540" t="s">
        <v>5684</v>
      </c>
    </row>
    <row r="1541" spans="1:12" x14ac:dyDescent="0.2">
      <c r="A1541" t="s">
        <v>5685</v>
      </c>
      <c r="B1541" t="s">
        <v>5686</v>
      </c>
      <c r="C1541" t="s">
        <v>4020</v>
      </c>
      <c r="D1541" t="s">
        <v>5687</v>
      </c>
    </row>
    <row r="1542" spans="1:12" ht="64" x14ac:dyDescent="0.2">
      <c r="A1542" t="s">
        <v>5688</v>
      </c>
      <c r="B1542" t="s">
        <v>5689</v>
      </c>
      <c r="C1542" t="s">
        <v>4143</v>
      </c>
      <c r="D1542" t="s">
        <v>5690</v>
      </c>
      <c r="E1542">
        <v>26917</v>
      </c>
      <c r="F1542" s="122">
        <v>2</v>
      </c>
      <c r="G1542" s="122" t="s">
        <v>5691</v>
      </c>
      <c r="H1542" s="122">
        <v>16000</v>
      </c>
    </row>
    <row r="1543" spans="1:12" ht="48" x14ac:dyDescent="0.2">
      <c r="A1543" t="s">
        <v>5500</v>
      </c>
      <c r="B1543" t="s">
        <v>4184</v>
      </c>
      <c r="C1543">
        <v>15</v>
      </c>
      <c r="D1543" t="s">
        <v>1452</v>
      </c>
      <c r="E1543" t="s">
        <v>1447</v>
      </c>
      <c r="F1543" s="122" t="s">
        <v>1457</v>
      </c>
      <c r="G1543" s="122">
        <v>50</v>
      </c>
      <c r="H1543" s="122" t="s">
        <v>5692</v>
      </c>
      <c r="I1543">
        <v>34915</v>
      </c>
      <c r="J1543">
        <v>2</v>
      </c>
      <c r="K1543" s="122" t="s">
        <v>5693</v>
      </c>
      <c r="L1543">
        <v>16000</v>
      </c>
    </row>
    <row r="1544" spans="1:12" ht="160" x14ac:dyDescent="0.2">
      <c r="A1544" t="s">
        <v>5500</v>
      </c>
      <c r="B1544" t="s">
        <v>4184</v>
      </c>
      <c r="C1544">
        <v>16</v>
      </c>
      <c r="D1544" t="s">
        <v>1452</v>
      </c>
      <c r="E1544" t="s">
        <v>1434</v>
      </c>
      <c r="F1544" s="122" t="s">
        <v>1458</v>
      </c>
      <c r="G1544" s="122" t="s">
        <v>1497</v>
      </c>
      <c r="H1544" s="122" t="s">
        <v>5694</v>
      </c>
      <c r="I1544">
        <v>29800</v>
      </c>
      <c r="J1544">
        <v>0</v>
      </c>
      <c r="K1544" s="122" t="s">
        <v>5695</v>
      </c>
      <c r="L1544">
        <v>16000</v>
      </c>
    </row>
    <row r="1545" spans="1:12" ht="64" x14ac:dyDescent="0.2">
      <c r="A1545" t="s">
        <v>5500</v>
      </c>
      <c r="B1545" t="s">
        <v>4184</v>
      </c>
      <c r="C1545">
        <v>17</v>
      </c>
      <c r="D1545" t="s">
        <v>1452</v>
      </c>
      <c r="E1545" t="s">
        <v>1421</v>
      </c>
      <c r="F1545" s="122" t="s">
        <v>1460</v>
      </c>
      <c r="G1545" s="122" t="s">
        <v>1500</v>
      </c>
      <c r="H1545" s="122" t="s">
        <v>5607</v>
      </c>
      <c r="I1545">
        <v>29348</v>
      </c>
      <c r="J1545">
        <v>3</v>
      </c>
      <c r="K1545" s="122" t="s">
        <v>5065</v>
      </c>
      <c r="L1545">
        <v>16000</v>
      </c>
    </row>
    <row r="1546" spans="1:12" ht="64" x14ac:dyDescent="0.2">
      <c r="A1546" t="s">
        <v>5500</v>
      </c>
      <c r="B1546" t="s">
        <v>4184</v>
      </c>
      <c r="C1546">
        <v>18</v>
      </c>
      <c r="D1546" t="s">
        <v>1452</v>
      </c>
      <c r="E1546" t="s">
        <v>1440</v>
      </c>
      <c r="F1546" s="122" t="s">
        <v>1462</v>
      </c>
      <c r="G1546" s="122" t="s">
        <v>1502</v>
      </c>
      <c r="H1546" s="122" t="s">
        <v>5696</v>
      </c>
      <c r="I1546">
        <v>31609</v>
      </c>
      <c r="J1546">
        <v>0</v>
      </c>
      <c r="K1546" s="122" t="s">
        <v>3997</v>
      </c>
      <c r="L1546">
        <v>16000</v>
      </c>
    </row>
    <row r="1547" spans="1:12" ht="80" x14ac:dyDescent="0.2">
      <c r="A1547" t="s">
        <v>5500</v>
      </c>
      <c r="B1547" t="s">
        <v>4184</v>
      </c>
      <c r="C1547">
        <v>19</v>
      </c>
      <c r="D1547" t="s">
        <v>1452</v>
      </c>
      <c r="E1547" t="s">
        <v>1464</v>
      </c>
      <c r="F1547" s="122" t="s">
        <v>1465</v>
      </c>
      <c r="G1547" s="122" t="s">
        <v>1503</v>
      </c>
      <c r="H1547" s="122" t="s">
        <v>4152</v>
      </c>
      <c r="I1547">
        <v>29254</v>
      </c>
      <c r="J1547">
        <v>0</v>
      </c>
      <c r="K1547" s="122" t="s">
        <v>5697</v>
      </c>
      <c r="L1547">
        <v>16000</v>
      </c>
    </row>
    <row r="1548" spans="1:12" ht="128" x14ac:dyDescent="0.2">
      <c r="A1548" t="s">
        <v>5500</v>
      </c>
      <c r="B1548" t="s">
        <v>4184</v>
      </c>
      <c r="C1548">
        <v>20</v>
      </c>
      <c r="D1548" t="s">
        <v>1452</v>
      </c>
      <c r="E1548" t="s">
        <v>1464</v>
      </c>
      <c r="F1548" s="122" t="s">
        <v>1467</v>
      </c>
      <c r="G1548" s="122" t="s">
        <v>1513</v>
      </c>
      <c r="H1548" s="122" t="s">
        <v>5698</v>
      </c>
    </row>
    <row r="1549" spans="1:12" x14ac:dyDescent="0.2">
      <c r="A1549" t="s">
        <v>5699</v>
      </c>
      <c r="B1549" t="s">
        <v>5700</v>
      </c>
      <c r="C1549" t="s">
        <v>5701</v>
      </c>
    </row>
    <row r="1550" spans="1:12" ht="64" x14ac:dyDescent="0.2">
      <c r="A1550" t="s">
        <v>5702</v>
      </c>
      <c r="B1550" t="s">
        <v>5703</v>
      </c>
      <c r="C1550" t="s">
        <v>5704</v>
      </c>
      <c r="D1550">
        <v>33951</v>
      </c>
      <c r="E1550">
        <v>0</v>
      </c>
      <c r="F1550" s="122" t="s">
        <v>5705</v>
      </c>
      <c r="G1550" s="122">
        <v>16000</v>
      </c>
    </row>
    <row r="1551" spans="1:12" ht="48" x14ac:dyDescent="0.2">
      <c r="A1551" t="s">
        <v>5500</v>
      </c>
      <c r="B1551" t="s">
        <v>4230</v>
      </c>
      <c r="C1551">
        <v>1</v>
      </c>
      <c r="D1551" t="s">
        <v>1420</v>
      </c>
      <c r="E1551" t="s">
        <v>1421</v>
      </c>
      <c r="F1551" s="122" t="s">
        <v>1422</v>
      </c>
      <c r="G1551" s="122" t="s">
        <v>1423</v>
      </c>
      <c r="H1551" s="122" t="s">
        <v>5706</v>
      </c>
      <c r="I1551">
        <v>63940</v>
      </c>
      <c r="J1551">
        <v>3</v>
      </c>
      <c r="K1551" s="122" t="s">
        <v>5707</v>
      </c>
      <c r="L1551">
        <v>16000</v>
      </c>
    </row>
    <row r="1552" spans="1:12" ht="32" x14ac:dyDescent="0.2">
      <c r="A1552" t="s">
        <v>5500</v>
      </c>
      <c r="B1552" t="s">
        <v>4230</v>
      </c>
      <c r="C1552">
        <v>2</v>
      </c>
      <c r="D1552" t="s">
        <v>1420</v>
      </c>
      <c r="E1552" t="s">
        <v>1421</v>
      </c>
      <c r="F1552" s="122" t="s">
        <v>1425</v>
      </c>
      <c r="G1552" s="122">
        <v>8</v>
      </c>
      <c r="H1552" s="122" t="s">
        <v>5708</v>
      </c>
    </row>
    <row r="1554" spans="1:12" x14ac:dyDescent="0.2">
      <c r="A1554" t="s">
        <v>1871</v>
      </c>
    </row>
    <row r="1555" spans="1:12" x14ac:dyDescent="0.2">
      <c r="A1555" t="s">
        <v>1872</v>
      </c>
    </row>
    <row r="1556" spans="1:12" x14ac:dyDescent="0.2">
      <c r="A1556" t="s">
        <v>1873</v>
      </c>
    </row>
    <row r="1557" spans="1:12" x14ac:dyDescent="0.2">
      <c r="A1557" t="s">
        <v>3761</v>
      </c>
    </row>
    <row r="1558" spans="1:12" x14ac:dyDescent="0.2">
      <c r="A1558" t="s">
        <v>1875</v>
      </c>
    </row>
    <row r="1559" spans="1:12" x14ac:dyDescent="0.2">
      <c r="A1559" t="s">
        <v>1876</v>
      </c>
    </row>
    <row r="1560" spans="1:12" x14ac:dyDescent="0.2">
      <c r="A1560" t="s">
        <v>4234</v>
      </c>
      <c r="B1560">
        <v>63940</v>
      </c>
      <c r="C1560">
        <v>2</v>
      </c>
      <c r="D1560" t="s">
        <v>5709</v>
      </c>
      <c r="E1560">
        <v>16000</v>
      </c>
    </row>
    <row r="1561" spans="1:12" ht="64" x14ac:dyDescent="0.2">
      <c r="A1561" t="s">
        <v>5500</v>
      </c>
      <c r="B1561" t="s">
        <v>4230</v>
      </c>
      <c r="C1561">
        <v>3</v>
      </c>
      <c r="D1561" t="s">
        <v>1420</v>
      </c>
      <c r="E1561" t="s">
        <v>1421</v>
      </c>
      <c r="F1561" s="122" t="s">
        <v>1427</v>
      </c>
      <c r="G1561" s="122" t="s">
        <v>1428</v>
      </c>
      <c r="H1561" s="122" t="s">
        <v>3901</v>
      </c>
    </row>
    <row r="1562" spans="1:12" x14ac:dyDescent="0.2">
      <c r="A1562" t="s">
        <v>3643</v>
      </c>
    </row>
    <row r="1563" spans="1:12" x14ac:dyDescent="0.2">
      <c r="A1563" t="s">
        <v>5613</v>
      </c>
      <c r="B1563">
        <v>63940</v>
      </c>
      <c r="C1563">
        <v>3</v>
      </c>
      <c r="D1563" t="s">
        <v>5710</v>
      </c>
      <c r="E1563">
        <v>16000</v>
      </c>
    </row>
    <row r="1564" spans="1:12" ht="48" x14ac:dyDescent="0.2">
      <c r="A1564" t="s">
        <v>5500</v>
      </c>
      <c r="B1564" t="s">
        <v>4230</v>
      </c>
      <c r="C1564">
        <v>4</v>
      </c>
      <c r="D1564" t="s">
        <v>1420</v>
      </c>
      <c r="E1564" t="s">
        <v>1429</v>
      </c>
      <c r="F1564" s="122" t="s">
        <v>1430</v>
      </c>
      <c r="G1564" s="122">
        <v>88</v>
      </c>
      <c r="H1564" s="122" t="s">
        <v>5711</v>
      </c>
      <c r="I1564">
        <v>63940</v>
      </c>
      <c r="J1564">
        <v>2</v>
      </c>
      <c r="K1564" s="122" t="s">
        <v>5712</v>
      </c>
      <c r="L1564">
        <v>16000</v>
      </c>
    </row>
    <row r="1565" spans="1:12" ht="112" x14ac:dyDescent="0.2">
      <c r="A1565" t="s">
        <v>5500</v>
      </c>
      <c r="B1565" t="s">
        <v>4230</v>
      </c>
      <c r="C1565">
        <v>5</v>
      </c>
      <c r="D1565" t="s">
        <v>1420</v>
      </c>
      <c r="E1565" t="s">
        <v>1421</v>
      </c>
      <c r="F1565" s="122" t="s">
        <v>1431</v>
      </c>
      <c r="G1565" s="122" t="s">
        <v>1432</v>
      </c>
      <c r="H1565" s="122" t="s">
        <v>5713</v>
      </c>
      <c r="I1565">
        <v>63940</v>
      </c>
      <c r="J1565">
        <v>3</v>
      </c>
      <c r="K1565" s="122" t="s">
        <v>5714</v>
      </c>
      <c r="L1565">
        <v>16000</v>
      </c>
    </row>
    <row r="1566" spans="1:12" ht="48" x14ac:dyDescent="0.2">
      <c r="A1566" t="s">
        <v>5500</v>
      </c>
      <c r="B1566" t="s">
        <v>4230</v>
      </c>
      <c r="C1566">
        <v>6</v>
      </c>
      <c r="D1566" t="s">
        <v>1433</v>
      </c>
      <c r="E1566" t="s">
        <v>1434</v>
      </c>
      <c r="F1566" s="122" t="s">
        <v>1435</v>
      </c>
      <c r="G1566" s="122" t="s">
        <v>1436</v>
      </c>
      <c r="H1566" s="122" t="s">
        <v>5715</v>
      </c>
    </row>
    <row r="1568" spans="1:12" x14ac:dyDescent="0.2">
      <c r="A1568" t="s">
        <v>3769</v>
      </c>
    </row>
    <row r="1569" spans="1:12" x14ac:dyDescent="0.2">
      <c r="A1569" t="s">
        <v>4832</v>
      </c>
      <c r="B1569">
        <v>962</v>
      </c>
      <c r="C1569">
        <v>869.4</v>
      </c>
    </row>
    <row r="1570" spans="1:12" x14ac:dyDescent="0.2">
      <c r="A1570" t="s">
        <v>4833</v>
      </c>
      <c r="B1570">
        <v>891</v>
      </c>
      <c r="C1570">
        <v>657.5</v>
      </c>
    </row>
    <row r="1571" spans="1:12" x14ac:dyDescent="0.2">
      <c r="A1571" t="s">
        <v>4834</v>
      </c>
      <c r="B1571">
        <v>380</v>
      </c>
      <c r="C1571">
        <v>106.4</v>
      </c>
    </row>
    <row r="1572" spans="1:12" ht="48" x14ac:dyDescent="0.2">
      <c r="A1572" t="s">
        <v>4835</v>
      </c>
      <c r="B1572">
        <v>178</v>
      </c>
      <c r="C1572" t="s">
        <v>5716</v>
      </c>
      <c r="D1572">
        <v>63940</v>
      </c>
      <c r="E1572">
        <v>2</v>
      </c>
      <c r="F1572" s="122" t="s">
        <v>5717</v>
      </c>
      <c r="G1572" s="122">
        <v>16000</v>
      </c>
    </row>
    <row r="1573" spans="1:12" ht="64" x14ac:dyDescent="0.2">
      <c r="A1573" t="s">
        <v>5500</v>
      </c>
      <c r="B1573" t="s">
        <v>4230</v>
      </c>
      <c r="C1573">
        <v>7</v>
      </c>
      <c r="D1573" t="s">
        <v>1433</v>
      </c>
      <c r="E1573" t="s">
        <v>1434</v>
      </c>
      <c r="F1573" s="122" t="s">
        <v>1438</v>
      </c>
      <c r="G1573" s="122" t="s">
        <v>1469</v>
      </c>
      <c r="H1573" s="122" t="s">
        <v>5718</v>
      </c>
      <c r="I1573">
        <v>63940</v>
      </c>
      <c r="J1573">
        <v>2</v>
      </c>
      <c r="K1573" s="122" t="s">
        <v>5719</v>
      </c>
      <c r="L1573">
        <v>16000</v>
      </c>
    </row>
    <row r="1574" spans="1:12" ht="64" x14ac:dyDescent="0.2">
      <c r="A1574" t="s">
        <v>5500</v>
      </c>
      <c r="B1574" t="s">
        <v>4230</v>
      </c>
      <c r="C1574">
        <v>8</v>
      </c>
      <c r="D1574" t="s">
        <v>1433</v>
      </c>
      <c r="E1574" t="s">
        <v>1440</v>
      </c>
      <c r="F1574" s="122" t="s">
        <v>1441</v>
      </c>
      <c r="G1574" s="122" t="s">
        <v>1470</v>
      </c>
      <c r="H1574" s="122" t="s">
        <v>5720</v>
      </c>
    </row>
    <row r="1575" spans="1:12" x14ac:dyDescent="0.2">
      <c r="A1575" t="s">
        <v>5721</v>
      </c>
      <c r="B1575">
        <v>621</v>
      </c>
      <c r="C1575" t="s">
        <v>5722</v>
      </c>
    </row>
    <row r="1577" spans="1:12" x14ac:dyDescent="0.2">
      <c r="A1577" t="s">
        <v>5723</v>
      </c>
      <c r="B1577">
        <v>63940</v>
      </c>
      <c r="C1577">
        <v>3</v>
      </c>
      <c r="D1577" t="s">
        <v>5724</v>
      </c>
      <c r="E1577">
        <v>16000</v>
      </c>
    </row>
    <row r="1578" spans="1:12" ht="64" x14ac:dyDescent="0.2">
      <c r="A1578" t="s">
        <v>5500</v>
      </c>
      <c r="B1578" t="s">
        <v>4230</v>
      </c>
      <c r="C1578">
        <v>9</v>
      </c>
      <c r="D1578" t="s">
        <v>1433</v>
      </c>
      <c r="E1578" t="s">
        <v>1440</v>
      </c>
      <c r="F1578" s="122" t="s">
        <v>1443</v>
      </c>
      <c r="G1578" s="122" t="s">
        <v>1477</v>
      </c>
      <c r="H1578" s="122" t="s">
        <v>5725</v>
      </c>
    </row>
    <row r="1580" spans="1:12" x14ac:dyDescent="0.2">
      <c r="A1580" t="s">
        <v>5726</v>
      </c>
      <c r="B1580">
        <v>990</v>
      </c>
      <c r="C1580" t="s">
        <v>5727</v>
      </c>
    </row>
    <row r="1581" spans="1:12" x14ac:dyDescent="0.2">
      <c r="A1581" t="s">
        <v>5728</v>
      </c>
      <c r="B1581">
        <v>288</v>
      </c>
      <c r="C1581" t="s">
        <v>5729</v>
      </c>
    </row>
    <row r="1582" spans="1:12" x14ac:dyDescent="0.2">
      <c r="A1582" t="s">
        <v>5730</v>
      </c>
      <c r="B1582">
        <v>702</v>
      </c>
      <c r="C1582" t="s">
        <v>5731</v>
      </c>
    </row>
    <row r="1583" spans="1:12" x14ac:dyDescent="0.2">
      <c r="A1583" t="s">
        <v>5732</v>
      </c>
      <c r="B1583">
        <v>63940</v>
      </c>
      <c r="C1583">
        <v>2</v>
      </c>
      <c r="D1583" t="s">
        <v>5733</v>
      </c>
      <c r="E1583">
        <v>16000</v>
      </c>
    </row>
    <row r="1584" spans="1:12" ht="64" x14ac:dyDescent="0.2">
      <c r="A1584" t="s">
        <v>5500</v>
      </c>
      <c r="B1584" t="s">
        <v>4230</v>
      </c>
      <c r="C1584">
        <v>10</v>
      </c>
      <c r="D1584" t="s">
        <v>1433</v>
      </c>
      <c r="E1584" t="s">
        <v>1421</v>
      </c>
      <c r="F1584" s="122" t="s">
        <v>1445</v>
      </c>
      <c r="G1584" s="122" t="s">
        <v>1446</v>
      </c>
      <c r="H1584" s="122" t="s">
        <v>5734</v>
      </c>
    </row>
    <row r="1585" spans="1:12" x14ac:dyDescent="0.2">
      <c r="A1585" t="s">
        <v>3781</v>
      </c>
    </row>
    <row r="1586" spans="1:12" x14ac:dyDescent="0.2">
      <c r="A1586" t="s">
        <v>5735</v>
      </c>
      <c r="B1586">
        <v>63940</v>
      </c>
      <c r="C1586">
        <v>3</v>
      </c>
      <c r="D1586" t="s">
        <v>5736</v>
      </c>
      <c r="E1586">
        <v>16000</v>
      </c>
    </row>
    <row r="1587" spans="1:12" ht="176" x14ac:dyDescent="0.2">
      <c r="A1587" t="s">
        <v>5500</v>
      </c>
      <c r="B1587" t="s">
        <v>4230</v>
      </c>
      <c r="C1587">
        <v>11</v>
      </c>
      <c r="D1587" t="s">
        <v>1433</v>
      </c>
      <c r="E1587" t="s">
        <v>1447</v>
      </c>
      <c r="F1587" s="122" t="s">
        <v>1448</v>
      </c>
      <c r="G1587" s="122" t="s">
        <v>4011</v>
      </c>
      <c r="H1587" s="122" t="s">
        <v>5737</v>
      </c>
      <c r="I1587">
        <v>63940</v>
      </c>
      <c r="J1587">
        <v>0</v>
      </c>
      <c r="K1587" s="122" t="s">
        <v>5738</v>
      </c>
      <c r="L1587">
        <v>16000</v>
      </c>
    </row>
    <row r="1588" spans="1:12" ht="64" x14ac:dyDescent="0.2">
      <c r="A1588" t="s">
        <v>5500</v>
      </c>
      <c r="B1588" t="s">
        <v>4230</v>
      </c>
      <c r="C1588">
        <v>12</v>
      </c>
      <c r="D1588" t="s">
        <v>1433</v>
      </c>
      <c r="E1588" t="s">
        <v>1434</v>
      </c>
      <c r="F1588" s="122" t="s">
        <v>1450</v>
      </c>
      <c r="G1588" s="196">
        <v>16881928.100000001</v>
      </c>
      <c r="H1588" s="122" t="s">
        <v>5556</v>
      </c>
      <c r="I1588">
        <v>63940</v>
      </c>
      <c r="J1588">
        <v>0</v>
      </c>
      <c r="K1588" s="122" t="s">
        <v>4398</v>
      </c>
      <c r="L1588">
        <v>16000</v>
      </c>
    </row>
    <row r="1589" spans="1:12" ht="32" x14ac:dyDescent="0.2">
      <c r="A1589" t="s">
        <v>5500</v>
      </c>
      <c r="B1589" t="s">
        <v>4230</v>
      </c>
      <c r="C1589">
        <v>13</v>
      </c>
      <c r="D1589" t="s">
        <v>1452</v>
      </c>
      <c r="E1589" t="s">
        <v>1453</v>
      </c>
      <c r="F1589" s="122" t="s">
        <v>1454</v>
      </c>
      <c r="G1589" s="122">
        <v>19</v>
      </c>
      <c r="H1589" s="122" t="s">
        <v>5739</v>
      </c>
    </row>
    <row r="1591" spans="1:12" x14ac:dyDescent="0.2">
      <c r="A1591" t="s">
        <v>3666</v>
      </c>
    </row>
    <row r="1592" spans="1:12" x14ac:dyDescent="0.2">
      <c r="A1592" t="s">
        <v>3667</v>
      </c>
    </row>
    <row r="1593" spans="1:12" x14ac:dyDescent="0.2">
      <c r="A1593" t="s">
        <v>3668</v>
      </c>
    </row>
    <row r="1594" spans="1:12" x14ac:dyDescent="0.2">
      <c r="A1594" t="s">
        <v>3669</v>
      </c>
    </row>
    <row r="1595" spans="1:12" x14ac:dyDescent="0.2">
      <c r="A1595" t="s">
        <v>3670</v>
      </c>
    </row>
    <row r="1596" spans="1:12" x14ac:dyDescent="0.2">
      <c r="A1596" t="s">
        <v>3794</v>
      </c>
    </row>
    <row r="1597" spans="1:12" x14ac:dyDescent="0.2">
      <c r="A1597" t="s">
        <v>3795</v>
      </c>
    </row>
    <row r="1598" spans="1:12" x14ac:dyDescent="0.2">
      <c r="A1598" t="s">
        <v>5740</v>
      </c>
      <c r="B1598">
        <v>63940</v>
      </c>
      <c r="C1598">
        <v>2</v>
      </c>
      <c r="D1598" t="s">
        <v>5741</v>
      </c>
      <c r="E1598">
        <v>16000</v>
      </c>
    </row>
    <row r="1599" spans="1:12" ht="48" x14ac:dyDescent="0.2">
      <c r="A1599" t="s">
        <v>5500</v>
      </c>
      <c r="B1599" t="s">
        <v>4230</v>
      </c>
      <c r="C1599">
        <v>14</v>
      </c>
      <c r="D1599" t="s">
        <v>1452</v>
      </c>
      <c r="E1599" t="s">
        <v>1453</v>
      </c>
      <c r="F1599" s="122" t="s">
        <v>1455</v>
      </c>
      <c r="G1599" s="122">
        <v>9</v>
      </c>
      <c r="H1599" s="122" t="s">
        <v>5742</v>
      </c>
    </row>
    <row r="1601" spans="1:12" x14ac:dyDescent="0.2">
      <c r="A1601" t="s">
        <v>5743</v>
      </c>
      <c r="B1601" t="s">
        <v>5744</v>
      </c>
      <c r="C1601" t="s">
        <v>5745</v>
      </c>
      <c r="D1601" t="s">
        <v>5746</v>
      </c>
    </row>
    <row r="1602" spans="1:12" ht="16" x14ac:dyDescent="0.2">
      <c r="A1602" t="s">
        <v>5747</v>
      </c>
      <c r="B1602" t="s">
        <v>5748</v>
      </c>
      <c r="C1602">
        <v>757</v>
      </c>
      <c r="D1602" t="s">
        <v>5749</v>
      </c>
      <c r="E1602">
        <v>802</v>
      </c>
      <c r="F1602" s="122" t="s">
        <v>5750</v>
      </c>
    </row>
    <row r="1603" spans="1:12" x14ac:dyDescent="0.2">
      <c r="A1603" t="s">
        <v>5751</v>
      </c>
      <c r="B1603">
        <v>305</v>
      </c>
      <c r="C1603" t="s">
        <v>5752</v>
      </c>
      <c r="D1603">
        <v>72</v>
      </c>
      <c r="E1603" t="s">
        <v>5753</v>
      </c>
    </row>
    <row r="1604" spans="1:12" ht="64" x14ac:dyDescent="0.2">
      <c r="A1604" t="s">
        <v>5754</v>
      </c>
      <c r="B1604" t="s">
        <v>5755</v>
      </c>
      <c r="C1604" t="s">
        <v>5756</v>
      </c>
      <c r="D1604" t="s">
        <v>5757</v>
      </c>
      <c r="E1604">
        <v>63940</v>
      </c>
      <c r="F1604" s="122">
        <v>2</v>
      </c>
      <c r="G1604" s="122" t="s">
        <v>5758</v>
      </c>
      <c r="H1604" s="122">
        <v>16000</v>
      </c>
    </row>
    <row r="1605" spans="1:12" ht="365" x14ac:dyDescent="0.2">
      <c r="A1605" t="s">
        <v>5500</v>
      </c>
      <c r="B1605" t="s">
        <v>4230</v>
      </c>
      <c r="C1605">
        <v>15</v>
      </c>
      <c r="D1605" t="s">
        <v>1452</v>
      </c>
      <c r="E1605" t="s">
        <v>1447</v>
      </c>
      <c r="F1605" s="122" t="s">
        <v>1457</v>
      </c>
      <c r="G1605" s="122">
        <v>50</v>
      </c>
      <c r="H1605" s="122" t="s">
        <v>5759</v>
      </c>
    </row>
    <row r="1607" spans="1:12" x14ac:dyDescent="0.2">
      <c r="A1607" t="s">
        <v>5760</v>
      </c>
      <c r="B1607">
        <v>63940</v>
      </c>
      <c r="C1607">
        <v>2</v>
      </c>
      <c r="D1607" t="s">
        <v>5761</v>
      </c>
      <c r="E1607">
        <v>16000</v>
      </c>
    </row>
    <row r="1608" spans="1:12" ht="160" x14ac:dyDescent="0.2">
      <c r="A1608" t="s">
        <v>5500</v>
      </c>
      <c r="B1608" t="s">
        <v>4230</v>
      </c>
      <c r="C1608">
        <v>16</v>
      </c>
      <c r="D1608" t="s">
        <v>1452</v>
      </c>
      <c r="E1608" t="s">
        <v>1434</v>
      </c>
      <c r="F1608" s="122" t="s">
        <v>1458</v>
      </c>
      <c r="G1608" s="122" t="s">
        <v>1497</v>
      </c>
      <c r="H1608" s="122" t="s">
        <v>5762</v>
      </c>
      <c r="I1608">
        <v>63940</v>
      </c>
      <c r="J1608">
        <v>0</v>
      </c>
      <c r="K1608" s="122" t="s">
        <v>5763</v>
      </c>
      <c r="L1608">
        <v>16000</v>
      </c>
    </row>
    <row r="1609" spans="1:12" ht="48" x14ac:dyDescent="0.2">
      <c r="A1609" t="s">
        <v>5500</v>
      </c>
      <c r="B1609" t="s">
        <v>4230</v>
      </c>
      <c r="C1609">
        <v>17</v>
      </c>
      <c r="D1609" t="s">
        <v>1452</v>
      </c>
      <c r="E1609" t="s">
        <v>1421</v>
      </c>
      <c r="F1609" s="122" t="s">
        <v>1460</v>
      </c>
      <c r="G1609" s="122" t="s">
        <v>1500</v>
      </c>
      <c r="H1609" s="122" t="s">
        <v>3643</v>
      </c>
    </row>
    <row r="1610" spans="1:12" x14ac:dyDescent="0.2">
      <c r="A1610" t="s">
        <v>3818</v>
      </c>
    </row>
    <row r="1611" spans="1:12" x14ac:dyDescent="0.2">
      <c r="A1611" t="s">
        <v>5652</v>
      </c>
      <c r="B1611">
        <v>63940</v>
      </c>
      <c r="C1611">
        <v>3</v>
      </c>
      <c r="D1611" t="s">
        <v>5764</v>
      </c>
      <c r="E1611">
        <v>16000</v>
      </c>
    </row>
    <row r="1612" spans="1:12" ht="128" x14ac:dyDescent="0.2">
      <c r="A1612" t="s">
        <v>5500</v>
      </c>
      <c r="B1612" t="s">
        <v>4230</v>
      </c>
      <c r="C1612">
        <v>18</v>
      </c>
      <c r="D1612" t="s">
        <v>1452</v>
      </c>
      <c r="E1612" t="s">
        <v>1440</v>
      </c>
      <c r="F1612" s="122" t="s">
        <v>1462</v>
      </c>
      <c r="G1612" s="122" t="s">
        <v>1502</v>
      </c>
      <c r="H1612" s="122" t="s">
        <v>5765</v>
      </c>
      <c r="I1612">
        <v>63940</v>
      </c>
      <c r="J1612">
        <v>0</v>
      </c>
      <c r="K1612" s="122" t="s">
        <v>5766</v>
      </c>
      <c r="L1612">
        <v>16000</v>
      </c>
    </row>
    <row r="1613" spans="1:12" ht="48" x14ac:dyDescent="0.2">
      <c r="A1613" t="s">
        <v>5500</v>
      </c>
      <c r="B1613" t="s">
        <v>4230</v>
      </c>
      <c r="C1613">
        <v>19</v>
      </c>
      <c r="D1613" t="s">
        <v>1452</v>
      </c>
      <c r="E1613" t="s">
        <v>1464</v>
      </c>
      <c r="F1613" s="122" t="s">
        <v>1465</v>
      </c>
      <c r="G1613" s="122" t="s">
        <v>1503</v>
      </c>
      <c r="H1613" s="122" t="s">
        <v>5767</v>
      </c>
    </row>
    <row r="1615" spans="1:12" x14ac:dyDescent="0.2">
      <c r="A1615" t="s">
        <v>3830</v>
      </c>
    </row>
    <row r="1616" spans="1:12" x14ac:dyDescent="0.2">
      <c r="A1616" t="s">
        <v>5768</v>
      </c>
      <c r="B1616">
        <v>63940</v>
      </c>
      <c r="C1616">
        <v>0</v>
      </c>
      <c r="D1616" t="s">
        <v>4177</v>
      </c>
      <c r="E1616">
        <v>16000</v>
      </c>
    </row>
    <row r="1617" spans="1:12" ht="128" x14ac:dyDescent="0.2">
      <c r="A1617" t="s">
        <v>5500</v>
      </c>
      <c r="B1617" t="s">
        <v>4230</v>
      </c>
      <c r="C1617">
        <v>20</v>
      </c>
      <c r="D1617" t="s">
        <v>1452</v>
      </c>
      <c r="E1617" t="s">
        <v>1464</v>
      </c>
      <c r="F1617" s="122" t="s">
        <v>1467</v>
      </c>
      <c r="G1617" s="122" t="s">
        <v>1513</v>
      </c>
      <c r="H1617" s="122" t="s">
        <v>5769</v>
      </c>
    </row>
    <row r="1618" spans="1:12" ht="16" x14ac:dyDescent="0.2">
      <c r="A1618" t="s">
        <v>5770</v>
      </c>
      <c r="B1618" t="s">
        <v>5771</v>
      </c>
      <c r="C1618">
        <v>39</v>
      </c>
      <c r="D1618" t="s">
        <v>5772</v>
      </c>
      <c r="E1618">
        <v>774</v>
      </c>
      <c r="F1618" s="122" t="s">
        <v>5773</v>
      </c>
      <c r="G1618" s="122">
        <v>265</v>
      </c>
      <c r="H1618" s="122" t="s">
        <v>5774</v>
      </c>
    </row>
    <row r="1619" spans="1:12" ht="16" x14ac:dyDescent="0.2">
      <c r="A1619" t="s">
        <v>5775</v>
      </c>
      <c r="B1619">
        <v>614</v>
      </c>
      <c r="C1619" t="s">
        <v>5776</v>
      </c>
      <c r="D1619">
        <v>479</v>
      </c>
      <c r="E1619" t="s">
        <v>5777</v>
      </c>
      <c r="F1619" s="122">
        <v>135</v>
      </c>
      <c r="G1619" s="122" t="s">
        <v>5778</v>
      </c>
      <c r="H1619" s="122">
        <v>63940</v>
      </c>
      <c r="I1619">
        <v>2</v>
      </c>
      <c r="J1619" t="s">
        <v>5779</v>
      </c>
      <c r="K1619" s="122">
        <v>16000</v>
      </c>
    </row>
    <row r="1620" spans="1:12" ht="128" x14ac:dyDescent="0.2">
      <c r="A1620" t="s">
        <v>5500</v>
      </c>
      <c r="B1620" t="s">
        <v>4396</v>
      </c>
      <c r="C1620">
        <v>1</v>
      </c>
      <c r="D1620" t="s">
        <v>1420</v>
      </c>
      <c r="E1620" t="s">
        <v>1421</v>
      </c>
      <c r="F1620" s="122" t="s">
        <v>1422</v>
      </c>
      <c r="G1620" s="122" t="s">
        <v>1423</v>
      </c>
      <c r="H1620" s="122" t="s">
        <v>5780</v>
      </c>
      <c r="I1620">
        <v>32265</v>
      </c>
      <c r="J1620">
        <v>0</v>
      </c>
      <c r="K1620" s="122" t="s">
        <v>5781</v>
      </c>
      <c r="L1620" t="s">
        <v>2039</v>
      </c>
    </row>
    <row r="1621" spans="1:12" ht="80" x14ac:dyDescent="0.2">
      <c r="A1621" t="s">
        <v>5500</v>
      </c>
      <c r="B1621" t="s">
        <v>4396</v>
      </c>
      <c r="C1621">
        <v>2</v>
      </c>
      <c r="D1621" t="s">
        <v>1420</v>
      </c>
      <c r="E1621" t="s">
        <v>1421</v>
      </c>
      <c r="F1621" s="122" t="s">
        <v>1425</v>
      </c>
      <c r="G1621" s="122">
        <v>8</v>
      </c>
      <c r="H1621" s="122" t="s">
        <v>5782</v>
      </c>
      <c r="I1621">
        <v>44203</v>
      </c>
      <c r="J1621">
        <v>2</v>
      </c>
      <c r="K1621" s="122" t="s">
        <v>5783</v>
      </c>
      <c r="L1621" t="s">
        <v>2039</v>
      </c>
    </row>
    <row r="1622" spans="1:12" ht="96" x14ac:dyDescent="0.2">
      <c r="A1622" t="s">
        <v>5500</v>
      </c>
      <c r="B1622" t="s">
        <v>4396</v>
      </c>
      <c r="C1622">
        <v>3</v>
      </c>
      <c r="D1622" t="s">
        <v>1420</v>
      </c>
      <c r="E1622" t="s">
        <v>1421</v>
      </c>
      <c r="F1622" s="122" t="s">
        <v>1427</v>
      </c>
      <c r="G1622" s="122" t="s">
        <v>1428</v>
      </c>
      <c r="H1622" s="122" t="s">
        <v>5582</v>
      </c>
      <c r="I1622">
        <v>28496</v>
      </c>
      <c r="J1622">
        <v>0</v>
      </c>
      <c r="K1622" s="122" t="s">
        <v>3997</v>
      </c>
      <c r="L1622" t="s">
        <v>2039</v>
      </c>
    </row>
    <row r="1623" spans="1:12" ht="256" x14ac:dyDescent="0.2">
      <c r="A1623" t="s">
        <v>5500</v>
      </c>
      <c r="B1623" t="s">
        <v>4396</v>
      </c>
      <c r="C1623">
        <v>4</v>
      </c>
      <c r="D1623" t="s">
        <v>1420</v>
      </c>
      <c r="E1623" t="s">
        <v>1429</v>
      </c>
      <c r="F1623" s="122" t="s">
        <v>1430</v>
      </c>
      <c r="G1623" s="122">
        <v>88</v>
      </c>
      <c r="H1623" s="122" t="s">
        <v>5784</v>
      </c>
    </row>
    <row r="1625" spans="1:12" x14ac:dyDescent="0.2">
      <c r="A1625" t="s">
        <v>5785</v>
      </c>
      <c r="B1625">
        <v>29451</v>
      </c>
      <c r="C1625">
        <v>0</v>
      </c>
      <c r="D1625" t="s">
        <v>5786</v>
      </c>
      <c r="E1625" t="s">
        <v>2039</v>
      </c>
    </row>
    <row r="1626" spans="1:12" ht="80" x14ac:dyDescent="0.2">
      <c r="A1626" t="s">
        <v>5500</v>
      </c>
      <c r="B1626" t="s">
        <v>4396</v>
      </c>
      <c r="C1626">
        <v>5</v>
      </c>
      <c r="D1626" t="s">
        <v>1420</v>
      </c>
      <c r="E1626" t="s">
        <v>1421</v>
      </c>
      <c r="F1626" s="122" t="s">
        <v>1431</v>
      </c>
      <c r="G1626" s="122" t="s">
        <v>1432</v>
      </c>
      <c r="H1626" s="122" t="s">
        <v>3999</v>
      </c>
      <c r="I1626">
        <v>27738</v>
      </c>
      <c r="J1626">
        <v>3</v>
      </c>
      <c r="K1626" s="122" t="s">
        <v>4000</v>
      </c>
      <c r="L1626" t="s">
        <v>2039</v>
      </c>
    </row>
    <row r="1627" spans="1:12" ht="64" x14ac:dyDescent="0.2">
      <c r="A1627" t="s">
        <v>5500</v>
      </c>
      <c r="B1627" t="s">
        <v>4396</v>
      </c>
      <c r="C1627">
        <v>6</v>
      </c>
      <c r="D1627" t="s">
        <v>1433</v>
      </c>
      <c r="E1627" t="s">
        <v>1434</v>
      </c>
      <c r="F1627" s="122" t="s">
        <v>1435</v>
      </c>
      <c r="G1627" s="122" t="s">
        <v>1436</v>
      </c>
      <c r="H1627" s="122" t="s">
        <v>5585</v>
      </c>
      <c r="I1627">
        <v>32711</v>
      </c>
      <c r="J1627">
        <v>3</v>
      </c>
      <c r="K1627" s="122" t="s">
        <v>5586</v>
      </c>
      <c r="L1627" t="s">
        <v>2039</v>
      </c>
    </row>
    <row r="1628" spans="1:12" ht="128" x14ac:dyDescent="0.2">
      <c r="A1628" t="s">
        <v>5500</v>
      </c>
      <c r="B1628" t="s">
        <v>4396</v>
      </c>
      <c r="C1628">
        <v>7</v>
      </c>
      <c r="D1628" t="s">
        <v>1433</v>
      </c>
      <c r="E1628" t="s">
        <v>1434</v>
      </c>
      <c r="F1628" s="122" t="s">
        <v>1438</v>
      </c>
      <c r="G1628" s="122" t="s">
        <v>1469</v>
      </c>
      <c r="H1628" s="122" t="s">
        <v>5787</v>
      </c>
      <c r="I1628">
        <v>26064</v>
      </c>
      <c r="J1628">
        <v>0</v>
      </c>
      <c r="K1628" s="122" t="s">
        <v>5788</v>
      </c>
      <c r="L1628" t="s">
        <v>2039</v>
      </c>
    </row>
    <row r="1629" spans="1:12" ht="80" x14ac:dyDescent="0.2">
      <c r="A1629" t="s">
        <v>5500</v>
      </c>
      <c r="B1629" t="s">
        <v>4396</v>
      </c>
      <c r="C1629">
        <v>8</v>
      </c>
      <c r="D1629" t="s">
        <v>1433</v>
      </c>
      <c r="E1629" t="s">
        <v>1440</v>
      </c>
      <c r="F1629" s="122" t="s">
        <v>1441</v>
      </c>
      <c r="G1629" s="122" t="s">
        <v>1470</v>
      </c>
      <c r="H1629" s="122" t="s">
        <v>5789</v>
      </c>
    </row>
    <row r="1630" spans="1:12" ht="80" x14ac:dyDescent="0.2">
      <c r="A1630" t="s">
        <v>5790</v>
      </c>
      <c r="B1630">
        <v>621</v>
      </c>
      <c r="C1630" t="s">
        <v>5791</v>
      </c>
      <c r="D1630">
        <v>41486</v>
      </c>
      <c r="E1630">
        <v>3</v>
      </c>
      <c r="F1630" s="122" t="s">
        <v>5792</v>
      </c>
      <c r="G1630" s="122" t="s">
        <v>2039</v>
      </c>
    </row>
    <row r="1631" spans="1:12" ht="144" x14ac:dyDescent="0.2">
      <c r="A1631" t="s">
        <v>5500</v>
      </c>
      <c r="B1631" t="s">
        <v>4396</v>
      </c>
      <c r="C1631">
        <v>9</v>
      </c>
      <c r="D1631" t="s">
        <v>1433</v>
      </c>
      <c r="E1631" t="s">
        <v>1440</v>
      </c>
      <c r="F1631" s="122" t="s">
        <v>1443</v>
      </c>
      <c r="G1631" s="122" t="s">
        <v>1477</v>
      </c>
      <c r="H1631" s="122" t="s">
        <v>5793</v>
      </c>
      <c r="I1631">
        <v>26225</v>
      </c>
      <c r="J1631">
        <v>0</v>
      </c>
      <c r="K1631" s="122" t="s">
        <v>4514</v>
      </c>
      <c r="L1631" t="s">
        <v>2039</v>
      </c>
    </row>
    <row r="1632" spans="1:12" ht="80" x14ac:dyDescent="0.2">
      <c r="A1632" t="s">
        <v>5500</v>
      </c>
      <c r="B1632" t="s">
        <v>4396</v>
      </c>
      <c r="C1632">
        <v>10</v>
      </c>
      <c r="D1632" t="s">
        <v>1433</v>
      </c>
      <c r="E1632" t="s">
        <v>1421</v>
      </c>
      <c r="F1632" s="122" t="s">
        <v>1445</v>
      </c>
      <c r="G1632" s="122" t="s">
        <v>1446</v>
      </c>
      <c r="H1632" s="122" t="s">
        <v>5794</v>
      </c>
      <c r="I1632">
        <v>28942</v>
      </c>
      <c r="J1632">
        <v>3</v>
      </c>
      <c r="K1632" s="122" t="s">
        <v>4193</v>
      </c>
      <c r="L1632" t="s">
        <v>2039</v>
      </c>
    </row>
    <row r="1633" spans="1:12" ht="64" x14ac:dyDescent="0.2">
      <c r="A1633" t="s">
        <v>5500</v>
      </c>
      <c r="B1633" t="s">
        <v>4396</v>
      </c>
      <c r="C1633">
        <v>11</v>
      </c>
      <c r="D1633" t="s">
        <v>1433</v>
      </c>
      <c r="E1633" t="s">
        <v>1447</v>
      </c>
      <c r="F1633" s="122" t="s">
        <v>1448</v>
      </c>
      <c r="G1633" s="122" t="s">
        <v>4011</v>
      </c>
      <c r="H1633" s="122" t="s">
        <v>5503</v>
      </c>
      <c r="I1633">
        <v>34521</v>
      </c>
      <c r="J1633">
        <v>-1</v>
      </c>
      <c r="K1633" s="122" t="s">
        <v>5504</v>
      </c>
      <c r="L1633" t="s">
        <v>2039</v>
      </c>
    </row>
    <row r="1634" spans="1:12" ht="64" x14ac:dyDescent="0.2">
      <c r="A1634" t="s">
        <v>5500</v>
      </c>
      <c r="B1634" t="s">
        <v>4396</v>
      </c>
      <c r="C1634">
        <v>12</v>
      </c>
      <c r="D1634" t="s">
        <v>1433</v>
      </c>
      <c r="E1634" t="s">
        <v>1434</v>
      </c>
      <c r="F1634" s="122" t="s">
        <v>1450</v>
      </c>
      <c r="G1634" s="196">
        <v>16881928.100000001</v>
      </c>
      <c r="H1634" s="122" t="s">
        <v>5677</v>
      </c>
      <c r="I1634">
        <v>29453</v>
      </c>
      <c r="J1634">
        <v>3</v>
      </c>
      <c r="K1634" s="122" t="s">
        <v>5795</v>
      </c>
      <c r="L1634" t="s">
        <v>2039</v>
      </c>
    </row>
    <row r="1635" spans="1:12" ht="96" x14ac:dyDescent="0.2">
      <c r="A1635" t="s">
        <v>5500</v>
      </c>
      <c r="B1635" t="s">
        <v>4396</v>
      </c>
      <c r="C1635">
        <v>13</v>
      </c>
      <c r="D1635" t="s">
        <v>1452</v>
      </c>
      <c r="E1635" t="s">
        <v>1453</v>
      </c>
      <c r="F1635" s="122" t="s">
        <v>1454</v>
      </c>
      <c r="G1635" s="122">
        <v>19</v>
      </c>
      <c r="H1635" s="122" t="s">
        <v>5796</v>
      </c>
    </row>
    <row r="1637" spans="1:12" x14ac:dyDescent="0.2">
      <c r="A1637" t="s">
        <v>3872</v>
      </c>
    </row>
    <row r="1638" spans="1:12" x14ac:dyDescent="0.2">
      <c r="A1638" t="s">
        <v>3596</v>
      </c>
    </row>
    <row r="1639" spans="1:12" x14ac:dyDescent="0.2">
      <c r="A1639" t="s">
        <v>3597</v>
      </c>
    </row>
    <row r="1640" spans="1:12" x14ac:dyDescent="0.2">
      <c r="A1640" t="s">
        <v>3598</v>
      </c>
    </row>
    <row r="1641" spans="1:12" x14ac:dyDescent="0.2">
      <c r="A1641" t="s">
        <v>3599</v>
      </c>
    </row>
    <row r="1642" spans="1:12" x14ac:dyDescent="0.2">
      <c r="A1642" t="s">
        <v>3600</v>
      </c>
    </row>
    <row r="1643" spans="1:12" x14ac:dyDescent="0.2">
      <c r="A1643" t="s">
        <v>3601</v>
      </c>
    </row>
    <row r="1644" spans="1:12" x14ac:dyDescent="0.2">
      <c r="A1644" t="s">
        <v>3602</v>
      </c>
    </row>
    <row r="1645" spans="1:12" x14ac:dyDescent="0.2">
      <c r="A1645" t="s">
        <v>3603</v>
      </c>
    </row>
    <row r="1646" spans="1:12" x14ac:dyDescent="0.2">
      <c r="A1646" t="s">
        <v>3604</v>
      </c>
    </row>
    <row r="1647" spans="1:12" x14ac:dyDescent="0.2">
      <c r="A1647" t="s">
        <v>3605</v>
      </c>
    </row>
    <row r="1648" spans="1:12" x14ac:dyDescent="0.2">
      <c r="A1648" t="s">
        <v>3606</v>
      </c>
    </row>
    <row r="1649" spans="1:2" x14ac:dyDescent="0.2">
      <c r="A1649" t="s">
        <v>5600</v>
      </c>
      <c r="B1649" t="s">
        <v>4136</v>
      </c>
    </row>
    <row r="1650" spans="1:2" x14ac:dyDescent="0.2">
      <c r="A1650" t="s">
        <v>3608</v>
      </c>
    </row>
    <row r="1651" spans="1:2" x14ac:dyDescent="0.2">
      <c r="A1651" t="s">
        <v>3609</v>
      </c>
    </row>
    <row r="1652" spans="1:2" x14ac:dyDescent="0.2">
      <c r="A1652" t="s">
        <v>3610</v>
      </c>
    </row>
    <row r="1653" spans="1:2" x14ac:dyDescent="0.2">
      <c r="A1653" t="s">
        <v>3611</v>
      </c>
    </row>
    <row r="1654" spans="1:2" x14ac:dyDescent="0.2">
      <c r="A1654" t="s">
        <v>3612</v>
      </c>
    </row>
    <row r="1655" spans="1:2" x14ac:dyDescent="0.2">
      <c r="A1655" t="s">
        <v>3613</v>
      </c>
    </row>
    <row r="1656" spans="1:2" x14ac:dyDescent="0.2">
      <c r="A1656" t="s">
        <v>3614</v>
      </c>
    </row>
    <row r="1657" spans="1:2" x14ac:dyDescent="0.2">
      <c r="A1657" t="s">
        <v>3615</v>
      </c>
    </row>
    <row r="1658" spans="1:2" x14ac:dyDescent="0.2">
      <c r="A1658" t="s">
        <v>3873</v>
      </c>
    </row>
    <row r="1659" spans="1:2" x14ac:dyDescent="0.2">
      <c r="A1659" t="s">
        <v>3874</v>
      </c>
    </row>
    <row r="1661" spans="1:2" x14ac:dyDescent="0.2">
      <c r="A1661" t="s">
        <v>3875</v>
      </c>
    </row>
    <row r="1662" spans="1:2" x14ac:dyDescent="0.2">
      <c r="A1662" t="s">
        <v>3617</v>
      </c>
    </row>
    <row r="1663" spans="1:2" x14ac:dyDescent="0.2">
      <c r="A1663" t="s">
        <v>3618</v>
      </c>
    </row>
    <row r="1664" spans="1:2" x14ac:dyDescent="0.2">
      <c r="A1664" t="s">
        <v>3619</v>
      </c>
    </row>
    <row r="1666" spans="1:12" x14ac:dyDescent="0.2">
      <c r="A1666" t="s">
        <v>3876</v>
      </c>
    </row>
    <row r="1667" spans="1:12" x14ac:dyDescent="0.2">
      <c r="A1667" t="s">
        <v>5797</v>
      </c>
      <c r="B1667">
        <v>33104</v>
      </c>
      <c r="C1667">
        <v>2</v>
      </c>
      <c r="D1667" t="s">
        <v>5798</v>
      </c>
      <c r="E1667" t="s">
        <v>2039</v>
      </c>
    </row>
    <row r="1668" spans="1:12" ht="48" x14ac:dyDescent="0.2">
      <c r="A1668" t="s">
        <v>5500</v>
      </c>
      <c r="B1668" t="s">
        <v>4396</v>
      </c>
      <c r="C1668">
        <v>14</v>
      </c>
      <c r="D1668" t="s">
        <v>1452</v>
      </c>
      <c r="E1668" t="s">
        <v>1453</v>
      </c>
      <c r="F1668" s="122" t="s">
        <v>1455</v>
      </c>
      <c r="G1668" s="122">
        <v>9</v>
      </c>
      <c r="H1668" s="122" t="s">
        <v>5681</v>
      </c>
    </row>
    <row r="1669" spans="1:12" x14ac:dyDescent="0.2">
      <c r="A1669" t="s">
        <v>5682</v>
      </c>
      <c r="B1669" t="s">
        <v>5683</v>
      </c>
      <c r="C1669" t="s">
        <v>4023</v>
      </c>
      <c r="D1669" t="s">
        <v>5684</v>
      </c>
    </row>
    <row r="1670" spans="1:12" x14ac:dyDescent="0.2">
      <c r="A1670" t="s">
        <v>5799</v>
      </c>
      <c r="B1670" t="s">
        <v>5689</v>
      </c>
      <c r="C1670" t="s">
        <v>4143</v>
      </c>
      <c r="D1670" t="s">
        <v>5800</v>
      </c>
    </row>
    <row r="1671" spans="1:12" ht="64" x14ac:dyDescent="0.2">
      <c r="A1671" t="s">
        <v>5801</v>
      </c>
      <c r="B1671" t="s">
        <v>5686</v>
      </c>
      <c r="C1671" t="s">
        <v>4020</v>
      </c>
      <c r="D1671" t="s">
        <v>5802</v>
      </c>
      <c r="E1671">
        <v>26917</v>
      </c>
      <c r="F1671" s="122">
        <v>2</v>
      </c>
      <c r="G1671" s="122" t="s">
        <v>5803</v>
      </c>
      <c r="H1671" s="122" t="s">
        <v>2039</v>
      </c>
    </row>
    <row r="1672" spans="1:12" ht="48" x14ac:dyDescent="0.2">
      <c r="A1672" t="s">
        <v>5500</v>
      </c>
      <c r="B1672" t="s">
        <v>4396</v>
      </c>
      <c r="C1672">
        <v>15</v>
      </c>
      <c r="D1672" t="s">
        <v>1452</v>
      </c>
      <c r="E1672" t="s">
        <v>1447</v>
      </c>
      <c r="F1672" s="122" t="s">
        <v>1457</v>
      </c>
      <c r="G1672" s="122">
        <v>50</v>
      </c>
      <c r="H1672" s="122">
        <v>27</v>
      </c>
      <c r="I1672">
        <v>34915</v>
      </c>
      <c r="J1672">
        <v>0</v>
      </c>
      <c r="K1672" s="122" t="s">
        <v>5132</v>
      </c>
      <c r="L1672" t="s">
        <v>2039</v>
      </c>
    </row>
    <row r="1673" spans="1:12" ht="160" x14ac:dyDescent="0.2">
      <c r="A1673" t="s">
        <v>5500</v>
      </c>
      <c r="B1673" t="s">
        <v>4396</v>
      </c>
      <c r="C1673">
        <v>16</v>
      </c>
      <c r="D1673" t="s">
        <v>1452</v>
      </c>
      <c r="E1673" t="s">
        <v>1434</v>
      </c>
      <c r="F1673" s="122" t="s">
        <v>1458</v>
      </c>
      <c r="G1673" s="122" t="s">
        <v>1497</v>
      </c>
      <c r="H1673" s="122" t="s">
        <v>5804</v>
      </c>
      <c r="I1673">
        <v>29800</v>
      </c>
      <c r="J1673">
        <v>0</v>
      </c>
      <c r="K1673" s="122" t="s">
        <v>5805</v>
      </c>
      <c r="L1673" t="s">
        <v>2039</v>
      </c>
    </row>
    <row r="1674" spans="1:12" ht="64" x14ac:dyDescent="0.2">
      <c r="A1674" t="s">
        <v>5500</v>
      </c>
      <c r="B1674" t="s">
        <v>4396</v>
      </c>
      <c r="C1674">
        <v>17</v>
      </c>
      <c r="D1674" t="s">
        <v>1452</v>
      </c>
      <c r="E1674" t="s">
        <v>1421</v>
      </c>
      <c r="F1674" s="122" t="s">
        <v>1460</v>
      </c>
      <c r="G1674" s="122" t="s">
        <v>1500</v>
      </c>
      <c r="H1674" s="122" t="s">
        <v>5607</v>
      </c>
      <c r="I1674">
        <v>29348</v>
      </c>
      <c r="J1674">
        <v>3</v>
      </c>
      <c r="K1674" s="122" t="s">
        <v>5065</v>
      </c>
      <c r="L1674" t="s">
        <v>2039</v>
      </c>
    </row>
    <row r="1675" spans="1:12" ht="112" x14ac:dyDescent="0.2">
      <c r="A1675" t="s">
        <v>5500</v>
      </c>
      <c r="B1675" t="s">
        <v>4396</v>
      </c>
      <c r="C1675">
        <v>18</v>
      </c>
      <c r="D1675" t="s">
        <v>1452</v>
      </c>
      <c r="E1675" t="s">
        <v>1440</v>
      </c>
      <c r="F1675" s="122" t="s">
        <v>1462</v>
      </c>
      <c r="G1675" s="122" t="s">
        <v>1502</v>
      </c>
      <c r="H1675" s="122" t="s">
        <v>5806</v>
      </c>
      <c r="I1675">
        <v>31609</v>
      </c>
      <c r="J1675">
        <v>0</v>
      </c>
      <c r="K1675" s="122" t="s">
        <v>3997</v>
      </c>
      <c r="L1675" t="s">
        <v>2039</v>
      </c>
    </row>
    <row r="1676" spans="1:12" ht="64" x14ac:dyDescent="0.2">
      <c r="A1676" t="s">
        <v>5500</v>
      </c>
      <c r="B1676" t="s">
        <v>4396</v>
      </c>
      <c r="C1676">
        <v>19</v>
      </c>
      <c r="D1676" t="s">
        <v>1452</v>
      </c>
      <c r="E1676" t="s">
        <v>1464</v>
      </c>
      <c r="F1676" s="122" t="s">
        <v>1465</v>
      </c>
      <c r="G1676" s="122" t="s">
        <v>1503</v>
      </c>
      <c r="H1676" s="122" t="s">
        <v>5529</v>
      </c>
      <c r="I1676">
        <v>29254</v>
      </c>
      <c r="J1676">
        <v>0</v>
      </c>
      <c r="K1676" s="122" t="s">
        <v>5530</v>
      </c>
      <c r="L1676" t="s">
        <v>2039</v>
      </c>
    </row>
    <row r="1677" spans="1:12" ht="128" x14ac:dyDescent="0.2">
      <c r="A1677" t="s">
        <v>5500</v>
      </c>
      <c r="B1677" t="s">
        <v>4396</v>
      </c>
      <c r="C1677">
        <v>20</v>
      </c>
      <c r="D1677" t="s">
        <v>1452</v>
      </c>
      <c r="E1677" t="s">
        <v>1464</v>
      </c>
      <c r="F1677" s="122" t="s">
        <v>1467</v>
      </c>
      <c r="G1677" s="122" t="s">
        <v>1513</v>
      </c>
      <c r="H1677" s="122" t="s">
        <v>5807</v>
      </c>
    </row>
    <row r="1678" spans="1:12" x14ac:dyDescent="0.2">
      <c r="A1678" t="s">
        <v>5808</v>
      </c>
      <c r="B1678" t="s">
        <v>5809</v>
      </c>
      <c r="C1678" t="s">
        <v>5701</v>
      </c>
    </row>
    <row r="1679" spans="1:12" ht="64" x14ac:dyDescent="0.2">
      <c r="A1679" t="s">
        <v>5810</v>
      </c>
      <c r="B1679" t="s">
        <v>5811</v>
      </c>
      <c r="C1679" t="s">
        <v>5704</v>
      </c>
      <c r="D1679">
        <v>33951</v>
      </c>
      <c r="E1679">
        <v>0</v>
      </c>
      <c r="F1679" s="122" t="s">
        <v>5812</v>
      </c>
      <c r="G1679" s="122" t="s">
        <v>2039</v>
      </c>
    </row>
    <row r="1680" spans="1:12" ht="48" x14ac:dyDescent="0.2">
      <c r="A1680" t="s">
        <v>5500</v>
      </c>
      <c r="B1680" t="s">
        <v>4407</v>
      </c>
      <c r="C1680">
        <v>1</v>
      </c>
      <c r="D1680" t="s">
        <v>1420</v>
      </c>
      <c r="E1680" t="s">
        <v>1421</v>
      </c>
      <c r="F1680" s="122" t="s">
        <v>1422</v>
      </c>
      <c r="G1680" s="122" t="s">
        <v>1423</v>
      </c>
      <c r="H1680" s="122" t="s">
        <v>5813</v>
      </c>
      <c r="I1680">
        <v>104672</v>
      </c>
      <c r="J1680">
        <v>3</v>
      </c>
      <c r="K1680" s="122" t="s">
        <v>5146</v>
      </c>
      <c r="L1680" t="s">
        <v>2039</v>
      </c>
    </row>
    <row r="1681" spans="1:12" ht="64" x14ac:dyDescent="0.2">
      <c r="A1681" t="s">
        <v>5500</v>
      </c>
      <c r="B1681" t="s">
        <v>4407</v>
      </c>
      <c r="C1681">
        <v>2</v>
      </c>
      <c r="D1681" t="s">
        <v>1420</v>
      </c>
      <c r="E1681" t="s">
        <v>1421</v>
      </c>
      <c r="F1681" s="122" t="s">
        <v>1425</v>
      </c>
      <c r="G1681" s="122">
        <v>8</v>
      </c>
      <c r="H1681" s="122" t="s">
        <v>5814</v>
      </c>
      <c r="I1681">
        <v>104672</v>
      </c>
      <c r="J1681">
        <v>2</v>
      </c>
      <c r="K1681" s="122" t="s">
        <v>5815</v>
      </c>
      <c r="L1681" t="s">
        <v>2039</v>
      </c>
    </row>
    <row r="1682" spans="1:12" ht="64" x14ac:dyDescent="0.2">
      <c r="A1682" t="s">
        <v>5500</v>
      </c>
      <c r="B1682" t="s">
        <v>4407</v>
      </c>
      <c r="C1682">
        <v>3</v>
      </c>
      <c r="D1682" t="s">
        <v>1420</v>
      </c>
      <c r="E1682" t="s">
        <v>1421</v>
      </c>
      <c r="F1682" s="122" t="s">
        <v>1427</v>
      </c>
      <c r="G1682" s="122" t="s">
        <v>1428</v>
      </c>
      <c r="H1682" s="122" t="s">
        <v>3643</v>
      </c>
    </row>
    <row r="1683" spans="1:12" x14ac:dyDescent="0.2">
      <c r="A1683" t="s">
        <v>3901</v>
      </c>
    </row>
    <row r="1684" spans="1:12" x14ac:dyDescent="0.2">
      <c r="A1684" t="s">
        <v>5613</v>
      </c>
      <c r="B1684">
        <v>104672</v>
      </c>
      <c r="C1684">
        <v>3</v>
      </c>
      <c r="D1684" t="s">
        <v>4158</v>
      </c>
      <c r="E1684" t="s">
        <v>2039</v>
      </c>
    </row>
    <row r="1685" spans="1:12" ht="48" x14ac:dyDescent="0.2">
      <c r="A1685" t="s">
        <v>5500</v>
      </c>
      <c r="B1685" t="s">
        <v>4407</v>
      </c>
      <c r="C1685">
        <v>4</v>
      </c>
      <c r="D1685" t="s">
        <v>1420</v>
      </c>
      <c r="E1685" t="s">
        <v>1429</v>
      </c>
      <c r="F1685" s="122" t="s">
        <v>1430</v>
      </c>
      <c r="G1685" s="122">
        <v>88</v>
      </c>
      <c r="H1685" s="122" t="s">
        <v>5816</v>
      </c>
      <c r="I1685">
        <v>104672</v>
      </c>
      <c r="J1685">
        <v>0</v>
      </c>
      <c r="K1685" s="122" t="s">
        <v>5817</v>
      </c>
      <c r="L1685" t="s">
        <v>2039</v>
      </c>
    </row>
    <row r="1686" spans="1:12" ht="48" x14ac:dyDescent="0.2">
      <c r="A1686" t="s">
        <v>5500</v>
      </c>
      <c r="B1686" t="s">
        <v>4407</v>
      </c>
      <c r="C1686">
        <v>5</v>
      </c>
      <c r="D1686" t="s">
        <v>1420</v>
      </c>
      <c r="E1686" t="s">
        <v>1421</v>
      </c>
      <c r="F1686" s="122" t="s">
        <v>1431</v>
      </c>
      <c r="G1686" s="122" t="s">
        <v>1432</v>
      </c>
      <c r="H1686" s="122" t="s">
        <v>5818</v>
      </c>
    </row>
    <row r="1688" spans="1:12" x14ac:dyDescent="0.2">
      <c r="A1688" t="s">
        <v>3905</v>
      </c>
    </row>
    <row r="1689" spans="1:12" x14ac:dyDescent="0.2">
      <c r="A1689" t="s">
        <v>4239</v>
      </c>
      <c r="B1689">
        <v>47</v>
      </c>
      <c r="C1689" t="s">
        <v>4915</v>
      </c>
    </row>
    <row r="1690" spans="1:12" ht="48" x14ac:dyDescent="0.2">
      <c r="A1690" t="s">
        <v>5819</v>
      </c>
      <c r="B1690" t="s">
        <v>4748</v>
      </c>
      <c r="C1690" t="s">
        <v>4917</v>
      </c>
      <c r="D1690" t="s">
        <v>4918</v>
      </c>
      <c r="E1690">
        <v>104672</v>
      </c>
      <c r="F1690" s="122">
        <v>3</v>
      </c>
      <c r="G1690" s="122" t="s">
        <v>4751</v>
      </c>
      <c r="H1690" s="122" t="s">
        <v>2039</v>
      </c>
    </row>
    <row r="1691" spans="1:12" ht="80" x14ac:dyDescent="0.2">
      <c r="A1691" t="s">
        <v>5500</v>
      </c>
      <c r="B1691" t="s">
        <v>4407</v>
      </c>
      <c r="C1691">
        <v>6</v>
      </c>
      <c r="D1691" t="s">
        <v>1433</v>
      </c>
      <c r="E1691" t="s">
        <v>1434</v>
      </c>
      <c r="F1691" s="122" t="s">
        <v>1435</v>
      </c>
      <c r="G1691" s="122" t="s">
        <v>1436</v>
      </c>
      <c r="H1691" s="122" t="s">
        <v>5820</v>
      </c>
    </row>
    <row r="1693" spans="1:12" x14ac:dyDescent="0.2">
      <c r="A1693" t="s">
        <v>3905</v>
      </c>
    </row>
    <row r="1694" spans="1:12" x14ac:dyDescent="0.2">
      <c r="A1694" t="s">
        <v>4832</v>
      </c>
      <c r="B1694">
        <v>962</v>
      </c>
      <c r="C1694">
        <v>869.4</v>
      </c>
    </row>
    <row r="1695" spans="1:12" x14ac:dyDescent="0.2">
      <c r="A1695" t="s">
        <v>4833</v>
      </c>
      <c r="B1695">
        <v>891</v>
      </c>
      <c r="C1695">
        <v>657.5</v>
      </c>
    </row>
    <row r="1696" spans="1:12" x14ac:dyDescent="0.2">
      <c r="A1696" t="s">
        <v>4834</v>
      </c>
      <c r="B1696">
        <v>380</v>
      </c>
      <c r="C1696">
        <v>106.4</v>
      </c>
    </row>
    <row r="1697" spans="1:17" ht="96" x14ac:dyDescent="0.2">
      <c r="A1697" t="s">
        <v>4835</v>
      </c>
      <c r="B1697">
        <v>178</v>
      </c>
      <c r="C1697" t="s">
        <v>5716</v>
      </c>
      <c r="D1697">
        <v>104672</v>
      </c>
      <c r="E1697">
        <v>2</v>
      </c>
      <c r="F1697" s="122" t="s">
        <v>5821</v>
      </c>
      <c r="G1697" s="122" t="s">
        <v>2039</v>
      </c>
    </row>
    <row r="1698" spans="1:17" ht="48" x14ac:dyDescent="0.2">
      <c r="A1698" t="s">
        <v>5500</v>
      </c>
      <c r="B1698" t="s">
        <v>4407</v>
      </c>
      <c r="C1698">
        <v>7</v>
      </c>
      <c r="D1698" t="s">
        <v>1433</v>
      </c>
      <c r="E1698" t="s">
        <v>1434</v>
      </c>
      <c r="F1698" s="122" t="s">
        <v>1438</v>
      </c>
      <c r="G1698" s="122" t="s">
        <v>1469</v>
      </c>
      <c r="H1698" s="122" t="s">
        <v>5822</v>
      </c>
      <c r="I1698">
        <v>104672</v>
      </c>
      <c r="J1698">
        <v>2</v>
      </c>
      <c r="K1698" s="122" t="s">
        <v>5823</v>
      </c>
      <c r="L1698" t="s">
        <v>2039</v>
      </c>
    </row>
    <row r="1699" spans="1:17" ht="96" x14ac:dyDescent="0.2">
      <c r="A1699" t="s">
        <v>5500</v>
      </c>
      <c r="B1699" t="s">
        <v>4407</v>
      </c>
      <c r="C1699">
        <v>8</v>
      </c>
      <c r="D1699" t="s">
        <v>1433</v>
      </c>
      <c r="E1699" t="s">
        <v>1440</v>
      </c>
      <c r="F1699" s="122" t="s">
        <v>1441</v>
      </c>
      <c r="G1699" s="122" t="s">
        <v>1470</v>
      </c>
      <c r="H1699" s="122" t="s">
        <v>5824</v>
      </c>
    </row>
    <row r="1700" spans="1:17" ht="16" x14ac:dyDescent="0.2">
      <c r="A1700" t="s">
        <v>5721</v>
      </c>
      <c r="B1700">
        <v>621</v>
      </c>
      <c r="C1700" t="s">
        <v>5825</v>
      </c>
      <c r="D1700" t="s">
        <v>4344</v>
      </c>
      <c r="E1700">
        <v>170</v>
      </c>
      <c r="F1700" s="122" t="s">
        <v>4345</v>
      </c>
      <c r="G1700" s="122">
        <v>305</v>
      </c>
      <c r="H1700" s="122" t="s">
        <v>4346</v>
      </c>
      <c r="I1700" t="s">
        <v>4347</v>
      </c>
      <c r="J1700">
        <v>104</v>
      </c>
      <c r="K1700" s="122" t="s">
        <v>4348</v>
      </c>
      <c r="L1700">
        <v>638</v>
      </c>
      <c r="M1700" t="s">
        <v>4503</v>
      </c>
      <c r="N1700">
        <v>530</v>
      </c>
      <c r="O1700" t="s">
        <v>4504</v>
      </c>
      <c r="P1700">
        <v>588</v>
      </c>
      <c r="Q1700" t="s">
        <v>5826</v>
      </c>
    </row>
    <row r="1702" spans="1:17" x14ac:dyDescent="0.2">
      <c r="A1702" t="s">
        <v>5827</v>
      </c>
      <c r="B1702">
        <v>104672</v>
      </c>
      <c r="C1702">
        <v>3</v>
      </c>
      <c r="D1702" t="s">
        <v>5828</v>
      </c>
      <c r="E1702" t="s">
        <v>2039</v>
      </c>
    </row>
    <row r="1703" spans="1:17" ht="380" x14ac:dyDescent="0.2">
      <c r="A1703" t="s">
        <v>5500</v>
      </c>
      <c r="B1703" t="s">
        <v>4407</v>
      </c>
      <c r="C1703">
        <v>9</v>
      </c>
      <c r="D1703" t="s">
        <v>1433</v>
      </c>
      <c r="E1703" t="s">
        <v>1440</v>
      </c>
      <c r="F1703" s="122" t="s">
        <v>1443</v>
      </c>
      <c r="G1703" s="122" t="s">
        <v>1477</v>
      </c>
      <c r="H1703" s="122" t="s">
        <v>5829</v>
      </c>
    </row>
    <row r="1705" spans="1:17" x14ac:dyDescent="0.2">
      <c r="A1705" t="s">
        <v>3920</v>
      </c>
    </row>
    <row r="1706" spans="1:17" x14ac:dyDescent="0.2">
      <c r="A1706" t="s">
        <v>3921</v>
      </c>
    </row>
    <row r="1708" spans="1:17" x14ac:dyDescent="0.2">
      <c r="A1708" t="s">
        <v>5830</v>
      </c>
      <c r="B1708" t="s">
        <v>5831</v>
      </c>
    </row>
    <row r="1709" spans="1:17" x14ac:dyDescent="0.2">
      <c r="A1709" t="s">
        <v>3923</v>
      </c>
    </row>
    <row r="1710" spans="1:17" x14ac:dyDescent="0.2">
      <c r="A1710" t="s">
        <v>5832</v>
      </c>
      <c r="B1710" t="s">
        <v>5833</v>
      </c>
    </row>
    <row r="1711" spans="1:17" x14ac:dyDescent="0.2">
      <c r="A1711" t="s">
        <v>5834</v>
      </c>
      <c r="B1711" t="s">
        <v>5835</v>
      </c>
    </row>
    <row r="1713" spans="1:12" x14ac:dyDescent="0.2">
      <c r="A1713" t="s">
        <v>5836</v>
      </c>
      <c r="B1713">
        <v>104672</v>
      </c>
      <c r="C1713">
        <v>0</v>
      </c>
      <c r="D1713" t="s">
        <v>5837</v>
      </c>
      <c r="E1713" t="s">
        <v>2039</v>
      </c>
    </row>
    <row r="1714" spans="1:12" ht="64" x14ac:dyDescent="0.2">
      <c r="A1714" t="s">
        <v>5500</v>
      </c>
      <c r="B1714" t="s">
        <v>4407</v>
      </c>
      <c r="C1714">
        <v>10</v>
      </c>
      <c r="D1714" t="s">
        <v>1433</v>
      </c>
      <c r="E1714" t="s">
        <v>1421</v>
      </c>
      <c r="F1714" s="122" t="s">
        <v>1445</v>
      </c>
      <c r="G1714" s="122" t="s">
        <v>1446</v>
      </c>
      <c r="H1714" s="122" t="s">
        <v>5734</v>
      </c>
    </row>
    <row r="1715" spans="1:12" x14ac:dyDescent="0.2">
      <c r="A1715" t="s">
        <v>3781</v>
      </c>
    </row>
    <row r="1716" spans="1:12" x14ac:dyDescent="0.2">
      <c r="A1716" t="s">
        <v>5838</v>
      </c>
      <c r="B1716">
        <v>104672</v>
      </c>
      <c r="C1716">
        <v>3</v>
      </c>
      <c r="D1716" t="s">
        <v>5839</v>
      </c>
      <c r="E1716" t="s">
        <v>2039</v>
      </c>
    </row>
    <row r="1717" spans="1:12" ht="96" x14ac:dyDescent="0.2">
      <c r="A1717" t="s">
        <v>5500</v>
      </c>
      <c r="B1717" t="s">
        <v>4407</v>
      </c>
      <c r="C1717">
        <v>11</v>
      </c>
      <c r="D1717" t="s">
        <v>1433</v>
      </c>
      <c r="E1717" t="s">
        <v>1447</v>
      </c>
      <c r="F1717" s="122" t="s">
        <v>1448</v>
      </c>
      <c r="G1717" s="122" t="s">
        <v>4011</v>
      </c>
      <c r="H1717" s="122" t="s">
        <v>5840</v>
      </c>
      <c r="I1717">
        <v>104672</v>
      </c>
      <c r="J1717">
        <v>0</v>
      </c>
      <c r="K1717" s="122" t="s">
        <v>5841</v>
      </c>
      <c r="L1717" t="s">
        <v>2039</v>
      </c>
    </row>
    <row r="1718" spans="1:12" ht="64" x14ac:dyDescent="0.2">
      <c r="A1718" t="s">
        <v>5500</v>
      </c>
      <c r="B1718" t="s">
        <v>4407</v>
      </c>
      <c r="C1718">
        <v>12</v>
      </c>
      <c r="D1718" t="s">
        <v>1433</v>
      </c>
      <c r="E1718" t="s">
        <v>1434</v>
      </c>
      <c r="F1718" s="122" t="s">
        <v>1450</v>
      </c>
      <c r="G1718" s="196">
        <v>16881928.100000001</v>
      </c>
      <c r="H1718" s="122" t="s">
        <v>5842</v>
      </c>
      <c r="I1718">
        <v>104672</v>
      </c>
      <c r="J1718">
        <v>2</v>
      </c>
      <c r="K1718" s="122" t="s">
        <v>5843</v>
      </c>
      <c r="L1718" t="s">
        <v>2039</v>
      </c>
    </row>
    <row r="1719" spans="1:12" ht="32" x14ac:dyDescent="0.2">
      <c r="A1719" t="s">
        <v>5500</v>
      </c>
      <c r="B1719" t="s">
        <v>4407</v>
      </c>
      <c r="C1719">
        <v>13</v>
      </c>
      <c r="D1719" t="s">
        <v>1452</v>
      </c>
      <c r="E1719" t="s">
        <v>1453</v>
      </c>
      <c r="F1719" s="122" t="s">
        <v>1454</v>
      </c>
      <c r="G1719" s="122">
        <v>19</v>
      </c>
      <c r="H1719" s="122" t="s">
        <v>5844</v>
      </c>
    </row>
    <row r="1721" spans="1:12" x14ac:dyDescent="0.2">
      <c r="A1721" t="s">
        <v>3934</v>
      </c>
    </row>
    <row r="1722" spans="1:12" x14ac:dyDescent="0.2">
      <c r="A1722" t="s">
        <v>3666</v>
      </c>
    </row>
    <row r="1723" spans="1:12" x14ac:dyDescent="0.2">
      <c r="A1723" t="s">
        <v>3667</v>
      </c>
    </row>
    <row r="1724" spans="1:12" x14ac:dyDescent="0.2">
      <c r="A1724" t="s">
        <v>3668</v>
      </c>
    </row>
    <row r="1725" spans="1:12" x14ac:dyDescent="0.2">
      <c r="A1725" t="s">
        <v>3669</v>
      </c>
    </row>
    <row r="1726" spans="1:12" x14ac:dyDescent="0.2">
      <c r="A1726" t="s">
        <v>3670</v>
      </c>
    </row>
    <row r="1727" spans="1:12" x14ac:dyDescent="0.2">
      <c r="A1727" t="s">
        <v>3794</v>
      </c>
    </row>
    <row r="1728" spans="1:12" x14ac:dyDescent="0.2">
      <c r="A1728" t="s">
        <v>3795</v>
      </c>
    </row>
    <row r="1729" spans="1:8" x14ac:dyDescent="0.2">
      <c r="A1729" t="s">
        <v>3935</v>
      </c>
    </row>
    <row r="1730" spans="1:8" x14ac:dyDescent="0.2">
      <c r="A1730" t="s">
        <v>3936</v>
      </c>
    </row>
    <row r="1731" spans="1:8" x14ac:dyDescent="0.2">
      <c r="A1731" t="s">
        <v>2186</v>
      </c>
    </row>
    <row r="1732" spans="1:8" x14ac:dyDescent="0.2">
      <c r="A1732" t="s">
        <v>2187</v>
      </c>
    </row>
    <row r="1733" spans="1:8" x14ac:dyDescent="0.2">
      <c r="A1733" t="s">
        <v>2188</v>
      </c>
    </row>
    <row r="1734" spans="1:8" x14ac:dyDescent="0.2">
      <c r="A1734" t="s">
        <v>2189</v>
      </c>
    </row>
    <row r="1735" spans="1:8" x14ac:dyDescent="0.2">
      <c r="A1735" t="s">
        <v>3937</v>
      </c>
    </row>
    <row r="1736" spans="1:8" x14ac:dyDescent="0.2">
      <c r="A1736" t="s">
        <v>3938</v>
      </c>
    </row>
    <row r="1737" spans="1:8" x14ac:dyDescent="0.2">
      <c r="A1737" t="s">
        <v>3939</v>
      </c>
    </row>
    <row r="1738" spans="1:8" x14ac:dyDescent="0.2">
      <c r="A1738" t="s">
        <v>3940</v>
      </c>
    </row>
    <row r="1739" spans="1:8" x14ac:dyDescent="0.2">
      <c r="A1739" t="s">
        <v>3941</v>
      </c>
    </row>
    <row r="1740" spans="1:8" x14ac:dyDescent="0.2">
      <c r="A1740" t="s">
        <v>3942</v>
      </c>
    </row>
    <row r="1741" spans="1:8" x14ac:dyDescent="0.2">
      <c r="A1741" t="s">
        <v>3943</v>
      </c>
    </row>
    <row r="1742" spans="1:8" x14ac:dyDescent="0.2">
      <c r="A1742" t="s">
        <v>5845</v>
      </c>
      <c r="B1742">
        <v>104672</v>
      </c>
      <c r="C1742">
        <v>2</v>
      </c>
      <c r="D1742" t="s">
        <v>5846</v>
      </c>
      <c r="E1742" t="s">
        <v>2039</v>
      </c>
    </row>
    <row r="1743" spans="1:8" ht="48" x14ac:dyDescent="0.2">
      <c r="A1743" t="s">
        <v>5500</v>
      </c>
      <c r="B1743" t="s">
        <v>4407</v>
      </c>
      <c r="C1743">
        <v>14</v>
      </c>
      <c r="D1743" t="s">
        <v>1452</v>
      </c>
      <c r="E1743" t="s">
        <v>1453</v>
      </c>
      <c r="F1743" s="122" t="s">
        <v>1455</v>
      </c>
      <c r="G1743" s="122">
        <v>9</v>
      </c>
      <c r="H1743" s="122" t="s">
        <v>5847</v>
      </c>
    </row>
    <row r="1745" spans="1:12" x14ac:dyDescent="0.2">
      <c r="A1745" t="s">
        <v>5848</v>
      </c>
      <c r="B1745" t="s">
        <v>5849</v>
      </c>
    </row>
    <row r="1746" spans="1:12" x14ac:dyDescent="0.2">
      <c r="A1746" t="s">
        <v>5850</v>
      </c>
      <c r="B1746" t="s">
        <v>5851</v>
      </c>
    </row>
    <row r="1747" spans="1:12" x14ac:dyDescent="0.2">
      <c r="A1747" t="s">
        <v>3948</v>
      </c>
    </row>
    <row r="1748" spans="1:12" x14ac:dyDescent="0.2">
      <c r="A1748" t="s">
        <v>5754</v>
      </c>
      <c r="B1748" t="s">
        <v>5852</v>
      </c>
    </row>
    <row r="1749" spans="1:12" x14ac:dyDescent="0.2">
      <c r="A1749" t="s">
        <v>3950</v>
      </c>
    </row>
    <row r="1750" spans="1:12" x14ac:dyDescent="0.2">
      <c r="A1750" t="s">
        <v>3951</v>
      </c>
    </row>
    <row r="1751" spans="1:12" x14ac:dyDescent="0.2">
      <c r="A1751" t="s">
        <v>5853</v>
      </c>
      <c r="B1751">
        <v>104672</v>
      </c>
      <c r="C1751">
        <v>2</v>
      </c>
      <c r="D1751" t="s">
        <v>5854</v>
      </c>
      <c r="E1751" t="s">
        <v>2039</v>
      </c>
    </row>
    <row r="1752" spans="1:12" ht="192" x14ac:dyDescent="0.2">
      <c r="A1752" t="s">
        <v>5500</v>
      </c>
      <c r="B1752" t="s">
        <v>4407</v>
      </c>
      <c r="C1752">
        <v>15</v>
      </c>
      <c r="D1752" t="s">
        <v>1452</v>
      </c>
      <c r="E1752" t="s">
        <v>1447</v>
      </c>
      <c r="F1752" s="122" t="s">
        <v>1457</v>
      </c>
      <c r="G1752" s="122">
        <v>50</v>
      </c>
      <c r="H1752" s="122" t="s">
        <v>5855</v>
      </c>
      <c r="I1752">
        <v>104672</v>
      </c>
      <c r="J1752">
        <v>2</v>
      </c>
      <c r="K1752" s="122" t="s">
        <v>5856</v>
      </c>
      <c r="L1752" t="s">
        <v>2039</v>
      </c>
    </row>
    <row r="1753" spans="1:12" ht="128" x14ac:dyDescent="0.2">
      <c r="A1753" t="s">
        <v>5500</v>
      </c>
      <c r="B1753" t="s">
        <v>4407</v>
      </c>
      <c r="C1753">
        <v>16</v>
      </c>
      <c r="D1753" t="s">
        <v>1452</v>
      </c>
      <c r="E1753" t="s">
        <v>1434</v>
      </c>
      <c r="F1753" s="122" t="s">
        <v>1458</v>
      </c>
      <c r="G1753" s="122" t="s">
        <v>1497</v>
      </c>
      <c r="H1753" s="122" t="s">
        <v>5857</v>
      </c>
      <c r="I1753">
        <v>104672</v>
      </c>
      <c r="J1753">
        <v>0</v>
      </c>
      <c r="K1753" s="122" t="s">
        <v>5858</v>
      </c>
      <c r="L1753" t="s">
        <v>2039</v>
      </c>
    </row>
    <row r="1754" spans="1:12" ht="48" x14ac:dyDescent="0.2">
      <c r="A1754" t="s">
        <v>5500</v>
      </c>
      <c r="B1754" t="s">
        <v>4407</v>
      </c>
      <c r="C1754">
        <v>17</v>
      </c>
      <c r="D1754" t="s">
        <v>1452</v>
      </c>
      <c r="E1754" t="s">
        <v>1421</v>
      </c>
      <c r="F1754" s="122" t="s">
        <v>1460</v>
      </c>
      <c r="G1754" s="122" t="s">
        <v>1500</v>
      </c>
      <c r="H1754" s="122" t="s">
        <v>3818</v>
      </c>
    </row>
    <row r="1755" spans="1:12" x14ac:dyDescent="0.2">
      <c r="A1755" t="s">
        <v>3690</v>
      </c>
    </row>
    <row r="1756" spans="1:12" x14ac:dyDescent="0.2">
      <c r="A1756" t="s">
        <v>5652</v>
      </c>
      <c r="B1756">
        <v>104672</v>
      </c>
      <c r="C1756">
        <v>3</v>
      </c>
      <c r="D1756" t="s">
        <v>5653</v>
      </c>
      <c r="E1756" t="s">
        <v>2039</v>
      </c>
    </row>
    <row r="1757" spans="1:12" ht="64" x14ac:dyDescent="0.2">
      <c r="A1757" t="s">
        <v>5500</v>
      </c>
      <c r="B1757" t="s">
        <v>4407</v>
      </c>
      <c r="C1757">
        <v>18</v>
      </c>
      <c r="D1757" t="s">
        <v>1452</v>
      </c>
      <c r="E1757" t="s">
        <v>1440</v>
      </c>
      <c r="F1757" s="122" t="s">
        <v>1462</v>
      </c>
      <c r="G1757" s="122" t="s">
        <v>1502</v>
      </c>
      <c r="H1757" s="122" t="s">
        <v>5859</v>
      </c>
    </row>
    <row r="1758" spans="1:12" x14ac:dyDescent="0.2">
      <c r="A1758" t="s">
        <v>5860</v>
      </c>
      <c r="B1758">
        <v>104672</v>
      </c>
      <c r="C1758">
        <v>3</v>
      </c>
      <c r="D1758" t="s">
        <v>5861</v>
      </c>
      <c r="E1758" t="s">
        <v>2039</v>
      </c>
    </row>
    <row r="1759" spans="1:12" ht="48" x14ac:dyDescent="0.2">
      <c r="A1759" t="s">
        <v>5500</v>
      </c>
      <c r="B1759" t="s">
        <v>4407</v>
      </c>
      <c r="C1759">
        <v>19</v>
      </c>
      <c r="D1759" t="s">
        <v>1452</v>
      </c>
      <c r="E1759" t="s">
        <v>1464</v>
      </c>
      <c r="F1759" s="122" t="s">
        <v>1465</v>
      </c>
      <c r="G1759" s="122" t="s">
        <v>1503</v>
      </c>
      <c r="H1759" s="122" t="s">
        <v>5767</v>
      </c>
    </row>
    <row r="1761" spans="1:8" x14ac:dyDescent="0.2">
      <c r="A1761" t="s">
        <v>3973</v>
      </c>
    </row>
    <row r="1762" spans="1:8" x14ac:dyDescent="0.2">
      <c r="A1762" t="s">
        <v>3974</v>
      </c>
    </row>
    <row r="1763" spans="1:8" x14ac:dyDescent="0.2">
      <c r="A1763" t="s">
        <v>5862</v>
      </c>
      <c r="B1763">
        <v>104672</v>
      </c>
      <c r="C1763">
        <v>2</v>
      </c>
      <c r="D1763" t="s">
        <v>5863</v>
      </c>
      <c r="E1763" t="s">
        <v>2039</v>
      </c>
    </row>
    <row r="1764" spans="1:8" ht="128" x14ac:dyDescent="0.2">
      <c r="A1764" t="s">
        <v>5500</v>
      </c>
      <c r="B1764" t="s">
        <v>4407</v>
      </c>
      <c r="C1764">
        <v>20</v>
      </c>
      <c r="D1764" t="s">
        <v>1452</v>
      </c>
      <c r="E1764" t="s">
        <v>1464</v>
      </c>
      <c r="F1764" s="122" t="s">
        <v>1467</v>
      </c>
      <c r="G1764" s="122" t="s">
        <v>1513</v>
      </c>
      <c r="H1764" s="122" t="s">
        <v>5864</v>
      </c>
    </row>
    <row r="1765" spans="1:8" x14ac:dyDescent="0.2">
      <c r="A1765" t="s">
        <v>5865</v>
      </c>
      <c r="B1765" t="s">
        <v>5866</v>
      </c>
      <c r="C1765">
        <v>265</v>
      </c>
      <c r="D1765" t="s">
        <v>5867</v>
      </c>
    </row>
    <row r="1766" spans="1:8" ht="64" x14ac:dyDescent="0.2">
      <c r="A1766" t="s">
        <v>5868</v>
      </c>
      <c r="B1766">
        <v>135</v>
      </c>
      <c r="C1766" t="s">
        <v>5869</v>
      </c>
      <c r="D1766">
        <v>104672</v>
      </c>
      <c r="E1766">
        <v>2</v>
      </c>
      <c r="F1766" s="122" t="s">
        <v>5870</v>
      </c>
      <c r="G1766" s="122" t="s">
        <v>2039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2B8C3-5905-6747-B994-FBD0E47248DC}">
  <dimension ref="A1:I1766"/>
  <sheetViews>
    <sheetView workbookViewId="0"/>
  </sheetViews>
  <sheetFormatPr baseColWidth="10" defaultRowHeight="15" x14ac:dyDescent="0.2"/>
  <cols>
    <col min="1" max="1" width="80.6640625" bestFit="1" customWidth="1"/>
    <col min="2" max="2" width="46.6640625" bestFit="1" customWidth="1"/>
    <col min="3" max="3" width="8" bestFit="1" customWidth="1"/>
    <col min="4" max="4" width="4.1640625" bestFit="1" customWidth="1"/>
    <col min="5" max="5" width="3.6640625" bestFit="1" customWidth="1"/>
    <col min="6" max="6" width="4.1640625" bestFit="1" customWidth="1"/>
    <col min="7" max="7" width="7.33203125" bestFit="1" customWidth="1"/>
    <col min="8" max="8" width="5.6640625" bestFit="1" customWidth="1"/>
    <col min="9" max="9" width="80.6640625" bestFit="1" customWidth="1"/>
  </cols>
  <sheetData>
    <row r="1" spans="1:9" x14ac:dyDescent="0.2">
      <c r="A1" t="s">
        <v>1542</v>
      </c>
    </row>
    <row r="2" spans="1:9" x14ac:dyDescent="0.2">
      <c r="A2" t="s">
        <v>1543</v>
      </c>
    </row>
    <row r="3" spans="1:9" x14ac:dyDescent="0.2">
      <c r="A3" t="s">
        <v>1544</v>
      </c>
    </row>
    <row r="4" spans="1:9" x14ac:dyDescent="0.2">
      <c r="A4" t="s">
        <v>1545</v>
      </c>
    </row>
    <row r="5" spans="1:9" x14ac:dyDescent="0.2">
      <c r="A5" t="s">
        <v>1546</v>
      </c>
    </row>
    <row r="6" spans="1:9" x14ac:dyDescent="0.2">
      <c r="A6" t="s">
        <v>1547</v>
      </c>
    </row>
    <row r="7" spans="1:9" x14ac:dyDescent="0.2">
      <c r="A7" t="s">
        <v>1548</v>
      </c>
      <c r="B7" t="s">
        <v>1549</v>
      </c>
    </row>
    <row r="8" spans="1:9" x14ac:dyDescent="0.2">
      <c r="A8" t="s">
        <v>1550</v>
      </c>
    </row>
    <row r="9" spans="1:9" x14ac:dyDescent="0.2">
      <c r="A9" t="s">
        <v>1551</v>
      </c>
      <c r="B9" t="s">
        <v>1552</v>
      </c>
      <c r="C9" t="s">
        <v>1553</v>
      </c>
      <c r="D9" t="s">
        <v>1554</v>
      </c>
      <c r="E9" t="s">
        <v>1555</v>
      </c>
      <c r="F9" t="s">
        <v>1556</v>
      </c>
      <c r="G9" t="s">
        <v>1557</v>
      </c>
      <c r="H9" t="s">
        <v>1558</v>
      </c>
      <c r="I9" t="s">
        <v>1559</v>
      </c>
    </row>
    <row r="10" spans="1:9" x14ac:dyDescent="0.2">
      <c r="A10" t="s">
        <v>1560</v>
      </c>
      <c r="B10" t="s">
        <v>1561</v>
      </c>
      <c r="C10" t="s">
        <v>1562</v>
      </c>
      <c r="D10">
        <v>20</v>
      </c>
      <c r="E10">
        <v>0</v>
      </c>
    </row>
    <row r="11" spans="1:9" x14ac:dyDescent="0.2">
      <c r="A11" t="s">
        <v>1563</v>
      </c>
      <c r="B11" t="s">
        <v>1564</v>
      </c>
      <c r="C11" t="s">
        <v>1565</v>
      </c>
      <c r="D11" t="s">
        <v>1566</v>
      </c>
      <c r="E11" t="s">
        <v>1567</v>
      </c>
      <c r="F11" t="s">
        <v>1568</v>
      </c>
      <c r="G11" t="e" cm="1">
        <f t="array" ref="G11">-zer</f>
        <v>#NAME?</v>
      </c>
      <c r="H11" t="s">
        <v>1569</v>
      </c>
      <c r="I11" t="s">
        <v>1570</v>
      </c>
    </row>
    <row r="12" spans="1:9" x14ac:dyDescent="0.2">
      <c r="A12" t="s">
        <v>1571</v>
      </c>
    </row>
    <row r="13" spans="1:9" x14ac:dyDescent="0.2">
      <c r="A13" t="s">
        <v>1572</v>
      </c>
    </row>
    <row r="14" spans="1:9" x14ac:dyDescent="0.2">
      <c r="A14" t="s">
        <v>1573</v>
      </c>
    </row>
    <row r="15" spans="1:9" x14ac:dyDescent="0.2">
      <c r="A15" t="s">
        <v>1574</v>
      </c>
    </row>
    <row r="16" spans="1:9" x14ac:dyDescent="0.2">
      <c r="A16" t="s">
        <v>1575</v>
      </c>
    </row>
    <row r="17" spans="1:9" x14ac:dyDescent="0.2">
      <c r="A17" t="s">
        <v>1576</v>
      </c>
    </row>
    <row r="18" spans="1:9" x14ac:dyDescent="0.2">
      <c r="A18" t="s">
        <v>1577</v>
      </c>
    </row>
    <row r="20" spans="1:9" x14ac:dyDescent="0.2">
      <c r="A20" t="s">
        <v>1578</v>
      </c>
    </row>
    <row r="21" spans="1:9" x14ac:dyDescent="0.2">
      <c r="A21" t="s">
        <v>1579</v>
      </c>
    </row>
    <row r="22" spans="1:9" x14ac:dyDescent="0.2">
      <c r="A22" t="s">
        <v>1580</v>
      </c>
    </row>
    <row r="23" spans="1:9" x14ac:dyDescent="0.2">
      <c r="A23" t="s">
        <v>1581</v>
      </c>
    </row>
    <row r="24" spans="1:9" x14ac:dyDescent="0.2">
      <c r="A24" t="s">
        <v>1582</v>
      </c>
      <c r="B24" t="s">
        <v>1583</v>
      </c>
      <c r="C24" t="s">
        <v>1584</v>
      </c>
      <c r="D24" t="s">
        <v>1585</v>
      </c>
      <c r="E24" t="s">
        <v>1586</v>
      </c>
      <c r="F24" t="s">
        <v>1587</v>
      </c>
      <c r="G24" t="s">
        <v>1588</v>
      </c>
      <c r="H24" t="s">
        <v>1589</v>
      </c>
      <c r="I24" t="s">
        <v>1590</v>
      </c>
    </row>
    <row r="25" spans="1:9" x14ac:dyDescent="0.2">
      <c r="A25" t="s">
        <v>1591</v>
      </c>
    </row>
    <row r="26" spans="1:9" x14ac:dyDescent="0.2">
      <c r="A26" t="s">
        <v>1592</v>
      </c>
      <c r="B26" t="s">
        <v>1593</v>
      </c>
      <c r="C26" t="s">
        <v>1594</v>
      </c>
      <c r="D26" t="s">
        <v>1595</v>
      </c>
      <c r="E26" t="s">
        <v>1596</v>
      </c>
      <c r="F26" t="s">
        <v>1597</v>
      </c>
      <c r="G26" t="s">
        <v>1598</v>
      </c>
      <c r="H26" t="s">
        <v>1599</v>
      </c>
      <c r="I26" t="s">
        <v>1600</v>
      </c>
    </row>
    <row r="27" spans="1:9" x14ac:dyDescent="0.2">
      <c r="A27" t="s">
        <v>1601</v>
      </c>
    </row>
    <row r="28" spans="1:9" x14ac:dyDescent="0.2">
      <c r="A28" t="s">
        <v>1602</v>
      </c>
      <c r="B28" t="s">
        <v>1603</v>
      </c>
      <c r="C28" t="s">
        <v>1604</v>
      </c>
      <c r="D28" t="s">
        <v>1585</v>
      </c>
      <c r="E28" t="s">
        <v>1605</v>
      </c>
      <c r="F28" t="s">
        <v>1606</v>
      </c>
      <c r="G28" t="s">
        <v>1599</v>
      </c>
      <c r="H28" t="s">
        <v>1607</v>
      </c>
      <c r="I28" t="s">
        <v>1608</v>
      </c>
    </row>
    <row r="29" spans="1:9" x14ac:dyDescent="0.2">
      <c r="A29" t="s">
        <v>1609</v>
      </c>
    </row>
    <row r="30" spans="1:9" x14ac:dyDescent="0.2">
      <c r="A30" t="s">
        <v>1610</v>
      </c>
    </row>
    <row r="31" spans="1:9" x14ac:dyDescent="0.2">
      <c r="A31" t="s">
        <v>1611</v>
      </c>
    </row>
    <row r="32" spans="1:9" x14ac:dyDescent="0.2">
      <c r="A32" t="s">
        <v>1612</v>
      </c>
    </row>
    <row r="33" spans="1:9" x14ac:dyDescent="0.2">
      <c r="A33" t="s">
        <v>1613</v>
      </c>
    </row>
    <row r="34" spans="1:9" x14ac:dyDescent="0.2">
      <c r="A34" t="s">
        <v>1614</v>
      </c>
    </row>
    <row r="35" spans="1:9" x14ac:dyDescent="0.2">
      <c r="A35" t="s">
        <v>1615</v>
      </c>
    </row>
    <row r="36" spans="1:9" x14ac:dyDescent="0.2">
      <c r="A36" t="s">
        <v>1616</v>
      </c>
      <c r="B36" t="s">
        <v>1617</v>
      </c>
      <c r="C36" t="s">
        <v>1618</v>
      </c>
      <c r="D36" t="s">
        <v>1619</v>
      </c>
      <c r="E36" t="s">
        <v>1620</v>
      </c>
      <c r="F36" t="s">
        <v>1621</v>
      </c>
      <c r="G36" t="s">
        <v>1622</v>
      </c>
      <c r="H36" t="s">
        <v>1623</v>
      </c>
      <c r="I36" t="s">
        <v>1624</v>
      </c>
    </row>
    <row r="37" spans="1:9" x14ac:dyDescent="0.2">
      <c r="A37" t="s">
        <v>1625</v>
      </c>
    </row>
    <row r="39" spans="1:9" x14ac:dyDescent="0.2">
      <c r="A39" t="s">
        <v>1626</v>
      </c>
    </row>
    <row r="40" spans="1:9" x14ac:dyDescent="0.2">
      <c r="A40" t="s">
        <v>1627</v>
      </c>
    </row>
    <row r="41" spans="1:9" x14ac:dyDescent="0.2">
      <c r="A41" t="s">
        <v>1628</v>
      </c>
    </row>
    <row r="42" spans="1:9" x14ac:dyDescent="0.2">
      <c r="A42" t="s">
        <v>1629</v>
      </c>
    </row>
    <row r="43" spans="1:9" x14ac:dyDescent="0.2">
      <c r="A43" t="s">
        <v>1630</v>
      </c>
    </row>
    <row r="44" spans="1:9" x14ac:dyDescent="0.2">
      <c r="A44" t="s">
        <v>1631</v>
      </c>
    </row>
    <row r="45" spans="1:9" x14ac:dyDescent="0.2">
      <c r="A45" t="s">
        <v>1632</v>
      </c>
    </row>
    <row r="46" spans="1:9" x14ac:dyDescent="0.2">
      <c r="A46" t="s">
        <v>1633</v>
      </c>
    </row>
    <row r="47" spans="1:9" x14ac:dyDescent="0.2">
      <c r="A47" t="s">
        <v>1634</v>
      </c>
    </row>
    <row r="48" spans="1:9" x14ac:dyDescent="0.2">
      <c r="A48" t="s">
        <v>1635</v>
      </c>
    </row>
    <row r="49" spans="1:1" x14ac:dyDescent="0.2">
      <c r="A49" t="s">
        <v>1636</v>
      </c>
    </row>
    <row r="50" spans="1:1" x14ac:dyDescent="0.2">
      <c r="A50" t="s">
        <v>1637</v>
      </c>
    </row>
    <row r="51" spans="1:1" x14ac:dyDescent="0.2">
      <c r="A51" t="s">
        <v>1638</v>
      </c>
    </row>
    <row r="52" spans="1:1" x14ac:dyDescent="0.2">
      <c r="A52" t="s">
        <v>1639</v>
      </c>
    </row>
    <row r="54" spans="1:1" x14ac:dyDescent="0.2">
      <c r="A54" t="s">
        <v>1640</v>
      </c>
    </row>
    <row r="55" spans="1:1" x14ac:dyDescent="0.2">
      <c r="A55" t="s">
        <v>1641</v>
      </c>
    </row>
    <row r="56" spans="1:1" x14ac:dyDescent="0.2">
      <c r="A56" t="s">
        <v>1628</v>
      </c>
    </row>
    <row r="57" spans="1:1" x14ac:dyDescent="0.2">
      <c r="A57" t="s">
        <v>1642</v>
      </c>
    </row>
    <row r="58" spans="1:1" x14ac:dyDescent="0.2">
      <c r="A58" t="s">
        <v>1643</v>
      </c>
    </row>
    <row r="59" spans="1:1" x14ac:dyDescent="0.2">
      <c r="A59" t="s">
        <v>1631</v>
      </c>
    </row>
    <row r="60" spans="1:1" x14ac:dyDescent="0.2">
      <c r="A60" t="s">
        <v>1644</v>
      </c>
    </row>
    <row r="61" spans="1:1" x14ac:dyDescent="0.2">
      <c r="A61" t="s">
        <v>1645</v>
      </c>
    </row>
    <row r="62" spans="1:1" x14ac:dyDescent="0.2">
      <c r="A62" t="s">
        <v>1646</v>
      </c>
    </row>
    <row r="63" spans="1:1" x14ac:dyDescent="0.2">
      <c r="A63" t="s">
        <v>1647</v>
      </c>
    </row>
    <row r="64" spans="1:1" x14ac:dyDescent="0.2">
      <c r="A64" t="s">
        <v>1648</v>
      </c>
    </row>
    <row r="65" spans="1:9" x14ac:dyDescent="0.2">
      <c r="A65" t="s">
        <v>1649</v>
      </c>
    </row>
    <row r="66" spans="1:9" x14ac:dyDescent="0.2">
      <c r="A66" t="s">
        <v>1650</v>
      </c>
    </row>
    <row r="67" spans="1:9" x14ac:dyDescent="0.2">
      <c r="A67" t="s">
        <v>1651</v>
      </c>
    </row>
    <row r="69" spans="1:9" x14ac:dyDescent="0.2">
      <c r="A69" t="s">
        <v>1652</v>
      </c>
    </row>
    <row r="70" spans="1:9" x14ac:dyDescent="0.2">
      <c r="A70" t="s">
        <v>1653</v>
      </c>
    </row>
    <row r="71" spans="1:9" x14ac:dyDescent="0.2">
      <c r="A71" t="s">
        <v>1654</v>
      </c>
      <c r="B71" t="s">
        <v>1655</v>
      </c>
      <c r="C71" t="s">
        <v>1656</v>
      </c>
      <c r="D71" t="s">
        <v>1657</v>
      </c>
      <c r="E71" t="s">
        <v>1658</v>
      </c>
      <c r="F71" t="s">
        <v>1659</v>
      </c>
      <c r="G71" t="s">
        <v>1660</v>
      </c>
      <c r="H71" t="s">
        <v>1661</v>
      </c>
      <c r="I71" t="s">
        <v>1662</v>
      </c>
    </row>
    <row r="72" spans="1:9" x14ac:dyDescent="0.2">
      <c r="A72" t="s">
        <v>1663</v>
      </c>
      <c r="B72" t="s">
        <v>1664</v>
      </c>
      <c r="C72" t="s">
        <v>1665</v>
      </c>
      <c r="D72" t="s">
        <v>1666</v>
      </c>
      <c r="E72" t="s">
        <v>1667</v>
      </c>
      <c r="F72" t="s">
        <v>1666</v>
      </c>
      <c r="G72" t="s">
        <v>1668</v>
      </c>
      <c r="H72" t="s">
        <v>1669</v>
      </c>
      <c r="I72" t="s">
        <v>1670</v>
      </c>
    </row>
    <row r="73" spans="1:9" x14ac:dyDescent="0.2">
      <c r="A73" t="s">
        <v>1671</v>
      </c>
    </row>
    <row r="74" spans="1:9" x14ac:dyDescent="0.2">
      <c r="A74" t="s">
        <v>1672</v>
      </c>
    </row>
    <row r="75" spans="1:9" x14ac:dyDescent="0.2">
      <c r="A75" t="s">
        <v>1673</v>
      </c>
    </row>
    <row r="76" spans="1:9" x14ac:dyDescent="0.2">
      <c r="A76" t="s">
        <v>1674</v>
      </c>
    </row>
    <row r="77" spans="1:9" x14ac:dyDescent="0.2">
      <c r="A77" t="s">
        <v>1675</v>
      </c>
      <c r="B77" t="s">
        <v>1676</v>
      </c>
    </row>
    <row r="78" spans="1:9" x14ac:dyDescent="0.2">
      <c r="A78" t="s">
        <v>1677</v>
      </c>
    </row>
    <row r="79" spans="1:9" x14ac:dyDescent="0.2">
      <c r="A79" t="s">
        <v>1678</v>
      </c>
      <c r="B79" t="s">
        <v>1679</v>
      </c>
      <c r="C79" t="s">
        <v>1680</v>
      </c>
    </row>
    <row r="80" spans="1:9" x14ac:dyDescent="0.2">
      <c r="A80" t="s">
        <v>1681</v>
      </c>
    </row>
    <row r="81" spans="1:9" x14ac:dyDescent="0.2">
      <c r="A81" t="s">
        <v>1682</v>
      </c>
    </row>
    <row r="82" spans="1:9" x14ac:dyDescent="0.2">
      <c r="A82" t="s">
        <v>1683</v>
      </c>
      <c r="B82" t="s">
        <v>1684</v>
      </c>
    </row>
    <row r="83" spans="1:9" x14ac:dyDescent="0.2">
      <c r="A83" t="s">
        <v>1685</v>
      </c>
    </row>
    <row r="84" spans="1:9" x14ac:dyDescent="0.2">
      <c r="A84" t="s">
        <v>1686</v>
      </c>
    </row>
    <row r="85" spans="1:9" x14ac:dyDescent="0.2">
      <c r="A85" t="s">
        <v>1687</v>
      </c>
    </row>
    <row r="86" spans="1:9" x14ac:dyDescent="0.2">
      <c r="A86" t="s">
        <v>1688</v>
      </c>
    </row>
    <row r="87" spans="1:9" x14ac:dyDescent="0.2">
      <c r="A87" t="s">
        <v>1689</v>
      </c>
    </row>
    <row r="88" spans="1:9" x14ac:dyDescent="0.2">
      <c r="A88" t="s">
        <v>1690</v>
      </c>
    </row>
    <row r="89" spans="1:9" x14ac:dyDescent="0.2">
      <c r="A89" t="s">
        <v>1691</v>
      </c>
      <c r="B89" t="s">
        <v>1692</v>
      </c>
    </row>
    <row r="90" spans="1:9" x14ac:dyDescent="0.2">
      <c r="A90" t="s">
        <v>1693</v>
      </c>
    </row>
    <row r="91" spans="1:9" x14ac:dyDescent="0.2">
      <c r="A91" t="s">
        <v>1694</v>
      </c>
    </row>
    <row r="92" spans="1:9" x14ac:dyDescent="0.2">
      <c r="A92" t="s">
        <v>1695</v>
      </c>
      <c r="B92" t="s">
        <v>1696</v>
      </c>
    </row>
    <row r="93" spans="1:9" x14ac:dyDescent="0.2">
      <c r="A93" t="s">
        <v>1697</v>
      </c>
    </row>
    <row r="94" spans="1:9" x14ac:dyDescent="0.2">
      <c r="A94" t="s">
        <v>1698</v>
      </c>
      <c r="B94" t="s">
        <v>1699</v>
      </c>
      <c r="C94" t="s">
        <v>1700</v>
      </c>
      <c r="D94">
        <v>62</v>
      </c>
      <c r="E94" t="s">
        <v>1701</v>
      </c>
      <c r="F94">
        <v>34</v>
      </c>
      <c r="G94">
        <v>7.3</v>
      </c>
      <c r="H94" t="s">
        <v>1702</v>
      </c>
      <c r="I94" t="s">
        <v>1703</v>
      </c>
    </row>
    <row r="95" spans="1:9" x14ac:dyDescent="0.2">
      <c r="A95" t="s">
        <v>1704</v>
      </c>
      <c r="B95" t="s">
        <v>1705</v>
      </c>
      <c r="C95" t="s">
        <v>1706</v>
      </c>
    </row>
    <row r="96" spans="1:9" x14ac:dyDescent="0.2">
      <c r="A96" t="s">
        <v>1707</v>
      </c>
      <c r="B96" t="s">
        <v>1708</v>
      </c>
    </row>
    <row r="97" spans="1:1" x14ac:dyDescent="0.2">
      <c r="A97" t="s">
        <v>1709</v>
      </c>
    </row>
    <row r="98" spans="1:1" x14ac:dyDescent="0.2">
      <c r="A98" t="s">
        <v>1710</v>
      </c>
    </row>
    <row r="99" spans="1:1" x14ac:dyDescent="0.2">
      <c r="A99" t="s">
        <v>1711</v>
      </c>
    </row>
    <row r="100" spans="1:1" x14ac:dyDescent="0.2">
      <c r="A100" t="s">
        <v>1712</v>
      </c>
    </row>
    <row r="101" spans="1:1" x14ac:dyDescent="0.2">
      <c r="A101" t="s">
        <v>1713</v>
      </c>
    </row>
    <row r="102" spans="1:1" x14ac:dyDescent="0.2">
      <c r="A102" t="s">
        <v>1714</v>
      </c>
    </row>
    <row r="103" spans="1:1" x14ac:dyDescent="0.2">
      <c r="A103" t="s">
        <v>1715</v>
      </c>
    </row>
    <row r="104" spans="1:1" x14ac:dyDescent="0.2">
      <c r="A104" t="s">
        <v>1716</v>
      </c>
    </row>
    <row r="105" spans="1:1" x14ac:dyDescent="0.2">
      <c r="A105" t="s">
        <v>1717</v>
      </c>
    </row>
    <row r="106" spans="1:1" x14ac:dyDescent="0.2">
      <c r="A106" t="s">
        <v>1718</v>
      </c>
    </row>
    <row r="107" spans="1:1" x14ac:dyDescent="0.2">
      <c r="A107" t="s">
        <v>1719</v>
      </c>
    </row>
    <row r="108" spans="1:1" x14ac:dyDescent="0.2">
      <c r="A108" t="s">
        <v>1720</v>
      </c>
    </row>
    <row r="109" spans="1:1" x14ac:dyDescent="0.2">
      <c r="A109" t="s">
        <v>1721</v>
      </c>
    </row>
    <row r="110" spans="1:1" x14ac:dyDescent="0.2">
      <c r="A110" t="s">
        <v>1722</v>
      </c>
    </row>
    <row r="111" spans="1:1" x14ac:dyDescent="0.2">
      <c r="A111" t="s">
        <v>1723</v>
      </c>
    </row>
    <row r="112" spans="1:1" x14ac:dyDescent="0.2">
      <c r="A112" t="s">
        <v>1724</v>
      </c>
    </row>
    <row r="113" spans="1:1" x14ac:dyDescent="0.2">
      <c r="A113" t="s">
        <v>1725</v>
      </c>
    </row>
    <row r="114" spans="1:1" x14ac:dyDescent="0.2">
      <c r="A114" t="s">
        <v>1726</v>
      </c>
    </row>
    <row r="115" spans="1:1" x14ac:dyDescent="0.2">
      <c r="A115" t="s">
        <v>1727</v>
      </c>
    </row>
    <row r="116" spans="1:1" x14ac:dyDescent="0.2">
      <c r="A116" t="s">
        <v>1728</v>
      </c>
    </row>
    <row r="117" spans="1:1" x14ac:dyDescent="0.2">
      <c r="A117" t="s">
        <v>1729</v>
      </c>
    </row>
    <row r="118" spans="1:1" x14ac:dyDescent="0.2">
      <c r="A118" t="s">
        <v>1730</v>
      </c>
    </row>
    <row r="119" spans="1:1" x14ac:dyDescent="0.2">
      <c r="A119" t="s">
        <v>1731</v>
      </c>
    </row>
    <row r="120" spans="1:1" x14ac:dyDescent="0.2">
      <c r="A120" t="s">
        <v>1732</v>
      </c>
    </row>
    <row r="121" spans="1:1" x14ac:dyDescent="0.2">
      <c r="A121" t="s">
        <v>1733</v>
      </c>
    </row>
    <row r="122" spans="1:1" x14ac:dyDescent="0.2">
      <c r="A122" t="s">
        <v>1734</v>
      </c>
    </row>
    <row r="124" spans="1:1" x14ac:dyDescent="0.2">
      <c r="A124" t="s">
        <v>1735</v>
      </c>
    </row>
    <row r="125" spans="1:1" x14ac:dyDescent="0.2">
      <c r="A125" t="s">
        <v>1736</v>
      </c>
    </row>
    <row r="127" spans="1:1" x14ac:dyDescent="0.2">
      <c r="A127" t="s">
        <v>1737</v>
      </c>
    </row>
    <row r="128" spans="1:1" x14ac:dyDescent="0.2">
      <c r="A128" t="s">
        <v>1738</v>
      </c>
    </row>
    <row r="129" spans="1:9" x14ac:dyDescent="0.2">
      <c r="A129" t="s">
        <v>1739</v>
      </c>
    </row>
    <row r="130" spans="1:9" x14ac:dyDescent="0.2">
      <c r="A130" t="s">
        <v>1740</v>
      </c>
    </row>
    <row r="131" spans="1:9" x14ac:dyDescent="0.2">
      <c r="A131" t="s">
        <v>1741</v>
      </c>
      <c r="B131" t="s">
        <v>1742</v>
      </c>
    </row>
    <row r="132" spans="1:9" x14ac:dyDescent="0.2">
      <c r="A132" t="s">
        <v>1743</v>
      </c>
    </row>
    <row r="133" spans="1:9" x14ac:dyDescent="0.2">
      <c r="A133" t="s">
        <v>1744</v>
      </c>
      <c r="B133" t="s">
        <v>1745</v>
      </c>
    </row>
    <row r="134" spans="1:9" x14ac:dyDescent="0.2">
      <c r="A134" t="s">
        <v>1746</v>
      </c>
      <c r="B134" t="s">
        <v>1747</v>
      </c>
    </row>
    <row r="135" spans="1:9" x14ac:dyDescent="0.2">
      <c r="A135" t="s">
        <v>1748</v>
      </c>
      <c r="B135" t="s">
        <v>1749</v>
      </c>
      <c r="C135" t="s">
        <v>1750</v>
      </c>
      <c r="D135" t="s">
        <v>1751</v>
      </c>
      <c r="E135" t="s">
        <v>1587</v>
      </c>
      <c r="F135" t="s">
        <v>1752</v>
      </c>
      <c r="G135" t="s">
        <v>1753</v>
      </c>
      <c r="H135" t="s">
        <v>1754</v>
      </c>
      <c r="I135" t="s">
        <v>1755</v>
      </c>
    </row>
    <row r="136" spans="1:9" x14ac:dyDescent="0.2">
      <c r="A136" t="s">
        <v>1756</v>
      </c>
    </row>
    <row r="137" spans="1:9" x14ac:dyDescent="0.2">
      <c r="A137" t="s">
        <v>1757</v>
      </c>
    </row>
    <row r="138" spans="1:9" x14ac:dyDescent="0.2">
      <c r="A138" t="s">
        <v>1758</v>
      </c>
      <c r="B138" t="s">
        <v>1759</v>
      </c>
      <c r="C138" t="s">
        <v>1760</v>
      </c>
      <c r="D138" t="s">
        <v>1761</v>
      </c>
      <c r="E138" t="s">
        <v>1762</v>
      </c>
      <c r="F138" t="s">
        <v>1763</v>
      </c>
      <c r="G138">
        <v>8000</v>
      </c>
    </row>
    <row r="139" spans="1:9" x14ac:dyDescent="0.2">
      <c r="A139" t="s">
        <v>1764</v>
      </c>
    </row>
    <row r="140" spans="1:9" x14ac:dyDescent="0.2">
      <c r="A140" t="s">
        <v>1765</v>
      </c>
    </row>
    <row r="141" spans="1:9" x14ac:dyDescent="0.2">
      <c r="A141" t="s">
        <v>1766</v>
      </c>
    </row>
    <row r="142" spans="1:9" x14ac:dyDescent="0.2">
      <c r="A142" t="s">
        <v>1767</v>
      </c>
    </row>
    <row r="143" spans="1:9" x14ac:dyDescent="0.2">
      <c r="A143" t="s">
        <v>1768</v>
      </c>
      <c r="B143" t="s">
        <v>1769</v>
      </c>
      <c r="C143" t="s">
        <v>1770</v>
      </c>
      <c r="D143" t="s">
        <v>1771</v>
      </c>
      <c r="E143" t="s">
        <v>1772</v>
      </c>
      <c r="F143" t="s">
        <v>1773</v>
      </c>
      <c r="G143" t="s">
        <v>1774</v>
      </c>
      <c r="H143" t="s">
        <v>1775</v>
      </c>
      <c r="I143" t="s">
        <v>1776</v>
      </c>
    </row>
    <row r="144" spans="1:9" x14ac:dyDescent="0.2">
      <c r="A144" t="s">
        <v>1777</v>
      </c>
      <c r="B144" t="s">
        <v>1778</v>
      </c>
      <c r="C144" t="s">
        <v>1779</v>
      </c>
      <c r="D144" t="s">
        <v>1780</v>
      </c>
      <c r="E144" t="s">
        <v>1781</v>
      </c>
      <c r="F144" t="s">
        <v>1657</v>
      </c>
      <c r="G144" t="s">
        <v>1782</v>
      </c>
      <c r="H144" t="s">
        <v>1783</v>
      </c>
      <c r="I144" t="s">
        <v>1784</v>
      </c>
    </row>
    <row r="145" spans="1:9" x14ac:dyDescent="0.2">
      <c r="A145" t="s">
        <v>1785</v>
      </c>
      <c r="B145" t="s">
        <v>1786</v>
      </c>
      <c r="C145" t="s">
        <v>1787</v>
      </c>
      <c r="D145" t="s">
        <v>1788</v>
      </c>
      <c r="E145" t="s">
        <v>1566</v>
      </c>
      <c r="F145" t="s">
        <v>1567</v>
      </c>
      <c r="G145" t="s">
        <v>1789</v>
      </c>
      <c r="H145" t="s">
        <v>1790</v>
      </c>
      <c r="I145" t="s">
        <v>1791</v>
      </c>
    </row>
    <row r="146" spans="1:9" x14ac:dyDescent="0.2">
      <c r="A146" t="s">
        <v>1792</v>
      </c>
      <c r="B146" t="s">
        <v>1793</v>
      </c>
    </row>
    <row r="147" spans="1:9" x14ac:dyDescent="0.2">
      <c r="A147" t="s">
        <v>1794</v>
      </c>
    </row>
    <row r="148" spans="1:9" x14ac:dyDescent="0.2">
      <c r="A148" t="s">
        <v>1795</v>
      </c>
      <c r="B148" t="s">
        <v>1796</v>
      </c>
      <c r="C148">
        <v>0</v>
      </c>
    </row>
    <row r="149" spans="1:9" x14ac:dyDescent="0.2">
      <c r="A149" t="s">
        <v>1797</v>
      </c>
    </row>
    <row r="150" spans="1:9" x14ac:dyDescent="0.2">
      <c r="A150" t="s">
        <v>1798</v>
      </c>
    </row>
    <row r="151" spans="1:9" x14ac:dyDescent="0.2">
      <c r="A151" t="s">
        <v>1799</v>
      </c>
      <c r="B151" t="s">
        <v>1800</v>
      </c>
      <c r="C151" t="s">
        <v>1801</v>
      </c>
      <c r="D151" t="s">
        <v>1802</v>
      </c>
      <c r="E151" t="s">
        <v>1596</v>
      </c>
      <c r="F151" t="s">
        <v>1597</v>
      </c>
      <c r="G151" t="s">
        <v>1598</v>
      </c>
      <c r="H151" t="s">
        <v>1803</v>
      </c>
      <c r="I151" t="s">
        <v>1804</v>
      </c>
    </row>
    <row r="152" spans="1:9" x14ac:dyDescent="0.2">
      <c r="A152" t="s">
        <v>1805</v>
      </c>
    </row>
    <row r="153" spans="1:9" x14ac:dyDescent="0.2">
      <c r="A153" t="s">
        <v>1806</v>
      </c>
      <c r="B153" t="s">
        <v>1807</v>
      </c>
    </row>
    <row r="154" spans="1:9" x14ac:dyDescent="0.2">
      <c r="A154" t="s">
        <v>1808</v>
      </c>
    </row>
    <row r="155" spans="1:9" x14ac:dyDescent="0.2">
      <c r="A155" t="s">
        <v>1809</v>
      </c>
    </row>
    <row r="156" spans="1:9" x14ac:dyDescent="0.2">
      <c r="A156" t="s">
        <v>1810</v>
      </c>
      <c r="B156" t="s">
        <v>1811</v>
      </c>
    </row>
    <row r="157" spans="1:9" x14ac:dyDescent="0.2">
      <c r="A157" t="s">
        <v>1812</v>
      </c>
    </row>
    <row r="158" spans="1:9" x14ac:dyDescent="0.2">
      <c r="A158" t="s">
        <v>1813</v>
      </c>
    </row>
    <row r="159" spans="1:9" x14ac:dyDescent="0.2">
      <c r="A159" t="s">
        <v>1814</v>
      </c>
    </row>
    <row r="160" spans="1:9" x14ac:dyDescent="0.2">
      <c r="A160" t="s">
        <v>1815</v>
      </c>
    </row>
    <row r="161" spans="1:9" x14ac:dyDescent="0.2">
      <c r="A161" t="s">
        <v>1688</v>
      </c>
    </row>
    <row r="162" spans="1:9" x14ac:dyDescent="0.2">
      <c r="A162" t="s">
        <v>1689</v>
      </c>
    </row>
    <row r="163" spans="1:9" x14ac:dyDescent="0.2">
      <c r="A163" t="s">
        <v>1816</v>
      </c>
    </row>
    <row r="164" spans="1:9" x14ac:dyDescent="0.2">
      <c r="A164" t="s">
        <v>1817</v>
      </c>
    </row>
    <row r="165" spans="1:9" x14ac:dyDescent="0.2">
      <c r="A165" t="s">
        <v>1818</v>
      </c>
    </row>
    <row r="166" spans="1:9" x14ac:dyDescent="0.2">
      <c r="A166" t="s">
        <v>1819</v>
      </c>
    </row>
    <row r="167" spans="1:9" x14ac:dyDescent="0.2">
      <c r="A167" t="s">
        <v>1820</v>
      </c>
      <c r="B167" t="s">
        <v>1821</v>
      </c>
    </row>
    <row r="168" spans="1:9" x14ac:dyDescent="0.2">
      <c r="A168" t="s">
        <v>1822</v>
      </c>
    </row>
    <row r="169" spans="1:9" x14ac:dyDescent="0.2">
      <c r="A169" t="s">
        <v>1823</v>
      </c>
    </row>
    <row r="170" spans="1:9" x14ac:dyDescent="0.2">
      <c r="A170" t="s">
        <v>1824</v>
      </c>
    </row>
    <row r="171" spans="1:9" x14ac:dyDescent="0.2">
      <c r="A171" t="s">
        <v>1825</v>
      </c>
    </row>
    <row r="172" spans="1:9" x14ac:dyDescent="0.2">
      <c r="A172" t="s">
        <v>1826</v>
      </c>
      <c r="B172" t="s">
        <v>1827</v>
      </c>
      <c r="C172" t="s">
        <v>1828</v>
      </c>
      <c r="D172" t="s">
        <v>1829</v>
      </c>
      <c r="E172">
        <v>21</v>
      </c>
      <c r="F172" t="s">
        <v>1830</v>
      </c>
      <c r="G172">
        <v>47.3</v>
      </c>
      <c r="H172" t="s">
        <v>1831</v>
      </c>
      <c r="I172" t="s">
        <v>1832</v>
      </c>
    </row>
    <row r="173" spans="1:9" x14ac:dyDescent="0.2">
      <c r="A173" t="s">
        <v>1833</v>
      </c>
      <c r="B173" t="s">
        <v>1834</v>
      </c>
      <c r="C173" t="s">
        <v>1835</v>
      </c>
      <c r="D173">
        <v>0</v>
      </c>
    </row>
    <row r="174" spans="1:9" x14ac:dyDescent="0.2">
      <c r="A174" t="s">
        <v>1836</v>
      </c>
      <c r="B174" t="s">
        <v>1837</v>
      </c>
    </row>
    <row r="175" spans="1:9" x14ac:dyDescent="0.2">
      <c r="A175" t="s">
        <v>1838</v>
      </c>
    </row>
    <row r="176" spans="1:9" x14ac:dyDescent="0.2">
      <c r="A176" t="s">
        <v>1839</v>
      </c>
    </row>
    <row r="177" spans="1:1" x14ac:dyDescent="0.2">
      <c r="A177" t="s">
        <v>1840</v>
      </c>
    </row>
    <row r="179" spans="1:1" x14ac:dyDescent="0.2">
      <c r="A179" t="s">
        <v>1712</v>
      </c>
    </row>
    <row r="180" spans="1:1" x14ac:dyDescent="0.2">
      <c r="A180" t="s">
        <v>1713</v>
      </c>
    </row>
    <row r="181" spans="1:1" x14ac:dyDescent="0.2">
      <c r="A181" t="s">
        <v>1714</v>
      </c>
    </row>
    <row r="182" spans="1:1" x14ac:dyDescent="0.2">
      <c r="A182" t="s">
        <v>1715</v>
      </c>
    </row>
    <row r="183" spans="1:1" x14ac:dyDescent="0.2">
      <c r="A183" t="s">
        <v>1716</v>
      </c>
    </row>
    <row r="184" spans="1:1" x14ac:dyDescent="0.2">
      <c r="A184" t="s">
        <v>1717</v>
      </c>
    </row>
    <row r="185" spans="1:1" x14ac:dyDescent="0.2">
      <c r="A185" t="s">
        <v>1718</v>
      </c>
    </row>
    <row r="186" spans="1:1" x14ac:dyDescent="0.2">
      <c r="A186" t="s">
        <v>1719</v>
      </c>
    </row>
    <row r="187" spans="1:1" x14ac:dyDescent="0.2">
      <c r="A187" t="s">
        <v>1720</v>
      </c>
    </row>
    <row r="188" spans="1:1" x14ac:dyDescent="0.2">
      <c r="A188" t="s">
        <v>1721</v>
      </c>
    </row>
    <row r="189" spans="1:1" x14ac:dyDescent="0.2">
      <c r="A189" t="s">
        <v>1722</v>
      </c>
    </row>
    <row r="190" spans="1:1" x14ac:dyDescent="0.2">
      <c r="A190" t="s">
        <v>1723</v>
      </c>
    </row>
    <row r="191" spans="1:1" x14ac:dyDescent="0.2">
      <c r="A191" t="s">
        <v>1724</v>
      </c>
    </row>
    <row r="192" spans="1:1" x14ac:dyDescent="0.2">
      <c r="A192" t="s">
        <v>1725</v>
      </c>
    </row>
    <row r="193" spans="1:1" x14ac:dyDescent="0.2">
      <c r="A193" t="s">
        <v>1726</v>
      </c>
    </row>
    <row r="194" spans="1:1" x14ac:dyDescent="0.2">
      <c r="A194" t="s">
        <v>1727</v>
      </c>
    </row>
    <row r="195" spans="1:1" x14ac:dyDescent="0.2">
      <c r="A195" t="s">
        <v>1728</v>
      </c>
    </row>
    <row r="196" spans="1:1" x14ac:dyDescent="0.2">
      <c r="A196" t="s">
        <v>1729</v>
      </c>
    </row>
    <row r="197" spans="1:1" x14ac:dyDescent="0.2">
      <c r="A197" t="s">
        <v>1730</v>
      </c>
    </row>
    <row r="198" spans="1:1" x14ac:dyDescent="0.2">
      <c r="A198" t="s">
        <v>1731</v>
      </c>
    </row>
    <row r="199" spans="1:1" x14ac:dyDescent="0.2">
      <c r="A199" t="s">
        <v>1732</v>
      </c>
    </row>
    <row r="200" spans="1:1" x14ac:dyDescent="0.2">
      <c r="A200" t="s">
        <v>1733</v>
      </c>
    </row>
    <row r="201" spans="1:1" x14ac:dyDescent="0.2">
      <c r="A201" t="s">
        <v>1734</v>
      </c>
    </row>
    <row r="202" spans="1:1" x14ac:dyDescent="0.2">
      <c r="A202" t="s">
        <v>1841</v>
      </c>
    </row>
    <row r="203" spans="1:1" x14ac:dyDescent="0.2">
      <c r="A203" t="s">
        <v>1842</v>
      </c>
    </row>
    <row r="205" spans="1:1" x14ac:dyDescent="0.2">
      <c r="A205" t="s">
        <v>1843</v>
      </c>
    </row>
    <row r="206" spans="1:1" x14ac:dyDescent="0.2">
      <c r="A206" t="s">
        <v>1844</v>
      </c>
    </row>
    <row r="208" spans="1:1" x14ac:dyDescent="0.2">
      <c r="A208" t="s">
        <v>1737</v>
      </c>
    </row>
    <row r="209" spans="1:2" x14ac:dyDescent="0.2">
      <c r="A209" t="s">
        <v>1738</v>
      </c>
    </row>
    <row r="210" spans="1:2" x14ac:dyDescent="0.2">
      <c r="A210" t="s">
        <v>1845</v>
      </c>
    </row>
    <row r="211" spans="1:2" x14ac:dyDescent="0.2">
      <c r="A211" t="s">
        <v>1846</v>
      </c>
    </row>
    <row r="212" spans="1:2" x14ac:dyDescent="0.2">
      <c r="A212" t="s">
        <v>1847</v>
      </c>
    </row>
    <row r="213" spans="1:2" x14ac:dyDescent="0.2">
      <c r="A213" t="s">
        <v>1848</v>
      </c>
    </row>
    <row r="214" spans="1:2" x14ac:dyDescent="0.2">
      <c r="A214" t="s">
        <v>1849</v>
      </c>
    </row>
    <row r="215" spans="1:2" x14ac:dyDescent="0.2">
      <c r="A215" t="s">
        <v>1850</v>
      </c>
    </row>
    <row r="217" spans="1:2" x14ac:dyDescent="0.2">
      <c r="A217" t="s">
        <v>1851</v>
      </c>
    </row>
    <row r="218" spans="1:2" x14ac:dyDescent="0.2">
      <c r="A218" t="s">
        <v>1852</v>
      </c>
    </row>
    <row r="219" spans="1:2" x14ac:dyDescent="0.2">
      <c r="A219" t="s">
        <v>1853</v>
      </c>
    </row>
    <row r="220" spans="1:2" x14ac:dyDescent="0.2">
      <c r="A220" t="s">
        <v>1854</v>
      </c>
    </row>
    <row r="222" spans="1:2" x14ac:dyDescent="0.2">
      <c r="A222" t="s">
        <v>1855</v>
      </c>
    </row>
    <row r="223" spans="1:2" x14ac:dyDescent="0.2">
      <c r="A223" t="s">
        <v>1856</v>
      </c>
    </row>
    <row r="224" spans="1:2" x14ac:dyDescent="0.2">
      <c r="A224" t="s">
        <v>1857</v>
      </c>
      <c r="B224" t="s">
        <v>1858</v>
      </c>
    </row>
    <row r="225" spans="1:2" x14ac:dyDescent="0.2">
      <c r="A225" t="s">
        <v>1859</v>
      </c>
    </row>
    <row r="226" spans="1:2" x14ac:dyDescent="0.2">
      <c r="A226" t="s">
        <v>1860</v>
      </c>
      <c r="B226" t="s">
        <v>1861</v>
      </c>
    </row>
    <row r="227" spans="1:2" x14ac:dyDescent="0.2">
      <c r="A227" t="s">
        <v>1862</v>
      </c>
      <c r="B227" t="s">
        <v>1863</v>
      </c>
    </row>
    <row r="228" spans="1:2" x14ac:dyDescent="0.2">
      <c r="A228" t="s">
        <v>1864</v>
      </c>
      <c r="B228" t="s">
        <v>1865</v>
      </c>
    </row>
    <row r="230" spans="1:2" x14ac:dyDescent="0.2">
      <c r="A230" t="s">
        <v>1866</v>
      </c>
    </row>
    <row r="231" spans="1:2" x14ac:dyDescent="0.2">
      <c r="A231" t="s">
        <v>1867</v>
      </c>
    </row>
    <row r="232" spans="1:2" x14ac:dyDescent="0.2">
      <c r="A232" t="s">
        <v>1868</v>
      </c>
    </row>
    <row r="233" spans="1:2" x14ac:dyDescent="0.2">
      <c r="A233" t="s">
        <v>1869</v>
      </c>
    </row>
    <row r="234" spans="1:2" x14ac:dyDescent="0.2">
      <c r="A234" t="s">
        <v>1870</v>
      </c>
    </row>
    <row r="235" spans="1:2" x14ac:dyDescent="0.2">
      <c r="A235" t="s">
        <v>1871</v>
      </c>
    </row>
    <row r="236" spans="1:2" x14ac:dyDescent="0.2">
      <c r="A236" t="s">
        <v>1872</v>
      </c>
    </row>
    <row r="237" spans="1:2" x14ac:dyDescent="0.2">
      <c r="A237" t="s">
        <v>1873</v>
      </c>
    </row>
    <row r="238" spans="1:2" x14ac:dyDescent="0.2">
      <c r="A238" t="s">
        <v>1874</v>
      </c>
    </row>
    <row r="239" spans="1:2" x14ac:dyDescent="0.2">
      <c r="A239" t="s">
        <v>1875</v>
      </c>
    </row>
    <row r="240" spans="1:2" x14ac:dyDescent="0.2">
      <c r="A240" t="s">
        <v>1876</v>
      </c>
    </row>
    <row r="241" spans="1:7" x14ac:dyDescent="0.2">
      <c r="A241" t="s">
        <v>1877</v>
      </c>
    </row>
    <row r="242" spans="1:7" x14ac:dyDescent="0.2">
      <c r="A242" t="s">
        <v>1878</v>
      </c>
      <c r="B242" t="s">
        <v>1879</v>
      </c>
      <c r="C242" t="s">
        <v>1880</v>
      </c>
      <c r="D242" t="s">
        <v>1762</v>
      </c>
      <c r="E242" t="s">
        <v>1763</v>
      </c>
      <c r="F242">
        <v>16</v>
      </c>
      <c r="G242">
        <v>0</v>
      </c>
    </row>
    <row r="243" spans="1:7" x14ac:dyDescent="0.2">
      <c r="A243" t="s">
        <v>1881</v>
      </c>
    </row>
    <row r="244" spans="1:7" x14ac:dyDescent="0.2">
      <c r="A244" t="s">
        <v>1882</v>
      </c>
    </row>
    <row r="245" spans="1:7" x14ac:dyDescent="0.2">
      <c r="A245" t="s">
        <v>1883</v>
      </c>
    </row>
    <row r="247" spans="1:7" x14ac:dyDescent="0.2">
      <c r="A247" t="s">
        <v>1884</v>
      </c>
    </row>
    <row r="248" spans="1:7" x14ac:dyDescent="0.2">
      <c r="A248" t="s">
        <v>1885</v>
      </c>
    </row>
    <row r="249" spans="1:7" x14ac:dyDescent="0.2">
      <c r="A249" t="s">
        <v>1886</v>
      </c>
    </row>
    <row r="250" spans="1:7" x14ac:dyDescent="0.2">
      <c r="A250" t="s">
        <v>1887</v>
      </c>
    </row>
    <row r="252" spans="1:7" x14ac:dyDescent="0.2">
      <c r="A252" t="s">
        <v>1888</v>
      </c>
    </row>
    <row r="253" spans="1:7" x14ac:dyDescent="0.2">
      <c r="A253" t="s">
        <v>1889</v>
      </c>
    </row>
    <row r="255" spans="1:7" x14ac:dyDescent="0.2">
      <c r="A255" t="s">
        <v>1627</v>
      </c>
    </row>
    <row r="256" spans="1:7" x14ac:dyDescent="0.2">
      <c r="A256" t="s">
        <v>1628</v>
      </c>
    </row>
    <row r="257" spans="1:1" x14ac:dyDescent="0.2">
      <c r="A257" t="s">
        <v>1629</v>
      </c>
    </row>
    <row r="258" spans="1:1" x14ac:dyDescent="0.2">
      <c r="A258" t="s">
        <v>1630</v>
      </c>
    </row>
    <row r="259" spans="1:1" x14ac:dyDescent="0.2">
      <c r="A259" t="s">
        <v>1890</v>
      </c>
    </row>
    <row r="260" spans="1:1" x14ac:dyDescent="0.2">
      <c r="A260" t="s">
        <v>1891</v>
      </c>
    </row>
    <row r="261" spans="1:1" x14ac:dyDescent="0.2">
      <c r="A261" t="s">
        <v>1892</v>
      </c>
    </row>
    <row r="262" spans="1:1" x14ac:dyDescent="0.2">
      <c r="A262" t="s">
        <v>1893</v>
      </c>
    </row>
    <row r="263" spans="1:1" x14ac:dyDescent="0.2">
      <c r="A263" t="s">
        <v>1635</v>
      </c>
    </row>
    <row r="264" spans="1:1" x14ac:dyDescent="0.2">
      <c r="A264" t="s">
        <v>1636</v>
      </c>
    </row>
    <row r="265" spans="1:1" x14ac:dyDescent="0.2">
      <c r="A265" t="s">
        <v>1894</v>
      </c>
    </row>
    <row r="266" spans="1:1" x14ac:dyDescent="0.2">
      <c r="A266" t="s">
        <v>1895</v>
      </c>
    </row>
    <row r="267" spans="1:1" x14ac:dyDescent="0.2">
      <c r="A267" t="s">
        <v>1896</v>
      </c>
    </row>
    <row r="268" spans="1:1" x14ac:dyDescent="0.2">
      <c r="A268" t="s">
        <v>1897</v>
      </c>
    </row>
    <row r="269" spans="1:1" x14ac:dyDescent="0.2">
      <c r="A269" t="s">
        <v>1898</v>
      </c>
    </row>
    <row r="270" spans="1:1" x14ac:dyDescent="0.2">
      <c r="A270" t="s">
        <v>1899</v>
      </c>
    </row>
    <row r="271" spans="1:1" x14ac:dyDescent="0.2">
      <c r="A271" t="s">
        <v>1900</v>
      </c>
    </row>
    <row r="272" spans="1:1" x14ac:dyDescent="0.2">
      <c r="A272" t="s">
        <v>1901</v>
      </c>
    </row>
    <row r="273" spans="1:1" x14ac:dyDescent="0.2">
      <c r="A273" t="s">
        <v>1902</v>
      </c>
    </row>
    <row r="274" spans="1:1" x14ac:dyDescent="0.2">
      <c r="A274" t="s">
        <v>1903</v>
      </c>
    </row>
    <row r="275" spans="1:1" x14ac:dyDescent="0.2">
      <c r="A275" t="s">
        <v>1904</v>
      </c>
    </row>
    <row r="276" spans="1:1" x14ac:dyDescent="0.2">
      <c r="A276" t="s">
        <v>1905</v>
      </c>
    </row>
    <row r="277" spans="1:1" x14ac:dyDescent="0.2">
      <c r="A277" t="s">
        <v>1906</v>
      </c>
    </row>
    <row r="278" spans="1:1" x14ac:dyDescent="0.2">
      <c r="A278" t="s">
        <v>1907</v>
      </c>
    </row>
    <row r="279" spans="1:1" x14ac:dyDescent="0.2">
      <c r="A279" t="s">
        <v>1908</v>
      </c>
    </row>
    <row r="280" spans="1:1" x14ac:dyDescent="0.2">
      <c r="A280" t="s">
        <v>1909</v>
      </c>
    </row>
    <row r="281" spans="1:1" x14ac:dyDescent="0.2">
      <c r="A281" t="s">
        <v>1910</v>
      </c>
    </row>
    <row r="282" spans="1:1" x14ac:dyDescent="0.2">
      <c r="A282" t="s">
        <v>1911</v>
      </c>
    </row>
    <row r="283" spans="1:1" x14ac:dyDescent="0.2">
      <c r="A283" t="s">
        <v>1912</v>
      </c>
    </row>
    <row r="284" spans="1:1" x14ac:dyDescent="0.2">
      <c r="A284" t="s">
        <v>1913</v>
      </c>
    </row>
    <row r="285" spans="1:1" x14ac:dyDescent="0.2">
      <c r="A285" t="s">
        <v>1914</v>
      </c>
    </row>
    <row r="286" spans="1:1" x14ac:dyDescent="0.2">
      <c r="A286" t="s">
        <v>1915</v>
      </c>
    </row>
    <row r="287" spans="1:1" x14ac:dyDescent="0.2">
      <c r="A287" t="s">
        <v>1916</v>
      </c>
    </row>
    <row r="288" spans="1:1" x14ac:dyDescent="0.2">
      <c r="A288" t="s">
        <v>1917</v>
      </c>
    </row>
    <row r="289" spans="1:1" x14ac:dyDescent="0.2">
      <c r="A289" t="s">
        <v>1918</v>
      </c>
    </row>
    <row r="290" spans="1:1" x14ac:dyDescent="0.2">
      <c r="A290" t="s">
        <v>1919</v>
      </c>
    </row>
    <row r="291" spans="1:1" x14ac:dyDescent="0.2">
      <c r="A291" t="s">
        <v>1920</v>
      </c>
    </row>
    <row r="292" spans="1:1" x14ac:dyDescent="0.2">
      <c r="A292" t="s">
        <v>1921</v>
      </c>
    </row>
    <row r="293" spans="1:1" x14ac:dyDescent="0.2">
      <c r="A293" t="s">
        <v>1922</v>
      </c>
    </row>
    <row r="294" spans="1:1" x14ac:dyDescent="0.2">
      <c r="A294" t="s">
        <v>1923</v>
      </c>
    </row>
    <row r="295" spans="1:1" x14ac:dyDescent="0.2">
      <c r="A295" t="s">
        <v>1924</v>
      </c>
    </row>
    <row r="296" spans="1:1" x14ac:dyDescent="0.2">
      <c r="A296" t="s">
        <v>1925</v>
      </c>
    </row>
    <row r="297" spans="1:1" x14ac:dyDescent="0.2">
      <c r="A297" t="s">
        <v>1926</v>
      </c>
    </row>
    <row r="298" spans="1:1" x14ac:dyDescent="0.2">
      <c r="A298" t="s">
        <v>1927</v>
      </c>
    </row>
    <row r="299" spans="1:1" x14ac:dyDescent="0.2">
      <c r="A299" t="s">
        <v>1928</v>
      </c>
    </row>
    <row r="300" spans="1:1" x14ac:dyDescent="0.2">
      <c r="A300" t="s">
        <v>1929</v>
      </c>
    </row>
    <row r="301" spans="1:1" x14ac:dyDescent="0.2">
      <c r="A301" t="s">
        <v>1930</v>
      </c>
    </row>
    <row r="302" spans="1:1" x14ac:dyDescent="0.2">
      <c r="A302" t="s">
        <v>1931</v>
      </c>
    </row>
    <row r="303" spans="1:1" x14ac:dyDescent="0.2">
      <c r="A303" t="s">
        <v>1932</v>
      </c>
    </row>
    <row r="304" spans="1:1" x14ac:dyDescent="0.2">
      <c r="A304" t="s">
        <v>1933</v>
      </c>
    </row>
    <row r="305" spans="1:1" x14ac:dyDescent="0.2">
      <c r="A305" t="s">
        <v>1934</v>
      </c>
    </row>
    <row r="306" spans="1:1" x14ac:dyDescent="0.2">
      <c r="A306" t="s">
        <v>1935</v>
      </c>
    </row>
    <row r="307" spans="1:1" x14ac:dyDescent="0.2">
      <c r="A307" t="s">
        <v>1936</v>
      </c>
    </row>
    <row r="308" spans="1:1" x14ac:dyDescent="0.2">
      <c r="A308" t="s">
        <v>1937</v>
      </c>
    </row>
    <row r="309" spans="1:1" x14ac:dyDescent="0.2">
      <c r="A309" t="s">
        <v>1938</v>
      </c>
    </row>
    <row r="310" spans="1:1" x14ac:dyDescent="0.2">
      <c r="A310" t="s">
        <v>1939</v>
      </c>
    </row>
    <row r="311" spans="1:1" x14ac:dyDescent="0.2">
      <c r="A311" t="s">
        <v>1940</v>
      </c>
    </row>
    <row r="312" spans="1:1" x14ac:dyDescent="0.2">
      <c r="A312" t="s">
        <v>1941</v>
      </c>
    </row>
    <row r="313" spans="1:1" x14ac:dyDescent="0.2">
      <c r="A313" t="s">
        <v>1942</v>
      </c>
    </row>
    <row r="314" spans="1:1" x14ac:dyDescent="0.2">
      <c r="A314" t="s">
        <v>1943</v>
      </c>
    </row>
    <row r="315" spans="1:1" x14ac:dyDescent="0.2">
      <c r="A315" t="s">
        <v>1944</v>
      </c>
    </row>
    <row r="316" spans="1:1" x14ac:dyDescent="0.2">
      <c r="A316" t="s">
        <v>1945</v>
      </c>
    </row>
    <row r="317" spans="1:1" x14ac:dyDescent="0.2">
      <c r="A317" t="s">
        <v>1946</v>
      </c>
    </row>
    <row r="318" spans="1:1" x14ac:dyDescent="0.2">
      <c r="A318" t="s">
        <v>1947</v>
      </c>
    </row>
    <row r="319" spans="1:1" x14ac:dyDescent="0.2">
      <c r="A319" t="s">
        <v>1948</v>
      </c>
    </row>
    <row r="320" spans="1:1" x14ac:dyDescent="0.2">
      <c r="A320" t="s">
        <v>1949</v>
      </c>
    </row>
    <row r="321" spans="1:1" x14ac:dyDescent="0.2">
      <c r="A321" t="s">
        <v>1950</v>
      </c>
    </row>
    <row r="322" spans="1:1" x14ac:dyDescent="0.2">
      <c r="A322" t="s">
        <v>1951</v>
      </c>
    </row>
    <row r="323" spans="1:1" x14ac:dyDescent="0.2">
      <c r="A323" t="s">
        <v>1952</v>
      </c>
    </row>
    <row r="324" spans="1:1" x14ac:dyDescent="0.2">
      <c r="A324" t="s">
        <v>1953</v>
      </c>
    </row>
    <row r="325" spans="1:1" x14ac:dyDescent="0.2">
      <c r="A325" t="s">
        <v>1954</v>
      </c>
    </row>
    <row r="326" spans="1:1" x14ac:dyDescent="0.2">
      <c r="A326" t="s">
        <v>1955</v>
      </c>
    </row>
    <row r="327" spans="1:1" x14ac:dyDescent="0.2">
      <c r="A327" t="s">
        <v>1956</v>
      </c>
    </row>
    <row r="328" spans="1:1" x14ac:dyDescent="0.2">
      <c r="A328" t="s">
        <v>1957</v>
      </c>
    </row>
    <row r="329" spans="1:1" x14ac:dyDescent="0.2">
      <c r="A329" t="s">
        <v>1958</v>
      </c>
    </row>
    <row r="330" spans="1:1" x14ac:dyDescent="0.2">
      <c r="A330" t="s">
        <v>1959</v>
      </c>
    </row>
    <row r="331" spans="1:1" x14ac:dyDescent="0.2">
      <c r="A331" t="s">
        <v>1960</v>
      </c>
    </row>
    <row r="332" spans="1:1" x14ac:dyDescent="0.2">
      <c r="A332" t="s">
        <v>1961</v>
      </c>
    </row>
    <row r="333" spans="1:1" x14ac:dyDescent="0.2">
      <c r="A333" t="s">
        <v>1962</v>
      </c>
    </row>
    <row r="334" spans="1:1" x14ac:dyDescent="0.2">
      <c r="A334" t="s">
        <v>1963</v>
      </c>
    </row>
    <row r="336" spans="1:1" x14ac:dyDescent="0.2">
      <c r="A336" t="s">
        <v>1964</v>
      </c>
    </row>
    <row r="337" spans="1:9" x14ac:dyDescent="0.2">
      <c r="A337" t="s">
        <v>1965</v>
      </c>
    </row>
    <row r="339" spans="1:9" x14ac:dyDescent="0.2">
      <c r="A339" t="s">
        <v>1966</v>
      </c>
    </row>
    <row r="340" spans="1:9" x14ac:dyDescent="0.2">
      <c r="A340" t="s">
        <v>1967</v>
      </c>
    </row>
    <row r="342" spans="1:9" x14ac:dyDescent="0.2">
      <c r="A342" t="s">
        <v>1968</v>
      </c>
    </row>
    <row r="343" spans="1:9" x14ac:dyDescent="0.2">
      <c r="A343" t="s">
        <v>1969</v>
      </c>
    </row>
    <row r="344" spans="1:9" x14ac:dyDescent="0.2">
      <c r="A344" t="s">
        <v>1970</v>
      </c>
    </row>
    <row r="345" spans="1:9" x14ac:dyDescent="0.2">
      <c r="A345" t="s">
        <v>1971</v>
      </c>
      <c r="B345" t="s">
        <v>1972</v>
      </c>
      <c r="C345" t="s">
        <v>1973</v>
      </c>
      <c r="D345" t="s">
        <v>1974</v>
      </c>
      <c r="E345" t="s">
        <v>1975</v>
      </c>
      <c r="F345" t="s">
        <v>1976</v>
      </c>
      <c r="G345" t="s">
        <v>1977</v>
      </c>
      <c r="H345" t="s">
        <v>1978</v>
      </c>
      <c r="I345" t="s">
        <v>1979</v>
      </c>
    </row>
    <row r="346" spans="1:9" x14ac:dyDescent="0.2">
      <c r="A346" t="s">
        <v>1980</v>
      </c>
      <c r="B346" t="s">
        <v>1981</v>
      </c>
      <c r="C346" t="s">
        <v>1982</v>
      </c>
      <c r="D346" t="s">
        <v>1802</v>
      </c>
      <c r="E346" t="s">
        <v>1772</v>
      </c>
      <c r="F346" t="s">
        <v>1983</v>
      </c>
      <c r="G346" t="s">
        <v>1599</v>
      </c>
      <c r="H346" t="s">
        <v>1984</v>
      </c>
      <c r="I346" t="s">
        <v>1985</v>
      </c>
    </row>
    <row r="347" spans="1:9" x14ac:dyDescent="0.2">
      <c r="A347" t="s">
        <v>1986</v>
      </c>
      <c r="B347" t="s">
        <v>1987</v>
      </c>
    </row>
    <row r="348" spans="1:9" x14ac:dyDescent="0.2">
      <c r="A348" t="s">
        <v>1988</v>
      </c>
    </row>
    <row r="349" spans="1:9" x14ac:dyDescent="0.2">
      <c r="A349" t="s">
        <v>1989</v>
      </c>
    </row>
    <row r="350" spans="1:9" x14ac:dyDescent="0.2">
      <c r="A350" t="s">
        <v>1990</v>
      </c>
    </row>
    <row r="351" spans="1:9" x14ac:dyDescent="0.2">
      <c r="A351" t="s">
        <v>1991</v>
      </c>
    </row>
    <row r="352" spans="1:9" x14ac:dyDescent="0.2">
      <c r="A352" t="s">
        <v>1992</v>
      </c>
    </row>
    <row r="353" spans="1:1" x14ac:dyDescent="0.2">
      <c r="A353" t="s">
        <v>1993</v>
      </c>
    </row>
    <row r="354" spans="1:1" x14ac:dyDescent="0.2">
      <c r="A354" t="s">
        <v>1994</v>
      </c>
    </row>
    <row r="355" spans="1:1" x14ac:dyDescent="0.2">
      <c r="A355" t="s">
        <v>1995</v>
      </c>
    </row>
    <row r="356" spans="1:1" x14ac:dyDescent="0.2">
      <c r="A356" t="s">
        <v>1996</v>
      </c>
    </row>
    <row r="358" spans="1:1" x14ac:dyDescent="0.2">
      <c r="A358" t="s">
        <v>1997</v>
      </c>
    </row>
    <row r="359" spans="1:1" x14ac:dyDescent="0.2">
      <c r="A359" t="s">
        <v>1998</v>
      </c>
    </row>
    <row r="361" spans="1:1" x14ac:dyDescent="0.2">
      <c r="A361" t="s">
        <v>1999</v>
      </c>
    </row>
    <row r="363" spans="1:1" x14ac:dyDescent="0.2">
      <c r="A363" t="s">
        <v>2000</v>
      </c>
    </row>
    <row r="364" spans="1:1" x14ac:dyDescent="0.2">
      <c r="A364" t="s">
        <v>2001</v>
      </c>
    </row>
    <row r="365" spans="1:1" x14ac:dyDescent="0.2">
      <c r="A365" t="s">
        <v>2002</v>
      </c>
    </row>
    <row r="366" spans="1:1" x14ac:dyDescent="0.2">
      <c r="A366" t="s">
        <v>2003</v>
      </c>
    </row>
    <row r="368" spans="1:1" x14ac:dyDescent="0.2">
      <c r="A368" t="s">
        <v>2004</v>
      </c>
    </row>
    <row r="369" spans="1:9" x14ac:dyDescent="0.2">
      <c r="A369" t="s">
        <v>2005</v>
      </c>
    </row>
    <row r="370" spans="1:9" x14ac:dyDescent="0.2">
      <c r="A370" t="s">
        <v>2006</v>
      </c>
      <c r="B370" t="s">
        <v>2007</v>
      </c>
    </row>
    <row r="371" spans="1:9" x14ac:dyDescent="0.2">
      <c r="A371" t="s">
        <v>2008</v>
      </c>
    </row>
    <row r="372" spans="1:9" x14ac:dyDescent="0.2">
      <c r="A372" t="s">
        <v>2009</v>
      </c>
      <c r="B372" t="s">
        <v>2010</v>
      </c>
      <c r="C372" t="s">
        <v>2011</v>
      </c>
      <c r="D372">
        <v>0</v>
      </c>
      <c r="E372">
        <v>0</v>
      </c>
    </row>
    <row r="373" spans="1:9" x14ac:dyDescent="0.2">
      <c r="A373" t="s">
        <v>2012</v>
      </c>
    </row>
    <row r="374" spans="1:9" x14ac:dyDescent="0.2">
      <c r="A374" t="s">
        <v>2013</v>
      </c>
    </row>
    <row r="375" spans="1:9" x14ac:dyDescent="0.2">
      <c r="A375" t="s">
        <v>2014</v>
      </c>
    </row>
    <row r="376" spans="1:9" x14ac:dyDescent="0.2">
      <c r="A376" t="s">
        <v>2015</v>
      </c>
    </row>
    <row r="377" spans="1:9" x14ac:dyDescent="0.2">
      <c r="A377" t="s">
        <v>2016</v>
      </c>
    </row>
    <row r="378" spans="1:9" x14ac:dyDescent="0.2">
      <c r="A378" t="s">
        <v>2017</v>
      </c>
      <c r="B378" t="s">
        <v>2018</v>
      </c>
      <c r="C378" t="s">
        <v>2019</v>
      </c>
      <c r="D378" t="s">
        <v>1556</v>
      </c>
      <c r="E378" t="s">
        <v>2020</v>
      </c>
      <c r="F378" t="s">
        <v>2021</v>
      </c>
      <c r="G378" t="s">
        <v>2022</v>
      </c>
      <c r="H378" t="s">
        <v>2023</v>
      </c>
      <c r="I378" t="s">
        <v>2024</v>
      </c>
    </row>
    <row r="379" spans="1:9" x14ac:dyDescent="0.2">
      <c r="A379" t="s">
        <v>2025</v>
      </c>
    </row>
    <row r="380" spans="1:9" x14ac:dyDescent="0.2">
      <c r="A380" t="s">
        <v>1688</v>
      </c>
    </row>
    <row r="381" spans="1:9" x14ac:dyDescent="0.2">
      <c r="A381" t="s">
        <v>1689</v>
      </c>
    </row>
    <row r="382" spans="1:9" x14ac:dyDescent="0.2">
      <c r="A382" t="s">
        <v>1816</v>
      </c>
    </row>
    <row r="383" spans="1:9" x14ac:dyDescent="0.2">
      <c r="A383" t="s">
        <v>1817</v>
      </c>
    </row>
    <row r="384" spans="1:9" x14ac:dyDescent="0.2">
      <c r="A384" t="s">
        <v>1818</v>
      </c>
    </row>
    <row r="385" spans="1:9" x14ac:dyDescent="0.2">
      <c r="A385" t="s">
        <v>2026</v>
      </c>
    </row>
    <row r="386" spans="1:9" x14ac:dyDescent="0.2">
      <c r="A386" t="s">
        <v>2027</v>
      </c>
      <c r="B386" t="s">
        <v>2028</v>
      </c>
    </row>
    <row r="387" spans="1:9" x14ac:dyDescent="0.2">
      <c r="A387" t="s">
        <v>2029</v>
      </c>
    </row>
    <row r="388" spans="1:9" x14ac:dyDescent="0.2">
      <c r="A388" t="s">
        <v>2030</v>
      </c>
    </row>
    <row r="389" spans="1:9" x14ac:dyDescent="0.2">
      <c r="A389" t="s">
        <v>2031</v>
      </c>
    </row>
    <row r="390" spans="1:9" x14ac:dyDescent="0.2">
      <c r="A390" t="s">
        <v>2032</v>
      </c>
    </row>
    <row r="391" spans="1:9" x14ac:dyDescent="0.2">
      <c r="A391" t="s">
        <v>2033</v>
      </c>
      <c r="B391" t="s">
        <v>2034</v>
      </c>
      <c r="C391" s="194">
        <v>41621</v>
      </c>
      <c r="D391" t="s">
        <v>1830</v>
      </c>
      <c r="E391">
        <v>47</v>
      </c>
      <c r="F391">
        <v>0.3</v>
      </c>
      <c r="G391" t="s">
        <v>1831</v>
      </c>
      <c r="H391" t="s">
        <v>2035</v>
      </c>
      <c r="I391" t="s">
        <v>2036</v>
      </c>
    </row>
    <row r="392" spans="1:9" x14ac:dyDescent="0.2">
      <c r="A392" t="s">
        <v>2037</v>
      </c>
      <c r="B392" t="s">
        <v>2038</v>
      </c>
      <c r="C392" t="s">
        <v>2039</v>
      </c>
    </row>
    <row r="393" spans="1:9" x14ac:dyDescent="0.2">
      <c r="A393" t="s">
        <v>2040</v>
      </c>
      <c r="B393" t="s">
        <v>2041</v>
      </c>
    </row>
    <row r="394" spans="1:9" x14ac:dyDescent="0.2">
      <c r="A394" t="s">
        <v>2042</v>
      </c>
    </row>
    <row r="395" spans="1:9" x14ac:dyDescent="0.2">
      <c r="A395" t="s">
        <v>2043</v>
      </c>
    </row>
    <row r="396" spans="1:9" x14ac:dyDescent="0.2">
      <c r="A396" t="s">
        <v>2044</v>
      </c>
    </row>
    <row r="398" spans="1:9" x14ac:dyDescent="0.2">
      <c r="A398" t="s">
        <v>1712</v>
      </c>
    </row>
    <row r="399" spans="1:9" x14ac:dyDescent="0.2">
      <c r="A399" t="s">
        <v>1713</v>
      </c>
    </row>
    <row r="400" spans="1:9" x14ac:dyDescent="0.2">
      <c r="A400" t="s">
        <v>1714</v>
      </c>
    </row>
    <row r="401" spans="1:1" x14ac:dyDescent="0.2">
      <c r="A401" t="s">
        <v>1715</v>
      </c>
    </row>
    <row r="402" spans="1:1" x14ac:dyDescent="0.2">
      <c r="A402" t="s">
        <v>1716</v>
      </c>
    </row>
    <row r="403" spans="1:1" x14ac:dyDescent="0.2">
      <c r="A403" t="s">
        <v>1717</v>
      </c>
    </row>
    <row r="404" spans="1:1" x14ac:dyDescent="0.2">
      <c r="A404" t="s">
        <v>1718</v>
      </c>
    </row>
    <row r="405" spans="1:1" x14ac:dyDescent="0.2">
      <c r="A405" t="s">
        <v>1719</v>
      </c>
    </row>
    <row r="406" spans="1:1" x14ac:dyDescent="0.2">
      <c r="A406" t="s">
        <v>1720</v>
      </c>
    </row>
    <row r="407" spans="1:1" x14ac:dyDescent="0.2">
      <c r="A407" t="s">
        <v>1721</v>
      </c>
    </row>
    <row r="408" spans="1:1" x14ac:dyDescent="0.2">
      <c r="A408" t="s">
        <v>1722</v>
      </c>
    </row>
    <row r="409" spans="1:1" x14ac:dyDescent="0.2">
      <c r="A409" t="s">
        <v>1723</v>
      </c>
    </row>
    <row r="410" spans="1:1" x14ac:dyDescent="0.2">
      <c r="A410" t="s">
        <v>1724</v>
      </c>
    </row>
    <row r="411" spans="1:1" x14ac:dyDescent="0.2">
      <c r="A411" t="s">
        <v>1725</v>
      </c>
    </row>
    <row r="412" spans="1:1" x14ac:dyDescent="0.2">
      <c r="A412" t="s">
        <v>1726</v>
      </c>
    </row>
    <row r="413" spans="1:1" x14ac:dyDescent="0.2">
      <c r="A413" t="s">
        <v>1727</v>
      </c>
    </row>
    <row r="414" spans="1:1" x14ac:dyDescent="0.2">
      <c r="A414" t="s">
        <v>1728</v>
      </c>
    </row>
    <row r="415" spans="1:1" x14ac:dyDescent="0.2">
      <c r="A415" t="s">
        <v>1729</v>
      </c>
    </row>
    <row r="416" spans="1:1" x14ac:dyDescent="0.2">
      <c r="A416" t="s">
        <v>1730</v>
      </c>
    </row>
    <row r="417" spans="1:1" x14ac:dyDescent="0.2">
      <c r="A417" t="s">
        <v>1731</v>
      </c>
    </row>
    <row r="418" spans="1:1" x14ac:dyDescent="0.2">
      <c r="A418" t="s">
        <v>1732</v>
      </c>
    </row>
    <row r="419" spans="1:1" x14ac:dyDescent="0.2">
      <c r="A419" t="s">
        <v>1733</v>
      </c>
    </row>
    <row r="420" spans="1:1" x14ac:dyDescent="0.2">
      <c r="A420" t="s">
        <v>1734</v>
      </c>
    </row>
    <row r="421" spans="1:1" x14ac:dyDescent="0.2">
      <c r="A421" t="s">
        <v>1841</v>
      </c>
    </row>
    <row r="422" spans="1:1" x14ac:dyDescent="0.2">
      <c r="A422" t="s">
        <v>1842</v>
      </c>
    </row>
    <row r="424" spans="1:1" x14ac:dyDescent="0.2">
      <c r="A424" t="s">
        <v>2045</v>
      </c>
    </row>
    <row r="425" spans="1:1" x14ac:dyDescent="0.2">
      <c r="A425" t="s">
        <v>2046</v>
      </c>
    </row>
    <row r="427" spans="1:1" x14ac:dyDescent="0.2">
      <c r="A427" t="s">
        <v>1737</v>
      </c>
    </row>
    <row r="428" spans="1:1" x14ac:dyDescent="0.2">
      <c r="A428" t="s">
        <v>1738</v>
      </c>
    </row>
    <row r="429" spans="1:1" x14ac:dyDescent="0.2">
      <c r="A429" t="s">
        <v>1845</v>
      </c>
    </row>
    <row r="430" spans="1:1" x14ac:dyDescent="0.2">
      <c r="A430" t="s">
        <v>1846</v>
      </c>
    </row>
    <row r="431" spans="1:1" x14ac:dyDescent="0.2">
      <c r="A431" t="s">
        <v>1847</v>
      </c>
    </row>
    <row r="432" spans="1:1" x14ac:dyDescent="0.2">
      <c r="A432" t="s">
        <v>1848</v>
      </c>
    </row>
    <row r="433" spans="1:2" x14ac:dyDescent="0.2">
      <c r="A433" t="s">
        <v>1849</v>
      </c>
    </row>
    <row r="434" spans="1:2" x14ac:dyDescent="0.2">
      <c r="A434" t="s">
        <v>1850</v>
      </c>
    </row>
    <row r="436" spans="1:2" x14ac:dyDescent="0.2">
      <c r="A436" t="s">
        <v>1851</v>
      </c>
    </row>
    <row r="437" spans="1:2" x14ac:dyDescent="0.2">
      <c r="A437" t="s">
        <v>1852</v>
      </c>
    </row>
    <row r="438" spans="1:2" x14ac:dyDescent="0.2">
      <c r="A438" t="s">
        <v>1853</v>
      </c>
    </row>
    <row r="439" spans="1:2" x14ac:dyDescent="0.2">
      <c r="A439" t="s">
        <v>1854</v>
      </c>
    </row>
    <row r="441" spans="1:2" x14ac:dyDescent="0.2">
      <c r="A441" t="s">
        <v>2047</v>
      </c>
    </row>
    <row r="442" spans="1:2" x14ac:dyDescent="0.2">
      <c r="A442" t="s">
        <v>2048</v>
      </c>
    </row>
    <row r="443" spans="1:2" x14ac:dyDescent="0.2">
      <c r="A443" t="s">
        <v>2049</v>
      </c>
      <c r="B443" t="s">
        <v>2050</v>
      </c>
    </row>
    <row r="444" spans="1:2" x14ac:dyDescent="0.2">
      <c r="A444" t="s">
        <v>2051</v>
      </c>
    </row>
    <row r="445" spans="1:2" x14ac:dyDescent="0.2">
      <c r="A445" t="s">
        <v>2052</v>
      </c>
      <c r="B445" t="s">
        <v>2053</v>
      </c>
    </row>
    <row r="446" spans="1:2" x14ac:dyDescent="0.2">
      <c r="A446" t="s">
        <v>2054</v>
      </c>
    </row>
    <row r="447" spans="1:2" x14ac:dyDescent="0.2">
      <c r="A447" t="s">
        <v>2055</v>
      </c>
      <c r="B447" t="s">
        <v>2056</v>
      </c>
    </row>
    <row r="449" spans="1:6" x14ac:dyDescent="0.2">
      <c r="A449" t="s">
        <v>1866</v>
      </c>
    </row>
    <row r="450" spans="1:6" x14ac:dyDescent="0.2">
      <c r="A450" t="s">
        <v>1867</v>
      </c>
    </row>
    <row r="451" spans="1:6" x14ac:dyDescent="0.2">
      <c r="A451" t="s">
        <v>2057</v>
      </c>
    </row>
    <row r="452" spans="1:6" x14ac:dyDescent="0.2">
      <c r="A452" t="s">
        <v>2058</v>
      </c>
    </row>
    <row r="453" spans="1:6" x14ac:dyDescent="0.2">
      <c r="A453" t="s">
        <v>2059</v>
      </c>
    </row>
    <row r="454" spans="1:6" x14ac:dyDescent="0.2">
      <c r="A454" t="s">
        <v>1871</v>
      </c>
    </row>
    <row r="455" spans="1:6" x14ac:dyDescent="0.2">
      <c r="A455" t="s">
        <v>1872</v>
      </c>
    </row>
    <row r="456" spans="1:6" x14ac:dyDescent="0.2">
      <c r="A456" t="s">
        <v>1873</v>
      </c>
    </row>
    <row r="457" spans="1:6" x14ac:dyDescent="0.2">
      <c r="A457" t="s">
        <v>1874</v>
      </c>
    </row>
    <row r="458" spans="1:6" x14ac:dyDescent="0.2">
      <c r="A458" t="s">
        <v>1875</v>
      </c>
    </row>
    <row r="459" spans="1:6" x14ac:dyDescent="0.2">
      <c r="A459" t="s">
        <v>1876</v>
      </c>
    </row>
    <row r="460" spans="1:6" x14ac:dyDescent="0.2">
      <c r="A460" t="s">
        <v>2060</v>
      </c>
    </row>
    <row r="461" spans="1:6" x14ac:dyDescent="0.2">
      <c r="A461" t="s">
        <v>2061</v>
      </c>
      <c r="B461" t="s">
        <v>2062</v>
      </c>
      <c r="C461" t="s">
        <v>2063</v>
      </c>
      <c r="D461" t="s">
        <v>2064</v>
      </c>
      <c r="E461" t="s">
        <v>2065</v>
      </c>
      <c r="F461" t="s">
        <v>2066</v>
      </c>
    </row>
    <row r="462" spans="1:6" x14ac:dyDescent="0.2">
      <c r="A462" t="s">
        <v>2067</v>
      </c>
    </row>
    <row r="463" spans="1:6" x14ac:dyDescent="0.2">
      <c r="A463" t="s">
        <v>2068</v>
      </c>
    </row>
    <row r="464" spans="1:6" x14ac:dyDescent="0.2">
      <c r="A464" t="s">
        <v>2069</v>
      </c>
    </row>
    <row r="466" spans="1:1" x14ac:dyDescent="0.2">
      <c r="A466" t="s">
        <v>1884</v>
      </c>
    </row>
    <row r="467" spans="1:1" x14ac:dyDescent="0.2">
      <c r="A467" t="s">
        <v>1885</v>
      </c>
    </row>
    <row r="468" spans="1:1" x14ac:dyDescent="0.2">
      <c r="A468" t="s">
        <v>1886</v>
      </c>
    </row>
    <row r="469" spans="1:1" x14ac:dyDescent="0.2">
      <c r="A469" t="s">
        <v>1887</v>
      </c>
    </row>
    <row r="471" spans="1:1" x14ac:dyDescent="0.2">
      <c r="A471" t="s">
        <v>2070</v>
      </c>
    </row>
    <row r="472" spans="1:1" x14ac:dyDescent="0.2">
      <c r="A472" t="s">
        <v>2071</v>
      </c>
    </row>
    <row r="474" spans="1:1" x14ac:dyDescent="0.2">
      <c r="A474" t="s">
        <v>1627</v>
      </c>
    </row>
    <row r="475" spans="1:1" x14ac:dyDescent="0.2">
      <c r="A475" t="s">
        <v>1628</v>
      </c>
    </row>
    <row r="476" spans="1:1" x14ac:dyDescent="0.2">
      <c r="A476" t="s">
        <v>1629</v>
      </c>
    </row>
    <row r="477" spans="1:1" x14ac:dyDescent="0.2">
      <c r="A477" t="s">
        <v>1630</v>
      </c>
    </row>
    <row r="478" spans="1:1" x14ac:dyDescent="0.2">
      <c r="A478" t="s">
        <v>1890</v>
      </c>
    </row>
    <row r="479" spans="1:1" x14ac:dyDescent="0.2">
      <c r="A479" t="s">
        <v>1891</v>
      </c>
    </row>
    <row r="480" spans="1:1" x14ac:dyDescent="0.2">
      <c r="A480" t="s">
        <v>1892</v>
      </c>
    </row>
    <row r="481" spans="1:1" x14ac:dyDescent="0.2">
      <c r="A481" t="s">
        <v>1893</v>
      </c>
    </row>
    <row r="482" spans="1:1" x14ac:dyDescent="0.2">
      <c r="A482" t="s">
        <v>1635</v>
      </c>
    </row>
    <row r="483" spans="1:1" x14ac:dyDescent="0.2">
      <c r="A483" t="s">
        <v>1636</v>
      </c>
    </row>
    <row r="484" spans="1:1" x14ac:dyDescent="0.2">
      <c r="A484" t="s">
        <v>1894</v>
      </c>
    </row>
    <row r="485" spans="1:1" x14ac:dyDescent="0.2">
      <c r="A485" t="s">
        <v>1895</v>
      </c>
    </row>
    <row r="486" spans="1:1" x14ac:dyDescent="0.2">
      <c r="A486" t="s">
        <v>1896</v>
      </c>
    </row>
    <row r="487" spans="1:1" x14ac:dyDescent="0.2">
      <c r="A487" t="s">
        <v>1897</v>
      </c>
    </row>
    <row r="488" spans="1:1" x14ac:dyDescent="0.2">
      <c r="A488" t="s">
        <v>1898</v>
      </c>
    </row>
    <row r="489" spans="1:1" x14ac:dyDescent="0.2">
      <c r="A489" t="s">
        <v>1899</v>
      </c>
    </row>
    <row r="490" spans="1:1" x14ac:dyDescent="0.2">
      <c r="A490" t="s">
        <v>2072</v>
      </c>
    </row>
    <row r="491" spans="1:1" x14ac:dyDescent="0.2">
      <c r="A491" t="s">
        <v>1901</v>
      </c>
    </row>
    <row r="492" spans="1:1" x14ac:dyDescent="0.2">
      <c r="A492" t="s">
        <v>1902</v>
      </c>
    </row>
    <row r="493" spans="1:1" x14ac:dyDescent="0.2">
      <c r="A493" t="s">
        <v>1903</v>
      </c>
    </row>
    <row r="494" spans="1:1" x14ac:dyDescent="0.2">
      <c r="A494" t="s">
        <v>1904</v>
      </c>
    </row>
    <row r="495" spans="1:1" x14ac:dyDescent="0.2">
      <c r="A495" t="s">
        <v>1905</v>
      </c>
    </row>
    <row r="496" spans="1:1" x14ac:dyDescent="0.2">
      <c r="A496" t="s">
        <v>1906</v>
      </c>
    </row>
    <row r="497" spans="1:1" x14ac:dyDescent="0.2">
      <c r="A497" t="s">
        <v>1907</v>
      </c>
    </row>
    <row r="498" spans="1:1" x14ac:dyDescent="0.2">
      <c r="A498" t="s">
        <v>1908</v>
      </c>
    </row>
    <row r="499" spans="1:1" x14ac:dyDescent="0.2">
      <c r="A499" t="s">
        <v>1909</v>
      </c>
    </row>
    <row r="500" spans="1:1" x14ac:dyDescent="0.2">
      <c r="A500" t="s">
        <v>1910</v>
      </c>
    </row>
    <row r="501" spans="1:1" x14ac:dyDescent="0.2">
      <c r="A501" t="s">
        <v>1911</v>
      </c>
    </row>
    <row r="502" spans="1:1" x14ac:dyDescent="0.2">
      <c r="A502" t="s">
        <v>1912</v>
      </c>
    </row>
    <row r="503" spans="1:1" x14ac:dyDescent="0.2">
      <c r="A503" t="s">
        <v>1913</v>
      </c>
    </row>
    <row r="504" spans="1:1" x14ac:dyDescent="0.2">
      <c r="A504" t="s">
        <v>1914</v>
      </c>
    </row>
    <row r="505" spans="1:1" x14ac:dyDescent="0.2">
      <c r="A505" t="s">
        <v>1915</v>
      </c>
    </row>
    <row r="506" spans="1:1" x14ac:dyDescent="0.2">
      <c r="A506" t="s">
        <v>1916</v>
      </c>
    </row>
    <row r="507" spans="1:1" x14ac:dyDescent="0.2">
      <c r="A507" t="s">
        <v>1917</v>
      </c>
    </row>
    <row r="508" spans="1:1" x14ac:dyDescent="0.2">
      <c r="A508" t="s">
        <v>1918</v>
      </c>
    </row>
    <row r="509" spans="1:1" x14ac:dyDescent="0.2">
      <c r="A509" t="s">
        <v>1919</v>
      </c>
    </row>
    <row r="510" spans="1:1" x14ac:dyDescent="0.2">
      <c r="A510" t="s">
        <v>1920</v>
      </c>
    </row>
    <row r="511" spans="1:1" x14ac:dyDescent="0.2">
      <c r="A511" t="s">
        <v>1921</v>
      </c>
    </row>
    <row r="512" spans="1:1" x14ac:dyDescent="0.2">
      <c r="A512" t="s">
        <v>1922</v>
      </c>
    </row>
    <row r="513" spans="1:1" x14ac:dyDescent="0.2">
      <c r="A513" t="s">
        <v>1923</v>
      </c>
    </row>
    <row r="514" spans="1:1" x14ac:dyDescent="0.2">
      <c r="A514" t="s">
        <v>1924</v>
      </c>
    </row>
    <row r="515" spans="1:1" x14ac:dyDescent="0.2">
      <c r="A515" t="s">
        <v>1925</v>
      </c>
    </row>
    <row r="516" spans="1:1" x14ac:dyDescent="0.2">
      <c r="A516" t="s">
        <v>1926</v>
      </c>
    </row>
    <row r="517" spans="1:1" x14ac:dyDescent="0.2">
      <c r="A517" t="s">
        <v>1927</v>
      </c>
    </row>
    <row r="518" spans="1:1" x14ac:dyDescent="0.2">
      <c r="A518" t="s">
        <v>1928</v>
      </c>
    </row>
    <row r="519" spans="1:1" x14ac:dyDescent="0.2">
      <c r="A519" t="s">
        <v>1929</v>
      </c>
    </row>
    <row r="520" spans="1:1" x14ac:dyDescent="0.2">
      <c r="A520" t="s">
        <v>1930</v>
      </c>
    </row>
    <row r="521" spans="1:1" x14ac:dyDescent="0.2">
      <c r="A521" t="s">
        <v>1931</v>
      </c>
    </row>
    <row r="522" spans="1:1" x14ac:dyDescent="0.2">
      <c r="A522" t="s">
        <v>1932</v>
      </c>
    </row>
    <row r="523" spans="1:1" x14ac:dyDescent="0.2">
      <c r="A523" t="s">
        <v>1933</v>
      </c>
    </row>
    <row r="524" spans="1:1" x14ac:dyDescent="0.2">
      <c r="A524" t="s">
        <v>1934</v>
      </c>
    </row>
    <row r="525" spans="1:1" x14ac:dyDescent="0.2">
      <c r="A525" t="s">
        <v>1935</v>
      </c>
    </row>
    <row r="526" spans="1:1" x14ac:dyDescent="0.2">
      <c r="A526" t="s">
        <v>1936</v>
      </c>
    </row>
    <row r="527" spans="1:1" x14ac:dyDescent="0.2">
      <c r="A527" t="s">
        <v>1937</v>
      </c>
    </row>
    <row r="528" spans="1:1" x14ac:dyDescent="0.2">
      <c r="A528" t="s">
        <v>1938</v>
      </c>
    </row>
    <row r="529" spans="1:1" x14ac:dyDescent="0.2">
      <c r="A529" t="s">
        <v>1939</v>
      </c>
    </row>
    <row r="530" spans="1:1" x14ac:dyDescent="0.2">
      <c r="A530" t="s">
        <v>1940</v>
      </c>
    </row>
    <row r="531" spans="1:1" x14ac:dyDescent="0.2">
      <c r="A531" t="s">
        <v>1941</v>
      </c>
    </row>
    <row r="532" spans="1:1" x14ac:dyDescent="0.2">
      <c r="A532" t="s">
        <v>1942</v>
      </c>
    </row>
    <row r="533" spans="1:1" x14ac:dyDescent="0.2">
      <c r="A533" t="s">
        <v>1943</v>
      </c>
    </row>
    <row r="534" spans="1:1" x14ac:dyDescent="0.2">
      <c r="A534" t="s">
        <v>1944</v>
      </c>
    </row>
    <row r="535" spans="1:1" x14ac:dyDescent="0.2">
      <c r="A535" t="s">
        <v>1945</v>
      </c>
    </row>
    <row r="536" spans="1:1" x14ac:dyDescent="0.2">
      <c r="A536" t="s">
        <v>1946</v>
      </c>
    </row>
    <row r="537" spans="1:1" x14ac:dyDescent="0.2">
      <c r="A537" t="s">
        <v>1947</v>
      </c>
    </row>
    <row r="538" spans="1:1" x14ac:dyDescent="0.2">
      <c r="A538" t="s">
        <v>1948</v>
      </c>
    </row>
    <row r="539" spans="1:1" x14ac:dyDescent="0.2">
      <c r="A539" t="s">
        <v>1949</v>
      </c>
    </row>
    <row r="540" spans="1:1" x14ac:dyDescent="0.2">
      <c r="A540" t="s">
        <v>1950</v>
      </c>
    </row>
    <row r="541" spans="1:1" x14ac:dyDescent="0.2">
      <c r="A541" t="s">
        <v>1951</v>
      </c>
    </row>
    <row r="542" spans="1:1" x14ac:dyDescent="0.2">
      <c r="A542" t="s">
        <v>1952</v>
      </c>
    </row>
    <row r="543" spans="1:1" x14ac:dyDescent="0.2">
      <c r="A543" t="s">
        <v>1953</v>
      </c>
    </row>
    <row r="544" spans="1:1" x14ac:dyDescent="0.2">
      <c r="A544" t="s">
        <v>1954</v>
      </c>
    </row>
    <row r="545" spans="1:1" x14ac:dyDescent="0.2">
      <c r="A545" t="s">
        <v>1955</v>
      </c>
    </row>
    <row r="546" spans="1:1" x14ac:dyDescent="0.2">
      <c r="A546" t="s">
        <v>1956</v>
      </c>
    </row>
    <row r="547" spans="1:1" x14ac:dyDescent="0.2">
      <c r="A547" t="s">
        <v>1957</v>
      </c>
    </row>
    <row r="548" spans="1:1" x14ac:dyDescent="0.2">
      <c r="A548" t="s">
        <v>2073</v>
      </c>
    </row>
    <row r="549" spans="1:1" x14ac:dyDescent="0.2">
      <c r="A549" t="s">
        <v>1959</v>
      </c>
    </row>
    <row r="550" spans="1:1" x14ac:dyDescent="0.2">
      <c r="A550" t="s">
        <v>1960</v>
      </c>
    </row>
    <row r="551" spans="1:1" x14ac:dyDescent="0.2">
      <c r="A551" t="s">
        <v>1961</v>
      </c>
    </row>
    <row r="552" spans="1:1" x14ac:dyDescent="0.2">
      <c r="A552" t="s">
        <v>1962</v>
      </c>
    </row>
    <row r="553" spans="1:1" x14ac:dyDescent="0.2">
      <c r="A553" t="s">
        <v>1963</v>
      </c>
    </row>
    <row r="554" spans="1:1" x14ac:dyDescent="0.2">
      <c r="A554" t="s">
        <v>2074</v>
      </c>
    </row>
    <row r="555" spans="1:1" x14ac:dyDescent="0.2">
      <c r="A555" t="s">
        <v>2075</v>
      </c>
    </row>
    <row r="556" spans="1:1" x14ac:dyDescent="0.2">
      <c r="A556" t="s">
        <v>2076</v>
      </c>
    </row>
    <row r="557" spans="1:1" x14ac:dyDescent="0.2">
      <c r="A557" t="s">
        <v>2077</v>
      </c>
    </row>
    <row r="558" spans="1:1" x14ac:dyDescent="0.2">
      <c r="A558" t="s">
        <v>2078</v>
      </c>
    </row>
    <row r="559" spans="1:1" x14ac:dyDescent="0.2">
      <c r="A559" t="s">
        <v>2079</v>
      </c>
    </row>
    <row r="560" spans="1:1" x14ac:dyDescent="0.2">
      <c r="A560" t="s">
        <v>2080</v>
      </c>
    </row>
    <row r="561" spans="1:1" x14ac:dyDescent="0.2">
      <c r="A561" t="s">
        <v>2081</v>
      </c>
    </row>
    <row r="562" spans="1:1" x14ac:dyDescent="0.2">
      <c r="A562" t="s">
        <v>2082</v>
      </c>
    </row>
    <row r="563" spans="1:1" x14ac:dyDescent="0.2">
      <c r="A563" t="s">
        <v>2083</v>
      </c>
    </row>
    <row r="564" spans="1:1" x14ac:dyDescent="0.2">
      <c r="A564" t="s">
        <v>2084</v>
      </c>
    </row>
    <row r="565" spans="1:1" x14ac:dyDescent="0.2">
      <c r="A565" t="s">
        <v>2085</v>
      </c>
    </row>
    <row r="566" spans="1:1" x14ac:dyDescent="0.2">
      <c r="A566" t="s">
        <v>2086</v>
      </c>
    </row>
    <row r="567" spans="1:1" x14ac:dyDescent="0.2">
      <c r="A567" t="s">
        <v>2087</v>
      </c>
    </row>
    <row r="568" spans="1:1" x14ac:dyDescent="0.2">
      <c r="A568" t="s">
        <v>2088</v>
      </c>
    </row>
    <row r="569" spans="1:1" x14ac:dyDescent="0.2">
      <c r="A569" t="s">
        <v>2089</v>
      </c>
    </row>
    <row r="570" spans="1:1" x14ac:dyDescent="0.2">
      <c r="A570" t="s">
        <v>2090</v>
      </c>
    </row>
    <row r="571" spans="1:1" x14ac:dyDescent="0.2">
      <c r="A571" t="s">
        <v>2091</v>
      </c>
    </row>
    <row r="572" spans="1:1" x14ac:dyDescent="0.2">
      <c r="A572" t="s">
        <v>2092</v>
      </c>
    </row>
    <row r="573" spans="1:1" x14ac:dyDescent="0.2">
      <c r="A573" t="s">
        <v>2093</v>
      </c>
    </row>
    <row r="574" spans="1:1" x14ac:dyDescent="0.2">
      <c r="A574" t="s">
        <v>2094</v>
      </c>
    </row>
    <row r="575" spans="1:1" x14ac:dyDescent="0.2">
      <c r="A575" t="s">
        <v>2095</v>
      </c>
    </row>
    <row r="576" spans="1:1" x14ac:dyDescent="0.2">
      <c r="A576" t="s">
        <v>2096</v>
      </c>
    </row>
    <row r="577" spans="1:1" x14ac:dyDescent="0.2">
      <c r="A577" t="s">
        <v>2097</v>
      </c>
    </row>
    <row r="578" spans="1:1" x14ac:dyDescent="0.2">
      <c r="A578" t="s">
        <v>2098</v>
      </c>
    </row>
    <row r="579" spans="1:1" x14ac:dyDescent="0.2">
      <c r="A579" t="s">
        <v>2099</v>
      </c>
    </row>
    <row r="580" spans="1:1" x14ac:dyDescent="0.2">
      <c r="A580" t="s">
        <v>2100</v>
      </c>
    </row>
    <row r="581" spans="1:1" x14ac:dyDescent="0.2">
      <c r="A581" t="s">
        <v>2101</v>
      </c>
    </row>
    <row r="582" spans="1:1" x14ac:dyDescent="0.2">
      <c r="A582" t="s">
        <v>2102</v>
      </c>
    </row>
    <row r="583" spans="1:1" x14ac:dyDescent="0.2">
      <c r="A583" t="s">
        <v>2103</v>
      </c>
    </row>
    <row r="584" spans="1:1" x14ac:dyDescent="0.2">
      <c r="A584" t="s">
        <v>2104</v>
      </c>
    </row>
    <row r="585" spans="1:1" x14ac:dyDescent="0.2">
      <c r="A585" t="s">
        <v>2105</v>
      </c>
    </row>
    <row r="586" spans="1:1" x14ac:dyDescent="0.2">
      <c r="A586" t="s">
        <v>2106</v>
      </c>
    </row>
    <row r="587" spans="1:1" x14ac:dyDescent="0.2">
      <c r="A587" t="s">
        <v>2107</v>
      </c>
    </row>
    <row r="588" spans="1:1" x14ac:dyDescent="0.2">
      <c r="A588" t="s">
        <v>2108</v>
      </c>
    </row>
    <row r="589" spans="1:1" x14ac:dyDescent="0.2">
      <c r="A589" t="s">
        <v>2109</v>
      </c>
    </row>
    <row r="590" spans="1:1" x14ac:dyDescent="0.2">
      <c r="A590" t="s">
        <v>2110</v>
      </c>
    </row>
    <row r="591" spans="1:1" x14ac:dyDescent="0.2">
      <c r="A591" t="s">
        <v>2111</v>
      </c>
    </row>
    <row r="592" spans="1:1" x14ac:dyDescent="0.2">
      <c r="A592" t="s">
        <v>2112</v>
      </c>
    </row>
    <row r="593" spans="1:1" x14ac:dyDescent="0.2">
      <c r="A593" t="s">
        <v>2113</v>
      </c>
    </row>
    <row r="594" spans="1:1" x14ac:dyDescent="0.2">
      <c r="A594" t="s">
        <v>2114</v>
      </c>
    </row>
    <row r="595" spans="1:1" x14ac:dyDescent="0.2">
      <c r="A595" t="s">
        <v>2115</v>
      </c>
    </row>
    <row r="596" spans="1:1" x14ac:dyDescent="0.2">
      <c r="A596" t="s">
        <v>2116</v>
      </c>
    </row>
    <row r="597" spans="1:1" x14ac:dyDescent="0.2">
      <c r="A597" t="s">
        <v>2117</v>
      </c>
    </row>
    <row r="598" spans="1:1" x14ac:dyDescent="0.2">
      <c r="A598" t="s">
        <v>2118</v>
      </c>
    </row>
    <row r="599" spans="1:1" x14ac:dyDescent="0.2">
      <c r="A599" t="s">
        <v>2119</v>
      </c>
    </row>
    <row r="600" spans="1:1" x14ac:dyDescent="0.2">
      <c r="A600" t="s">
        <v>2120</v>
      </c>
    </row>
    <row r="601" spans="1:1" x14ac:dyDescent="0.2">
      <c r="A601" t="s">
        <v>2121</v>
      </c>
    </row>
    <row r="602" spans="1:1" x14ac:dyDescent="0.2">
      <c r="A602" t="s">
        <v>2122</v>
      </c>
    </row>
    <row r="603" spans="1:1" x14ac:dyDescent="0.2">
      <c r="A603" t="s">
        <v>2123</v>
      </c>
    </row>
    <row r="604" spans="1:1" x14ac:dyDescent="0.2">
      <c r="A604" t="s">
        <v>2124</v>
      </c>
    </row>
    <row r="605" spans="1:1" x14ac:dyDescent="0.2">
      <c r="A605" t="s">
        <v>2125</v>
      </c>
    </row>
    <row r="606" spans="1:1" x14ac:dyDescent="0.2">
      <c r="A606" t="s">
        <v>2126</v>
      </c>
    </row>
    <row r="607" spans="1:1" x14ac:dyDescent="0.2">
      <c r="A607" t="s">
        <v>2127</v>
      </c>
    </row>
    <row r="608" spans="1:1" x14ac:dyDescent="0.2">
      <c r="A608" t="s">
        <v>2128</v>
      </c>
    </row>
    <row r="609" spans="1:1" x14ac:dyDescent="0.2">
      <c r="A609" t="s">
        <v>2129</v>
      </c>
    </row>
    <row r="610" spans="1:1" x14ac:dyDescent="0.2">
      <c r="A610" t="s">
        <v>2130</v>
      </c>
    </row>
    <row r="611" spans="1:1" x14ac:dyDescent="0.2">
      <c r="A611" t="s">
        <v>2131</v>
      </c>
    </row>
    <row r="612" spans="1:1" x14ac:dyDescent="0.2">
      <c r="A612" t="s">
        <v>2132</v>
      </c>
    </row>
    <row r="613" spans="1:1" x14ac:dyDescent="0.2">
      <c r="A613" t="s">
        <v>2133</v>
      </c>
    </row>
    <row r="614" spans="1:1" x14ac:dyDescent="0.2">
      <c r="A614" t="s">
        <v>2134</v>
      </c>
    </row>
    <row r="615" spans="1:1" x14ac:dyDescent="0.2">
      <c r="A615" t="s">
        <v>2135</v>
      </c>
    </row>
    <row r="616" spans="1:1" x14ac:dyDescent="0.2">
      <c r="A616" t="s">
        <v>2136</v>
      </c>
    </row>
    <row r="617" spans="1:1" x14ac:dyDescent="0.2">
      <c r="A617" t="s">
        <v>2137</v>
      </c>
    </row>
    <row r="618" spans="1:1" x14ac:dyDescent="0.2">
      <c r="A618" t="s">
        <v>2138</v>
      </c>
    </row>
    <row r="619" spans="1:1" x14ac:dyDescent="0.2">
      <c r="A619" t="s">
        <v>2139</v>
      </c>
    </row>
    <row r="620" spans="1:1" x14ac:dyDescent="0.2">
      <c r="A620" t="s">
        <v>2140</v>
      </c>
    </row>
    <row r="621" spans="1:1" x14ac:dyDescent="0.2">
      <c r="A621" t="s">
        <v>2141</v>
      </c>
    </row>
    <row r="622" spans="1:1" x14ac:dyDescent="0.2">
      <c r="A622" t="s">
        <v>2142</v>
      </c>
    </row>
    <row r="623" spans="1:1" x14ac:dyDescent="0.2">
      <c r="A623" t="s">
        <v>2143</v>
      </c>
    </row>
    <row r="624" spans="1:1" x14ac:dyDescent="0.2">
      <c r="A624" t="s">
        <v>2144</v>
      </c>
    </row>
    <row r="625" spans="1:9" x14ac:dyDescent="0.2">
      <c r="A625" t="s">
        <v>2145</v>
      </c>
    </row>
    <row r="626" spans="1:9" x14ac:dyDescent="0.2">
      <c r="A626" t="s">
        <v>2146</v>
      </c>
    </row>
    <row r="627" spans="1:9" x14ac:dyDescent="0.2">
      <c r="A627" t="s">
        <v>2147</v>
      </c>
    </row>
    <row r="628" spans="1:9" x14ac:dyDescent="0.2">
      <c r="A628" t="s">
        <v>2148</v>
      </c>
    </row>
    <row r="629" spans="1:9" x14ac:dyDescent="0.2">
      <c r="A629" t="s">
        <v>2149</v>
      </c>
    </row>
    <row r="631" spans="1:9" x14ac:dyDescent="0.2">
      <c r="A631" t="s">
        <v>2150</v>
      </c>
    </row>
    <row r="632" spans="1:9" x14ac:dyDescent="0.2">
      <c r="A632" t="s">
        <v>2151</v>
      </c>
    </row>
    <row r="634" spans="1:9" x14ac:dyDescent="0.2">
      <c r="A634" t="s">
        <v>2152</v>
      </c>
    </row>
    <row r="635" spans="1:9" x14ac:dyDescent="0.2">
      <c r="A635" t="s">
        <v>2153</v>
      </c>
    </row>
    <row r="637" spans="1:9" x14ac:dyDescent="0.2">
      <c r="A637" t="s">
        <v>2154</v>
      </c>
    </row>
    <row r="638" spans="1:9" x14ac:dyDescent="0.2">
      <c r="A638" t="s">
        <v>2155</v>
      </c>
      <c r="B638" t="s">
        <v>2156</v>
      </c>
      <c r="C638" t="s">
        <v>2157</v>
      </c>
      <c r="D638" t="s">
        <v>1587</v>
      </c>
      <c r="E638" t="s">
        <v>2158</v>
      </c>
      <c r="F638" t="s">
        <v>1658</v>
      </c>
      <c r="G638" t="s">
        <v>2159</v>
      </c>
      <c r="H638" t="s">
        <v>2160</v>
      </c>
      <c r="I638" t="s">
        <v>2161</v>
      </c>
    </row>
    <row r="639" spans="1:9" x14ac:dyDescent="0.2">
      <c r="A639" t="s">
        <v>2162</v>
      </c>
      <c r="B639" t="s">
        <v>2163</v>
      </c>
      <c r="C639" t="s">
        <v>2164</v>
      </c>
      <c r="D639" t="s">
        <v>1587</v>
      </c>
      <c r="E639" t="s">
        <v>2165</v>
      </c>
      <c r="F639" t="s">
        <v>1587</v>
      </c>
      <c r="G639" t="s">
        <v>2166</v>
      </c>
      <c r="H639" t="s">
        <v>2167</v>
      </c>
      <c r="I639" t="s">
        <v>2168</v>
      </c>
    </row>
    <row r="640" spans="1:9" x14ac:dyDescent="0.2">
      <c r="A640" t="s">
        <v>2169</v>
      </c>
      <c r="B640" t="s">
        <v>2170</v>
      </c>
    </row>
    <row r="641" spans="1:9" x14ac:dyDescent="0.2">
      <c r="A641" t="s">
        <v>2171</v>
      </c>
      <c r="B641" t="s">
        <v>2172</v>
      </c>
      <c r="C641" t="s">
        <v>2173</v>
      </c>
      <c r="D641" t="s">
        <v>1555</v>
      </c>
      <c r="E641">
        <v>3</v>
      </c>
      <c r="F641">
        <v>20</v>
      </c>
      <c r="G641" t="s">
        <v>2174</v>
      </c>
      <c r="H641" t="s">
        <v>2175</v>
      </c>
      <c r="I641" t="s">
        <v>2176</v>
      </c>
    </row>
    <row r="642" spans="1:9" x14ac:dyDescent="0.2">
      <c r="A642" t="s">
        <v>2177</v>
      </c>
    </row>
    <row r="644" spans="1:9" x14ac:dyDescent="0.2">
      <c r="A644" t="s">
        <v>1990</v>
      </c>
    </row>
    <row r="645" spans="1:9" x14ac:dyDescent="0.2">
      <c r="A645" t="s">
        <v>2178</v>
      </c>
    </row>
    <row r="646" spans="1:9" x14ac:dyDescent="0.2">
      <c r="A646" t="s">
        <v>2179</v>
      </c>
    </row>
    <row r="647" spans="1:9" x14ac:dyDescent="0.2">
      <c r="A647" t="s">
        <v>2180</v>
      </c>
    </row>
    <row r="648" spans="1:9" x14ac:dyDescent="0.2">
      <c r="A648" t="s">
        <v>2181</v>
      </c>
    </row>
    <row r="649" spans="1:9" x14ac:dyDescent="0.2">
      <c r="A649" t="s">
        <v>2182</v>
      </c>
    </row>
    <row r="650" spans="1:9" x14ac:dyDescent="0.2">
      <c r="A650" t="s">
        <v>2183</v>
      </c>
    </row>
    <row r="651" spans="1:9" x14ac:dyDescent="0.2">
      <c r="A651" t="s">
        <v>2184</v>
      </c>
    </row>
    <row r="652" spans="1:9" x14ac:dyDescent="0.2">
      <c r="A652" t="s">
        <v>2185</v>
      </c>
    </row>
    <row r="653" spans="1:9" x14ac:dyDescent="0.2">
      <c r="A653" t="s">
        <v>2186</v>
      </c>
    </row>
    <row r="654" spans="1:9" x14ac:dyDescent="0.2">
      <c r="A654" t="s">
        <v>2187</v>
      </c>
    </row>
    <row r="655" spans="1:9" x14ac:dyDescent="0.2">
      <c r="A655" t="s">
        <v>2188</v>
      </c>
    </row>
    <row r="656" spans="1:9" x14ac:dyDescent="0.2">
      <c r="A656" t="s">
        <v>2189</v>
      </c>
    </row>
    <row r="657" spans="1:2" x14ac:dyDescent="0.2">
      <c r="A657" t="s">
        <v>2190</v>
      </c>
    </row>
    <row r="658" spans="1:2" x14ac:dyDescent="0.2">
      <c r="A658" t="s">
        <v>2191</v>
      </c>
    </row>
    <row r="660" spans="1:2" x14ac:dyDescent="0.2">
      <c r="A660" t="s">
        <v>2192</v>
      </c>
    </row>
    <row r="661" spans="1:2" x14ac:dyDescent="0.2">
      <c r="A661" t="s">
        <v>2193</v>
      </c>
    </row>
    <row r="662" spans="1:2" x14ac:dyDescent="0.2">
      <c r="A662" t="s">
        <v>2194</v>
      </c>
    </row>
    <row r="663" spans="1:2" x14ac:dyDescent="0.2">
      <c r="A663" t="s">
        <v>2195</v>
      </c>
    </row>
    <row r="665" spans="1:2" x14ac:dyDescent="0.2">
      <c r="A665" t="s">
        <v>2196</v>
      </c>
    </row>
    <row r="666" spans="1:2" x14ac:dyDescent="0.2">
      <c r="A666" t="s">
        <v>2197</v>
      </c>
    </row>
    <row r="667" spans="1:2" x14ac:dyDescent="0.2">
      <c r="A667" t="s">
        <v>2198</v>
      </c>
    </row>
    <row r="669" spans="1:2" x14ac:dyDescent="0.2">
      <c r="A669" t="s">
        <v>2199</v>
      </c>
    </row>
    <row r="670" spans="1:2" x14ac:dyDescent="0.2">
      <c r="A670" t="s">
        <v>2200</v>
      </c>
    </row>
    <row r="671" spans="1:2" x14ac:dyDescent="0.2">
      <c r="A671" t="s">
        <v>2201</v>
      </c>
      <c r="B671" t="s">
        <v>2202</v>
      </c>
    </row>
    <row r="672" spans="1:2" x14ac:dyDescent="0.2">
      <c r="A672" t="s">
        <v>2203</v>
      </c>
      <c r="B672" t="s">
        <v>2204</v>
      </c>
    </row>
    <row r="673" spans="1:9" x14ac:dyDescent="0.2">
      <c r="A673" t="s">
        <v>2205</v>
      </c>
      <c r="B673" t="s">
        <v>2206</v>
      </c>
      <c r="C673" t="s">
        <v>2207</v>
      </c>
      <c r="D673" t="s">
        <v>1780</v>
      </c>
      <c r="E673" t="s">
        <v>1781</v>
      </c>
      <c r="F673" t="s">
        <v>1657</v>
      </c>
      <c r="G673" t="s">
        <v>1599</v>
      </c>
      <c r="H673" t="s">
        <v>2208</v>
      </c>
      <c r="I673" t="s">
        <v>2209</v>
      </c>
    </row>
    <row r="674" spans="1:9" x14ac:dyDescent="0.2">
      <c r="A674" t="s">
        <v>2210</v>
      </c>
    </row>
    <row r="675" spans="1:9" x14ac:dyDescent="0.2">
      <c r="A675" t="s">
        <v>2211</v>
      </c>
    </row>
    <row r="676" spans="1:9" x14ac:dyDescent="0.2">
      <c r="A676" t="s">
        <v>2212</v>
      </c>
    </row>
    <row r="677" spans="1:9" x14ac:dyDescent="0.2">
      <c r="A677" t="s">
        <v>2213</v>
      </c>
    </row>
    <row r="678" spans="1:9" x14ac:dyDescent="0.2">
      <c r="A678" t="s">
        <v>2214</v>
      </c>
    </row>
    <row r="679" spans="1:9" x14ac:dyDescent="0.2">
      <c r="A679" t="s">
        <v>2215</v>
      </c>
    </row>
    <row r="681" spans="1:9" x14ac:dyDescent="0.2">
      <c r="A681" t="s">
        <v>2216</v>
      </c>
    </row>
    <row r="682" spans="1:9" x14ac:dyDescent="0.2">
      <c r="A682" t="s">
        <v>2217</v>
      </c>
    </row>
    <row r="683" spans="1:9" x14ac:dyDescent="0.2">
      <c r="A683" t="s">
        <v>2218</v>
      </c>
    </row>
    <row r="684" spans="1:9" x14ac:dyDescent="0.2">
      <c r="A684" t="s">
        <v>2219</v>
      </c>
    </row>
    <row r="685" spans="1:9" x14ac:dyDescent="0.2">
      <c r="A685" t="s">
        <v>2220</v>
      </c>
    </row>
    <row r="686" spans="1:9" x14ac:dyDescent="0.2">
      <c r="A686" t="s">
        <v>2221</v>
      </c>
    </row>
    <row r="687" spans="1:9" x14ac:dyDescent="0.2">
      <c r="A687" t="s">
        <v>2222</v>
      </c>
      <c r="B687" t="s">
        <v>2223</v>
      </c>
    </row>
    <row r="688" spans="1:9" x14ac:dyDescent="0.2">
      <c r="A688" t="s">
        <v>2224</v>
      </c>
    </row>
    <row r="689" spans="1:9" x14ac:dyDescent="0.2">
      <c r="A689" t="s">
        <v>2225</v>
      </c>
    </row>
    <row r="690" spans="1:9" x14ac:dyDescent="0.2">
      <c r="A690" t="s">
        <v>2226</v>
      </c>
    </row>
    <row r="691" spans="1:9" x14ac:dyDescent="0.2">
      <c r="A691" t="s">
        <v>2227</v>
      </c>
      <c r="B691" t="s">
        <v>2228</v>
      </c>
      <c r="C691" t="s">
        <v>2229</v>
      </c>
      <c r="D691">
        <v>0.2</v>
      </c>
      <c r="E691" t="s">
        <v>2230</v>
      </c>
      <c r="F691" t="s">
        <v>2231</v>
      </c>
      <c r="G691" t="s">
        <v>2232</v>
      </c>
      <c r="H691" t="s">
        <v>2233</v>
      </c>
      <c r="I691" t="s">
        <v>2234</v>
      </c>
    </row>
    <row r="692" spans="1:9" x14ac:dyDescent="0.2">
      <c r="A692" t="s">
        <v>2235</v>
      </c>
      <c r="B692" t="s">
        <v>2236</v>
      </c>
      <c r="C692" t="s">
        <v>2237</v>
      </c>
      <c r="D692" t="s">
        <v>1781</v>
      </c>
      <c r="E692" t="s">
        <v>1657</v>
      </c>
      <c r="F692" t="s">
        <v>1658</v>
      </c>
      <c r="G692" t="s">
        <v>2238</v>
      </c>
      <c r="H692" t="s">
        <v>2239</v>
      </c>
      <c r="I692" t="s">
        <v>2240</v>
      </c>
    </row>
    <row r="693" spans="1:9" x14ac:dyDescent="0.2">
      <c r="A693" t="s">
        <v>2241</v>
      </c>
      <c r="B693" t="s">
        <v>1590</v>
      </c>
    </row>
    <row r="694" spans="1:9" x14ac:dyDescent="0.2">
      <c r="A694" t="s">
        <v>2242</v>
      </c>
      <c r="B694" t="s">
        <v>2243</v>
      </c>
    </row>
    <row r="695" spans="1:9" x14ac:dyDescent="0.2">
      <c r="A695" t="s">
        <v>2244</v>
      </c>
    </row>
    <row r="696" spans="1:9" x14ac:dyDescent="0.2">
      <c r="A696" t="s">
        <v>2245</v>
      </c>
    </row>
    <row r="697" spans="1:9" x14ac:dyDescent="0.2">
      <c r="A697" t="s">
        <v>2246</v>
      </c>
    </row>
    <row r="698" spans="1:9" x14ac:dyDescent="0.2">
      <c r="A698" t="s">
        <v>2247</v>
      </c>
      <c r="B698" t="s">
        <v>2248</v>
      </c>
      <c r="C698" t="s">
        <v>2249</v>
      </c>
      <c r="D698" t="s">
        <v>2250</v>
      </c>
      <c r="E698" t="s">
        <v>2251</v>
      </c>
      <c r="F698" t="s">
        <v>2252</v>
      </c>
      <c r="G698" t="s">
        <v>2253</v>
      </c>
      <c r="H698" t="s">
        <v>2254</v>
      </c>
      <c r="I698" t="s">
        <v>2255</v>
      </c>
    </row>
    <row r="699" spans="1:9" x14ac:dyDescent="0.2">
      <c r="A699" t="s">
        <v>2256</v>
      </c>
    </row>
    <row r="700" spans="1:9" x14ac:dyDescent="0.2">
      <c r="A700" t="s">
        <v>2257</v>
      </c>
      <c r="B700" t="s">
        <v>2258</v>
      </c>
      <c r="C700" t="s">
        <v>2259</v>
      </c>
      <c r="D700" t="s">
        <v>2260</v>
      </c>
      <c r="E700" t="s">
        <v>1975</v>
      </c>
      <c r="F700" t="s">
        <v>2261</v>
      </c>
      <c r="G700" t="s">
        <v>2262</v>
      </c>
      <c r="H700" t="s">
        <v>2263</v>
      </c>
      <c r="I700" t="s">
        <v>2264</v>
      </c>
    </row>
    <row r="701" spans="1:9" x14ac:dyDescent="0.2">
      <c r="A701" t="s">
        <v>2265</v>
      </c>
    </row>
    <row r="702" spans="1:9" x14ac:dyDescent="0.2">
      <c r="A702" t="s">
        <v>2266</v>
      </c>
      <c r="B702" t="s">
        <v>2267</v>
      </c>
      <c r="C702" t="s">
        <v>2268</v>
      </c>
      <c r="D702" t="s">
        <v>1658</v>
      </c>
      <c r="E702" t="s">
        <v>2269</v>
      </c>
      <c r="F702" t="s">
        <v>1780</v>
      </c>
      <c r="G702" t="s">
        <v>2270</v>
      </c>
      <c r="H702" t="s">
        <v>1599</v>
      </c>
      <c r="I702" t="s">
        <v>2271</v>
      </c>
    </row>
    <row r="703" spans="1:9" x14ac:dyDescent="0.2">
      <c r="A703" t="s">
        <v>2272</v>
      </c>
    </row>
    <row r="704" spans="1:9" x14ac:dyDescent="0.2">
      <c r="A704" t="s">
        <v>2273</v>
      </c>
      <c r="B704" t="s">
        <v>2274</v>
      </c>
    </row>
    <row r="706" spans="1:9" x14ac:dyDescent="0.2">
      <c r="A706" t="s">
        <v>2275</v>
      </c>
    </row>
    <row r="707" spans="1:9" x14ac:dyDescent="0.2">
      <c r="A707" t="s">
        <v>2276</v>
      </c>
    </row>
    <row r="708" spans="1:9" x14ac:dyDescent="0.2">
      <c r="A708" t="s">
        <v>2277</v>
      </c>
    </row>
    <row r="710" spans="1:9" x14ac:dyDescent="0.2">
      <c r="A710" t="s">
        <v>2278</v>
      </c>
    </row>
    <row r="711" spans="1:9" x14ac:dyDescent="0.2">
      <c r="A711" t="s">
        <v>2279</v>
      </c>
    </row>
    <row r="712" spans="1:9" x14ac:dyDescent="0.2">
      <c r="A712" t="s">
        <v>2280</v>
      </c>
    </row>
    <row r="713" spans="1:9" x14ac:dyDescent="0.2">
      <c r="A713" t="s">
        <v>2281</v>
      </c>
      <c r="B713" t="s">
        <v>2282</v>
      </c>
      <c r="C713" t="s">
        <v>2283</v>
      </c>
      <c r="D713" t="s">
        <v>2284</v>
      </c>
      <c r="E713" t="s">
        <v>2285</v>
      </c>
      <c r="F713" t="s">
        <v>1658</v>
      </c>
      <c r="G713" t="s">
        <v>2159</v>
      </c>
      <c r="H713" t="s">
        <v>2160</v>
      </c>
      <c r="I713" t="s">
        <v>2286</v>
      </c>
    </row>
    <row r="714" spans="1:9" x14ac:dyDescent="0.2">
      <c r="A714" t="s">
        <v>2287</v>
      </c>
    </row>
    <row r="715" spans="1:9" x14ac:dyDescent="0.2">
      <c r="A715" t="s">
        <v>2288</v>
      </c>
      <c r="B715" t="s">
        <v>2289</v>
      </c>
      <c r="C715" t="s">
        <v>2290</v>
      </c>
      <c r="D715" t="s">
        <v>1595</v>
      </c>
      <c r="E715" t="s">
        <v>2291</v>
      </c>
      <c r="F715" t="s">
        <v>2292</v>
      </c>
      <c r="G715" t="s">
        <v>2293</v>
      </c>
      <c r="H715" t="s">
        <v>2294</v>
      </c>
      <c r="I715" t="s">
        <v>2295</v>
      </c>
    </row>
    <row r="716" spans="1:9" x14ac:dyDescent="0.2">
      <c r="A716" t="s">
        <v>2296</v>
      </c>
    </row>
    <row r="717" spans="1:9" x14ac:dyDescent="0.2">
      <c r="A717" t="s">
        <v>2297</v>
      </c>
    </row>
    <row r="719" spans="1:9" x14ac:dyDescent="0.2">
      <c r="A719" t="s">
        <v>2298</v>
      </c>
    </row>
    <row r="720" spans="1:9" x14ac:dyDescent="0.2">
      <c r="A720" t="s">
        <v>2299</v>
      </c>
      <c r="B720" t="s">
        <v>2300</v>
      </c>
      <c r="C720" t="s">
        <v>2301</v>
      </c>
      <c r="D720" t="s">
        <v>2021</v>
      </c>
      <c r="E720" t="s">
        <v>1587</v>
      </c>
      <c r="F720" t="s">
        <v>2302</v>
      </c>
      <c r="G720" t="s">
        <v>2303</v>
      </c>
      <c r="H720">
        <v>0</v>
      </c>
    </row>
    <row r="721" spans="1:9" x14ac:dyDescent="0.2">
      <c r="A721" t="s">
        <v>2304</v>
      </c>
    </row>
    <row r="723" spans="1:9" x14ac:dyDescent="0.2">
      <c r="A723" t="s">
        <v>2305</v>
      </c>
    </row>
    <row r="725" spans="1:9" x14ac:dyDescent="0.2">
      <c r="A725" t="s">
        <v>2306</v>
      </c>
    </row>
    <row r="727" spans="1:9" x14ac:dyDescent="0.2">
      <c r="A727" t="s">
        <v>2307</v>
      </c>
    </row>
    <row r="728" spans="1:9" x14ac:dyDescent="0.2">
      <c r="A728" t="s">
        <v>2308</v>
      </c>
      <c r="B728" t="s">
        <v>2309</v>
      </c>
      <c r="C728" t="s">
        <v>2310</v>
      </c>
      <c r="D728" t="s">
        <v>2311</v>
      </c>
      <c r="E728" t="s">
        <v>2312</v>
      </c>
      <c r="F728" t="s">
        <v>2313</v>
      </c>
      <c r="G728">
        <v>0</v>
      </c>
    </row>
    <row r="729" spans="1:9" x14ac:dyDescent="0.2">
      <c r="A729" t="s">
        <v>2314</v>
      </c>
      <c r="B729" t="s">
        <v>2315</v>
      </c>
      <c r="C729" t="s">
        <v>2316</v>
      </c>
      <c r="D729" t="s">
        <v>2317</v>
      </c>
      <c r="E729">
        <v>79</v>
      </c>
      <c r="F729">
        <v>38</v>
      </c>
      <c r="G729" t="s">
        <v>2318</v>
      </c>
      <c r="H729" t="s">
        <v>2319</v>
      </c>
      <c r="I729" t="s">
        <v>2320</v>
      </c>
    </row>
    <row r="730" spans="1:9" x14ac:dyDescent="0.2">
      <c r="A730" t="s">
        <v>2321</v>
      </c>
    </row>
    <row r="731" spans="1:9" x14ac:dyDescent="0.2">
      <c r="A731" t="s">
        <v>2322</v>
      </c>
    </row>
    <row r="732" spans="1:9" x14ac:dyDescent="0.2">
      <c r="A732" t="s">
        <v>2323</v>
      </c>
    </row>
    <row r="733" spans="1:9" x14ac:dyDescent="0.2">
      <c r="A733" t="s">
        <v>2324</v>
      </c>
    </row>
    <row r="734" spans="1:9" x14ac:dyDescent="0.2">
      <c r="A734" t="s">
        <v>2325</v>
      </c>
      <c r="B734" t="s">
        <v>2326</v>
      </c>
      <c r="C734" t="s">
        <v>2327</v>
      </c>
      <c r="D734" t="s">
        <v>2328</v>
      </c>
      <c r="E734">
        <v>5</v>
      </c>
      <c r="F734" s="195">
        <v>0.06</v>
      </c>
      <c r="G734" t="s">
        <v>2303</v>
      </c>
      <c r="H734">
        <v>0</v>
      </c>
    </row>
    <row r="735" spans="1:9" x14ac:dyDescent="0.2">
      <c r="A735" t="s">
        <v>2329</v>
      </c>
      <c r="B735" t="s">
        <v>2330</v>
      </c>
    </row>
    <row r="736" spans="1:9" x14ac:dyDescent="0.2">
      <c r="A736" t="s">
        <v>2331</v>
      </c>
      <c r="B736" t="s">
        <v>2332</v>
      </c>
      <c r="C736" t="s">
        <v>2333</v>
      </c>
      <c r="D736">
        <v>0</v>
      </c>
      <c r="E736">
        <v>0</v>
      </c>
    </row>
    <row r="737" spans="1:9" x14ac:dyDescent="0.2">
      <c r="A737" t="s">
        <v>2334</v>
      </c>
      <c r="B737" t="s">
        <v>2335</v>
      </c>
    </row>
    <row r="738" spans="1:9" x14ac:dyDescent="0.2">
      <c r="A738" t="s">
        <v>2336</v>
      </c>
      <c r="B738" t="s">
        <v>2337</v>
      </c>
    </row>
    <row r="740" spans="1:9" x14ac:dyDescent="0.2">
      <c r="A740" t="s">
        <v>2338</v>
      </c>
    </row>
    <row r="741" spans="1:9" x14ac:dyDescent="0.2">
      <c r="A741" t="s">
        <v>2339</v>
      </c>
    </row>
    <row r="742" spans="1:9" x14ac:dyDescent="0.2">
      <c r="A742" t="s">
        <v>2340</v>
      </c>
    </row>
    <row r="743" spans="1:9" x14ac:dyDescent="0.2">
      <c r="A743" t="s">
        <v>2341</v>
      </c>
      <c r="B743" t="s">
        <v>2342</v>
      </c>
    </row>
    <row r="744" spans="1:9" x14ac:dyDescent="0.2">
      <c r="A744" t="s">
        <v>2343</v>
      </c>
      <c r="B744" t="s">
        <v>2344</v>
      </c>
      <c r="C744" t="s">
        <v>2345</v>
      </c>
      <c r="D744" t="s">
        <v>2346</v>
      </c>
      <c r="E744" t="s">
        <v>1556</v>
      </c>
      <c r="F744" t="s">
        <v>2020</v>
      </c>
      <c r="G744" t="s">
        <v>2347</v>
      </c>
      <c r="H744" t="s">
        <v>2348</v>
      </c>
      <c r="I744" t="s">
        <v>2349</v>
      </c>
    </row>
    <row r="745" spans="1:9" x14ac:dyDescent="0.2">
      <c r="A745" t="s">
        <v>2350</v>
      </c>
      <c r="B745" t="s">
        <v>2351</v>
      </c>
      <c r="C745" t="s">
        <v>2352</v>
      </c>
      <c r="D745" t="s">
        <v>2353</v>
      </c>
      <c r="E745" t="s">
        <v>2285</v>
      </c>
      <c r="F745" t="s">
        <v>1554</v>
      </c>
      <c r="G745" t="s">
        <v>2239</v>
      </c>
      <c r="H745" t="s">
        <v>2354</v>
      </c>
      <c r="I745">
        <v>0</v>
      </c>
    </row>
    <row r="746" spans="1:9" x14ac:dyDescent="0.2">
      <c r="A746" t="s">
        <v>2355</v>
      </c>
    </row>
    <row r="747" spans="1:9" x14ac:dyDescent="0.2">
      <c r="A747" t="s">
        <v>2356</v>
      </c>
    </row>
    <row r="748" spans="1:9" x14ac:dyDescent="0.2">
      <c r="A748" t="s">
        <v>2357</v>
      </c>
    </row>
    <row r="749" spans="1:9" x14ac:dyDescent="0.2">
      <c r="A749" t="s">
        <v>2358</v>
      </c>
      <c r="B749" t="s">
        <v>2359</v>
      </c>
      <c r="C749" t="s">
        <v>2360</v>
      </c>
      <c r="D749" t="s">
        <v>2361</v>
      </c>
      <c r="E749" t="s">
        <v>1751</v>
      </c>
      <c r="F749" t="s">
        <v>2362</v>
      </c>
      <c r="G749" t="s">
        <v>2363</v>
      </c>
      <c r="H749" t="s">
        <v>2364</v>
      </c>
      <c r="I749" t="s">
        <v>2365</v>
      </c>
    </row>
    <row r="750" spans="1:9" x14ac:dyDescent="0.2">
      <c r="A750" t="s">
        <v>2366</v>
      </c>
      <c r="B750" t="s">
        <v>2367</v>
      </c>
      <c r="C750" t="s">
        <v>2368</v>
      </c>
      <c r="D750" t="s">
        <v>1666</v>
      </c>
      <c r="E750" t="s">
        <v>2369</v>
      </c>
      <c r="F750" t="s">
        <v>2370</v>
      </c>
      <c r="G750" t="s">
        <v>2371</v>
      </c>
      <c r="H750" t="s">
        <v>2372</v>
      </c>
      <c r="I750" t="s">
        <v>2373</v>
      </c>
    </row>
    <row r="751" spans="1:9" x14ac:dyDescent="0.2">
      <c r="A751" t="s">
        <v>2374</v>
      </c>
      <c r="B751" t="s">
        <v>2375</v>
      </c>
      <c r="C751" t="s">
        <v>2376</v>
      </c>
      <c r="D751" t="s">
        <v>2317</v>
      </c>
      <c r="E751">
        <v>80</v>
      </c>
      <c r="F751">
        <v>0</v>
      </c>
    </row>
    <row r="752" spans="1:9" x14ac:dyDescent="0.2">
      <c r="A752" t="s">
        <v>2377</v>
      </c>
      <c r="B752" t="s">
        <v>2378</v>
      </c>
      <c r="C752" t="s">
        <v>2379</v>
      </c>
      <c r="D752" t="s">
        <v>1751</v>
      </c>
      <c r="E752" t="s">
        <v>1666</v>
      </c>
      <c r="F752" t="s">
        <v>2380</v>
      </c>
      <c r="G752" t="s">
        <v>2381</v>
      </c>
      <c r="H752" t="s">
        <v>2239</v>
      </c>
      <c r="I752" t="s">
        <v>2382</v>
      </c>
    </row>
    <row r="753" spans="1:9" x14ac:dyDescent="0.2">
      <c r="A753" t="s">
        <v>2383</v>
      </c>
    </row>
    <row r="754" spans="1:9" x14ac:dyDescent="0.2">
      <c r="A754" t="s">
        <v>2384</v>
      </c>
    </row>
    <row r="755" spans="1:9" x14ac:dyDescent="0.2">
      <c r="A755" t="s">
        <v>2385</v>
      </c>
      <c r="B755" t="s">
        <v>2386</v>
      </c>
      <c r="C755" t="s">
        <v>2387</v>
      </c>
      <c r="D755" t="s">
        <v>2353</v>
      </c>
      <c r="E755" t="s">
        <v>2302</v>
      </c>
      <c r="F755" t="s">
        <v>1772</v>
      </c>
      <c r="G755" t="s">
        <v>2388</v>
      </c>
      <c r="H755" t="s">
        <v>2389</v>
      </c>
      <c r="I755" t="s">
        <v>2390</v>
      </c>
    </row>
    <row r="756" spans="1:9" x14ac:dyDescent="0.2">
      <c r="A756" t="s">
        <v>2391</v>
      </c>
    </row>
    <row r="758" spans="1:9" x14ac:dyDescent="0.2">
      <c r="A758" t="s">
        <v>2392</v>
      </c>
    </row>
    <row r="759" spans="1:9" x14ac:dyDescent="0.2">
      <c r="A759" t="s">
        <v>2393</v>
      </c>
    </row>
    <row r="760" spans="1:9" x14ac:dyDescent="0.2">
      <c r="A760" t="s">
        <v>2394</v>
      </c>
    </row>
    <row r="761" spans="1:9" x14ac:dyDescent="0.2">
      <c r="A761" t="s">
        <v>2395</v>
      </c>
    </row>
    <row r="763" spans="1:9" x14ac:dyDescent="0.2">
      <c r="A763" t="s">
        <v>2396</v>
      </c>
      <c r="B763" t="s">
        <v>2397</v>
      </c>
      <c r="C763" t="s">
        <v>2398</v>
      </c>
      <c r="D763" t="s">
        <v>2399</v>
      </c>
      <c r="E763" t="s">
        <v>2400</v>
      </c>
      <c r="F763" t="s">
        <v>2401</v>
      </c>
      <c r="G763" t="s">
        <v>2402</v>
      </c>
      <c r="H763" t="s">
        <v>2403</v>
      </c>
      <c r="I763" t="s">
        <v>2404</v>
      </c>
    </row>
    <row r="764" spans="1:9" x14ac:dyDescent="0.2">
      <c r="A764" t="s">
        <v>2405</v>
      </c>
    </row>
    <row r="765" spans="1:9" x14ac:dyDescent="0.2">
      <c r="A765" t="s">
        <v>2406</v>
      </c>
      <c r="B765" t="s">
        <v>2407</v>
      </c>
      <c r="C765" t="s">
        <v>2408</v>
      </c>
      <c r="D765">
        <v>20</v>
      </c>
      <c r="E765">
        <v>26</v>
      </c>
      <c r="F765" t="s">
        <v>1596</v>
      </c>
      <c r="G765" t="s">
        <v>2409</v>
      </c>
      <c r="H765" t="s">
        <v>2410</v>
      </c>
      <c r="I765" t="s">
        <v>2411</v>
      </c>
    </row>
    <row r="766" spans="1:9" x14ac:dyDescent="0.2">
      <c r="A766" t="s">
        <v>2412</v>
      </c>
    </row>
    <row r="767" spans="1:9" x14ac:dyDescent="0.2">
      <c r="A767" t="s">
        <v>2413</v>
      </c>
      <c r="B767" t="s">
        <v>2414</v>
      </c>
      <c r="C767" t="s">
        <v>2415</v>
      </c>
      <c r="D767">
        <v>26</v>
      </c>
      <c r="E767" t="s">
        <v>2312</v>
      </c>
      <c r="F767" t="s">
        <v>1830</v>
      </c>
      <c r="G767">
        <v>1609</v>
      </c>
      <c r="H767" t="s">
        <v>2416</v>
      </c>
      <c r="I767" t="s">
        <v>2417</v>
      </c>
    </row>
    <row r="768" spans="1:9" x14ac:dyDescent="0.2">
      <c r="A768" t="s">
        <v>2418</v>
      </c>
      <c r="B768" t="s">
        <v>2419</v>
      </c>
    </row>
    <row r="769" spans="1:9" x14ac:dyDescent="0.2">
      <c r="A769" t="s">
        <v>2420</v>
      </c>
      <c r="B769" t="s">
        <v>2421</v>
      </c>
    </row>
    <row r="771" spans="1:9" x14ac:dyDescent="0.2">
      <c r="A771" t="s">
        <v>2422</v>
      </c>
    </row>
    <row r="772" spans="1:9" x14ac:dyDescent="0.2">
      <c r="A772" t="s">
        <v>2423</v>
      </c>
    </row>
    <row r="773" spans="1:9" x14ac:dyDescent="0.2">
      <c r="A773" t="s">
        <v>2424</v>
      </c>
    </row>
    <row r="775" spans="1:9" x14ac:dyDescent="0.2">
      <c r="A775" t="s">
        <v>2425</v>
      </c>
    </row>
    <row r="776" spans="1:9" x14ac:dyDescent="0.2">
      <c r="A776" t="s">
        <v>2426</v>
      </c>
    </row>
    <row r="777" spans="1:9" x14ac:dyDescent="0.2">
      <c r="A777" t="s">
        <v>2427</v>
      </c>
    </row>
    <row r="778" spans="1:9" x14ac:dyDescent="0.2">
      <c r="A778" t="s">
        <v>2428</v>
      </c>
      <c r="B778" t="s">
        <v>2429</v>
      </c>
      <c r="C778" t="s">
        <v>2430</v>
      </c>
      <c r="D778" t="s">
        <v>1751</v>
      </c>
      <c r="E778" t="s">
        <v>1666</v>
      </c>
      <c r="F778" t="s">
        <v>2380</v>
      </c>
      <c r="G778" t="s">
        <v>2431</v>
      </c>
      <c r="H778" t="s">
        <v>2293</v>
      </c>
      <c r="I778" t="s">
        <v>2432</v>
      </c>
    </row>
    <row r="779" spans="1:9" x14ac:dyDescent="0.2">
      <c r="A779" t="s">
        <v>2433</v>
      </c>
      <c r="B779" t="s">
        <v>2434</v>
      </c>
      <c r="C779" t="s">
        <v>2435</v>
      </c>
      <c r="D779" t="s">
        <v>1751</v>
      </c>
      <c r="E779" t="s">
        <v>1587</v>
      </c>
      <c r="F779" t="s">
        <v>2158</v>
      </c>
      <c r="G779" t="s">
        <v>1599</v>
      </c>
      <c r="H779" t="s">
        <v>2436</v>
      </c>
      <c r="I779" t="s">
        <v>2437</v>
      </c>
    </row>
    <row r="780" spans="1:9" x14ac:dyDescent="0.2">
      <c r="A780" t="s">
        <v>2438</v>
      </c>
    </row>
    <row r="782" spans="1:9" x14ac:dyDescent="0.2">
      <c r="A782" t="s">
        <v>2439</v>
      </c>
    </row>
    <row r="783" spans="1:9" x14ac:dyDescent="0.2">
      <c r="A783" t="s">
        <v>2440</v>
      </c>
    </row>
    <row r="784" spans="1:9" x14ac:dyDescent="0.2">
      <c r="A784" t="s">
        <v>2441</v>
      </c>
      <c r="B784" t="s">
        <v>2442</v>
      </c>
      <c r="C784" t="s">
        <v>2443</v>
      </c>
      <c r="D784" t="s">
        <v>2165</v>
      </c>
      <c r="E784" t="s">
        <v>1587</v>
      </c>
      <c r="F784" t="s">
        <v>2020</v>
      </c>
      <c r="G784" t="s">
        <v>2444</v>
      </c>
      <c r="H784" t="s">
        <v>2445</v>
      </c>
      <c r="I784" t="s">
        <v>2446</v>
      </c>
    </row>
    <row r="785" spans="1:9" x14ac:dyDescent="0.2">
      <c r="A785" t="s">
        <v>2447</v>
      </c>
      <c r="B785" t="s">
        <v>2448</v>
      </c>
      <c r="C785" t="s">
        <v>2449</v>
      </c>
      <c r="D785" t="s">
        <v>1762</v>
      </c>
      <c r="E785" t="s">
        <v>2450</v>
      </c>
      <c r="F785" t="s">
        <v>1657</v>
      </c>
      <c r="G785" t="s">
        <v>2451</v>
      </c>
      <c r="H785" t="s">
        <v>2452</v>
      </c>
      <c r="I785" t="s">
        <v>2453</v>
      </c>
    </row>
    <row r="786" spans="1:9" x14ac:dyDescent="0.2">
      <c r="A786" t="s">
        <v>2454</v>
      </c>
      <c r="B786" t="s">
        <v>2455</v>
      </c>
      <c r="C786" t="s">
        <v>2456</v>
      </c>
      <c r="D786" t="s">
        <v>2370</v>
      </c>
      <c r="E786" t="s">
        <v>1585</v>
      </c>
      <c r="F786" t="s">
        <v>1554</v>
      </c>
      <c r="G786" t="s">
        <v>2457</v>
      </c>
      <c r="H786" t="s">
        <v>2458</v>
      </c>
      <c r="I786" t="s">
        <v>2459</v>
      </c>
    </row>
    <row r="787" spans="1:9" x14ac:dyDescent="0.2">
      <c r="A787" t="s">
        <v>2460</v>
      </c>
      <c r="B787" t="s">
        <v>2461</v>
      </c>
      <c r="C787" t="s">
        <v>2462</v>
      </c>
      <c r="D787" t="s">
        <v>1587</v>
      </c>
      <c r="E787" t="s">
        <v>2020</v>
      </c>
      <c r="F787" t="s">
        <v>1666</v>
      </c>
      <c r="G787" t="s">
        <v>2167</v>
      </c>
      <c r="H787" t="s">
        <v>2463</v>
      </c>
      <c r="I787" t="s">
        <v>2464</v>
      </c>
    </row>
    <row r="788" spans="1:9" x14ac:dyDescent="0.2">
      <c r="A788" t="s">
        <v>2465</v>
      </c>
      <c r="B788" t="s">
        <v>2466</v>
      </c>
      <c r="C788" t="s">
        <v>2467</v>
      </c>
      <c r="D788" t="s">
        <v>2468</v>
      </c>
      <c r="E788" t="s">
        <v>2469</v>
      </c>
      <c r="F788" t="s">
        <v>2470</v>
      </c>
      <c r="G788" t="s">
        <v>2471</v>
      </c>
      <c r="H788" t="s">
        <v>2472</v>
      </c>
      <c r="I788" t="s">
        <v>2473</v>
      </c>
    </row>
    <row r="789" spans="1:9" x14ac:dyDescent="0.2">
      <c r="A789" t="s">
        <v>2474</v>
      </c>
    </row>
    <row r="790" spans="1:9" x14ac:dyDescent="0.2">
      <c r="A790" t="s">
        <v>2475</v>
      </c>
    </row>
    <row r="792" spans="1:9" x14ac:dyDescent="0.2">
      <c r="A792" t="s">
        <v>2476</v>
      </c>
    </row>
    <row r="793" spans="1:9" x14ac:dyDescent="0.2">
      <c r="A793" t="s">
        <v>1990</v>
      </c>
    </row>
    <row r="794" spans="1:9" x14ac:dyDescent="0.2">
      <c r="A794" t="s">
        <v>2477</v>
      </c>
    </row>
    <row r="795" spans="1:9" x14ac:dyDescent="0.2">
      <c r="A795" t="s">
        <v>2478</v>
      </c>
    </row>
    <row r="796" spans="1:9" x14ac:dyDescent="0.2">
      <c r="A796" t="s">
        <v>2479</v>
      </c>
      <c r="B796" t="s">
        <v>2480</v>
      </c>
    </row>
    <row r="797" spans="1:9" x14ac:dyDescent="0.2">
      <c r="A797" t="s">
        <v>2481</v>
      </c>
      <c r="B797" t="s">
        <v>2482</v>
      </c>
    </row>
    <row r="798" spans="1:9" x14ac:dyDescent="0.2">
      <c r="A798" t="s">
        <v>2483</v>
      </c>
      <c r="B798" t="s">
        <v>2484</v>
      </c>
      <c r="C798" t="s">
        <v>2485</v>
      </c>
      <c r="D798" t="s">
        <v>2486</v>
      </c>
      <c r="E798" t="s">
        <v>2399</v>
      </c>
      <c r="F798" t="s">
        <v>2400</v>
      </c>
      <c r="G798" t="s">
        <v>2487</v>
      </c>
      <c r="H798" t="s">
        <v>2488</v>
      </c>
      <c r="I798" t="s">
        <v>2489</v>
      </c>
    </row>
    <row r="799" spans="1:9" x14ac:dyDescent="0.2">
      <c r="A799" t="s">
        <v>2490</v>
      </c>
      <c r="B799" t="s">
        <v>2491</v>
      </c>
      <c r="C799" t="s">
        <v>2164</v>
      </c>
      <c r="D799" t="s">
        <v>1587</v>
      </c>
      <c r="E799" t="s">
        <v>2165</v>
      </c>
      <c r="F799" t="s">
        <v>1587</v>
      </c>
      <c r="G799" t="s">
        <v>2166</v>
      </c>
      <c r="H799" t="s">
        <v>2167</v>
      </c>
      <c r="I799" t="s">
        <v>2492</v>
      </c>
    </row>
    <row r="800" spans="1:9" x14ac:dyDescent="0.2">
      <c r="A800" t="s">
        <v>2493</v>
      </c>
      <c r="B800" t="s">
        <v>2494</v>
      </c>
      <c r="C800" t="s">
        <v>2495</v>
      </c>
      <c r="D800">
        <v>80</v>
      </c>
      <c r="E800">
        <v>0</v>
      </c>
    </row>
    <row r="801" spans="1:9" x14ac:dyDescent="0.2">
      <c r="A801" t="s">
        <v>2496</v>
      </c>
    </row>
    <row r="802" spans="1:9" x14ac:dyDescent="0.2">
      <c r="A802" t="s">
        <v>2497</v>
      </c>
      <c r="B802" t="s">
        <v>2498</v>
      </c>
    </row>
    <row r="804" spans="1:9" x14ac:dyDescent="0.2">
      <c r="A804" t="s">
        <v>2499</v>
      </c>
    </row>
    <row r="805" spans="1:9" x14ac:dyDescent="0.2">
      <c r="A805" t="s">
        <v>2500</v>
      </c>
    </row>
    <row r="806" spans="1:9" x14ac:dyDescent="0.2">
      <c r="A806" t="s">
        <v>2501</v>
      </c>
      <c r="B806" t="s">
        <v>2502</v>
      </c>
      <c r="C806">
        <v>8000</v>
      </c>
    </row>
    <row r="807" spans="1:9" x14ac:dyDescent="0.2">
      <c r="A807" t="s">
        <v>2503</v>
      </c>
      <c r="B807" t="s">
        <v>2504</v>
      </c>
    </row>
    <row r="808" spans="1:9" x14ac:dyDescent="0.2">
      <c r="A808" t="s">
        <v>2505</v>
      </c>
    </row>
    <row r="809" spans="1:9" x14ac:dyDescent="0.2">
      <c r="A809" t="s">
        <v>2506</v>
      </c>
      <c r="B809" t="s">
        <v>2507</v>
      </c>
      <c r="C809" t="s">
        <v>2508</v>
      </c>
      <c r="D809" t="s">
        <v>2509</v>
      </c>
      <c r="E809" t="s">
        <v>2510</v>
      </c>
      <c r="F809" t="s">
        <v>1585</v>
      </c>
      <c r="G809" t="s">
        <v>1599</v>
      </c>
      <c r="H809" t="s">
        <v>1668</v>
      </c>
      <c r="I809" t="s">
        <v>2511</v>
      </c>
    </row>
    <row r="810" spans="1:9" x14ac:dyDescent="0.2">
      <c r="A810" t="s">
        <v>2512</v>
      </c>
    </row>
    <row r="811" spans="1:9" x14ac:dyDescent="0.2">
      <c r="A811" t="s">
        <v>2513</v>
      </c>
    </row>
    <row r="812" spans="1:9" x14ac:dyDescent="0.2">
      <c r="A812" t="s">
        <v>2514</v>
      </c>
    </row>
    <row r="813" spans="1:9" x14ac:dyDescent="0.2">
      <c r="A813" t="s">
        <v>2515</v>
      </c>
      <c r="B813" t="s">
        <v>2516</v>
      </c>
      <c r="C813">
        <v>6000</v>
      </c>
    </row>
    <row r="814" spans="1:9" x14ac:dyDescent="0.2">
      <c r="A814" t="s">
        <v>2517</v>
      </c>
      <c r="B814" t="s">
        <v>2518</v>
      </c>
      <c r="C814" t="s">
        <v>2519</v>
      </c>
      <c r="D814">
        <v>14</v>
      </c>
      <c r="E814">
        <v>86</v>
      </c>
      <c r="F814" t="s">
        <v>1830</v>
      </c>
      <c r="G814" t="s">
        <v>2520</v>
      </c>
      <c r="H814" t="s">
        <v>2521</v>
      </c>
      <c r="I814" t="s">
        <v>2522</v>
      </c>
    </row>
    <row r="815" spans="1:9" x14ac:dyDescent="0.2">
      <c r="A815" t="s">
        <v>2523</v>
      </c>
    </row>
    <row r="816" spans="1:9" x14ac:dyDescent="0.2">
      <c r="A816" t="s">
        <v>2524</v>
      </c>
      <c r="B816" t="s">
        <v>2525</v>
      </c>
      <c r="C816" t="s">
        <v>2526</v>
      </c>
      <c r="D816" t="s">
        <v>1658</v>
      </c>
      <c r="E816" t="s">
        <v>1751</v>
      </c>
      <c r="F816" t="s">
        <v>1666</v>
      </c>
      <c r="G816" t="s">
        <v>2527</v>
      </c>
      <c r="H816" t="s">
        <v>2528</v>
      </c>
      <c r="I816" t="s">
        <v>2529</v>
      </c>
    </row>
    <row r="817" spans="1:9" x14ac:dyDescent="0.2">
      <c r="A817" t="s">
        <v>2530</v>
      </c>
    </row>
    <row r="818" spans="1:9" x14ac:dyDescent="0.2">
      <c r="A818" t="s">
        <v>2531</v>
      </c>
    </row>
    <row r="819" spans="1:9" x14ac:dyDescent="0.2">
      <c r="A819" t="s">
        <v>2532</v>
      </c>
    </row>
    <row r="820" spans="1:9" x14ac:dyDescent="0.2">
      <c r="A820" t="s">
        <v>2533</v>
      </c>
      <c r="B820" t="s">
        <v>2534</v>
      </c>
    </row>
    <row r="821" spans="1:9" x14ac:dyDescent="0.2">
      <c r="A821" t="s">
        <v>2535</v>
      </c>
    </row>
    <row r="822" spans="1:9" x14ac:dyDescent="0.2">
      <c r="A822" t="s">
        <v>2536</v>
      </c>
      <c r="B822" t="s">
        <v>2537</v>
      </c>
      <c r="C822" t="s">
        <v>2538</v>
      </c>
      <c r="D822" t="s">
        <v>2539</v>
      </c>
      <c r="E822" t="s">
        <v>1666</v>
      </c>
      <c r="F822" t="s">
        <v>1620</v>
      </c>
      <c r="G822" t="s">
        <v>2540</v>
      </c>
      <c r="H822" t="s">
        <v>2541</v>
      </c>
      <c r="I822" t="s">
        <v>2542</v>
      </c>
    </row>
    <row r="823" spans="1:9" x14ac:dyDescent="0.2">
      <c r="A823" t="s">
        <v>2543</v>
      </c>
    </row>
    <row r="824" spans="1:9" x14ac:dyDescent="0.2">
      <c r="A824" t="s">
        <v>2544</v>
      </c>
      <c r="B824" t="s">
        <v>2545</v>
      </c>
      <c r="C824" t="s">
        <v>2546</v>
      </c>
      <c r="D824">
        <v>2</v>
      </c>
      <c r="E824">
        <v>6</v>
      </c>
      <c r="F824" t="s">
        <v>2317</v>
      </c>
      <c r="G824">
        <v>3160</v>
      </c>
      <c r="H824" t="s">
        <v>2547</v>
      </c>
      <c r="I824" t="s">
        <v>2548</v>
      </c>
    </row>
    <row r="825" spans="1:9" x14ac:dyDescent="0.2">
      <c r="A825" t="s">
        <v>2549</v>
      </c>
    </row>
    <row r="826" spans="1:9" x14ac:dyDescent="0.2">
      <c r="A826" t="s">
        <v>2550</v>
      </c>
      <c r="B826" t="s">
        <v>2551</v>
      </c>
    </row>
    <row r="828" spans="1:9" x14ac:dyDescent="0.2">
      <c r="A828" t="s">
        <v>2552</v>
      </c>
    </row>
    <row r="829" spans="1:9" x14ac:dyDescent="0.2">
      <c r="A829" t="s">
        <v>2553</v>
      </c>
    </row>
    <row r="830" spans="1:9" x14ac:dyDescent="0.2">
      <c r="A830" t="s">
        <v>2554</v>
      </c>
    </row>
    <row r="832" spans="1:9" x14ac:dyDescent="0.2">
      <c r="A832" t="s">
        <v>2555</v>
      </c>
    </row>
    <row r="833" spans="1:9" x14ac:dyDescent="0.2">
      <c r="A833" t="s">
        <v>2556</v>
      </c>
    </row>
    <row r="834" spans="1:9" x14ac:dyDescent="0.2">
      <c r="A834" t="s">
        <v>2557</v>
      </c>
    </row>
    <row r="835" spans="1:9" x14ac:dyDescent="0.2">
      <c r="A835" t="s">
        <v>2558</v>
      </c>
      <c r="B835" t="s">
        <v>2559</v>
      </c>
      <c r="C835" t="s">
        <v>2560</v>
      </c>
      <c r="D835" t="s">
        <v>2561</v>
      </c>
      <c r="E835" t="s">
        <v>1554</v>
      </c>
      <c r="F835" t="s">
        <v>1555</v>
      </c>
      <c r="G835" t="s">
        <v>1599</v>
      </c>
      <c r="H835" t="s">
        <v>2208</v>
      </c>
      <c r="I835" t="s">
        <v>2562</v>
      </c>
    </row>
    <row r="836" spans="1:9" x14ac:dyDescent="0.2">
      <c r="A836" t="s">
        <v>2563</v>
      </c>
    </row>
    <row r="837" spans="1:9" x14ac:dyDescent="0.2">
      <c r="A837" t="s">
        <v>2564</v>
      </c>
      <c r="B837" t="s">
        <v>2565</v>
      </c>
      <c r="C837" t="s">
        <v>2566</v>
      </c>
      <c r="D837" t="s">
        <v>1658</v>
      </c>
      <c r="E837" t="s">
        <v>1595</v>
      </c>
      <c r="F837" t="s">
        <v>2291</v>
      </c>
      <c r="G837" t="s">
        <v>2567</v>
      </c>
      <c r="H837" t="s">
        <v>2568</v>
      </c>
      <c r="I837" t="s">
        <v>2569</v>
      </c>
    </row>
    <row r="838" spans="1:9" x14ac:dyDescent="0.2">
      <c r="A838" t="s">
        <v>2570</v>
      </c>
    </row>
    <row r="840" spans="1:9" x14ac:dyDescent="0.2">
      <c r="A840" t="s">
        <v>2571</v>
      </c>
    </row>
    <row r="841" spans="1:9" x14ac:dyDescent="0.2">
      <c r="A841" t="s">
        <v>2572</v>
      </c>
    </row>
    <row r="842" spans="1:9" x14ac:dyDescent="0.2">
      <c r="A842" t="s">
        <v>2573</v>
      </c>
    </row>
    <row r="843" spans="1:9" x14ac:dyDescent="0.2">
      <c r="A843" t="s">
        <v>2574</v>
      </c>
    </row>
    <row r="844" spans="1:9" x14ac:dyDescent="0.2">
      <c r="A844" t="s">
        <v>2575</v>
      </c>
    </row>
    <row r="846" spans="1:9" x14ac:dyDescent="0.2">
      <c r="A846" t="s">
        <v>2576</v>
      </c>
    </row>
    <row r="847" spans="1:9" x14ac:dyDescent="0.2">
      <c r="A847" t="s">
        <v>2577</v>
      </c>
      <c r="B847" t="s">
        <v>2578</v>
      </c>
      <c r="C847" t="s">
        <v>2579</v>
      </c>
      <c r="D847" t="s">
        <v>2580</v>
      </c>
      <c r="E847" t="s">
        <v>2269</v>
      </c>
      <c r="F847" t="s">
        <v>1780</v>
      </c>
      <c r="G847" t="s">
        <v>2270</v>
      </c>
      <c r="H847" t="s">
        <v>1599</v>
      </c>
      <c r="I847" t="s">
        <v>2581</v>
      </c>
    </row>
    <row r="848" spans="1:9" x14ac:dyDescent="0.2">
      <c r="A848" t="s">
        <v>2582</v>
      </c>
    </row>
    <row r="850" spans="1:9" x14ac:dyDescent="0.2">
      <c r="A850" t="s">
        <v>2583</v>
      </c>
    </row>
    <row r="851" spans="1:9" x14ac:dyDescent="0.2">
      <c r="A851" t="s">
        <v>2584</v>
      </c>
    </row>
    <row r="853" spans="1:9" x14ac:dyDescent="0.2">
      <c r="A853" t="s">
        <v>2585</v>
      </c>
    </row>
    <row r="854" spans="1:9" x14ac:dyDescent="0.2">
      <c r="A854" t="s">
        <v>2586</v>
      </c>
    </row>
    <row r="856" spans="1:9" x14ac:dyDescent="0.2">
      <c r="A856" t="s">
        <v>2587</v>
      </c>
    </row>
    <row r="857" spans="1:9" x14ac:dyDescent="0.2">
      <c r="A857" t="s">
        <v>2588</v>
      </c>
      <c r="B857" t="s">
        <v>2589</v>
      </c>
      <c r="C857" t="s">
        <v>2590</v>
      </c>
      <c r="D857" t="s">
        <v>2591</v>
      </c>
      <c r="E857" t="s">
        <v>2592</v>
      </c>
      <c r="F857" t="s">
        <v>2593</v>
      </c>
      <c r="G857" t="s">
        <v>2594</v>
      </c>
      <c r="H857" t="s">
        <v>2595</v>
      </c>
      <c r="I857" t="s">
        <v>2596</v>
      </c>
    </row>
    <row r="858" spans="1:9" x14ac:dyDescent="0.2">
      <c r="A858" t="s">
        <v>2597</v>
      </c>
      <c r="B858" t="s">
        <v>2598</v>
      </c>
      <c r="C858" t="s">
        <v>2599</v>
      </c>
      <c r="D858" t="s">
        <v>2600</v>
      </c>
      <c r="E858" t="s">
        <v>2601</v>
      </c>
      <c r="F858" t="s">
        <v>2602</v>
      </c>
      <c r="G858" t="s">
        <v>2603</v>
      </c>
      <c r="H858" t="s">
        <v>1599</v>
      </c>
      <c r="I858" t="s">
        <v>2604</v>
      </c>
    </row>
    <row r="859" spans="1:9" x14ac:dyDescent="0.2">
      <c r="A859" t="s">
        <v>2605</v>
      </c>
      <c r="B859">
        <v>16000</v>
      </c>
    </row>
    <row r="860" spans="1:9" x14ac:dyDescent="0.2">
      <c r="A860" t="s">
        <v>2606</v>
      </c>
      <c r="B860" t="s">
        <v>2607</v>
      </c>
      <c r="C860" t="s">
        <v>2608</v>
      </c>
      <c r="D860" t="s">
        <v>1595</v>
      </c>
      <c r="E860" t="s">
        <v>2291</v>
      </c>
      <c r="F860" t="s">
        <v>2292</v>
      </c>
      <c r="G860" t="s">
        <v>2293</v>
      </c>
      <c r="H860" t="s">
        <v>2294</v>
      </c>
      <c r="I860" t="s">
        <v>2609</v>
      </c>
    </row>
    <row r="861" spans="1:9" x14ac:dyDescent="0.2">
      <c r="A861" t="s">
        <v>2610</v>
      </c>
    </row>
    <row r="863" spans="1:9" x14ac:dyDescent="0.2">
      <c r="A863" t="s">
        <v>2611</v>
      </c>
    </row>
    <row r="864" spans="1:9" x14ac:dyDescent="0.2">
      <c r="A864" t="s">
        <v>2612</v>
      </c>
    </row>
    <row r="865" spans="1:9" x14ac:dyDescent="0.2">
      <c r="A865" t="s">
        <v>2613</v>
      </c>
    </row>
    <row r="866" spans="1:9" x14ac:dyDescent="0.2">
      <c r="A866" t="s">
        <v>2614</v>
      </c>
    </row>
    <row r="867" spans="1:9" x14ac:dyDescent="0.2">
      <c r="A867" t="s">
        <v>2615</v>
      </c>
    </row>
    <row r="868" spans="1:9" x14ac:dyDescent="0.2">
      <c r="A868" t="s">
        <v>2616</v>
      </c>
    </row>
    <row r="869" spans="1:9" x14ac:dyDescent="0.2">
      <c r="A869" t="s">
        <v>2617</v>
      </c>
    </row>
    <row r="871" spans="1:9" x14ac:dyDescent="0.2">
      <c r="A871" t="s">
        <v>2618</v>
      </c>
    </row>
    <row r="872" spans="1:9" x14ac:dyDescent="0.2">
      <c r="A872" t="s">
        <v>2619</v>
      </c>
    </row>
    <row r="873" spans="1:9" x14ac:dyDescent="0.2">
      <c r="A873" t="s">
        <v>2620</v>
      </c>
      <c r="B873" t="s">
        <v>2621</v>
      </c>
      <c r="C873" t="s">
        <v>2622</v>
      </c>
      <c r="D873" t="s">
        <v>2623</v>
      </c>
      <c r="E873" t="s">
        <v>2311</v>
      </c>
      <c r="F873" t="s">
        <v>2592</v>
      </c>
      <c r="G873" t="s">
        <v>2624</v>
      </c>
      <c r="H873" t="s">
        <v>2625</v>
      </c>
      <c r="I873">
        <v>6000</v>
      </c>
    </row>
    <row r="874" spans="1:9" x14ac:dyDescent="0.2">
      <c r="A874" t="s">
        <v>2626</v>
      </c>
      <c r="B874" t="s">
        <v>2627</v>
      </c>
      <c r="C874" t="s">
        <v>2628</v>
      </c>
      <c r="D874" t="s">
        <v>2269</v>
      </c>
      <c r="E874" t="s">
        <v>1780</v>
      </c>
      <c r="F874" t="s">
        <v>1781</v>
      </c>
      <c r="G874" t="s">
        <v>2629</v>
      </c>
      <c r="H874" t="s">
        <v>2630</v>
      </c>
      <c r="I874" t="s">
        <v>2631</v>
      </c>
    </row>
    <row r="875" spans="1:9" x14ac:dyDescent="0.2">
      <c r="A875" t="s">
        <v>2632</v>
      </c>
      <c r="B875" t="s">
        <v>2633</v>
      </c>
      <c r="C875" t="s">
        <v>1770</v>
      </c>
      <c r="D875" t="s">
        <v>2593</v>
      </c>
      <c r="E875" t="s">
        <v>2634</v>
      </c>
      <c r="F875" t="s">
        <v>2311</v>
      </c>
      <c r="G875" t="s">
        <v>2635</v>
      </c>
      <c r="H875" t="s">
        <v>2636</v>
      </c>
      <c r="I875" t="s">
        <v>2637</v>
      </c>
    </row>
    <row r="876" spans="1:9" x14ac:dyDescent="0.2">
      <c r="A876" t="s">
        <v>2638</v>
      </c>
      <c r="B876" t="s">
        <v>2639</v>
      </c>
    </row>
    <row r="877" spans="1:9" x14ac:dyDescent="0.2">
      <c r="A877" t="s">
        <v>2640</v>
      </c>
    </row>
    <row r="878" spans="1:9" x14ac:dyDescent="0.2">
      <c r="A878" t="s">
        <v>2641</v>
      </c>
      <c r="B878" t="s">
        <v>2642</v>
      </c>
    </row>
    <row r="880" spans="1:9" x14ac:dyDescent="0.2">
      <c r="A880" t="s">
        <v>2643</v>
      </c>
    </row>
    <row r="881" spans="1:9" x14ac:dyDescent="0.2">
      <c r="A881" t="s">
        <v>2644</v>
      </c>
    </row>
    <row r="882" spans="1:9" x14ac:dyDescent="0.2">
      <c r="A882" t="s">
        <v>2645</v>
      </c>
      <c r="B882" t="s">
        <v>2646</v>
      </c>
      <c r="C882">
        <v>16000</v>
      </c>
    </row>
    <row r="883" spans="1:9" x14ac:dyDescent="0.2">
      <c r="A883" t="s">
        <v>2647</v>
      </c>
      <c r="B883" t="s">
        <v>2648</v>
      </c>
    </row>
    <row r="884" spans="1:9" x14ac:dyDescent="0.2">
      <c r="A884" t="s">
        <v>2649</v>
      </c>
    </row>
    <row r="885" spans="1:9" x14ac:dyDescent="0.2">
      <c r="A885" t="s">
        <v>2650</v>
      </c>
      <c r="B885" t="s">
        <v>2651</v>
      </c>
      <c r="C885" t="s">
        <v>2652</v>
      </c>
      <c r="D885" t="s">
        <v>1772</v>
      </c>
      <c r="E885" t="s">
        <v>1983</v>
      </c>
      <c r="F885" t="s">
        <v>2561</v>
      </c>
      <c r="G885" t="s">
        <v>2653</v>
      </c>
      <c r="H885" t="s">
        <v>2654</v>
      </c>
      <c r="I885" t="s">
        <v>2655</v>
      </c>
    </row>
    <row r="886" spans="1:9" x14ac:dyDescent="0.2">
      <c r="A886" t="s">
        <v>2656</v>
      </c>
    </row>
    <row r="887" spans="1:9" x14ac:dyDescent="0.2">
      <c r="A887" t="s">
        <v>2657</v>
      </c>
    </row>
    <row r="888" spans="1:9" x14ac:dyDescent="0.2">
      <c r="A888" t="s">
        <v>2658</v>
      </c>
    </row>
    <row r="889" spans="1:9" x14ac:dyDescent="0.2">
      <c r="A889" t="s">
        <v>2659</v>
      </c>
      <c r="B889" t="s">
        <v>2660</v>
      </c>
      <c r="C889" t="s">
        <v>2661</v>
      </c>
      <c r="D889" t="s">
        <v>2662</v>
      </c>
      <c r="E889">
        <v>5</v>
      </c>
      <c r="F889">
        <v>93</v>
      </c>
      <c r="G889" t="s">
        <v>2663</v>
      </c>
      <c r="H889" t="s">
        <v>2664</v>
      </c>
      <c r="I889" t="s">
        <v>2665</v>
      </c>
    </row>
    <row r="890" spans="1:9" x14ac:dyDescent="0.2">
      <c r="A890" t="s">
        <v>2666</v>
      </c>
      <c r="B890" t="s">
        <v>2667</v>
      </c>
      <c r="C890" t="s">
        <v>2668</v>
      </c>
      <c r="D890" t="s">
        <v>2669</v>
      </c>
      <c r="E890" t="s">
        <v>2328</v>
      </c>
      <c r="F890" t="s">
        <v>2670</v>
      </c>
      <c r="G890" t="s">
        <v>2671</v>
      </c>
      <c r="H890" t="s">
        <v>2672</v>
      </c>
      <c r="I890" t="s">
        <v>2673</v>
      </c>
    </row>
    <row r="891" spans="1:9" x14ac:dyDescent="0.2">
      <c r="A891" t="s">
        <v>2674</v>
      </c>
      <c r="B891" t="s">
        <v>2675</v>
      </c>
    </row>
    <row r="892" spans="1:9" x14ac:dyDescent="0.2">
      <c r="A892" t="s">
        <v>2676</v>
      </c>
      <c r="B892" t="s">
        <v>2677</v>
      </c>
      <c r="C892" t="s">
        <v>2678</v>
      </c>
      <c r="D892" t="s">
        <v>2679</v>
      </c>
      <c r="E892" t="s">
        <v>2680</v>
      </c>
      <c r="F892" t="s">
        <v>1658</v>
      </c>
      <c r="G892" t="s">
        <v>2681</v>
      </c>
      <c r="H892" t="s">
        <v>2682</v>
      </c>
      <c r="I892" t="s">
        <v>2683</v>
      </c>
    </row>
    <row r="893" spans="1:9" x14ac:dyDescent="0.2">
      <c r="A893" t="s">
        <v>2684</v>
      </c>
    </row>
    <row r="894" spans="1:9" x14ac:dyDescent="0.2">
      <c r="A894" t="s">
        <v>2685</v>
      </c>
    </row>
    <row r="895" spans="1:9" x14ac:dyDescent="0.2">
      <c r="A895" t="s">
        <v>2686</v>
      </c>
    </row>
    <row r="896" spans="1:9" x14ac:dyDescent="0.2">
      <c r="A896" t="s">
        <v>2687</v>
      </c>
    </row>
    <row r="898" spans="1:9" x14ac:dyDescent="0.2">
      <c r="A898" t="s">
        <v>2392</v>
      </c>
    </row>
    <row r="899" spans="1:9" x14ac:dyDescent="0.2">
      <c r="A899" t="s">
        <v>2688</v>
      </c>
    </row>
    <row r="900" spans="1:9" x14ac:dyDescent="0.2">
      <c r="A900" t="s">
        <v>2689</v>
      </c>
    </row>
    <row r="901" spans="1:9" x14ac:dyDescent="0.2">
      <c r="A901" t="s">
        <v>2690</v>
      </c>
    </row>
    <row r="903" spans="1:9" x14ac:dyDescent="0.2">
      <c r="A903" t="s">
        <v>2691</v>
      </c>
    </row>
    <row r="904" spans="1:9" x14ac:dyDescent="0.2">
      <c r="A904" t="s">
        <v>2692</v>
      </c>
    </row>
    <row r="905" spans="1:9" x14ac:dyDescent="0.2">
      <c r="A905" t="s">
        <v>2693</v>
      </c>
      <c r="B905" t="s">
        <v>2694</v>
      </c>
      <c r="C905" t="s">
        <v>2695</v>
      </c>
      <c r="D905" t="s">
        <v>1666</v>
      </c>
      <c r="E905" t="s">
        <v>2369</v>
      </c>
      <c r="F905" t="s">
        <v>2370</v>
      </c>
      <c r="G905" t="s">
        <v>2696</v>
      </c>
      <c r="H905" t="s">
        <v>2697</v>
      </c>
      <c r="I905" t="s">
        <v>2698</v>
      </c>
    </row>
    <row r="906" spans="1:9" x14ac:dyDescent="0.2">
      <c r="A906" t="s">
        <v>2699</v>
      </c>
    </row>
    <row r="907" spans="1:9" x14ac:dyDescent="0.2">
      <c r="A907" t="s">
        <v>2700</v>
      </c>
      <c r="B907" t="s">
        <v>2701</v>
      </c>
      <c r="C907" t="s">
        <v>2702</v>
      </c>
      <c r="D907" t="s">
        <v>2317</v>
      </c>
      <c r="E907">
        <v>31</v>
      </c>
      <c r="F907">
        <v>60</v>
      </c>
      <c r="G907" t="s">
        <v>2547</v>
      </c>
      <c r="H907" t="s">
        <v>2703</v>
      </c>
      <c r="I907" t="s">
        <v>2704</v>
      </c>
    </row>
    <row r="908" spans="1:9" x14ac:dyDescent="0.2">
      <c r="A908" t="s">
        <v>2705</v>
      </c>
      <c r="B908" t="s">
        <v>2039</v>
      </c>
    </row>
    <row r="909" spans="1:9" x14ac:dyDescent="0.2">
      <c r="A909" t="s">
        <v>2706</v>
      </c>
      <c r="B909" t="s">
        <v>2707</v>
      </c>
    </row>
    <row r="911" spans="1:9" x14ac:dyDescent="0.2">
      <c r="A911" t="s">
        <v>2422</v>
      </c>
    </row>
    <row r="912" spans="1:9" x14ac:dyDescent="0.2">
      <c r="A912" t="s">
        <v>2423</v>
      </c>
    </row>
    <row r="913" spans="1:9" x14ac:dyDescent="0.2">
      <c r="A913" t="s">
        <v>2424</v>
      </c>
    </row>
    <row r="915" spans="1:9" x14ac:dyDescent="0.2">
      <c r="A915" t="s">
        <v>2708</v>
      </c>
    </row>
    <row r="916" spans="1:9" x14ac:dyDescent="0.2">
      <c r="A916" t="s">
        <v>2709</v>
      </c>
    </row>
    <row r="917" spans="1:9" x14ac:dyDescent="0.2">
      <c r="A917" t="s">
        <v>2710</v>
      </c>
    </row>
    <row r="918" spans="1:9" x14ac:dyDescent="0.2">
      <c r="A918" t="s">
        <v>2711</v>
      </c>
      <c r="B918" t="s">
        <v>2712</v>
      </c>
      <c r="C918" t="s">
        <v>2713</v>
      </c>
      <c r="D918" t="s">
        <v>2302</v>
      </c>
      <c r="E918" t="s">
        <v>2292</v>
      </c>
      <c r="F918" t="s">
        <v>2714</v>
      </c>
      <c r="G918" t="s">
        <v>2568</v>
      </c>
      <c r="H918" t="s">
        <v>2528</v>
      </c>
      <c r="I918" t="s">
        <v>2715</v>
      </c>
    </row>
    <row r="919" spans="1:9" x14ac:dyDescent="0.2">
      <c r="A919" t="s">
        <v>2716</v>
      </c>
    </row>
    <row r="920" spans="1:9" x14ac:dyDescent="0.2">
      <c r="A920" t="s">
        <v>2717</v>
      </c>
    </row>
    <row r="922" spans="1:9" x14ac:dyDescent="0.2">
      <c r="A922" t="s">
        <v>2718</v>
      </c>
    </row>
    <row r="923" spans="1:9" x14ac:dyDescent="0.2">
      <c r="A923" t="s">
        <v>2719</v>
      </c>
    </row>
    <row r="924" spans="1:9" x14ac:dyDescent="0.2">
      <c r="A924" t="s">
        <v>2720</v>
      </c>
    </row>
    <row r="925" spans="1:9" x14ac:dyDescent="0.2">
      <c r="A925" t="s">
        <v>2721</v>
      </c>
    </row>
    <row r="927" spans="1:9" x14ac:dyDescent="0.2">
      <c r="A927" t="s">
        <v>2722</v>
      </c>
    </row>
    <row r="928" spans="1:9" x14ac:dyDescent="0.2">
      <c r="A928" t="s">
        <v>2723</v>
      </c>
    </row>
    <row r="929" spans="1:9" x14ac:dyDescent="0.2">
      <c r="A929" t="s">
        <v>2724</v>
      </c>
    </row>
    <row r="930" spans="1:9" x14ac:dyDescent="0.2">
      <c r="A930" t="s">
        <v>2725</v>
      </c>
    </row>
    <row r="931" spans="1:9" x14ac:dyDescent="0.2">
      <c r="A931" t="s">
        <v>2726</v>
      </c>
    </row>
    <row r="932" spans="1:9" x14ac:dyDescent="0.2">
      <c r="A932" t="s">
        <v>2727</v>
      </c>
    </row>
    <row r="933" spans="1:9" x14ac:dyDescent="0.2">
      <c r="A933" t="s">
        <v>2728</v>
      </c>
      <c r="B933" t="s">
        <v>2729</v>
      </c>
      <c r="C933" t="s">
        <v>2730</v>
      </c>
      <c r="D933" t="s">
        <v>1597</v>
      </c>
      <c r="E933" t="s">
        <v>2731</v>
      </c>
      <c r="F933" t="s">
        <v>2601</v>
      </c>
      <c r="G933" t="s">
        <v>2732</v>
      </c>
      <c r="H933">
        <v>593</v>
      </c>
      <c r="I933" t="s">
        <v>2733</v>
      </c>
    </row>
    <row r="934" spans="1:9" x14ac:dyDescent="0.2">
      <c r="A934" t="s">
        <v>2734</v>
      </c>
    </row>
    <row r="936" spans="1:9" x14ac:dyDescent="0.2">
      <c r="A936" t="s">
        <v>2735</v>
      </c>
    </row>
    <row r="938" spans="1:9" x14ac:dyDescent="0.2">
      <c r="A938" t="s">
        <v>2736</v>
      </c>
    </row>
    <row r="939" spans="1:9" x14ac:dyDescent="0.2">
      <c r="A939" t="s">
        <v>2737</v>
      </c>
      <c r="B939" t="s">
        <v>2738</v>
      </c>
      <c r="C939" t="s">
        <v>2538</v>
      </c>
      <c r="D939" t="s">
        <v>2260</v>
      </c>
      <c r="E939" t="s">
        <v>2739</v>
      </c>
      <c r="F939" t="s">
        <v>2311</v>
      </c>
      <c r="G939" t="s">
        <v>2740</v>
      </c>
      <c r="H939" t="s">
        <v>1599</v>
      </c>
      <c r="I939" t="s">
        <v>2741</v>
      </c>
    </row>
    <row r="940" spans="1:9" x14ac:dyDescent="0.2">
      <c r="A940" t="s">
        <v>2742</v>
      </c>
      <c r="B940" t="s">
        <v>2743</v>
      </c>
      <c r="C940" t="s">
        <v>2599</v>
      </c>
      <c r="D940" t="s">
        <v>2158</v>
      </c>
      <c r="E940" t="s">
        <v>1658</v>
      </c>
      <c r="F940" t="s">
        <v>1751</v>
      </c>
      <c r="G940" t="s">
        <v>2744</v>
      </c>
      <c r="H940" t="s">
        <v>2745</v>
      </c>
      <c r="I940" t="s">
        <v>2746</v>
      </c>
    </row>
    <row r="941" spans="1:9" x14ac:dyDescent="0.2">
      <c r="A941" t="s">
        <v>2747</v>
      </c>
      <c r="B941" t="s">
        <v>2066</v>
      </c>
    </row>
    <row r="942" spans="1:9" x14ac:dyDescent="0.2">
      <c r="A942" t="s">
        <v>2748</v>
      </c>
      <c r="B942" t="s">
        <v>2749</v>
      </c>
      <c r="C942" t="s">
        <v>2750</v>
      </c>
      <c r="D942" t="s">
        <v>2751</v>
      </c>
      <c r="E942" t="s">
        <v>2752</v>
      </c>
      <c r="F942" t="s">
        <v>2753</v>
      </c>
      <c r="G942">
        <v>32</v>
      </c>
      <c r="H942" t="s">
        <v>2754</v>
      </c>
      <c r="I942" t="s">
        <v>2755</v>
      </c>
    </row>
    <row r="944" spans="1:9" x14ac:dyDescent="0.2">
      <c r="A944" t="s">
        <v>2756</v>
      </c>
    </row>
    <row r="945" spans="1:9" x14ac:dyDescent="0.2">
      <c r="A945" t="s">
        <v>2757</v>
      </c>
      <c r="B945" t="s">
        <v>2758</v>
      </c>
      <c r="C945" t="s">
        <v>2024</v>
      </c>
    </row>
    <row r="946" spans="1:9" x14ac:dyDescent="0.2">
      <c r="A946" t="s">
        <v>2759</v>
      </c>
      <c r="B946" t="s">
        <v>2760</v>
      </c>
    </row>
    <row r="947" spans="1:9" x14ac:dyDescent="0.2">
      <c r="A947" t="s">
        <v>2761</v>
      </c>
      <c r="B947" t="s">
        <v>2762</v>
      </c>
    </row>
    <row r="948" spans="1:9" x14ac:dyDescent="0.2">
      <c r="A948" t="s">
        <v>2763</v>
      </c>
      <c r="B948" t="s">
        <v>2764</v>
      </c>
      <c r="C948" t="s">
        <v>2765</v>
      </c>
      <c r="D948">
        <v>57</v>
      </c>
      <c r="E948">
        <v>87</v>
      </c>
      <c r="F948">
        <v>0</v>
      </c>
      <c r="G948" t="s">
        <v>2766</v>
      </c>
      <c r="H948" t="s">
        <v>2767</v>
      </c>
      <c r="I948" t="s">
        <v>2768</v>
      </c>
    </row>
    <row r="950" spans="1:9" x14ac:dyDescent="0.2">
      <c r="A950" t="s">
        <v>2769</v>
      </c>
    </row>
    <row r="951" spans="1:9" x14ac:dyDescent="0.2">
      <c r="A951" t="s">
        <v>2770</v>
      </c>
      <c r="B951" t="s">
        <v>2771</v>
      </c>
    </row>
    <row r="952" spans="1:9" x14ac:dyDescent="0.2">
      <c r="A952" t="s">
        <v>2772</v>
      </c>
      <c r="B952" t="s">
        <v>2773</v>
      </c>
      <c r="C952" t="s">
        <v>2774</v>
      </c>
      <c r="D952" t="s">
        <v>2601</v>
      </c>
      <c r="E952" t="s">
        <v>2602</v>
      </c>
      <c r="F952" t="s">
        <v>2284</v>
      </c>
      <c r="G952" t="s">
        <v>2775</v>
      </c>
      <c r="H952" t="s">
        <v>2159</v>
      </c>
      <c r="I952" t="s">
        <v>2776</v>
      </c>
    </row>
    <row r="953" spans="1:9" x14ac:dyDescent="0.2">
      <c r="A953" t="s">
        <v>2777</v>
      </c>
    </row>
    <row r="954" spans="1:9" x14ac:dyDescent="0.2">
      <c r="A954" t="s">
        <v>2778</v>
      </c>
      <c r="B954" t="s">
        <v>1865</v>
      </c>
    </row>
    <row r="956" spans="1:9" x14ac:dyDescent="0.2">
      <c r="A956" t="s">
        <v>2779</v>
      </c>
    </row>
    <row r="957" spans="1:9" x14ac:dyDescent="0.2">
      <c r="A957" t="s">
        <v>2780</v>
      </c>
    </row>
    <row r="958" spans="1:9" x14ac:dyDescent="0.2">
      <c r="A958" t="s">
        <v>2781</v>
      </c>
    </row>
    <row r="959" spans="1:9" x14ac:dyDescent="0.2">
      <c r="A959" t="s">
        <v>2782</v>
      </c>
      <c r="B959" t="s">
        <v>2783</v>
      </c>
      <c r="C959" t="s">
        <v>2784</v>
      </c>
      <c r="D959" t="s">
        <v>1772</v>
      </c>
      <c r="E959" t="s">
        <v>2785</v>
      </c>
      <c r="F959" t="s">
        <v>2786</v>
      </c>
      <c r="G959" t="s">
        <v>2787</v>
      </c>
      <c r="H959" t="s">
        <v>2788</v>
      </c>
      <c r="I959">
        <v>0</v>
      </c>
    </row>
    <row r="960" spans="1:9" x14ac:dyDescent="0.2">
      <c r="A960" t="s">
        <v>2789</v>
      </c>
    </row>
    <row r="961" spans="1:9" x14ac:dyDescent="0.2">
      <c r="A961" t="s">
        <v>2790</v>
      </c>
    </row>
    <row r="963" spans="1:9" x14ac:dyDescent="0.2">
      <c r="A963" t="s">
        <v>2791</v>
      </c>
    </row>
    <row r="964" spans="1:9" x14ac:dyDescent="0.2">
      <c r="A964" t="s">
        <v>2792</v>
      </c>
    </row>
    <row r="965" spans="1:9" x14ac:dyDescent="0.2">
      <c r="A965" t="s">
        <v>2793</v>
      </c>
    </row>
    <row r="966" spans="1:9" x14ac:dyDescent="0.2">
      <c r="A966" t="s">
        <v>2794</v>
      </c>
      <c r="B966" t="s">
        <v>2795</v>
      </c>
      <c r="C966" t="s">
        <v>2796</v>
      </c>
      <c r="D966" t="s">
        <v>1983</v>
      </c>
      <c r="E966" t="s">
        <v>1667</v>
      </c>
      <c r="F966" t="s">
        <v>1666</v>
      </c>
      <c r="G966" t="s">
        <v>1984</v>
      </c>
      <c r="H966" t="s">
        <v>2797</v>
      </c>
      <c r="I966" t="s">
        <v>2798</v>
      </c>
    </row>
    <row r="967" spans="1:9" x14ac:dyDescent="0.2">
      <c r="A967" t="s">
        <v>2799</v>
      </c>
    </row>
    <row r="968" spans="1:9" x14ac:dyDescent="0.2">
      <c r="A968" t="s">
        <v>2800</v>
      </c>
      <c r="B968" t="s">
        <v>2801</v>
      </c>
      <c r="C968" t="s">
        <v>2802</v>
      </c>
      <c r="D968" t="s">
        <v>2020</v>
      </c>
      <c r="E968" t="s">
        <v>1666</v>
      </c>
      <c r="F968" t="s">
        <v>2269</v>
      </c>
      <c r="G968" t="s">
        <v>2803</v>
      </c>
      <c r="H968" t="s">
        <v>2804</v>
      </c>
      <c r="I968" t="s">
        <v>2805</v>
      </c>
    </row>
    <row r="969" spans="1:9" x14ac:dyDescent="0.2">
      <c r="A969" t="s">
        <v>2806</v>
      </c>
      <c r="B969" t="s">
        <v>2807</v>
      </c>
      <c r="C969" t="s">
        <v>2808</v>
      </c>
      <c r="D969" t="s">
        <v>2328</v>
      </c>
      <c r="E969">
        <v>7</v>
      </c>
      <c r="F969">
        <v>0.1</v>
      </c>
      <c r="G969" t="s">
        <v>2809</v>
      </c>
      <c r="H969">
        <v>2000</v>
      </c>
    </row>
    <row r="970" spans="1:9" x14ac:dyDescent="0.2">
      <c r="A970" t="s">
        <v>2810</v>
      </c>
      <c r="B970" t="s">
        <v>2811</v>
      </c>
    </row>
    <row r="971" spans="1:9" x14ac:dyDescent="0.2">
      <c r="A971" t="s">
        <v>2812</v>
      </c>
    </row>
    <row r="972" spans="1:9" x14ac:dyDescent="0.2">
      <c r="A972" t="s">
        <v>2813</v>
      </c>
    </row>
    <row r="973" spans="1:9" x14ac:dyDescent="0.2">
      <c r="A973" t="s">
        <v>2814</v>
      </c>
    </row>
    <row r="974" spans="1:9" x14ac:dyDescent="0.2">
      <c r="A974" t="s">
        <v>2815</v>
      </c>
    </row>
    <row r="975" spans="1:9" x14ac:dyDescent="0.2">
      <c r="A975" t="s">
        <v>2816</v>
      </c>
    </row>
    <row r="976" spans="1:9" x14ac:dyDescent="0.2">
      <c r="A976" t="s">
        <v>2817</v>
      </c>
    </row>
    <row r="977" spans="1:9" x14ac:dyDescent="0.2">
      <c r="A977" t="s">
        <v>2818</v>
      </c>
    </row>
    <row r="978" spans="1:9" x14ac:dyDescent="0.2">
      <c r="A978" t="s">
        <v>2819</v>
      </c>
      <c r="B978" t="s">
        <v>2820</v>
      </c>
      <c r="C978" t="s">
        <v>2821</v>
      </c>
      <c r="D978" t="s">
        <v>1772</v>
      </c>
      <c r="E978" t="s">
        <v>2785</v>
      </c>
      <c r="F978" t="s">
        <v>2786</v>
      </c>
      <c r="G978" t="s">
        <v>1669</v>
      </c>
      <c r="H978" t="s">
        <v>2822</v>
      </c>
      <c r="I978" t="s">
        <v>2823</v>
      </c>
    </row>
    <row r="979" spans="1:9" x14ac:dyDescent="0.2">
      <c r="A979" t="s">
        <v>2824</v>
      </c>
    </row>
    <row r="980" spans="1:9" x14ac:dyDescent="0.2">
      <c r="A980" t="s">
        <v>2825</v>
      </c>
      <c r="B980" t="s">
        <v>2826</v>
      </c>
      <c r="C980" t="s">
        <v>2827</v>
      </c>
      <c r="D980" t="s">
        <v>1762</v>
      </c>
      <c r="E980" t="s">
        <v>2828</v>
      </c>
      <c r="F980" t="s">
        <v>2829</v>
      </c>
      <c r="G980" t="s">
        <v>2830</v>
      </c>
      <c r="H980" t="s">
        <v>2831</v>
      </c>
      <c r="I980" t="s">
        <v>2832</v>
      </c>
    </row>
    <row r="981" spans="1:9" x14ac:dyDescent="0.2">
      <c r="A981" t="s">
        <v>2833</v>
      </c>
    </row>
    <row r="982" spans="1:9" x14ac:dyDescent="0.2">
      <c r="A982" t="s">
        <v>2834</v>
      </c>
    </row>
    <row r="983" spans="1:9" x14ac:dyDescent="0.2">
      <c r="A983" t="s">
        <v>2835</v>
      </c>
      <c r="B983" t="s">
        <v>2282</v>
      </c>
      <c r="C983" t="s">
        <v>2283</v>
      </c>
      <c r="D983" t="s">
        <v>2284</v>
      </c>
      <c r="E983" t="s">
        <v>2285</v>
      </c>
      <c r="F983" t="s">
        <v>1658</v>
      </c>
      <c r="G983" t="s">
        <v>2159</v>
      </c>
      <c r="H983" t="s">
        <v>2160</v>
      </c>
      <c r="I983" t="s">
        <v>2286</v>
      </c>
    </row>
    <row r="984" spans="1:9" x14ac:dyDescent="0.2">
      <c r="A984" t="s">
        <v>2836</v>
      </c>
    </row>
    <row r="985" spans="1:9" x14ac:dyDescent="0.2">
      <c r="A985" t="s">
        <v>2837</v>
      </c>
    </row>
    <row r="986" spans="1:9" x14ac:dyDescent="0.2">
      <c r="A986" t="s">
        <v>2838</v>
      </c>
    </row>
    <row r="987" spans="1:9" x14ac:dyDescent="0.2">
      <c r="A987" t="s">
        <v>2839</v>
      </c>
    </row>
    <row r="988" spans="1:9" x14ac:dyDescent="0.2">
      <c r="A988" t="s">
        <v>2840</v>
      </c>
    </row>
    <row r="989" spans="1:9" x14ac:dyDescent="0.2">
      <c r="A989" t="s">
        <v>2841</v>
      </c>
    </row>
    <row r="990" spans="1:9" x14ac:dyDescent="0.2">
      <c r="A990" t="s">
        <v>2842</v>
      </c>
    </row>
    <row r="991" spans="1:9" x14ac:dyDescent="0.2">
      <c r="A991" t="s">
        <v>2843</v>
      </c>
    </row>
    <row r="992" spans="1:9" x14ac:dyDescent="0.2">
      <c r="A992" t="s">
        <v>2844</v>
      </c>
      <c r="B992" t="s">
        <v>2845</v>
      </c>
      <c r="C992" t="s">
        <v>1680</v>
      </c>
    </row>
    <row r="993" spans="1:9" x14ac:dyDescent="0.2">
      <c r="A993" t="s">
        <v>2846</v>
      </c>
    </row>
    <row r="994" spans="1:9" x14ac:dyDescent="0.2">
      <c r="A994" t="s">
        <v>2847</v>
      </c>
      <c r="B994" t="s">
        <v>2848</v>
      </c>
      <c r="C994" t="s">
        <v>2849</v>
      </c>
      <c r="D994" t="s">
        <v>1975</v>
      </c>
      <c r="E994" t="s">
        <v>1976</v>
      </c>
      <c r="F994" t="s">
        <v>1567</v>
      </c>
      <c r="G994" t="s">
        <v>2850</v>
      </c>
      <c r="H994" t="s">
        <v>2851</v>
      </c>
      <c r="I994" t="s">
        <v>2852</v>
      </c>
    </row>
    <row r="995" spans="1:9" x14ac:dyDescent="0.2">
      <c r="A995" t="s">
        <v>2853</v>
      </c>
      <c r="B995" t="s">
        <v>2854</v>
      </c>
      <c r="C995" t="s">
        <v>2855</v>
      </c>
      <c r="D995">
        <v>23</v>
      </c>
      <c r="E995" t="s">
        <v>99</v>
      </c>
      <c r="F995" t="s">
        <v>2856</v>
      </c>
      <c r="G995" t="s">
        <v>1599</v>
      </c>
      <c r="H995" t="s">
        <v>2436</v>
      </c>
      <c r="I995" t="s">
        <v>2857</v>
      </c>
    </row>
    <row r="996" spans="1:9" x14ac:dyDescent="0.2">
      <c r="A996" t="s">
        <v>2858</v>
      </c>
      <c r="B996" t="s">
        <v>2859</v>
      </c>
      <c r="C996" t="s">
        <v>1770</v>
      </c>
      <c r="D996" t="s">
        <v>2593</v>
      </c>
      <c r="E996" t="s">
        <v>2634</v>
      </c>
      <c r="F996" t="s">
        <v>2311</v>
      </c>
      <c r="G996" t="s">
        <v>2635</v>
      </c>
      <c r="H996" t="s">
        <v>2364</v>
      </c>
      <c r="I996" t="s">
        <v>2860</v>
      </c>
    </row>
    <row r="997" spans="1:9" x14ac:dyDescent="0.2">
      <c r="A997" t="s">
        <v>2861</v>
      </c>
    </row>
    <row r="998" spans="1:9" x14ac:dyDescent="0.2">
      <c r="A998" t="s">
        <v>2862</v>
      </c>
    </row>
    <row r="999" spans="1:9" x14ac:dyDescent="0.2">
      <c r="A999" t="s">
        <v>2863</v>
      </c>
    </row>
    <row r="1000" spans="1:9" x14ac:dyDescent="0.2">
      <c r="A1000" t="s">
        <v>2864</v>
      </c>
    </row>
    <row r="1001" spans="1:9" x14ac:dyDescent="0.2">
      <c r="A1001" t="s">
        <v>2865</v>
      </c>
      <c r="B1001" t="s">
        <v>2866</v>
      </c>
    </row>
    <row r="1002" spans="1:9" x14ac:dyDescent="0.2">
      <c r="A1002" t="s">
        <v>2867</v>
      </c>
      <c r="B1002" t="s">
        <v>2868</v>
      </c>
    </row>
    <row r="1003" spans="1:9" x14ac:dyDescent="0.2">
      <c r="A1003" t="s">
        <v>2869</v>
      </c>
    </row>
    <row r="1004" spans="1:9" x14ac:dyDescent="0.2">
      <c r="A1004" t="s">
        <v>2870</v>
      </c>
      <c r="B1004" t="s">
        <v>2871</v>
      </c>
      <c r="C1004" t="s">
        <v>2872</v>
      </c>
      <c r="D1004" t="s">
        <v>2873</v>
      </c>
      <c r="E1004" t="s">
        <v>2874</v>
      </c>
      <c r="F1004" t="s">
        <v>2875</v>
      </c>
      <c r="G1004" t="s">
        <v>2788</v>
      </c>
      <c r="H1004">
        <v>0</v>
      </c>
    </row>
    <row r="1005" spans="1:9" x14ac:dyDescent="0.2">
      <c r="A1005" t="s">
        <v>2876</v>
      </c>
    </row>
    <row r="1006" spans="1:9" x14ac:dyDescent="0.2">
      <c r="A1006" t="s">
        <v>2877</v>
      </c>
      <c r="B1006" t="s">
        <v>2878</v>
      </c>
    </row>
    <row r="1008" spans="1:9" x14ac:dyDescent="0.2">
      <c r="A1008" t="s">
        <v>2879</v>
      </c>
    </row>
    <row r="1010" spans="1:9" x14ac:dyDescent="0.2">
      <c r="A1010" t="s">
        <v>2880</v>
      </c>
    </row>
    <row r="1011" spans="1:9" x14ac:dyDescent="0.2">
      <c r="A1011" t="s">
        <v>2881</v>
      </c>
      <c r="B1011" t="s">
        <v>2882</v>
      </c>
      <c r="C1011" t="s">
        <v>2883</v>
      </c>
      <c r="D1011" t="s">
        <v>1585</v>
      </c>
      <c r="E1011" t="s">
        <v>1772</v>
      </c>
      <c r="F1011" t="s">
        <v>2785</v>
      </c>
      <c r="G1011" t="s">
        <v>2372</v>
      </c>
      <c r="H1011" t="s">
        <v>2884</v>
      </c>
      <c r="I1011">
        <v>8000</v>
      </c>
    </row>
    <row r="1012" spans="1:9" x14ac:dyDescent="0.2">
      <c r="A1012" t="s">
        <v>2885</v>
      </c>
      <c r="B1012" t="s">
        <v>2886</v>
      </c>
      <c r="C1012" t="s">
        <v>2887</v>
      </c>
      <c r="D1012" t="s">
        <v>2021</v>
      </c>
      <c r="E1012" t="s">
        <v>1587</v>
      </c>
      <c r="F1012" t="s">
        <v>2302</v>
      </c>
      <c r="G1012" t="s">
        <v>2888</v>
      </c>
      <c r="H1012" t="s">
        <v>2889</v>
      </c>
      <c r="I1012" t="s">
        <v>2890</v>
      </c>
    </row>
    <row r="1013" spans="1:9" x14ac:dyDescent="0.2">
      <c r="A1013" t="s">
        <v>2891</v>
      </c>
      <c r="B1013" t="s">
        <v>2892</v>
      </c>
    </row>
    <row r="1014" spans="1:9" x14ac:dyDescent="0.2">
      <c r="A1014" t="s">
        <v>2893</v>
      </c>
    </row>
    <row r="1015" spans="1:9" x14ac:dyDescent="0.2">
      <c r="A1015" t="s">
        <v>2894</v>
      </c>
    </row>
    <row r="1016" spans="1:9" x14ac:dyDescent="0.2">
      <c r="A1016" t="s">
        <v>2895</v>
      </c>
    </row>
    <row r="1017" spans="1:9" x14ac:dyDescent="0.2">
      <c r="A1017" t="s">
        <v>2896</v>
      </c>
    </row>
    <row r="1018" spans="1:9" x14ac:dyDescent="0.2">
      <c r="A1018" t="s">
        <v>2897</v>
      </c>
      <c r="B1018" t="s">
        <v>2898</v>
      </c>
      <c r="C1018" t="s">
        <v>2899</v>
      </c>
      <c r="D1018" t="s">
        <v>1976</v>
      </c>
      <c r="E1018" t="s">
        <v>1567</v>
      </c>
      <c r="F1018" t="s">
        <v>1587</v>
      </c>
      <c r="G1018" t="s">
        <v>2900</v>
      </c>
      <c r="H1018" t="s">
        <v>2901</v>
      </c>
      <c r="I1018" t="s">
        <v>2902</v>
      </c>
    </row>
    <row r="1019" spans="1:9" x14ac:dyDescent="0.2">
      <c r="A1019" t="s">
        <v>2903</v>
      </c>
      <c r="B1019" t="s">
        <v>2904</v>
      </c>
      <c r="C1019" t="s">
        <v>2464</v>
      </c>
    </row>
    <row r="1020" spans="1:9" x14ac:dyDescent="0.2">
      <c r="A1020" t="s">
        <v>2905</v>
      </c>
      <c r="B1020" t="s">
        <v>2906</v>
      </c>
      <c r="C1020" t="s">
        <v>2907</v>
      </c>
      <c r="D1020" t="s">
        <v>2260</v>
      </c>
      <c r="E1020" t="s">
        <v>2908</v>
      </c>
      <c r="F1020" t="s">
        <v>2909</v>
      </c>
      <c r="G1020" t="s">
        <v>1803</v>
      </c>
      <c r="H1020" t="s">
        <v>2910</v>
      </c>
      <c r="I1020" t="s">
        <v>2911</v>
      </c>
    </row>
    <row r="1021" spans="1:9" x14ac:dyDescent="0.2">
      <c r="A1021" t="s">
        <v>2912</v>
      </c>
    </row>
    <row r="1022" spans="1:9" x14ac:dyDescent="0.2">
      <c r="A1022" t="s">
        <v>2913</v>
      </c>
    </row>
    <row r="1023" spans="1:9" x14ac:dyDescent="0.2">
      <c r="A1023" t="s">
        <v>2914</v>
      </c>
    </row>
    <row r="1024" spans="1:9" x14ac:dyDescent="0.2">
      <c r="A1024" t="s">
        <v>2915</v>
      </c>
    </row>
    <row r="1025" spans="1:9" x14ac:dyDescent="0.2">
      <c r="A1025" t="s">
        <v>2916</v>
      </c>
    </row>
    <row r="1026" spans="1:9" x14ac:dyDescent="0.2">
      <c r="A1026" t="s">
        <v>2917</v>
      </c>
    </row>
    <row r="1027" spans="1:9" x14ac:dyDescent="0.2">
      <c r="A1027" t="s">
        <v>2918</v>
      </c>
    </row>
    <row r="1028" spans="1:9" x14ac:dyDescent="0.2">
      <c r="A1028" t="s">
        <v>2919</v>
      </c>
    </row>
    <row r="1029" spans="1:9" x14ac:dyDescent="0.2">
      <c r="A1029" t="s">
        <v>2920</v>
      </c>
      <c r="B1029" t="s">
        <v>2921</v>
      </c>
      <c r="C1029" t="s">
        <v>2922</v>
      </c>
      <c r="D1029" t="s">
        <v>2923</v>
      </c>
      <c r="E1029" t="s">
        <v>2924</v>
      </c>
      <c r="F1029" t="s">
        <v>2925</v>
      </c>
      <c r="G1029" t="s">
        <v>2926</v>
      </c>
      <c r="H1029" t="s">
        <v>1599</v>
      </c>
      <c r="I1029" t="s">
        <v>2927</v>
      </c>
    </row>
    <row r="1030" spans="1:9" x14ac:dyDescent="0.2">
      <c r="A1030" t="s">
        <v>2928</v>
      </c>
    </row>
    <row r="1031" spans="1:9" x14ac:dyDescent="0.2">
      <c r="A1031" t="s">
        <v>2929</v>
      </c>
      <c r="B1031" t="s">
        <v>2930</v>
      </c>
      <c r="C1031" t="s">
        <v>2931</v>
      </c>
      <c r="D1031" t="s">
        <v>1666</v>
      </c>
      <c r="E1031" t="s">
        <v>2369</v>
      </c>
      <c r="F1031" t="s">
        <v>2370</v>
      </c>
      <c r="G1031" t="s">
        <v>2932</v>
      </c>
      <c r="H1031" t="s">
        <v>2933</v>
      </c>
      <c r="I1031" t="s">
        <v>2934</v>
      </c>
    </row>
    <row r="1032" spans="1:9" x14ac:dyDescent="0.2">
      <c r="A1032" t="s">
        <v>2935</v>
      </c>
      <c r="B1032" t="s">
        <v>2936</v>
      </c>
    </row>
    <row r="1033" spans="1:9" x14ac:dyDescent="0.2">
      <c r="A1033" t="s">
        <v>2937</v>
      </c>
      <c r="B1033" t="s">
        <v>2938</v>
      </c>
      <c r="C1033" t="s">
        <v>2939</v>
      </c>
      <c r="D1033" t="s">
        <v>2260</v>
      </c>
      <c r="E1033" t="s">
        <v>1568</v>
      </c>
      <c r="F1033" t="s">
        <v>2662</v>
      </c>
      <c r="G1033" t="s">
        <v>2940</v>
      </c>
      <c r="H1033" t="s">
        <v>2941</v>
      </c>
      <c r="I1033" t="s">
        <v>2942</v>
      </c>
    </row>
    <row r="1034" spans="1:9" x14ac:dyDescent="0.2">
      <c r="A1034" t="s">
        <v>2943</v>
      </c>
    </row>
    <row r="1035" spans="1:9" x14ac:dyDescent="0.2">
      <c r="A1035" t="s">
        <v>2944</v>
      </c>
    </row>
    <row r="1036" spans="1:9" x14ac:dyDescent="0.2">
      <c r="A1036" t="s">
        <v>2945</v>
      </c>
      <c r="B1036" t="s">
        <v>2946</v>
      </c>
      <c r="C1036" t="s">
        <v>2566</v>
      </c>
      <c r="D1036" t="s">
        <v>2292</v>
      </c>
      <c r="E1036" t="s">
        <v>2714</v>
      </c>
      <c r="F1036" t="s">
        <v>2353</v>
      </c>
      <c r="G1036" t="s">
        <v>2947</v>
      </c>
      <c r="H1036" t="s">
        <v>2239</v>
      </c>
      <c r="I1036" t="s">
        <v>2948</v>
      </c>
    </row>
    <row r="1037" spans="1:9" x14ac:dyDescent="0.2">
      <c r="A1037" t="s">
        <v>2949</v>
      </c>
    </row>
    <row r="1038" spans="1:9" x14ac:dyDescent="0.2">
      <c r="A1038" t="s">
        <v>2950</v>
      </c>
      <c r="B1038" t="s">
        <v>2951</v>
      </c>
      <c r="C1038" t="s">
        <v>2952</v>
      </c>
      <c r="D1038">
        <v>0</v>
      </c>
    </row>
    <row r="1039" spans="1:9" x14ac:dyDescent="0.2">
      <c r="A1039" t="s">
        <v>2953</v>
      </c>
      <c r="B1039" t="s">
        <v>2954</v>
      </c>
      <c r="C1039" t="s">
        <v>2955</v>
      </c>
      <c r="D1039" t="s">
        <v>2317</v>
      </c>
      <c r="E1039">
        <v>80</v>
      </c>
      <c r="F1039">
        <v>0</v>
      </c>
    </row>
    <row r="1040" spans="1:9" x14ac:dyDescent="0.2">
      <c r="A1040" t="s">
        <v>2956</v>
      </c>
    </row>
    <row r="1041" spans="1:9" x14ac:dyDescent="0.2">
      <c r="A1041" t="s">
        <v>2957</v>
      </c>
      <c r="B1041" t="s">
        <v>2958</v>
      </c>
      <c r="C1041" t="s">
        <v>2959</v>
      </c>
      <c r="D1041" t="s">
        <v>2593</v>
      </c>
      <c r="E1041" t="s">
        <v>2634</v>
      </c>
      <c r="F1041" t="s">
        <v>2311</v>
      </c>
      <c r="G1041" t="s">
        <v>2635</v>
      </c>
      <c r="H1041" t="s">
        <v>2960</v>
      </c>
      <c r="I1041" t="s">
        <v>2961</v>
      </c>
    </row>
    <row r="1042" spans="1:9" x14ac:dyDescent="0.2">
      <c r="A1042" t="s">
        <v>2962</v>
      </c>
      <c r="B1042" t="s">
        <v>2963</v>
      </c>
      <c r="C1042">
        <v>0</v>
      </c>
    </row>
    <row r="1043" spans="1:9" x14ac:dyDescent="0.2">
      <c r="A1043" t="s">
        <v>2964</v>
      </c>
      <c r="B1043" t="s">
        <v>2965</v>
      </c>
      <c r="C1043" t="s">
        <v>2966</v>
      </c>
      <c r="D1043" t="s">
        <v>1658</v>
      </c>
      <c r="E1043" t="s">
        <v>1751</v>
      </c>
      <c r="F1043" t="s">
        <v>2593</v>
      </c>
      <c r="G1043" t="s">
        <v>2160</v>
      </c>
      <c r="H1043" t="s">
        <v>2635</v>
      </c>
      <c r="I1043" t="s">
        <v>2967</v>
      </c>
    </row>
    <row r="1044" spans="1:9" x14ac:dyDescent="0.2">
      <c r="A1044" t="s">
        <v>2968</v>
      </c>
    </row>
    <row r="1045" spans="1:9" x14ac:dyDescent="0.2">
      <c r="A1045" t="s">
        <v>2969</v>
      </c>
    </row>
    <row r="1046" spans="1:9" x14ac:dyDescent="0.2">
      <c r="A1046" t="s">
        <v>2970</v>
      </c>
      <c r="B1046" t="s">
        <v>2971</v>
      </c>
      <c r="C1046" t="s">
        <v>2972</v>
      </c>
      <c r="D1046" t="s">
        <v>2973</v>
      </c>
      <c r="E1046" t="s">
        <v>2974</v>
      </c>
      <c r="F1046" t="s">
        <v>1983</v>
      </c>
      <c r="G1046" t="s">
        <v>2975</v>
      </c>
      <c r="H1046" t="s">
        <v>1599</v>
      </c>
      <c r="I1046" t="s">
        <v>2976</v>
      </c>
    </row>
    <row r="1047" spans="1:9" x14ac:dyDescent="0.2">
      <c r="A1047" t="s">
        <v>2977</v>
      </c>
    </row>
    <row r="1048" spans="1:9" x14ac:dyDescent="0.2">
      <c r="A1048" t="s">
        <v>2978</v>
      </c>
    </row>
    <row r="1049" spans="1:9" x14ac:dyDescent="0.2">
      <c r="A1049" t="s">
        <v>2979</v>
      </c>
      <c r="B1049" t="s">
        <v>2980</v>
      </c>
      <c r="C1049" t="s">
        <v>2981</v>
      </c>
      <c r="D1049" t="s">
        <v>1587</v>
      </c>
      <c r="E1049" t="s">
        <v>2753</v>
      </c>
      <c r="F1049" t="s">
        <v>2982</v>
      </c>
      <c r="G1049" t="s">
        <v>2983</v>
      </c>
      <c r="H1049" t="s">
        <v>2803</v>
      </c>
      <c r="I1049" t="s">
        <v>2984</v>
      </c>
    </row>
    <row r="1050" spans="1:9" x14ac:dyDescent="0.2">
      <c r="A1050" t="s">
        <v>2985</v>
      </c>
    </row>
    <row r="1051" spans="1:9" x14ac:dyDescent="0.2">
      <c r="A1051" t="s">
        <v>2986</v>
      </c>
      <c r="B1051" t="s">
        <v>2987</v>
      </c>
      <c r="C1051" t="s">
        <v>2988</v>
      </c>
      <c r="D1051" t="s">
        <v>2346</v>
      </c>
      <c r="E1051" t="s">
        <v>2623</v>
      </c>
      <c r="F1051" t="s">
        <v>2311</v>
      </c>
      <c r="G1051" t="s">
        <v>2989</v>
      </c>
      <c r="H1051">
        <v>0</v>
      </c>
    </row>
    <row r="1052" spans="1:9" x14ac:dyDescent="0.2">
      <c r="A1052" t="s">
        <v>2990</v>
      </c>
    </row>
    <row r="1053" spans="1:9" x14ac:dyDescent="0.2">
      <c r="A1053" t="s">
        <v>2991</v>
      </c>
      <c r="B1053" t="s">
        <v>2992</v>
      </c>
    </row>
    <row r="1055" spans="1:9" x14ac:dyDescent="0.2">
      <c r="A1055" t="s">
        <v>2993</v>
      </c>
    </row>
    <row r="1056" spans="1:9" x14ac:dyDescent="0.2">
      <c r="A1056" t="s">
        <v>2994</v>
      </c>
    </row>
    <row r="1057" spans="1:9" x14ac:dyDescent="0.2">
      <c r="A1057" t="s">
        <v>2995</v>
      </c>
    </row>
    <row r="1058" spans="1:9" x14ac:dyDescent="0.2">
      <c r="A1058" t="s">
        <v>2996</v>
      </c>
      <c r="B1058" t="s">
        <v>2997</v>
      </c>
      <c r="C1058" t="s">
        <v>2998</v>
      </c>
      <c r="D1058" t="s">
        <v>2999</v>
      </c>
      <c r="E1058" t="s">
        <v>3000</v>
      </c>
      <c r="F1058" t="s">
        <v>2317</v>
      </c>
      <c r="G1058">
        <v>1600</v>
      </c>
      <c r="H1058">
        <v>0</v>
      </c>
    </row>
    <row r="1059" spans="1:9" x14ac:dyDescent="0.2">
      <c r="A1059" t="s">
        <v>3001</v>
      </c>
    </row>
    <row r="1060" spans="1:9" x14ac:dyDescent="0.2">
      <c r="A1060" t="s">
        <v>3002</v>
      </c>
      <c r="B1060" t="s">
        <v>3003</v>
      </c>
      <c r="C1060" t="s">
        <v>3004</v>
      </c>
      <c r="D1060" t="s">
        <v>3005</v>
      </c>
      <c r="E1060" t="s">
        <v>1657</v>
      </c>
      <c r="F1060" t="s">
        <v>1554</v>
      </c>
      <c r="G1060" t="s">
        <v>3006</v>
      </c>
      <c r="H1060" t="s">
        <v>3007</v>
      </c>
      <c r="I1060" t="s">
        <v>3008</v>
      </c>
    </row>
    <row r="1061" spans="1:9" x14ac:dyDescent="0.2">
      <c r="A1061" t="s">
        <v>3009</v>
      </c>
    </row>
    <row r="1063" spans="1:9" x14ac:dyDescent="0.2">
      <c r="A1063" t="s">
        <v>3010</v>
      </c>
    </row>
    <row r="1064" spans="1:9" x14ac:dyDescent="0.2">
      <c r="A1064" t="s">
        <v>3011</v>
      </c>
    </row>
    <row r="1065" spans="1:9" x14ac:dyDescent="0.2">
      <c r="A1065" t="s">
        <v>3012</v>
      </c>
    </row>
    <row r="1066" spans="1:9" x14ac:dyDescent="0.2">
      <c r="A1066" t="s">
        <v>3013</v>
      </c>
    </row>
    <row r="1067" spans="1:9" x14ac:dyDescent="0.2">
      <c r="A1067" t="s">
        <v>3014</v>
      </c>
      <c r="B1067" t="s">
        <v>3015</v>
      </c>
      <c r="C1067" t="s">
        <v>3016</v>
      </c>
      <c r="D1067" t="s">
        <v>1567</v>
      </c>
      <c r="E1067">
        <v>20</v>
      </c>
      <c r="F1067">
        <v>26</v>
      </c>
      <c r="G1067" t="s">
        <v>3017</v>
      </c>
      <c r="H1067">
        <v>1486</v>
      </c>
      <c r="I1067" t="s">
        <v>3018</v>
      </c>
    </row>
    <row r="1068" spans="1:9" x14ac:dyDescent="0.2">
      <c r="A1068" t="s">
        <v>3019</v>
      </c>
    </row>
    <row r="1069" spans="1:9" x14ac:dyDescent="0.2">
      <c r="A1069" t="s">
        <v>3020</v>
      </c>
      <c r="B1069" t="s">
        <v>3021</v>
      </c>
      <c r="C1069" t="s">
        <v>3022</v>
      </c>
      <c r="D1069" t="s">
        <v>1555</v>
      </c>
      <c r="E1069" t="s">
        <v>1983</v>
      </c>
      <c r="F1069" t="s">
        <v>2450</v>
      </c>
      <c r="G1069" t="s">
        <v>3023</v>
      </c>
      <c r="H1069" t="s">
        <v>3024</v>
      </c>
      <c r="I1069" t="s">
        <v>3025</v>
      </c>
    </row>
    <row r="1070" spans="1:9" x14ac:dyDescent="0.2">
      <c r="A1070" t="s">
        <v>3026</v>
      </c>
    </row>
    <row r="1071" spans="1:9" x14ac:dyDescent="0.2">
      <c r="A1071" t="s">
        <v>3027</v>
      </c>
    </row>
    <row r="1072" spans="1:9" x14ac:dyDescent="0.2">
      <c r="A1072" t="s">
        <v>3028</v>
      </c>
    </row>
    <row r="1073" spans="1:9" x14ac:dyDescent="0.2">
      <c r="A1073" t="s">
        <v>3029</v>
      </c>
    </row>
    <row r="1075" spans="1:9" x14ac:dyDescent="0.2">
      <c r="A1075" t="s">
        <v>3030</v>
      </c>
    </row>
    <row r="1076" spans="1:9" x14ac:dyDescent="0.2">
      <c r="A1076" t="s">
        <v>3031</v>
      </c>
    </row>
    <row r="1077" spans="1:9" x14ac:dyDescent="0.2">
      <c r="A1077" t="s">
        <v>3032</v>
      </c>
    </row>
    <row r="1078" spans="1:9" x14ac:dyDescent="0.2">
      <c r="A1078" t="s">
        <v>3033</v>
      </c>
    </row>
    <row r="1079" spans="1:9" x14ac:dyDescent="0.2">
      <c r="A1079" t="s">
        <v>3034</v>
      </c>
      <c r="B1079" t="s">
        <v>3035</v>
      </c>
      <c r="C1079" t="s">
        <v>3036</v>
      </c>
      <c r="D1079" t="s">
        <v>1554</v>
      </c>
      <c r="E1079" t="s">
        <v>1585</v>
      </c>
      <c r="F1079" t="s">
        <v>2252</v>
      </c>
      <c r="G1079" t="s">
        <v>3037</v>
      </c>
      <c r="H1079" t="s">
        <v>3038</v>
      </c>
      <c r="I1079" t="s">
        <v>3039</v>
      </c>
    </row>
    <row r="1080" spans="1:9" x14ac:dyDescent="0.2">
      <c r="A1080" t="s">
        <v>3040</v>
      </c>
      <c r="B1080" t="s">
        <v>3041</v>
      </c>
    </row>
    <row r="1081" spans="1:9" x14ac:dyDescent="0.2">
      <c r="A1081" t="s">
        <v>3042</v>
      </c>
      <c r="B1081" t="s">
        <v>3043</v>
      </c>
      <c r="C1081" t="s">
        <v>3044</v>
      </c>
      <c r="D1081" t="s">
        <v>2580</v>
      </c>
      <c r="E1081" t="s">
        <v>1667</v>
      </c>
      <c r="F1081" t="s">
        <v>1666</v>
      </c>
      <c r="G1081" t="s">
        <v>3045</v>
      </c>
      <c r="H1081" t="s">
        <v>3046</v>
      </c>
      <c r="I1081" t="s">
        <v>3047</v>
      </c>
    </row>
    <row r="1083" spans="1:9" x14ac:dyDescent="0.2">
      <c r="A1083" t="s">
        <v>3048</v>
      </c>
    </row>
    <row r="1084" spans="1:9" x14ac:dyDescent="0.2">
      <c r="A1084" t="s">
        <v>3049</v>
      </c>
      <c r="B1084" t="s">
        <v>3050</v>
      </c>
    </row>
    <row r="1085" spans="1:9" x14ac:dyDescent="0.2">
      <c r="A1085" t="s">
        <v>3051</v>
      </c>
    </row>
    <row r="1086" spans="1:9" x14ac:dyDescent="0.2">
      <c r="A1086" t="s">
        <v>3052</v>
      </c>
    </row>
    <row r="1087" spans="1:9" x14ac:dyDescent="0.2">
      <c r="A1087" t="s">
        <v>3053</v>
      </c>
    </row>
    <row r="1088" spans="1:9" x14ac:dyDescent="0.2">
      <c r="A1088" t="s">
        <v>3054</v>
      </c>
    </row>
    <row r="1089" spans="1:9" x14ac:dyDescent="0.2">
      <c r="A1089" t="s">
        <v>3055</v>
      </c>
    </row>
    <row r="1090" spans="1:9" x14ac:dyDescent="0.2">
      <c r="A1090" t="s">
        <v>3056</v>
      </c>
    </row>
    <row r="1091" spans="1:9" x14ac:dyDescent="0.2">
      <c r="A1091" t="s">
        <v>3057</v>
      </c>
      <c r="B1091" t="s">
        <v>3058</v>
      </c>
      <c r="C1091" t="s">
        <v>2802</v>
      </c>
      <c r="D1091" t="s">
        <v>2020</v>
      </c>
      <c r="E1091" t="s">
        <v>3059</v>
      </c>
      <c r="F1091" t="s">
        <v>3060</v>
      </c>
      <c r="G1091">
        <v>6000</v>
      </c>
    </row>
    <row r="1092" spans="1:9" x14ac:dyDescent="0.2">
      <c r="A1092" t="s">
        <v>3061</v>
      </c>
    </row>
    <row r="1093" spans="1:9" x14ac:dyDescent="0.2">
      <c r="A1093" t="s">
        <v>3062</v>
      </c>
    </row>
    <row r="1094" spans="1:9" x14ac:dyDescent="0.2">
      <c r="A1094" t="s">
        <v>3063</v>
      </c>
    </row>
    <row r="1095" spans="1:9" x14ac:dyDescent="0.2">
      <c r="A1095" t="s">
        <v>3064</v>
      </c>
    </row>
    <row r="1096" spans="1:9" x14ac:dyDescent="0.2">
      <c r="A1096" t="s">
        <v>3065</v>
      </c>
    </row>
    <row r="1098" spans="1:9" x14ac:dyDescent="0.2">
      <c r="A1098" t="s">
        <v>3066</v>
      </c>
    </row>
    <row r="1099" spans="1:9" x14ac:dyDescent="0.2">
      <c r="A1099" t="s">
        <v>3067</v>
      </c>
    </row>
    <row r="1100" spans="1:9" x14ac:dyDescent="0.2">
      <c r="A1100" t="s">
        <v>3068</v>
      </c>
      <c r="B1100" t="s">
        <v>3069</v>
      </c>
      <c r="C1100" t="s">
        <v>3070</v>
      </c>
      <c r="D1100">
        <v>0</v>
      </c>
      <c r="E1100">
        <v>0</v>
      </c>
      <c r="F1100">
        <v>0</v>
      </c>
      <c r="G1100">
        <v>66</v>
      </c>
      <c r="H1100" t="s">
        <v>3071</v>
      </c>
      <c r="I1100" t="s">
        <v>3072</v>
      </c>
    </row>
    <row r="1101" spans="1:9" x14ac:dyDescent="0.2">
      <c r="A1101" t="s">
        <v>3073</v>
      </c>
      <c r="B1101" t="s">
        <v>3074</v>
      </c>
      <c r="C1101" t="s">
        <v>3075</v>
      </c>
      <c r="D1101" t="s">
        <v>3076</v>
      </c>
      <c r="E1101" t="s">
        <v>2828</v>
      </c>
      <c r="F1101" t="s">
        <v>2362</v>
      </c>
      <c r="G1101" t="s">
        <v>3077</v>
      </c>
      <c r="H1101" t="s">
        <v>3078</v>
      </c>
      <c r="I1101" t="s">
        <v>3079</v>
      </c>
    </row>
    <row r="1102" spans="1:9" x14ac:dyDescent="0.2">
      <c r="A1102" t="s">
        <v>3080</v>
      </c>
    </row>
    <row r="1103" spans="1:9" x14ac:dyDescent="0.2">
      <c r="A1103" t="s">
        <v>3081</v>
      </c>
    </row>
    <row r="1104" spans="1:9" x14ac:dyDescent="0.2">
      <c r="A1104" t="s">
        <v>3082</v>
      </c>
    </row>
    <row r="1105" spans="1:9" x14ac:dyDescent="0.2">
      <c r="A1105" t="s">
        <v>3083</v>
      </c>
    </row>
    <row r="1106" spans="1:9" x14ac:dyDescent="0.2">
      <c r="A1106" t="s">
        <v>3084</v>
      </c>
      <c r="B1106" t="s">
        <v>3085</v>
      </c>
      <c r="C1106" t="s">
        <v>3086</v>
      </c>
      <c r="D1106" t="s">
        <v>2021</v>
      </c>
      <c r="E1106" t="s">
        <v>1587</v>
      </c>
      <c r="F1106" t="s">
        <v>2302</v>
      </c>
      <c r="G1106" t="s">
        <v>2364</v>
      </c>
      <c r="H1106" t="s">
        <v>3087</v>
      </c>
      <c r="I1106" t="s">
        <v>3088</v>
      </c>
    </row>
    <row r="1107" spans="1:9" x14ac:dyDescent="0.2">
      <c r="A1107" t="s">
        <v>3089</v>
      </c>
    </row>
    <row r="1108" spans="1:9" x14ac:dyDescent="0.2">
      <c r="A1108" t="s">
        <v>3090</v>
      </c>
      <c r="B1108" t="s">
        <v>3091</v>
      </c>
    </row>
    <row r="1109" spans="1:9" x14ac:dyDescent="0.2">
      <c r="A1109" t="s">
        <v>3092</v>
      </c>
      <c r="B1109" t="s">
        <v>3093</v>
      </c>
      <c r="C1109" t="s">
        <v>3094</v>
      </c>
      <c r="D1109" t="s">
        <v>2974</v>
      </c>
      <c r="E1109" t="s">
        <v>1554</v>
      </c>
      <c r="F1109" t="s">
        <v>2873</v>
      </c>
      <c r="G1109" t="s">
        <v>3087</v>
      </c>
      <c r="H1109" t="s">
        <v>3095</v>
      </c>
      <c r="I1109" t="s">
        <v>3096</v>
      </c>
    </row>
    <row r="1110" spans="1:9" x14ac:dyDescent="0.2">
      <c r="A1110" t="s">
        <v>3097</v>
      </c>
    </row>
    <row r="1111" spans="1:9" x14ac:dyDescent="0.2">
      <c r="A1111" t="s">
        <v>3098</v>
      </c>
      <c r="B1111" t="s">
        <v>3099</v>
      </c>
    </row>
    <row r="1113" spans="1:9" x14ac:dyDescent="0.2">
      <c r="A1113" t="s">
        <v>3100</v>
      </c>
    </row>
    <row r="1114" spans="1:9" x14ac:dyDescent="0.2">
      <c r="A1114" t="s">
        <v>3101</v>
      </c>
    </row>
    <row r="1115" spans="1:9" x14ac:dyDescent="0.2">
      <c r="A1115" t="s">
        <v>3102</v>
      </c>
    </row>
    <row r="1116" spans="1:9" x14ac:dyDescent="0.2">
      <c r="A1116" t="s">
        <v>3103</v>
      </c>
      <c r="B1116" t="s">
        <v>3104</v>
      </c>
    </row>
    <row r="1117" spans="1:9" x14ac:dyDescent="0.2">
      <c r="A1117" t="s">
        <v>3105</v>
      </c>
    </row>
    <row r="1118" spans="1:9" x14ac:dyDescent="0.2">
      <c r="A1118" t="s">
        <v>3106</v>
      </c>
      <c r="B1118" t="s">
        <v>3107</v>
      </c>
      <c r="C1118" t="s">
        <v>2352</v>
      </c>
      <c r="D1118" t="s">
        <v>2353</v>
      </c>
      <c r="E1118" t="s">
        <v>2285</v>
      </c>
      <c r="F1118" t="s">
        <v>1554</v>
      </c>
      <c r="G1118" t="s">
        <v>2239</v>
      </c>
      <c r="H1118" t="s">
        <v>3108</v>
      </c>
      <c r="I1118" t="s">
        <v>2024</v>
      </c>
    </row>
    <row r="1119" spans="1:9" x14ac:dyDescent="0.2">
      <c r="A1119" t="s">
        <v>3109</v>
      </c>
    </row>
    <row r="1120" spans="1:9" x14ac:dyDescent="0.2">
      <c r="A1120" t="s">
        <v>3110</v>
      </c>
    </row>
    <row r="1121" spans="1:9" x14ac:dyDescent="0.2">
      <c r="A1121" t="s">
        <v>3111</v>
      </c>
    </row>
    <row r="1122" spans="1:9" x14ac:dyDescent="0.2">
      <c r="A1122" t="s">
        <v>3112</v>
      </c>
    </row>
    <row r="1123" spans="1:9" x14ac:dyDescent="0.2">
      <c r="A1123" t="s">
        <v>3113</v>
      </c>
      <c r="B1123" t="s">
        <v>3114</v>
      </c>
      <c r="C1123" t="s">
        <v>3115</v>
      </c>
      <c r="D1123" t="s">
        <v>1566</v>
      </c>
      <c r="E1123" t="s">
        <v>3116</v>
      </c>
      <c r="F1123" t="s">
        <v>2592</v>
      </c>
      <c r="G1123" t="s">
        <v>3117</v>
      </c>
      <c r="H1123" t="s">
        <v>3118</v>
      </c>
      <c r="I1123" t="s">
        <v>3119</v>
      </c>
    </row>
    <row r="1124" spans="1:9" x14ac:dyDescent="0.2">
      <c r="A1124" t="s">
        <v>3120</v>
      </c>
    </row>
    <row r="1125" spans="1:9" x14ac:dyDescent="0.2">
      <c r="A1125" t="s">
        <v>3121</v>
      </c>
      <c r="B1125" t="s">
        <v>3122</v>
      </c>
      <c r="C1125" t="s">
        <v>2207</v>
      </c>
      <c r="D1125" t="s">
        <v>1780</v>
      </c>
      <c r="E1125" t="s">
        <v>1781</v>
      </c>
      <c r="F1125" t="s">
        <v>1657</v>
      </c>
      <c r="G1125" t="s">
        <v>1599</v>
      </c>
      <c r="H1125" t="s">
        <v>2208</v>
      </c>
      <c r="I1125" t="s">
        <v>3123</v>
      </c>
    </row>
    <row r="1126" spans="1:9" x14ac:dyDescent="0.2">
      <c r="A1126" t="s">
        <v>3124</v>
      </c>
    </row>
    <row r="1127" spans="1:9" x14ac:dyDescent="0.2">
      <c r="A1127" t="s">
        <v>3125</v>
      </c>
    </row>
    <row r="1128" spans="1:9" x14ac:dyDescent="0.2">
      <c r="A1128" t="s">
        <v>3126</v>
      </c>
    </row>
    <row r="1129" spans="1:9" x14ac:dyDescent="0.2">
      <c r="A1129" t="s">
        <v>3127</v>
      </c>
    </row>
    <row r="1130" spans="1:9" x14ac:dyDescent="0.2">
      <c r="A1130" t="s">
        <v>3128</v>
      </c>
    </row>
    <row r="1131" spans="1:9" x14ac:dyDescent="0.2">
      <c r="A1131" t="s">
        <v>3129</v>
      </c>
      <c r="B1131" t="s">
        <v>3130</v>
      </c>
      <c r="C1131" t="s">
        <v>1779</v>
      </c>
      <c r="D1131" t="s">
        <v>1780</v>
      </c>
      <c r="E1131" t="s">
        <v>1781</v>
      </c>
      <c r="F1131" t="s">
        <v>1657</v>
      </c>
      <c r="G1131" t="s">
        <v>1782</v>
      </c>
      <c r="H1131" t="s">
        <v>1783</v>
      </c>
      <c r="I1131" t="s">
        <v>3131</v>
      </c>
    </row>
    <row r="1132" spans="1:9" x14ac:dyDescent="0.2">
      <c r="A1132" t="s">
        <v>3132</v>
      </c>
      <c r="B1132" t="s">
        <v>3133</v>
      </c>
    </row>
    <row r="1133" spans="1:9" x14ac:dyDescent="0.2">
      <c r="A1133" t="s">
        <v>3134</v>
      </c>
      <c r="B1133" t="s">
        <v>3135</v>
      </c>
      <c r="C1133" t="s">
        <v>3136</v>
      </c>
      <c r="D1133" t="s">
        <v>3137</v>
      </c>
      <c r="E1133" t="s">
        <v>1566</v>
      </c>
      <c r="F1133" t="s">
        <v>3116</v>
      </c>
      <c r="G1133" t="s">
        <v>2472</v>
      </c>
      <c r="H1133">
        <v>1609</v>
      </c>
      <c r="I1133" t="s">
        <v>3138</v>
      </c>
    </row>
    <row r="1134" spans="1:9" x14ac:dyDescent="0.2">
      <c r="A1134" t="s">
        <v>3139</v>
      </c>
      <c r="B1134" t="s">
        <v>2039</v>
      </c>
    </row>
    <row r="1135" spans="1:9" x14ac:dyDescent="0.2">
      <c r="A1135" t="s">
        <v>3140</v>
      </c>
    </row>
    <row r="1136" spans="1:9" x14ac:dyDescent="0.2">
      <c r="A1136" t="s">
        <v>3141</v>
      </c>
    </row>
    <row r="1137" spans="1:9" x14ac:dyDescent="0.2">
      <c r="A1137" t="s">
        <v>3142</v>
      </c>
    </row>
    <row r="1138" spans="1:9" x14ac:dyDescent="0.2">
      <c r="A1138" t="s">
        <v>3143</v>
      </c>
    </row>
    <row r="1139" spans="1:9" x14ac:dyDescent="0.2">
      <c r="A1139" t="s">
        <v>3144</v>
      </c>
    </row>
    <row r="1140" spans="1:9" x14ac:dyDescent="0.2">
      <c r="A1140" t="s">
        <v>3145</v>
      </c>
    </row>
    <row r="1141" spans="1:9" x14ac:dyDescent="0.2">
      <c r="A1141" t="s">
        <v>3146</v>
      </c>
      <c r="B1141" t="s">
        <v>3147</v>
      </c>
      <c r="C1141" t="s">
        <v>3148</v>
      </c>
      <c r="D1141" t="s">
        <v>2165</v>
      </c>
      <c r="E1141" t="s">
        <v>1587</v>
      </c>
      <c r="F1141" t="s">
        <v>2020</v>
      </c>
      <c r="G1141" t="s">
        <v>3149</v>
      </c>
      <c r="H1141" t="s">
        <v>2024</v>
      </c>
    </row>
    <row r="1142" spans="1:9" x14ac:dyDescent="0.2">
      <c r="A1142" t="s">
        <v>3150</v>
      </c>
    </row>
    <row r="1143" spans="1:9" x14ac:dyDescent="0.2">
      <c r="A1143" t="s">
        <v>3151</v>
      </c>
    </row>
    <row r="1144" spans="1:9" x14ac:dyDescent="0.2">
      <c r="A1144" t="s">
        <v>3152</v>
      </c>
    </row>
    <row r="1145" spans="1:9" x14ac:dyDescent="0.2">
      <c r="A1145" t="s">
        <v>3153</v>
      </c>
    </row>
    <row r="1146" spans="1:9" x14ac:dyDescent="0.2">
      <c r="A1146" t="s">
        <v>3154</v>
      </c>
      <c r="B1146" t="s">
        <v>3155</v>
      </c>
      <c r="C1146" t="s">
        <v>3156</v>
      </c>
      <c r="D1146" t="s">
        <v>2021</v>
      </c>
      <c r="E1146" t="s">
        <v>1587</v>
      </c>
      <c r="F1146" t="s">
        <v>2302</v>
      </c>
      <c r="G1146" t="s">
        <v>3157</v>
      </c>
      <c r="H1146" t="s">
        <v>3158</v>
      </c>
      <c r="I1146" t="s">
        <v>3159</v>
      </c>
    </row>
    <row r="1147" spans="1:9" x14ac:dyDescent="0.2">
      <c r="A1147" t="s">
        <v>3160</v>
      </c>
      <c r="B1147" t="s">
        <v>3161</v>
      </c>
    </row>
    <row r="1148" spans="1:9" x14ac:dyDescent="0.2">
      <c r="A1148" t="s">
        <v>3162</v>
      </c>
      <c r="B1148" t="s">
        <v>3163</v>
      </c>
      <c r="C1148" t="s">
        <v>2796</v>
      </c>
      <c r="D1148" t="s">
        <v>1983</v>
      </c>
      <c r="E1148" t="s">
        <v>1667</v>
      </c>
      <c r="F1148" t="s">
        <v>1666</v>
      </c>
      <c r="G1148" t="s">
        <v>1984</v>
      </c>
      <c r="H1148" t="s">
        <v>2797</v>
      </c>
      <c r="I1148" t="s">
        <v>3164</v>
      </c>
    </row>
    <row r="1149" spans="1:9" x14ac:dyDescent="0.2">
      <c r="A1149" t="s">
        <v>3165</v>
      </c>
      <c r="B1149" t="s">
        <v>3166</v>
      </c>
    </row>
    <row r="1150" spans="1:9" x14ac:dyDescent="0.2">
      <c r="A1150" t="s">
        <v>3167</v>
      </c>
    </row>
    <row r="1151" spans="1:9" x14ac:dyDescent="0.2">
      <c r="A1151" t="s">
        <v>3168</v>
      </c>
    </row>
    <row r="1152" spans="1:9" x14ac:dyDescent="0.2">
      <c r="A1152" t="s">
        <v>3169</v>
      </c>
    </row>
    <row r="1153" spans="1:9" x14ac:dyDescent="0.2">
      <c r="A1153" t="s">
        <v>3170</v>
      </c>
      <c r="B1153" t="s">
        <v>3171</v>
      </c>
      <c r="C1153" t="s">
        <v>3172</v>
      </c>
      <c r="D1153" t="s">
        <v>2623</v>
      </c>
      <c r="E1153" t="s">
        <v>2311</v>
      </c>
      <c r="F1153" t="s">
        <v>1556</v>
      </c>
      <c r="G1153" t="s">
        <v>3173</v>
      </c>
      <c r="H1153" t="s">
        <v>3174</v>
      </c>
      <c r="I1153" t="s">
        <v>3175</v>
      </c>
    </row>
    <row r="1154" spans="1:9" x14ac:dyDescent="0.2">
      <c r="A1154" t="s">
        <v>3176</v>
      </c>
    </row>
    <row r="1155" spans="1:9" x14ac:dyDescent="0.2">
      <c r="A1155" t="s">
        <v>3177</v>
      </c>
      <c r="B1155" t="s">
        <v>2675</v>
      </c>
    </row>
    <row r="1156" spans="1:9" x14ac:dyDescent="0.2">
      <c r="A1156" t="s">
        <v>3178</v>
      </c>
      <c r="B1156" t="s">
        <v>3179</v>
      </c>
      <c r="C1156" t="s">
        <v>3180</v>
      </c>
      <c r="D1156" t="s">
        <v>1751</v>
      </c>
      <c r="E1156" t="s">
        <v>1596</v>
      </c>
      <c r="F1156" t="s">
        <v>1597</v>
      </c>
      <c r="G1156" t="s">
        <v>3181</v>
      </c>
      <c r="H1156" t="s">
        <v>3182</v>
      </c>
      <c r="I1156" t="s">
        <v>3183</v>
      </c>
    </row>
    <row r="1157" spans="1:9" x14ac:dyDescent="0.2">
      <c r="A1157" t="s">
        <v>3184</v>
      </c>
    </row>
    <row r="1158" spans="1:9" x14ac:dyDescent="0.2">
      <c r="A1158" t="s">
        <v>3185</v>
      </c>
    </row>
    <row r="1159" spans="1:9" x14ac:dyDescent="0.2">
      <c r="A1159" t="s">
        <v>3186</v>
      </c>
    </row>
    <row r="1160" spans="1:9" x14ac:dyDescent="0.2">
      <c r="A1160" t="s">
        <v>3187</v>
      </c>
      <c r="B1160" t="s">
        <v>3188</v>
      </c>
      <c r="C1160" t="s">
        <v>3189</v>
      </c>
      <c r="D1160" t="s">
        <v>3190</v>
      </c>
      <c r="E1160" t="s">
        <v>3191</v>
      </c>
      <c r="F1160" t="s">
        <v>3192</v>
      </c>
      <c r="G1160" t="s">
        <v>3193</v>
      </c>
      <c r="H1160" t="s">
        <v>3194</v>
      </c>
      <c r="I1160" t="s">
        <v>3195</v>
      </c>
    </row>
    <row r="1161" spans="1:9" x14ac:dyDescent="0.2">
      <c r="A1161" t="s">
        <v>3196</v>
      </c>
    </row>
    <row r="1162" spans="1:9" x14ac:dyDescent="0.2">
      <c r="A1162" t="s">
        <v>3197</v>
      </c>
    </row>
    <row r="1163" spans="1:9" x14ac:dyDescent="0.2">
      <c r="A1163" t="s">
        <v>3198</v>
      </c>
    </row>
    <row r="1164" spans="1:9" x14ac:dyDescent="0.2">
      <c r="A1164" t="s">
        <v>3199</v>
      </c>
    </row>
    <row r="1165" spans="1:9" x14ac:dyDescent="0.2">
      <c r="A1165" t="s">
        <v>3200</v>
      </c>
    </row>
    <row r="1166" spans="1:9" x14ac:dyDescent="0.2">
      <c r="A1166" t="s">
        <v>3201</v>
      </c>
    </row>
    <row r="1167" spans="1:9" x14ac:dyDescent="0.2">
      <c r="A1167" t="s">
        <v>3202</v>
      </c>
    </row>
    <row r="1168" spans="1:9" x14ac:dyDescent="0.2">
      <c r="A1168" t="s">
        <v>3203</v>
      </c>
    </row>
    <row r="1169" spans="1:9" x14ac:dyDescent="0.2">
      <c r="A1169" t="s">
        <v>3204</v>
      </c>
    </row>
    <row r="1170" spans="1:9" x14ac:dyDescent="0.2">
      <c r="A1170" t="s">
        <v>3205</v>
      </c>
    </row>
    <row r="1171" spans="1:9" x14ac:dyDescent="0.2">
      <c r="A1171" t="s">
        <v>3206</v>
      </c>
    </row>
    <row r="1172" spans="1:9" x14ac:dyDescent="0.2">
      <c r="A1172" t="s">
        <v>3207</v>
      </c>
      <c r="B1172" t="s">
        <v>3208</v>
      </c>
    </row>
    <row r="1173" spans="1:9" x14ac:dyDescent="0.2">
      <c r="A1173" t="s">
        <v>3209</v>
      </c>
    </row>
    <row r="1174" spans="1:9" x14ac:dyDescent="0.2">
      <c r="A1174" t="s">
        <v>3210</v>
      </c>
    </row>
    <row r="1175" spans="1:9" x14ac:dyDescent="0.2">
      <c r="A1175" t="s">
        <v>3211</v>
      </c>
    </row>
    <row r="1176" spans="1:9" x14ac:dyDescent="0.2">
      <c r="A1176" t="s">
        <v>3212</v>
      </c>
    </row>
    <row r="1177" spans="1:9" x14ac:dyDescent="0.2">
      <c r="A1177" t="s">
        <v>3213</v>
      </c>
    </row>
    <row r="1178" spans="1:9" x14ac:dyDescent="0.2">
      <c r="A1178" t="s">
        <v>3214</v>
      </c>
      <c r="B1178" t="s">
        <v>3215</v>
      </c>
      <c r="C1178" t="s">
        <v>3216</v>
      </c>
      <c r="D1178" t="s">
        <v>1666</v>
      </c>
      <c r="E1178" t="s">
        <v>1587</v>
      </c>
      <c r="F1178" t="s">
        <v>2165</v>
      </c>
      <c r="G1178" t="s">
        <v>2797</v>
      </c>
      <c r="H1178" t="s">
        <v>3217</v>
      </c>
      <c r="I1178" t="s">
        <v>3218</v>
      </c>
    </row>
    <row r="1179" spans="1:9" x14ac:dyDescent="0.2">
      <c r="A1179" t="s">
        <v>3219</v>
      </c>
    </row>
    <row r="1180" spans="1:9" x14ac:dyDescent="0.2">
      <c r="A1180" t="s">
        <v>3220</v>
      </c>
      <c r="B1180" t="s">
        <v>3221</v>
      </c>
    </row>
    <row r="1181" spans="1:9" x14ac:dyDescent="0.2">
      <c r="A1181" t="s">
        <v>3222</v>
      </c>
      <c r="B1181">
        <v>0</v>
      </c>
    </row>
    <row r="1182" spans="1:9" x14ac:dyDescent="0.2">
      <c r="A1182" t="s">
        <v>3223</v>
      </c>
      <c r="B1182" t="s">
        <v>3224</v>
      </c>
    </row>
    <row r="1183" spans="1:9" x14ac:dyDescent="0.2">
      <c r="A1183" t="s">
        <v>3225</v>
      </c>
    </row>
    <row r="1184" spans="1:9" x14ac:dyDescent="0.2">
      <c r="A1184" t="s">
        <v>3226</v>
      </c>
    </row>
    <row r="1185" spans="1:2" x14ac:dyDescent="0.2">
      <c r="A1185" t="s">
        <v>3227</v>
      </c>
    </row>
    <row r="1186" spans="1:2" x14ac:dyDescent="0.2">
      <c r="A1186" t="s">
        <v>3228</v>
      </c>
    </row>
    <row r="1187" spans="1:2" x14ac:dyDescent="0.2">
      <c r="A1187" t="s">
        <v>3229</v>
      </c>
      <c r="B1187" t="s">
        <v>3230</v>
      </c>
    </row>
    <row r="1188" spans="1:2" x14ac:dyDescent="0.2">
      <c r="A1188" t="s">
        <v>3231</v>
      </c>
    </row>
    <row r="1189" spans="1:2" x14ac:dyDescent="0.2">
      <c r="A1189" t="s">
        <v>3232</v>
      </c>
    </row>
    <row r="1190" spans="1:2" x14ac:dyDescent="0.2">
      <c r="A1190" t="s">
        <v>3233</v>
      </c>
    </row>
    <row r="1191" spans="1:2" x14ac:dyDescent="0.2">
      <c r="A1191" t="s">
        <v>3234</v>
      </c>
      <c r="B1191" t="s">
        <v>3235</v>
      </c>
    </row>
    <row r="1192" spans="1:2" x14ac:dyDescent="0.2">
      <c r="A1192" t="s">
        <v>3236</v>
      </c>
      <c r="B1192" t="s">
        <v>3237</v>
      </c>
    </row>
    <row r="1193" spans="1:2" x14ac:dyDescent="0.2">
      <c r="A1193" t="s">
        <v>3238</v>
      </c>
    </row>
    <row r="1194" spans="1:2" x14ac:dyDescent="0.2">
      <c r="A1194" t="s">
        <v>3239</v>
      </c>
    </row>
    <row r="1195" spans="1:2" x14ac:dyDescent="0.2">
      <c r="A1195" t="s">
        <v>3240</v>
      </c>
    </row>
    <row r="1196" spans="1:2" x14ac:dyDescent="0.2">
      <c r="A1196" t="s">
        <v>3241</v>
      </c>
    </row>
    <row r="1197" spans="1:2" x14ac:dyDescent="0.2">
      <c r="A1197" t="s">
        <v>3242</v>
      </c>
    </row>
    <row r="1198" spans="1:2" x14ac:dyDescent="0.2">
      <c r="A1198" t="s">
        <v>3243</v>
      </c>
    </row>
    <row r="1199" spans="1:2" x14ac:dyDescent="0.2">
      <c r="A1199" t="s">
        <v>3244</v>
      </c>
    </row>
    <row r="1200" spans="1:2" x14ac:dyDescent="0.2">
      <c r="A1200" t="s">
        <v>3245</v>
      </c>
      <c r="B1200" t="s">
        <v>3246</v>
      </c>
    </row>
    <row r="1201" spans="1:9" x14ac:dyDescent="0.2">
      <c r="A1201" t="s">
        <v>3247</v>
      </c>
    </row>
    <row r="1202" spans="1:9" x14ac:dyDescent="0.2">
      <c r="A1202" t="s">
        <v>3248</v>
      </c>
      <c r="B1202" t="s">
        <v>3249</v>
      </c>
      <c r="C1202" t="s">
        <v>3250</v>
      </c>
      <c r="D1202" t="s">
        <v>3251</v>
      </c>
      <c r="E1202" t="s">
        <v>1555</v>
      </c>
      <c r="F1202" t="s">
        <v>1772</v>
      </c>
      <c r="G1202" t="s">
        <v>3252</v>
      </c>
      <c r="H1202" t="s">
        <v>2653</v>
      </c>
      <c r="I1202" t="s">
        <v>1680</v>
      </c>
    </row>
    <row r="1203" spans="1:9" x14ac:dyDescent="0.2">
      <c r="A1203" t="s">
        <v>3253</v>
      </c>
    </row>
    <row r="1204" spans="1:9" x14ac:dyDescent="0.2">
      <c r="A1204" t="s">
        <v>3254</v>
      </c>
    </row>
    <row r="1205" spans="1:9" x14ac:dyDescent="0.2">
      <c r="A1205" t="s">
        <v>3255</v>
      </c>
      <c r="B1205" t="s">
        <v>3256</v>
      </c>
    </row>
    <row r="1206" spans="1:9" x14ac:dyDescent="0.2">
      <c r="A1206" t="s">
        <v>3257</v>
      </c>
    </row>
    <row r="1207" spans="1:9" x14ac:dyDescent="0.2">
      <c r="A1207" t="s">
        <v>3258</v>
      </c>
    </row>
    <row r="1208" spans="1:9" x14ac:dyDescent="0.2">
      <c r="A1208" t="s">
        <v>3259</v>
      </c>
    </row>
    <row r="1209" spans="1:9" x14ac:dyDescent="0.2">
      <c r="A1209" t="s">
        <v>3260</v>
      </c>
    </row>
    <row r="1210" spans="1:9" x14ac:dyDescent="0.2">
      <c r="A1210" t="s">
        <v>3261</v>
      </c>
    </row>
    <row r="1211" spans="1:9" x14ac:dyDescent="0.2">
      <c r="A1211" t="s">
        <v>3262</v>
      </c>
    </row>
    <row r="1212" spans="1:9" x14ac:dyDescent="0.2">
      <c r="A1212" t="s">
        <v>3263</v>
      </c>
    </row>
    <row r="1213" spans="1:9" x14ac:dyDescent="0.2">
      <c r="A1213" t="s">
        <v>3264</v>
      </c>
    </row>
    <row r="1214" spans="1:9" x14ac:dyDescent="0.2">
      <c r="A1214" t="s">
        <v>3265</v>
      </c>
      <c r="B1214" t="s">
        <v>3266</v>
      </c>
      <c r="C1214" t="s">
        <v>3267</v>
      </c>
      <c r="D1214" t="s">
        <v>2230</v>
      </c>
      <c r="E1214" t="s">
        <v>2231</v>
      </c>
      <c r="F1214" t="s">
        <v>3268</v>
      </c>
      <c r="G1214" t="s">
        <v>3269</v>
      </c>
      <c r="H1214" t="s">
        <v>3270</v>
      </c>
      <c r="I1214" t="s">
        <v>2464</v>
      </c>
    </row>
    <row r="1215" spans="1:9" x14ac:dyDescent="0.2">
      <c r="A1215" t="s">
        <v>3271</v>
      </c>
    </row>
    <row r="1216" spans="1:9" x14ac:dyDescent="0.2">
      <c r="A1216" t="s">
        <v>3272</v>
      </c>
    </row>
    <row r="1217" spans="1:9" x14ac:dyDescent="0.2">
      <c r="A1217" t="s">
        <v>3273</v>
      </c>
      <c r="B1217" t="s">
        <v>3274</v>
      </c>
      <c r="C1217" t="s">
        <v>3275</v>
      </c>
      <c r="D1217" t="s">
        <v>3276</v>
      </c>
      <c r="E1217" t="s">
        <v>3277</v>
      </c>
      <c r="F1217" t="s">
        <v>3278</v>
      </c>
      <c r="G1217" t="s">
        <v>3279</v>
      </c>
      <c r="H1217" t="s">
        <v>3280</v>
      </c>
      <c r="I1217">
        <v>0</v>
      </c>
    </row>
    <row r="1218" spans="1:9" x14ac:dyDescent="0.2">
      <c r="A1218" t="s">
        <v>3281</v>
      </c>
    </row>
    <row r="1219" spans="1:9" x14ac:dyDescent="0.2">
      <c r="A1219" t="s">
        <v>3282</v>
      </c>
    </row>
    <row r="1220" spans="1:9" x14ac:dyDescent="0.2">
      <c r="A1220" t="s">
        <v>3283</v>
      </c>
    </row>
    <row r="1221" spans="1:9" x14ac:dyDescent="0.2">
      <c r="A1221" t="s">
        <v>3284</v>
      </c>
    </row>
    <row r="1222" spans="1:9" x14ac:dyDescent="0.2">
      <c r="A1222" t="s">
        <v>3285</v>
      </c>
    </row>
    <row r="1223" spans="1:9" x14ac:dyDescent="0.2">
      <c r="A1223" t="s">
        <v>3286</v>
      </c>
    </row>
    <row r="1224" spans="1:9" x14ac:dyDescent="0.2">
      <c r="A1224" t="s">
        <v>3287</v>
      </c>
    </row>
    <row r="1225" spans="1:9" x14ac:dyDescent="0.2">
      <c r="A1225" t="s">
        <v>3288</v>
      </c>
      <c r="B1225" t="s">
        <v>3289</v>
      </c>
      <c r="C1225" t="s">
        <v>3290</v>
      </c>
      <c r="D1225" t="s">
        <v>3291</v>
      </c>
      <c r="E1225" t="s">
        <v>2362</v>
      </c>
      <c r="F1225" t="s">
        <v>2346</v>
      </c>
      <c r="G1225" t="s">
        <v>3292</v>
      </c>
      <c r="H1225" t="s">
        <v>2653</v>
      </c>
      <c r="I1225" t="s">
        <v>3293</v>
      </c>
    </row>
    <row r="1226" spans="1:9" x14ac:dyDescent="0.2">
      <c r="A1226" t="s">
        <v>3294</v>
      </c>
      <c r="B1226" t="s">
        <v>3295</v>
      </c>
    </row>
    <row r="1227" spans="1:9" x14ac:dyDescent="0.2">
      <c r="A1227" t="s">
        <v>3296</v>
      </c>
    </row>
    <row r="1228" spans="1:9" x14ac:dyDescent="0.2">
      <c r="A1228" t="s">
        <v>3297</v>
      </c>
    </row>
    <row r="1229" spans="1:9" x14ac:dyDescent="0.2">
      <c r="A1229" t="s">
        <v>3298</v>
      </c>
    </row>
    <row r="1230" spans="1:9" x14ac:dyDescent="0.2">
      <c r="A1230" t="s">
        <v>3299</v>
      </c>
    </row>
    <row r="1231" spans="1:9" x14ac:dyDescent="0.2">
      <c r="A1231" t="s">
        <v>3300</v>
      </c>
    </row>
    <row r="1232" spans="1:9" x14ac:dyDescent="0.2">
      <c r="A1232" t="s">
        <v>3301</v>
      </c>
      <c r="B1232">
        <v>0</v>
      </c>
    </row>
    <row r="1233" spans="1:9" x14ac:dyDescent="0.2">
      <c r="A1233" t="s">
        <v>3302</v>
      </c>
    </row>
    <row r="1234" spans="1:9" x14ac:dyDescent="0.2">
      <c r="A1234" t="s">
        <v>3303</v>
      </c>
    </row>
    <row r="1235" spans="1:9" x14ac:dyDescent="0.2">
      <c r="A1235" t="s">
        <v>3304</v>
      </c>
    </row>
    <row r="1236" spans="1:9" x14ac:dyDescent="0.2">
      <c r="A1236" t="s">
        <v>3305</v>
      </c>
    </row>
    <row r="1237" spans="1:9" x14ac:dyDescent="0.2">
      <c r="A1237" t="s">
        <v>3306</v>
      </c>
      <c r="B1237" t="s">
        <v>3307</v>
      </c>
      <c r="C1237" t="s">
        <v>3308</v>
      </c>
      <c r="D1237" t="s">
        <v>3309</v>
      </c>
      <c r="E1237" t="s">
        <v>3310</v>
      </c>
      <c r="F1237" t="s">
        <v>3311</v>
      </c>
      <c r="G1237" t="s">
        <v>3312</v>
      </c>
      <c r="H1237" t="s">
        <v>3313</v>
      </c>
      <c r="I1237" t="s">
        <v>3314</v>
      </c>
    </row>
    <row r="1238" spans="1:9" x14ac:dyDescent="0.2">
      <c r="A1238" t="s">
        <v>3315</v>
      </c>
    </row>
    <row r="1240" spans="1:9" x14ac:dyDescent="0.2">
      <c r="A1240" t="s">
        <v>3316</v>
      </c>
    </row>
    <row r="1241" spans="1:9" x14ac:dyDescent="0.2">
      <c r="A1241" t="s">
        <v>3317</v>
      </c>
    </row>
    <row r="1242" spans="1:9" x14ac:dyDescent="0.2">
      <c r="A1242" t="s">
        <v>3318</v>
      </c>
    </row>
    <row r="1243" spans="1:9" x14ac:dyDescent="0.2">
      <c r="A1243" t="s">
        <v>3319</v>
      </c>
    </row>
    <row r="1244" spans="1:9" x14ac:dyDescent="0.2">
      <c r="A1244" t="s">
        <v>3320</v>
      </c>
    </row>
    <row r="1245" spans="1:9" x14ac:dyDescent="0.2">
      <c r="A1245" t="s">
        <v>3321</v>
      </c>
    </row>
    <row r="1246" spans="1:9" x14ac:dyDescent="0.2">
      <c r="A1246" t="s">
        <v>3322</v>
      </c>
    </row>
    <row r="1247" spans="1:9" x14ac:dyDescent="0.2">
      <c r="A1247" t="s">
        <v>3323</v>
      </c>
    </row>
    <row r="1249" spans="1:9" x14ac:dyDescent="0.2">
      <c r="A1249" t="s">
        <v>3324</v>
      </c>
    </row>
    <row r="1251" spans="1:9" x14ac:dyDescent="0.2">
      <c r="A1251" t="s">
        <v>3325</v>
      </c>
    </row>
    <row r="1253" spans="1:9" x14ac:dyDescent="0.2">
      <c r="A1253" t="s">
        <v>3326</v>
      </c>
    </row>
    <row r="1254" spans="1:9" x14ac:dyDescent="0.2">
      <c r="A1254" t="s">
        <v>3327</v>
      </c>
    </row>
    <row r="1255" spans="1:9" x14ac:dyDescent="0.2">
      <c r="A1255" t="s">
        <v>3328</v>
      </c>
      <c r="B1255" t="s">
        <v>3329</v>
      </c>
    </row>
    <row r="1256" spans="1:9" x14ac:dyDescent="0.2">
      <c r="A1256" t="s">
        <v>3330</v>
      </c>
    </row>
    <row r="1257" spans="1:9" x14ac:dyDescent="0.2">
      <c r="A1257" t="s">
        <v>3331</v>
      </c>
    </row>
    <row r="1258" spans="1:9" x14ac:dyDescent="0.2">
      <c r="A1258" t="s">
        <v>3332</v>
      </c>
      <c r="B1258" t="s">
        <v>3333</v>
      </c>
      <c r="C1258" t="s">
        <v>3334</v>
      </c>
      <c r="D1258">
        <v>93</v>
      </c>
      <c r="E1258" t="s">
        <v>1830</v>
      </c>
      <c r="F1258">
        <v>58</v>
      </c>
      <c r="G1258" t="s">
        <v>3335</v>
      </c>
      <c r="H1258">
        <v>916</v>
      </c>
      <c r="I1258" t="s">
        <v>3336</v>
      </c>
    </row>
    <row r="1259" spans="1:9" x14ac:dyDescent="0.2">
      <c r="A1259" t="s">
        <v>3337</v>
      </c>
    </row>
    <row r="1260" spans="1:9" x14ac:dyDescent="0.2">
      <c r="A1260" t="s">
        <v>3338</v>
      </c>
    </row>
    <row r="1261" spans="1:9" x14ac:dyDescent="0.2">
      <c r="A1261" t="s">
        <v>3339</v>
      </c>
    </row>
    <row r="1262" spans="1:9" x14ac:dyDescent="0.2">
      <c r="A1262" t="s">
        <v>3340</v>
      </c>
    </row>
    <row r="1263" spans="1:9" x14ac:dyDescent="0.2">
      <c r="A1263" t="s">
        <v>3341</v>
      </c>
    </row>
    <row r="1264" spans="1:9" x14ac:dyDescent="0.2">
      <c r="A1264" t="s">
        <v>3342</v>
      </c>
    </row>
    <row r="1265" spans="1:9" x14ac:dyDescent="0.2">
      <c r="A1265" t="s">
        <v>3343</v>
      </c>
    </row>
    <row r="1266" spans="1:9" x14ac:dyDescent="0.2">
      <c r="A1266" t="s">
        <v>3344</v>
      </c>
    </row>
    <row r="1267" spans="1:9" x14ac:dyDescent="0.2">
      <c r="A1267" t="s">
        <v>3345</v>
      </c>
      <c r="B1267" t="s">
        <v>3346</v>
      </c>
      <c r="C1267" t="s">
        <v>3347</v>
      </c>
      <c r="D1267" t="s">
        <v>3348</v>
      </c>
      <c r="E1267" t="s">
        <v>3349</v>
      </c>
      <c r="F1267" t="s">
        <v>2655</v>
      </c>
      <c r="G1267" t="s">
        <v>3350</v>
      </c>
      <c r="H1267" t="s">
        <v>3351</v>
      </c>
      <c r="I1267" t="s">
        <v>3352</v>
      </c>
    </row>
    <row r="1268" spans="1:9" x14ac:dyDescent="0.2">
      <c r="A1268" t="s">
        <v>3353</v>
      </c>
    </row>
    <row r="1270" spans="1:9" x14ac:dyDescent="0.2">
      <c r="A1270" t="s">
        <v>3354</v>
      </c>
    </row>
    <row r="1271" spans="1:9" x14ac:dyDescent="0.2">
      <c r="A1271" t="s">
        <v>3355</v>
      </c>
    </row>
    <row r="1272" spans="1:9" x14ac:dyDescent="0.2">
      <c r="A1272" t="s">
        <v>3356</v>
      </c>
    </row>
    <row r="1273" spans="1:9" x14ac:dyDescent="0.2">
      <c r="A1273" t="s">
        <v>3357</v>
      </c>
      <c r="B1273" t="s">
        <v>3358</v>
      </c>
      <c r="C1273" t="s">
        <v>3359</v>
      </c>
      <c r="D1273" t="s">
        <v>3360</v>
      </c>
      <c r="E1273" t="s">
        <v>3361</v>
      </c>
      <c r="F1273" t="s">
        <v>3362</v>
      </c>
      <c r="G1273" t="s">
        <v>269</v>
      </c>
      <c r="H1273" t="s">
        <v>3363</v>
      </c>
      <c r="I1273">
        <v>0</v>
      </c>
    </row>
    <row r="1274" spans="1:9" x14ac:dyDescent="0.2">
      <c r="A1274" t="s">
        <v>3364</v>
      </c>
    </row>
    <row r="1275" spans="1:9" x14ac:dyDescent="0.2">
      <c r="A1275" t="s">
        <v>3365</v>
      </c>
    </row>
    <row r="1276" spans="1:9" x14ac:dyDescent="0.2">
      <c r="A1276" t="s">
        <v>3366</v>
      </c>
    </row>
    <row r="1277" spans="1:9" x14ac:dyDescent="0.2">
      <c r="A1277" t="s">
        <v>3367</v>
      </c>
    </row>
    <row r="1278" spans="1:9" x14ac:dyDescent="0.2">
      <c r="A1278" t="s">
        <v>3368</v>
      </c>
    </row>
    <row r="1279" spans="1:9" x14ac:dyDescent="0.2">
      <c r="A1279" t="s">
        <v>3369</v>
      </c>
    </row>
    <row r="1280" spans="1:9" x14ac:dyDescent="0.2">
      <c r="A1280" t="s">
        <v>3370</v>
      </c>
    </row>
    <row r="1281" spans="1:9" x14ac:dyDescent="0.2">
      <c r="A1281" t="s">
        <v>3371</v>
      </c>
      <c r="B1281" t="s">
        <v>3372</v>
      </c>
      <c r="C1281" t="s">
        <v>3373</v>
      </c>
      <c r="D1281" t="s">
        <v>3374</v>
      </c>
      <c r="E1281" t="s">
        <v>2561</v>
      </c>
      <c r="F1281" t="s">
        <v>1554</v>
      </c>
      <c r="G1281" t="s">
        <v>3375</v>
      </c>
      <c r="H1281" t="s">
        <v>2239</v>
      </c>
      <c r="I1281" t="s">
        <v>3376</v>
      </c>
    </row>
    <row r="1282" spans="1:9" x14ac:dyDescent="0.2">
      <c r="A1282" t="s">
        <v>3377</v>
      </c>
      <c r="B1282" t="s">
        <v>3378</v>
      </c>
    </row>
    <row r="1283" spans="1:9" x14ac:dyDescent="0.2">
      <c r="A1283" t="s">
        <v>3379</v>
      </c>
      <c r="B1283" t="s">
        <v>3380</v>
      </c>
      <c r="C1283" t="s">
        <v>3381</v>
      </c>
    </row>
    <row r="1284" spans="1:9" x14ac:dyDescent="0.2">
      <c r="A1284" t="s">
        <v>3382</v>
      </c>
    </row>
    <row r="1285" spans="1:9" x14ac:dyDescent="0.2">
      <c r="A1285" t="s">
        <v>3383</v>
      </c>
    </row>
    <row r="1286" spans="1:9" x14ac:dyDescent="0.2">
      <c r="A1286" t="s">
        <v>3384</v>
      </c>
    </row>
    <row r="1287" spans="1:9" x14ac:dyDescent="0.2">
      <c r="A1287" t="s">
        <v>3385</v>
      </c>
    </row>
    <row r="1288" spans="1:9" x14ac:dyDescent="0.2">
      <c r="A1288" t="s">
        <v>3386</v>
      </c>
      <c r="B1288" t="s">
        <v>3387</v>
      </c>
    </row>
    <row r="1289" spans="1:9" x14ac:dyDescent="0.2">
      <c r="A1289" t="s">
        <v>3388</v>
      </c>
    </row>
    <row r="1290" spans="1:9" x14ac:dyDescent="0.2">
      <c r="A1290" t="s">
        <v>3389</v>
      </c>
    </row>
    <row r="1291" spans="1:9" x14ac:dyDescent="0.2">
      <c r="A1291" t="s">
        <v>3390</v>
      </c>
    </row>
    <row r="1292" spans="1:9" x14ac:dyDescent="0.2">
      <c r="A1292" t="s">
        <v>3391</v>
      </c>
    </row>
    <row r="1293" spans="1:9" x14ac:dyDescent="0.2">
      <c r="A1293" t="s">
        <v>3392</v>
      </c>
    </row>
    <row r="1294" spans="1:9" x14ac:dyDescent="0.2">
      <c r="A1294" t="s">
        <v>3393</v>
      </c>
    </row>
    <row r="1296" spans="1:9" x14ac:dyDescent="0.2">
      <c r="A1296" t="s">
        <v>3394</v>
      </c>
    </row>
    <row r="1297" spans="1:2" x14ac:dyDescent="0.2">
      <c r="A1297" t="s">
        <v>3395</v>
      </c>
    </row>
    <row r="1298" spans="1:2" x14ac:dyDescent="0.2">
      <c r="A1298" t="s">
        <v>3396</v>
      </c>
    </row>
    <row r="1299" spans="1:2" x14ac:dyDescent="0.2">
      <c r="A1299" t="s">
        <v>3397</v>
      </c>
    </row>
    <row r="1300" spans="1:2" x14ac:dyDescent="0.2">
      <c r="A1300" t="s">
        <v>3398</v>
      </c>
    </row>
    <row r="1301" spans="1:2" x14ac:dyDescent="0.2">
      <c r="A1301" t="s">
        <v>3399</v>
      </c>
    </row>
    <row r="1302" spans="1:2" x14ac:dyDescent="0.2">
      <c r="A1302" t="s">
        <v>3400</v>
      </c>
    </row>
    <row r="1303" spans="1:2" x14ac:dyDescent="0.2">
      <c r="A1303" t="s">
        <v>3401</v>
      </c>
    </row>
    <row r="1304" spans="1:2" x14ac:dyDescent="0.2">
      <c r="A1304" t="s">
        <v>3402</v>
      </c>
    </row>
    <row r="1305" spans="1:2" x14ac:dyDescent="0.2">
      <c r="A1305" t="s">
        <v>3403</v>
      </c>
    </row>
    <row r="1306" spans="1:2" x14ac:dyDescent="0.2">
      <c r="A1306" t="s">
        <v>3404</v>
      </c>
    </row>
    <row r="1307" spans="1:2" x14ac:dyDescent="0.2">
      <c r="A1307" t="s">
        <v>3405</v>
      </c>
    </row>
    <row r="1308" spans="1:2" x14ac:dyDescent="0.2">
      <c r="A1308" t="s">
        <v>3406</v>
      </c>
    </row>
    <row r="1309" spans="1:2" x14ac:dyDescent="0.2">
      <c r="A1309" t="s">
        <v>3407</v>
      </c>
      <c r="B1309" t="s">
        <v>3408</v>
      </c>
    </row>
    <row r="1310" spans="1:2" x14ac:dyDescent="0.2">
      <c r="A1310" t="s">
        <v>3409</v>
      </c>
    </row>
    <row r="1311" spans="1:2" x14ac:dyDescent="0.2">
      <c r="A1311" t="s">
        <v>3410</v>
      </c>
    </row>
    <row r="1312" spans="1:2" x14ac:dyDescent="0.2">
      <c r="A1312" t="s">
        <v>3411</v>
      </c>
    </row>
    <row r="1313" spans="1:9" x14ac:dyDescent="0.2">
      <c r="A1313" t="s">
        <v>3412</v>
      </c>
    </row>
    <row r="1314" spans="1:9" x14ac:dyDescent="0.2">
      <c r="A1314" t="s">
        <v>3413</v>
      </c>
    </row>
    <row r="1315" spans="1:9" x14ac:dyDescent="0.2">
      <c r="A1315" t="s">
        <v>3414</v>
      </c>
    </row>
    <row r="1316" spans="1:9" x14ac:dyDescent="0.2">
      <c r="A1316" t="s">
        <v>3415</v>
      </c>
    </row>
    <row r="1317" spans="1:9" x14ac:dyDescent="0.2">
      <c r="A1317" t="s">
        <v>3416</v>
      </c>
    </row>
    <row r="1318" spans="1:9" x14ac:dyDescent="0.2">
      <c r="A1318" t="s">
        <v>3417</v>
      </c>
      <c r="B1318" t="s">
        <v>3418</v>
      </c>
      <c r="C1318" t="s">
        <v>3419</v>
      </c>
      <c r="D1318" t="s">
        <v>2655</v>
      </c>
      <c r="E1318" t="s">
        <v>1976</v>
      </c>
      <c r="F1318" t="s">
        <v>1567</v>
      </c>
      <c r="G1318" t="s">
        <v>3351</v>
      </c>
      <c r="H1318" t="s">
        <v>3420</v>
      </c>
      <c r="I1318" t="s">
        <v>2655</v>
      </c>
    </row>
    <row r="1319" spans="1:9" x14ac:dyDescent="0.2">
      <c r="A1319" t="s">
        <v>3421</v>
      </c>
    </row>
    <row r="1321" spans="1:9" x14ac:dyDescent="0.2">
      <c r="A1321" t="s">
        <v>3354</v>
      </c>
    </row>
    <row r="1322" spans="1:9" x14ac:dyDescent="0.2">
      <c r="A1322" t="s">
        <v>3422</v>
      </c>
    </row>
    <row r="1323" spans="1:9" x14ac:dyDescent="0.2">
      <c r="A1323" t="s">
        <v>3423</v>
      </c>
    </row>
    <row r="1324" spans="1:9" x14ac:dyDescent="0.2">
      <c r="A1324" t="s">
        <v>3424</v>
      </c>
      <c r="B1324" t="s">
        <v>3425</v>
      </c>
    </row>
    <row r="1325" spans="1:9" x14ac:dyDescent="0.2">
      <c r="A1325" t="s">
        <v>3426</v>
      </c>
    </row>
    <row r="1326" spans="1:9" x14ac:dyDescent="0.2">
      <c r="A1326" t="s">
        <v>3427</v>
      </c>
    </row>
    <row r="1327" spans="1:9" x14ac:dyDescent="0.2">
      <c r="A1327" t="s">
        <v>3428</v>
      </c>
    </row>
    <row r="1328" spans="1:9" x14ac:dyDescent="0.2">
      <c r="A1328" t="s">
        <v>3429</v>
      </c>
    </row>
    <row r="1329" spans="1:9" x14ac:dyDescent="0.2">
      <c r="A1329" t="s">
        <v>3430</v>
      </c>
    </row>
    <row r="1330" spans="1:9" x14ac:dyDescent="0.2">
      <c r="A1330" t="s">
        <v>3431</v>
      </c>
    </row>
    <row r="1331" spans="1:9" x14ac:dyDescent="0.2">
      <c r="A1331" t="s">
        <v>3432</v>
      </c>
    </row>
    <row r="1332" spans="1:9" x14ac:dyDescent="0.2">
      <c r="A1332" t="s">
        <v>3433</v>
      </c>
      <c r="B1332" t="s">
        <v>3434</v>
      </c>
      <c r="C1332" t="s">
        <v>3435</v>
      </c>
      <c r="D1332" t="s">
        <v>1554</v>
      </c>
      <c r="E1332" t="s">
        <v>1555</v>
      </c>
      <c r="F1332" t="s">
        <v>1554</v>
      </c>
      <c r="G1332" t="s">
        <v>2239</v>
      </c>
      <c r="H1332" t="s">
        <v>3436</v>
      </c>
      <c r="I1332" t="s">
        <v>3437</v>
      </c>
    </row>
    <row r="1333" spans="1:9" x14ac:dyDescent="0.2">
      <c r="A1333" t="s">
        <v>3438</v>
      </c>
      <c r="B1333" t="s">
        <v>3439</v>
      </c>
    </row>
    <row r="1334" spans="1:9" x14ac:dyDescent="0.2">
      <c r="A1334" t="s">
        <v>3440</v>
      </c>
      <c r="B1334" t="s">
        <v>3441</v>
      </c>
    </row>
    <row r="1335" spans="1:9" x14ac:dyDescent="0.2">
      <c r="A1335" t="s">
        <v>3382</v>
      </c>
    </row>
    <row r="1336" spans="1:9" x14ac:dyDescent="0.2">
      <c r="A1336" t="s">
        <v>3442</v>
      </c>
    </row>
    <row r="1337" spans="1:9" x14ac:dyDescent="0.2">
      <c r="A1337" t="s">
        <v>3443</v>
      </c>
    </row>
    <row r="1338" spans="1:9" x14ac:dyDescent="0.2">
      <c r="A1338" t="s">
        <v>3444</v>
      </c>
    </row>
    <row r="1339" spans="1:9" x14ac:dyDescent="0.2">
      <c r="A1339" t="s">
        <v>3445</v>
      </c>
    </row>
    <row r="1340" spans="1:9" x14ac:dyDescent="0.2">
      <c r="A1340" t="s">
        <v>3446</v>
      </c>
    </row>
    <row r="1341" spans="1:9" x14ac:dyDescent="0.2">
      <c r="A1341" t="s">
        <v>3447</v>
      </c>
    </row>
    <row r="1342" spans="1:9" x14ac:dyDescent="0.2">
      <c r="A1342" t="s">
        <v>3448</v>
      </c>
    </row>
    <row r="1343" spans="1:9" x14ac:dyDescent="0.2">
      <c r="A1343" t="s">
        <v>3449</v>
      </c>
    </row>
    <row r="1344" spans="1:9" x14ac:dyDescent="0.2">
      <c r="A1344" t="s">
        <v>3450</v>
      </c>
    </row>
    <row r="1345" spans="1:2" x14ac:dyDescent="0.2">
      <c r="A1345" t="s">
        <v>3451</v>
      </c>
    </row>
    <row r="1347" spans="1:2" x14ac:dyDescent="0.2">
      <c r="A1347" t="s">
        <v>3452</v>
      </c>
    </row>
    <row r="1348" spans="1:2" x14ac:dyDescent="0.2">
      <c r="A1348" t="s">
        <v>3453</v>
      </c>
    </row>
    <row r="1350" spans="1:2" x14ac:dyDescent="0.2">
      <c r="A1350" t="s">
        <v>3454</v>
      </c>
    </row>
    <row r="1351" spans="1:2" x14ac:dyDescent="0.2">
      <c r="A1351" t="s">
        <v>3455</v>
      </c>
      <c r="B1351" t="s">
        <v>3456</v>
      </c>
    </row>
    <row r="1352" spans="1:2" x14ac:dyDescent="0.2">
      <c r="A1352" t="s">
        <v>3457</v>
      </c>
    </row>
    <row r="1353" spans="1:2" x14ac:dyDescent="0.2">
      <c r="A1353" t="s">
        <v>3458</v>
      </c>
    </row>
    <row r="1354" spans="1:2" x14ac:dyDescent="0.2">
      <c r="A1354" t="s">
        <v>3459</v>
      </c>
    </row>
    <row r="1355" spans="1:2" x14ac:dyDescent="0.2">
      <c r="A1355" t="s">
        <v>3460</v>
      </c>
    </row>
    <row r="1356" spans="1:2" x14ac:dyDescent="0.2">
      <c r="A1356" t="s">
        <v>3461</v>
      </c>
    </row>
    <row r="1357" spans="1:2" x14ac:dyDescent="0.2">
      <c r="A1357" t="s">
        <v>3462</v>
      </c>
    </row>
    <row r="1358" spans="1:2" x14ac:dyDescent="0.2">
      <c r="A1358" t="s">
        <v>3463</v>
      </c>
    </row>
    <row r="1359" spans="1:2" x14ac:dyDescent="0.2">
      <c r="A1359" t="s">
        <v>3464</v>
      </c>
      <c r="B1359" t="s">
        <v>3465</v>
      </c>
    </row>
    <row r="1360" spans="1:2" x14ac:dyDescent="0.2">
      <c r="A1360" t="s">
        <v>3466</v>
      </c>
    </row>
    <row r="1361" spans="1:9" x14ac:dyDescent="0.2">
      <c r="A1361" t="s">
        <v>3467</v>
      </c>
    </row>
    <row r="1362" spans="1:9" x14ac:dyDescent="0.2">
      <c r="A1362" t="s">
        <v>3468</v>
      </c>
      <c r="B1362" t="s">
        <v>3469</v>
      </c>
    </row>
    <row r="1363" spans="1:9" x14ac:dyDescent="0.2">
      <c r="A1363" t="s">
        <v>3470</v>
      </c>
    </row>
    <row r="1364" spans="1:9" x14ac:dyDescent="0.2">
      <c r="A1364" t="s">
        <v>3471</v>
      </c>
      <c r="B1364" t="s">
        <v>3472</v>
      </c>
      <c r="C1364" t="s">
        <v>3473</v>
      </c>
      <c r="D1364" t="s">
        <v>2592</v>
      </c>
      <c r="E1364" t="s">
        <v>2292</v>
      </c>
      <c r="F1364">
        <v>42</v>
      </c>
      <c r="G1364" t="s">
        <v>3474</v>
      </c>
      <c r="H1364" t="s">
        <v>3475</v>
      </c>
      <c r="I1364" t="s">
        <v>3476</v>
      </c>
    </row>
    <row r="1365" spans="1:9" x14ac:dyDescent="0.2">
      <c r="A1365" t="s">
        <v>3477</v>
      </c>
    </row>
    <row r="1366" spans="1:9" x14ac:dyDescent="0.2">
      <c r="A1366" t="s">
        <v>3478</v>
      </c>
    </row>
    <row r="1367" spans="1:9" x14ac:dyDescent="0.2">
      <c r="A1367" t="s">
        <v>3479</v>
      </c>
    </row>
    <row r="1368" spans="1:9" x14ac:dyDescent="0.2">
      <c r="A1368" t="s">
        <v>3480</v>
      </c>
    </row>
    <row r="1369" spans="1:9" x14ac:dyDescent="0.2">
      <c r="A1369" t="s">
        <v>3481</v>
      </c>
    </row>
    <row r="1370" spans="1:9" x14ac:dyDescent="0.2">
      <c r="A1370" t="s">
        <v>3482</v>
      </c>
    </row>
    <row r="1371" spans="1:9" x14ac:dyDescent="0.2">
      <c r="A1371" t="s">
        <v>3483</v>
      </c>
      <c r="B1371" t="s">
        <v>3484</v>
      </c>
      <c r="C1371" t="s">
        <v>1665</v>
      </c>
      <c r="D1371" t="s">
        <v>1657</v>
      </c>
      <c r="E1371" t="s">
        <v>2251</v>
      </c>
      <c r="F1371" t="s">
        <v>1788</v>
      </c>
      <c r="G1371" t="s">
        <v>3485</v>
      </c>
      <c r="H1371" t="s">
        <v>2293</v>
      </c>
      <c r="I1371" t="s">
        <v>3486</v>
      </c>
    </row>
    <row r="1372" spans="1:9" x14ac:dyDescent="0.2">
      <c r="A1372" t="s">
        <v>3487</v>
      </c>
      <c r="B1372" t="s">
        <v>3488</v>
      </c>
      <c r="C1372" t="s">
        <v>3489</v>
      </c>
      <c r="D1372" t="s">
        <v>1658</v>
      </c>
      <c r="E1372" t="s">
        <v>1751</v>
      </c>
      <c r="F1372" t="s">
        <v>2593</v>
      </c>
      <c r="G1372" t="s">
        <v>2160</v>
      </c>
      <c r="H1372" t="s">
        <v>2635</v>
      </c>
      <c r="I1372" t="s">
        <v>3490</v>
      </c>
    </row>
    <row r="1373" spans="1:9" x14ac:dyDescent="0.2">
      <c r="A1373" t="s">
        <v>3491</v>
      </c>
      <c r="B1373" t="s">
        <v>1680</v>
      </c>
    </row>
    <row r="1374" spans="1:9" x14ac:dyDescent="0.2">
      <c r="A1374" t="s">
        <v>3492</v>
      </c>
    </row>
    <row r="1375" spans="1:9" x14ac:dyDescent="0.2">
      <c r="A1375" t="s">
        <v>3493</v>
      </c>
    </row>
    <row r="1376" spans="1:9" x14ac:dyDescent="0.2">
      <c r="A1376" t="s">
        <v>3494</v>
      </c>
    </row>
    <row r="1377" spans="1:9" x14ac:dyDescent="0.2">
      <c r="A1377" t="s">
        <v>3495</v>
      </c>
    </row>
    <row r="1378" spans="1:9" x14ac:dyDescent="0.2">
      <c r="A1378" t="s">
        <v>3496</v>
      </c>
    </row>
    <row r="1379" spans="1:9" x14ac:dyDescent="0.2">
      <c r="A1379" t="s">
        <v>3497</v>
      </c>
      <c r="B1379" t="s">
        <v>3498</v>
      </c>
    </row>
    <row r="1380" spans="1:9" x14ac:dyDescent="0.2">
      <c r="A1380" t="s">
        <v>3499</v>
      </c>
    </row>
    <row r="1381" spans="1:9" x14ac:dyDescent="0.2">
      <c r="A1381" t="s">
        <v>3500</v>
      </c>
      <c r="B1381" t="s">
        <v>3501</v>
      </c>
      <c r="C1381" t="s">
        <v>3502</v>
      </c>
      <c r="D1381" t="s">
        <v>1667</v>
      </c>
      <c r="E1381" t="s">
        <v>1666</v>
      </c>
      <c r="F1381" t="s">
        <v>1587</v>
      </c>
      <c r="G1381" t="s">
        <v>3007</v>
      </c>
      <c r="H1381" t="s">
        <v>2166</v>
      </c>
      <c r="I1381" t="s">
        <v>3503</v>
      </c>
    </row>
    <row r="1382" spans="1:9" x14ac:dyDescent="0.2">
      <c r="A1382" t="s">
        <v>3504</v>
      </c>
    </row>
    <row r="1383" spans="1:9" x14ac:dyDescent="0.2">
      <c r="A1383" t="s">
        <v>3505</v>
      </c>
      <c r="B1383" t="s">
        <v>3506</v>
      </c>
      <c r="C1383" t="s">
        <v>3507</v>
      </c>
      <c r="D1383" t="s">
        <v>1666</v>
      </c>
      <c r="E1383" t="s">
        <v>1620</v>
      </c>
      <c r="F1383" t="s">
        <v>3508</v>
      </c>
      <c r="G1383" t="s">
        <v>3509</v>
      </c>
      <c r="H1383" t="s">
        <v>3510</v>
      </c>
      <c r="I1383" t="s">
        <v>3511</v>
      </c>
    </row>
    <row r="1384" spans="1:9" x14ac:dyDescent="0.2">
      <c r="A1384" t="s">
        <v>3512</v>
      </c>
      <c r="B1384" t="s">
        <v>3513</v>
      </c>
      <c r="C1384" t="s">
        <v>3094</v>
      </c>
      <c r="D1384" t="s">
        <v>2974</v>
      </c>
      <c r="E1384" t="s">
        <v>2251</v>
      </c>
      <c r="F1384" t="s">
        <v>3514</v>
      </c>
      <c r="G1384" t="s">
        <v>3515</v>
      </c>
      <c r="H1384" t="s">
        <v>1599</v>
      </c>
      <c r="I1384" t="s">
        <v>3516</v>
      </c>
    </row>
    <row r="1385" spans="1:9" x14ac:dyDescent="0.2">
      <c r="A1385" t="s">
        <v>3517</v>
      </c>
    </row>
    <row r="1386" spans="1:9" x14ac:dyDescent="0.2">
      <c r="A1386" t="s">
        <v>3518</v>
      </c>
    </row>
    <row r="1387" spans="1:9" x14ac:dyDescent="0.2">
      <c r="A1387" t="s">
        <v>3519</v>
      </c>
    </row>
    <row r="1388" spans="1:9" x14ac:dyDescent="0.2">
      <c r="A1388" t="s">
        <v>3520</v>
      </c>
    </row>
    <row r="1389" spans="1:9" x14ac:dyDescent="0.2">
      <c r="A1389" t="s">
        <v>3521</v>
      </c>
      <c r="B1389" t="s">
        <v>3522</v>
      </c>
      <c r="C1389" t="s">
        <v>3523</v>
      </c>
      <c r="D1389" t="s">
        <v>1773</v>
      </c>
      <c r="E1389" t="s">
        <v>1567</v>
      </c>
      <c r="F1389" t="s">
        <v>1595</v>
      </c>
      <c r="G1389" t="s">
        <v>3524</v>
      </c>
      <c r="H1389" t="s">
        <v>3525</v>
      </c>
      <c r="I1389" t="s">
        <v>3526</v>
      </c>
    </row>
    <row r="1390" spans="1:9" x14ac:dyDescent="0.2">
      <c r="A1390" t="s">
        <v>3527</v>
      </c>
    </row>
    <row r="1391" spans="1:9" x14ac:dyDescent="0.2">
      <c r="A1391" t="s">
        <v>3528</v>
      </c>
      <c r="B1391" t="s">
        <v>3529</v>
      </c>
      <c r="C1391" t="s">
        <v>3530</v>
      </c>
      <c r="D1391" t="s">
        <v>3116</v>
      </c>
      <c r="E1391" t="s">
        <v>2592</v>
      </c>
      <c r="F1391" t="s">
        <v>2292</v>
      </c>
      <c r="G1391" t="s">
        <v>3531</v>
      </c>
      <c r="H1391" t="s">
        <v>3532</v>
      </c>
      <c r="I1391" t="s">
        <v>3533</v>
      </c>
    </row>
    <row r="1392" spans="1:9" x14ac:dyDescent="0.2">
      <c r="A1392" t="s">
        <v>3534</v>
      </c>
    </row>
    <row r="1393" spans="1:9" x14ac:dyDescent="0.2">
      <c r="A1393" t="s">
        <v>3535</v>
      </c>
    </row>
    <row r="1394" spans="1:9" x14ac:dyDescent="0.2">
      <c r="A1394" t="s">
        <v>3536</v>
      </c>
    </row>
    <row r="1395" spans="1:9" x14ac:dyDescent="0.2">
      <c r="A1395" t="s">
        <v>3537</v>
      </c>
    </row>
    <row r="1396" spans="1:9" x14ac:dyDescent="0.2">
      <c r="A1396" t="s">
        <v>3538</v>
      </c>
    </row>
    <row r="1397" spans="1:9" x14ac:dyDescent="0.2">
      <c r="A1397" t="s">
        <v>3539</v>
      </c>
    </row>
    <row r="1398" spans="1:9" x14ac:dyDescent="0.2">
      <c r="A1398" t="s">
        <v>3540</v>
      </c>
      <c r="B1398" t="s">
        <v>3541</v>
      </c>
      <c r="C1398" t="s">
        <v>3542</v>
      </c>
      <c r="D1398">
        <v>0</v>
      </c>
    </row>
    <row r="1399" spans="1:9" x14ac:dyDescent="0.2">
      <c r="A1399" t="s">
        <v>3543</v>
      </c>
    </row>
    <row r="1400" spans="1:9" x14ac:dyDescent="0.2">
      <c r="A1400" t="s">
        <v>3544</v>
      </c>
    </row>
    <row r="1401" spans="1:9" x14ac:dyDescent="0.2">
      <c r="A1401" t="s">
        <v>3545</v>
      </c>
      <c r="B1401" t="s">
        <v>3546</v>
      </c>
      <c r="C1401" t="s">
        <v>3547</v>
      </c>
      <c r="D1401">
        <v>9</v>
      </c>
      <c r="E1401" t="s">
        <v>2269</v>
      </c>
      <c r="F1401" t="s">
        <v>3548</v>
      </c>
      <c r="G1401" t="s">
        <v>3549</v>
      </c>
      <c r="H1401" t="s">
        <v>2303</v>
      </c>
      <c r="I1401">
        <v>0</v>
      </c>
    </row>
    <row r="1402" spans="1:9" x14ac:dyDescent="0.2">
      <c r="A1402" t="s">
        <v>3550</v>
      </c>
    </row>
    <row r="1403" spans="1:9" x14ac:dyDescent="0.2">
      <c r="A1403" t="s">
        <v>3551</v>
      </c>
      <c r="B1403" t="s">
        <v>3221</v>
      </c>
    </row>
    <row r="1404" spans="1:9" x14ac:dyDescent="0.2">
      <c r="A1404" t="s">
        <v>3552</v>
      </c>
    </row>
    <row r="1405" spans="1:9" x14ac:dyDescent="0.2">
      <c r="A1405" t="s">
        <v>3553</v>
      </c>
      <c r="B1405" t="s">
        <v>3554</v>
      </c>
      <c r="C1405">
        <v>0</v>
      </c>
    </row>
    <row r="1406" spans="1:9" x14ac:dyDescent="0.2">
      <c r="A1406" t="s">
        <v>3555</v>
      </c>
    </row>
    <row r="1407" spans="1:9" x14ac:dyDescent="0.2">
      <c r="A1407" t="s">
        <v>3556</v>
      </c>
    </row>
    <row r="1408" spans="1:9" x14ac:dyDescent="0.2">
      <c r="A1408" t="s">
        <v>3557</v>
      </c>
    </row>
    <row r="1409" spans="1:9" x14ac:dyDescent="0.2">
      <c r="A1409" t="s">
        <v>3558</v>
      </c>
    </row>
    <row r="1411" spans="1:9" x14ac:dyDescent="0.2">
      <c r="A1411" t="s">
        <v>3559</v>
      </c>
    </row>
    <row r="1412" spans="1:9" x14ac:dyDescent="0.2">
      <c r="A1412" t="s">
        <v>3560</v>
      </c>
    </row>
    <row r="1413" spans="1:9" x14ac:dyDescent="0.2">
      <c r="A1413" t="s">
        <v>3561</v>
      </c>
    </row>
    <row r="1414" spans="1:9" x14ac:dyDescent="0.2">
      <c r="A1414" t="s">
        <v>3562</v>
      </c>
    </row>
    <row r="1416" spans="1:9" x14ac:dyDescent="0.2">
      <c r="A1416" t="s">
        <v>3563</v>
      </c>
    </row>
    <row r="1417" spans="1:9" x14ac:dyDescent="0.2">
      <c r="A1417" t="s">
        <v>3564</v>
      </c>
      <c r="B1417" t="s">
        <v>3565</v>
      </c>
      <c r="C1417" t="s">
        <v>3566</v>
      </c>
      <c r="D1417" t="s">
        <v>2873</v>
      </c>
      <c r="E1417" t="s">
        <v>3567</v>
      </c>
      <c r="F1417" t="s">
        <v>3568</v>
      </c>
      <c r="G1417" t="s">
        <v>3569</v>
      </c>
      <c r="H1417" t="s">
        <v>3570</v>
      </c>
      <c r="I1417" t="s">
        <v>3571</v>
      </c>
    </row>
    <row r="1418" spans="1:9" x14ac:dyDescent="0.2">
      <c r="A1418" t="s">
        <v>3572</v>
      </c>
      <c r="B1418" t="s">
        <v>3573</v>
      </c>
      <c r="C1418" t="s">
        <v>3574</v>
      </c>
      <c r="D1418" t="s">
        <v>2873</v>
      </c>
      <c r="E1418" t="s">
        <v>3567</v>
      </c>
      <c r="F1418" t="s">
        <v>3568</v>
      </c>
      <c r="G1418" t="s">
        <v>2328</v>
      </c>
      <c r="H1418" t="s">
        <v>3575</v>
      </c>
      <c r="I1418">
        <v>8000</v>
      </c>
    </row>
    <row r="1419" spans="1:9" x14ac:dyDescent="0.2">
      <c r="A1419" t="s">
        <v>3576</v>
      </c>
      <c r="B1419" t="s">
        <v>3577</v>
      </c>
    </row>
    <row r="1420" spans="1:9" x14ac:dyDescent="0.2">
      <c r="A1420" t="s">
        <v>3578</v>
      </c>
    </row>
    <row r="1421" spans="1:9" x14ac:dyDescent="0.2">
      <c r="A1421" t="s">
        <v>3579</v>
      </c>
    </row>
    <row r="1422" spans="1:9" x14ac:dyDescent="0.2">
      <c r="A1422" t="s">
        <v>3580</v>
      </c>
    </row>
    <row r="1423" spans="1:9" x14ac:dyDescent="0.2">
      <c r="A1423" t="s">
        <v>3581</v>
      </c>
      <c r="B1423" t="s">
        <v>3582</v>
      </c>
      <c r="C1423" t="s">
        <v>3583</v>
      </c>
      <c r="D1423" t="s">
        <v>1597</v>
      </c>
      <c r="E1423" t="s">
        <v>3584</v>
      </c>
      <c r="F1423" t="s">
        <v>2370</v>
      </c>
      <c r="G1423" t="s">
        <v>1803</v>
      </c>
      <c r="H1423" t="s">
        <v>2630</v>
      </c>
      <c r="I1423" t="s">
        <v>3585</v>
      </c>
    </row>
    <row r="1424" spans="1:9" x14ac:dyDescent="0.2">
      <c r="A1424" t="s">
        <v>3586</v>
      </c>
    </row>
    <row r="1425" spans="1:2" x14ac:dyDescent="0.2">
      <c r="A1425" t="s">
        <v>3587</v>
      </c>
    </row>
    <row r="1426" spans="1:2" x14ac:dyDescent="0.2">
      <c r="A1426" t="s">
        <v>3588</v>
      </c>
    </row>
    <row r="1427" spans="1:2" x14ac:dyDescent="0.2">
      <c r="A1427" t="s">
        <v>3589</v>
      </c>
      <c r="B1427" t="s">
        <v>2419</v>
      </c>
    </row>
    <row r="1428" spans="1:2" x14ac:dyDescent="0.2">
      <c r="A1428" t="s">
        <v>3590</v>
      </c>
      <c r="B1428" t="s">
        <v>3591</v>
      </c>
    </row>
    <row r="1429" spans="1:2" x14ac:dyDescent="0.2">
      <c r="A1429" t="s">
        <v>3592</v>
      </c>
    </row>
    <row r="1430" spans="1:2" x14ac:dyDescent="0.2">
      <c r="A1430" t="s">
        <v>3593</v>
      </c>
    </row>
    <row r="1431" spans="1:2" x14ac:dyDescent="0.2">
      <c r="A1431" t="s">
        <v>3594</v>
      </c>
    </row>
    <row r="1433" spans="1:2" x14ac:dyDescent="0.2">
      <c r="A1433" t="s">
        <v>3595</v>
      </c>
    </row>
    <row r="1434" spans="1:2" x14ac:dyDescent="0.2">
      <c r="A1434" t="s">
        <v>3596</v>
      </c>
    </row>
    <row r="1435" spans="1:2" x14ac:dyDescent="0.2">
      <c r="A1435" t="s">
        <v>3597</v>
      </c>
    </row>
    <row r="1436" spans="1:2" x14ac:dyDescent="0.2">
      <c r="A1436" t="s">
        <v>3598</v>
      </c>
    </row>
    <row r="1437" spans="1:2" x14ac:dyDescent="0.2">
      <c r="A1437" t="s">
        <v>3599</v>
      </c>
    </row>
    <row r="1438" spans="1:2" x14ac:dyDescent="0.2">
      <c r="A1438" t="s">
        <v>3600</v>
      </c>
    </row>
    <row r="1439" spans="1:2" x14ac:dyDescent="0.2">
      <c r="A1439" t="s">
        <v>3601</v>
      </c>
    </row>
    <row r="1440" spans="1:2" x14ac:dyDescent="0.2">
      <c r="A1440" t="s">
        <v>3602</v>
      </c>
    </row>
    <row r="1441" spans="1:1" x14ac:dyDescent="0.2">
      <c r="A1441" t="s">
        <v>3603</v>
      </c>
    </row>
    <row r="1442" spans="1:1" x14ac:dyDescent="0.2">
      <c r="A1442" t="s">
        <v>3604</v>
      </c>
    </row>
    <row r="1443" spans="1:1" x14ac:dyDescent="0.2">
      <c r="A1443" t="s">
        <v>3605</v>
      </c>
    </row>
    <row r="1444" spans="1:1" x14ac:dyDescent="0.2">
      <c r="A1444" t="s">
        <v>3606</v>
      </c>
    </row>
    <row r="1445" spans="1:1" x14ac:dyDescent="0.2">
      <c r="A1445" t="s">
        <v>3607</v>
      </c>
    </row>
    <row r="1446" spans="1:1" x14ac:dyDescent="0.2">
      <c r="A1446" t="s">
        <v>3608</v>
      </c>
    </row>
    <row r="1447" spans="1:1" x14ac:dyDescent="0.2">
      <c r="A1447" t="s">
        <v>3609</v>
      </c>
    </row>
    <row r="1448" spans="1:1" x14ac:dyDescent="0.2">
      <c r="A1448" t="s">
        <v>3610</v>
      </c>
    </row>
    <row r="1449" spans="1:1" x14ac:dyDescent="0.2">
      <c r="A1449" t="s">
        <v>3611</v>
      </c>
    </row>
    <row r="1450" spans="1:1" x14ac:dyDescent="0.2">
      <c r="A1450" t="s">
        <v>3612</v>
      </c>
    </row>
    <row r="1451" spans="1:1" x14ac:dyDescent="0.2">
      <c r="A1451" t="s">
        <v>3613</v>
      </c>
    </row>
    <row r="1452" spans="1:1" x14ac:dyDescent="0.2">
      <c r="A1452" t="s">
        <v>3614</v>
      </c>
    </row>
    <row r="1453" spans="1:1" x14ac:dyDescent="0.2">
      <c r="A1453" t="s">
        <v>3615</v>
      </c>
    </row>
    <row r="1455" spans="1:1" x14ac:dyDescent="0.2">
      <c r="A1455" t="s">
        <v>3616</v>
      </c>
    </row>
    <row r="1456" spans="1:1" x14ac:dyDescent="0.2">
      <c r="A1456" t="s">
        <v>3617</v>
      </c>
    </row>
    <row r="1457" spans="1:9" x14ac:dyDescent="0.2">
      <c r="A1457" t="s">
        <v>3618</v>
      </c>
    </row>
    <row r="1458" spans="1:9" x14ac:dyDescent="0.2">
      <c r="A1458" t="s">
        <v>3619</v>
      </c>
    </row>
    <row r="1460" spans="1:9" x14ac:dyDescent="0.2">
      <c r="A1460" t="s">
        <v>3620</v>
      </c>
    </row>
    <row r="1461" spans="1:9" x14ac:dyDescent="0.2">
      <c r="A1461" t="s">
        <v>3621</v>
      </c>
    </row>
    <row r="1462" spans="1:9" x14ac:dyDescent="0.2">
      <c r="A1462" t="s">
        <v>3622</v>
      </c>
    </row>
    <row r="1463" spans="1:9" x14ac:dyDescent="0.2">
      <c r="A1463" t="s">
        <v>3623</v>
      </c>
    </row>
    <row r="1464" spans="1:9" x14ac:dyDescent="0.2">
      <c r="A1464" t="s">
        <v>3624</v>
      </c>
      <c r="B1464" t="s">
        <v>3625</v>
      </c>
      <c r="C1464" t="s">
        <v>3626</v>
      </c>
      <c r="D1464" t="s">
        <v>1554</v>
      </c>
      <c r="E1464" t="s">
        <v>2873</v>
      </c>
      <c r="F1464" t="s">
        <v>2874</v>
      </c>
      <c r="G1464" t="s">
        <v>3627</v>
      </c>
      <c r="H1464" t="s">
        <v>3628</v>
      </c>
      <c r="I1464" t="s">
        <v>3629</v>
      </c>
    </row>
    <row r="1465" spans="1:9" x14ac:dyDescent="0.2">
      <c r="A1465" t="s">
        <v>3630</v>
      </c>
    </row>
    <row r="1466" spans="1:9" x14ac:dyDescent="0.2">
      <c r="A1466" t="s">
        <v>3631</v>
      </c>
      <c r="B1466" t="s">
        <v>3632</v>
      </c>
    </row>
    <row r="1467" spans="1:9" x14ac:dyDescent="0.2">
      <c r="A1467" t="s">
        <v>3633</v>
      </c>
    </row>
    <row r="1468" spans="1:9" x14ac:dyDescent="0.2">
      <c r="A1468" t="s">
        <v>3634</v>
      </c>
      <c r="B1468" t="s">
        <v>3635</v>
      </c>
      <c r="C1468" t="s">
        <v>3636</v>
      </c>
      <c r="D1468" t="s">
        <v>1587</v>
      </c>
      <c r="E1468" t="s">
        <v>2362</v>
      </c>
      <c r="F1468" t="s">
        <v>1773</v>
      </c>
      <c r="G1468" t="s">
        <v>3637</v>
      </c>
      <c r="H1468" t="s">
        <v>3638</v>
      </c>
      <c r="I1468" t="s">
        <v>3639</v>
      </c>
    </row>
    <row r="1469" spans="1:9" x14ac:dyDescent="0.2">
      <c r="A1469" t="s">
        <v>3640</v>
      </c>
    </row>
    <row r="1470" spans="1:9" x14ac:dyDescent="0.2">
      <c r="A1470" t="s">
        <v>3641</v>
      </c>
    </row>
    <row r="1471" spans="1:9" x14ac:dyDescent="0.2">
      <c r="A1471" t="s">
        <v>3642</v>
      </c>
    </row>
    <row r="1472" spans="1:9" x14ac:dyDescent="0.2">
      <c r="A1472" t="s">
        <v>3643</v>
      </c>
    </row>
    <row r="1473" spans="1:9" x14ac:dyDescent="0.2">
      <c r="A1473" t="s">
        <v>3644</v>
      </c>
    </row>
    <row r="1474" spans="1:9" x14ac:dyDescent="0.2">
      <c r="A1474" t="s">
        <v>3645</v>
      </c>
    </row>
    <row r="1475" spans="1:9" x14ac:dyDescent="0.2">
      <c r="A1475" t="s">
        <v>3646</v>
      </c>
    </row>
    <row r="1476" spans="1:9" x14ac:dyDescent="0.2">
      <c r="A1476" t="s">
        <v>3647</v>
      </c>
    </row>
    <row r="1477" spans="1:9" x14ac:dyDescent="0.2">
      <c r="A1477" t="s">
        <v>3648</v>
      </c>
    </row>
    <row r="1478" spans="1:9" x14ac:dyDescent="0.2">
      <c r="A1478" t="s">
        <v>3649</v>
      </c>
      <c r="B1478" t="s">
        <v>3650</v>
      </c>
      <c r="C1478" t="s">
        <v>3651</v>
      </c>
      <c r="D1478" t="s">
        <v>1567</v>
      </c>
      <c r="E1478" t="s">
        <v>1587</v>
      </c>
      <c r="F1478" t="s">
        <v>1762</v>
      </c>
      <c r="G1478" t="s">
        <v>2851</v>
      </c>
      <c r="H1478" t="s">
        <v>2451</v>
      </c>
      <c r="I1478" t="s">
        <v>3652</v>
      </c>
    </row>
    <row r="1479" spans="1:9" x14ac:dyDescent="0.2">
      <c r="A1479" t="s">
        <v>3653</v>
      </c>
    </row>
    <row r="1480" spans="1:9" x14ac:dyDescent="0.2">
      <c r="A1480" t="s">
        <v>3654</v>
      </c>
      <c r="B1480" t="s">
        <v>3655</v>
      </c>
    </row>
    <row r="1481" spans="1:9" x14ac:dyDescent="0.2">
      <c r="A1481" t="s">
        <v>3656</v>
      </c>
      <c r="B1481" t="s">
        <v>3657</v>
      </c>
      <c r="C1481" t="s">
        <v>3658</v>
      </c>
      <c r="D1481" t="s">
        <v>3659</v>
      </c>
      <c r="E1481" t="s">
        <v>3192</v>
      </c>
      <c r="F1481" t="s">
        <v>3660</v>
      </c>
      <c r="G1481" t="s">
        <v>3661</v>
      </c>
      <c r="H1481" t="s">
        <v>3662</v>
      </c>
      <c r="I1481" t="s">
        <v>3663</v>
      </c>
    </row>
    <row r="1482" spans="1:9" x14ac:dyDescent="0.2">
      <c r="A1482" t="s">
        <v>3664</v>
      </c>
    </row>
    <row r="1483" spans="1:9" x14ac:dyDescent="0.2">
      <c r="A1483" t="s">
        <v>3665</v>
      </c>
    </row>
    <row r="1485" spans="1:9" x14ac:dyDescent="0.2">
      <c r="A1485" t="s">
        <v>3666</v>
      </c>
    </row>
    <row r="1486" spans="1:9" x14ac:dyDescent="0.2">
      <c r="A1486" t="s">
        <v>3667</v>
      </c>
    </row>
    <row r="1487" spans="1:9" x14ac:dyDescent="0.2">
      <c r="A1487" t="s">
        <v>3668</v>
      </c>
    </row>
    <row r="1488" spans="1:9" x14ac:dyDescent="0.2">
      <c r="A1488" t="s">
        <v>3669</v>
      </c>
    </row>
    <row r="1489" spans="1:1" x14ac:dyDescent="0.2">
      <c r="A1489" t="s">
        <v>3670</v>
      </c>
    </row>
    <row r="1490" spans="1:1" x14ac:dyDescent="0.2">
      <c r="A1490" t="s">
        <v>3671</v>
      </c>
    </row>
    <row r="1491" spans="1:1" x14ac:dyDescent="0.2">
      <c r="A1491" t="s">
        <v>3672</v>
      </c>
    </row>
    <row r="1493" spans="1:1" x14ac:dyDescent="0.2">
      <c r="A1493" t="s">
        <v>3673</v>
      </c>
    </row>
    <row r="1494" spans="1:1" x14ac:dyDescent="0.2">
      <c r="A1494" t="s">
        <v>3674</v>
      </c>
    </row>
    <row r="1495" spans="1:1" x14ac:dyDescent="0.2">
      <c r="A1495" t="s">
        <v>3675</v>
      </c>
    </row>
    <row r="1496" spans="1:1" x14ac:dyDescent="0.2">
      <c r="A1496" t="s">
        <v>3676</v>
      </c>
    </row>
    <row r="1498" spans="1:1" x14ac:dyDescent="0.2">
      <c r="A1498" t="s">
        <v>3677</v>
      </c>
    </row>
    <row r="1499" spans="1:1" x14ac:dyDescent="0.2">
      <c r="A1499" t="s">
        <v>3678</v>
      </c>
    </row>
    <row r="1500" spans="1:1" x14ac:dyDescent="0.2">
      <c r="A1500" t="s">
        <v>3679</v>
      </c>
    </row>
    <row r="1501" spans="1:1" x14ac:dyDescent="0.2">
      <c r="A1501" t="s">
        <v>3680</v>
      </c>
    </row>
    <row r="1502" spans="1:1" x14ac:dyDescent="0.2">
      <c r="A1502" t="s">
        <v>3681</v>
      </c>
    </row>
    <row r="1503" spans="1:1" x14ac:dyDescent="0.2">
      <c r="A1503" t="s">
        <v>3682</v>
      </c>
    </row>
    <row r="1504" spans="1:1" x14ac:dyDescent="0.2">
      <c r="A1504" t="s">
        <v>3683</v>
      </c>
    </row>
    <row r="1505" spans="1:9" x14ac:dyDescent="0.2">
      <c r="A1505" t="s">
        <v>3684</v>
      </c>
    </row>
    <row r="1506" spans="1:9" x14ac:dyDescent="0.2">
      <c r="A1506" t="s">
        <v>3685</v>
      </c>
      <c r="B1506" t="s">
        <v>3686</v>
      </c>
      <c r="C1506" t="s">
        <v>3687</v>
      </c>
      <c r="D1506" t="s">
        <v>1659</v>
      </c>
      <c r="E1506" t="s">
        <v>1658</v>
      </c>
      <c r="F1506" t="s">
        <v>2269</v>
      </c>
      <c r="G1506" t="s">
        <v>2803</v>
      </c>
      <c r="H1506" t="s">
        <v>2629</v>
      </c>
      <c r="I1506" t="s">
        <v>3688</v>
      </c>
    </row>
    <row r="1507" spans="1:9" x14ac:dyDescent="0.2">
      <c r="A1507" t="s">
        <v>3689</v>
      </c>
    </row>
    <row r="1508" spans="1:9" x14ac:dyDescent="0.2">
      <c r="A1508" t="s">
        <v>3690</v>
      </c>
    </row>
    <row r="1509" spans="1:9" x14ac:dyDescent="0.2">
      <c r="A1509" t="s">
        <v>3691</v>
      </c>
    </row>
    <row r="1510" spans="1:9" x14ac:dyDescent="0.2">
      <c r="A1510" t="s">
        <v>3692</v>
      </c>
      <c r="B1510" t="s">
        <v>3693</v>
      </c>
      <c r="C1510" t="s">
        <v>3694</v>
      </c>
      <c r="D1510">
        <v>0</v>
      </c>
    </row>
    <row r="1511" spans="1:9" x14ac:dyDescent="0.2">
      <c r="A1511" t="s">
        <v>3695</v>
      </c>
    </row>
    <row r="1512" spans="1:9" x14ac:dyDescent="0.2">
      <c r="A1512" t="s">
        <v>3696</v>
      </c>
    </row>
    <row r="1513" spans="1:9" x14ac:dyDescent="0.2">
      <c r="A1513" t="s">
        <v>3697</v>
      </c>
    </row>
    <row r="1514" spans="1:9" x14ac:dyDescent="0.2">
      <c r="A1514" t="s">
        <v>3698</v>
      </c>
      <c r="B1514" t="s">
        <v>3699</v>
      </c>
    </row>
    <row r="1515" spans="1:9" x14ac:dyDescent="0.2">
      <c r="A1515" t="s">
        <v>3700</v>
      </c>
    </row>
    <row r="1516" spans="1:9" x14ac:dyDescent="0.2">
      <c r="A1516" t="s">
        <v>3701</v>
      </c>
    </row>
    <row r="1517" spans="1:9" x14ac:dyDescent="0.2">
      <c r="A1517" t="s">
        <v>3702</v>
      </c>
      <c r="B1517" t="s">
        <v>3703</v>
      </c>
      <c r="C1517" t="s">
        <v>3704</v>
      </c>
      <c r="D1517" t="s">
        <v>1567</v>
      </c>
      <c r="E1517" t="s">
        <v>2714</v>
      </c>
      <c r="F1517" t="s">
        <v>1587</v>
      </c>
      <c r="G1517" t="s">
        <v>3705</v>
      </c>
      <c r="H1517" t="s">
        <v>3706</v>
      </c>
      <c r="I1517" t="s">
        <v>3707</v>
      </c>
    </row>
    <row r="1518" spans="1:9" x14ac:dyDescent="0.2">
      <c r="A1518" t="s">
        <v>3708</v>
      </c>
    </row>
    <row r="1519" spans="1:9" x14ac:dyDescent="0.2">
      <c r="A1519" t="s">
        <v>3709</v>
      </c>
    </row>
    <row r="1520" spans="1:9" x14ac:dyDescent="0.2">
      <c r="A1520" t="s">
        <v>3710</v>
      </c>
    </row>
    <row r="1521" spans="1:9" x14ac:dyDescent="0.2">
      <c r="A1521" t="s">
        <v>3711</v>
      </c>
    </row>
    <row r="1522" spans="1:9" x14ac:dyDescent="0.2">
      <c r="A1522" t="s">
        <v>3712</v>
      </c>
    </row>
    <row r="1523" spans="1:9" x14ac:dyDescent="0.2">
      <c r="A1523" t="s">
        <v>3713</v>
      </c>
    </row>
    <row r="1524" spans="1:9" x14ac:dyDescent="0.2">
      <c r="A1524" t="s">
        <v>3714</v>
      </c>
    </row>
    <row r="1525" spans="1:9" x14ac:dyDescent="0.2">
      <c r="A1525" t="s">
        <v>3715</v>
      </c>
    </row>
    <row r="1526" spans="1:9" x14ac:dyDescent="0.2">
      <c r="A1526" t="s">
        <v>3716</v>
      </c>
    </row>
    <row r="1528" spans="1:9" x14ac:dyDescent="0.2">
      <c r="A1528" t="s">
        <v>3717</v>
      </c>
    </row>
    <row r="1529" spans="1:9" x14ac:dyDescent="0.2">
      <c r="A1529" t="s">
        <v>3718</v>
      </c>
    </row>
    <row r="1530" spans="1:9" x14ac:dyDescent="0.2">
      <c r="A1530" t="s">
        <v>3719</v>
      </c>
    </row>
    <row r="1531" spans="1:9" x14ac:dyDescent="0.2">
      <c r="A1531" t="s">
        <v>3720</v>
      </c>
    </row>
    <row r="1532" spans="1:9" x14ac:dyDescent="0.2">
      <c r="A1532" t="s">
        <v>3721</v>
      </c>
      <c r="B1532" t="s">
        <v>3722</v>
      </c>
    </row>
    <row r="1533" spans="1:9" x14ac:dyDescent="0.2">
      <c r="A1533" t="s">
        <v>3723</v>
      </c>
      <c r="B1533" t="s">
        <v>3724</v>
      </c>
      <c r="C1533" t="s">
        <v>3725</v>
      </c>
      <c r="D1533">
        <v>20</v>
      </c>
      <c r="E1533">
        <v>26</v>
      </c>
      <c r="F1533" t="s">
        <v>2312</v>
      </c>
      <c r="G1533" t="s">
        <v>3726</v>
      </c>
      <c r="H1533" t="s">
        <v>3727</v>
      </c>
      <c r="I1533" t="s">
        <v>3728</v>
      </c>
    </row>
    <row r="1534" spans="1:9" x14ac:dyDescent="0.2">
      <c r="A1534" t="s">
        <v>3729</v>
      </c>
      <c r="B1534" t="s">
        <v>3730</v>
      </c>
      <c r="C1534" t="s">
        <v>1665</v>
      </c>
      <c r="D1534" t="s">
        <v>1657</v>
      </c>
      <c r="E1534" t="s">
        <v>1554</v>
      </c>
      <c r="F1534" t="s">
        <v>1585</v>
      </c>
      <c r="G1534" t="s">
        <v>1783</v>
      </c>
      <c r="H1534" t="s">
        <v>3731</v>
      </c>
      <c r="I1534" t="s">
        <v>3732</v>
      </c>
    </row>
    <row r="1535" spans="1:9" x14ac:dyDescent="0.2">
      <c r="A1535" t="s">
        <v>3733</v>
      </c>
      <c r="B1535" t="s">
        <v>3734</v>
      </c>
      <c r="C1535" t="s">
        <v>3735</v>
      </c>
      <c r="D1535">
        <v>0</v>
      </c>
    </row>
    <row r="1536" spans="1:9" x14ac:dyDescent="0.2">
      <c r="A1536" t="s">
        <v>3736</v>
      </c>
    </row>
    <row r="1537" spans="1:9" x14ac:dyDescent="0.2">
      <c r="A1537" t="s">
        <v>3737</v>
      </c>
    </row>
    <row r="1538" spans="1:9" x14ac:dyDescent="0.2">
      <c r="A1538" t="s">
        <v>3738</v>
      </c>
      <c r="B1538" t="s">
        <v>3739</v>
      </c>
    </row>
    <row r="1539" spans="1:9" x14ac:dyDescent="0.2">
      <c r="A1539" t="s">
        <v>3740</v>
      </c>
    </row>
    <row r="1540" spans="1:9" x14ac:dyDescent="0.2">
      <c r="A1540" t="s">
        <v>3741</v>
      </c>
    </row>
    <row r="1541" spans="1:9" x14ac:dyDescent="0.2">
      <c r="A1541" t="s">
        <v>3742</v>
      </c>
    </row>
    <row r="1542" spans="1:9" x14ac:dyDescent="0.2">
      <c r="A1542" t="s">
        <v>3743</v>
      </c>
    </row>
    <row r="1543" spans="1:9" x14ac:dyDescent="0.2">
      <c r="A1543" t="s">
        <v>3744</v>
      </c>
    </row>
    <row r="1544" spans="1:9" x14ac:dyDescent="0.2">
      <c r="A1544" t="s">
        <v>3745</v>
      </c>
      <c r="B1544" t="s">
        <v>3746</v>
      </c>
      <c r="C1544" t="s">
        <v>3747</v>
      </c>
      <c r="D1544" t="s">
        <v>2369</v>
      </c>
      <c r="E1544" t="s">
        <v>2370</v>
      </c>
      <c r="F1544" t="s">
        <v>2066</v>
      </c>
      <c r="G1544" t="s">
        <v>2167</v>
      </c>
      <c r="H1544" t="s">
        <v>3748</v>
      </c>
      <c r="I1544" t="s">
        <v>3749</v>
      </c>
    </row>
    <row r="1545" spans="1:9" x14ac:dyDescent="0.2">
      <c r="A1545" t="s">
        <v>3750</v>
      </c>
    </row>
    <row r="1546" spans="1:9" x14ac:dyDescent="0.2">
      <c r="A1546" t="s">
        <v>3751</v>
      </c>
      <c r="B1546" t="s">
        <v>3752</v>
      </c>
    </row>
    <row r="1547" spans="1:9" x14ac:dyDescent="0.2">
      <c r="A1547" t="s">
        <v>3753</v>
      </c>
      <c r="B1547" t="s">
        <v>3754</v>
      </c>
    </row>
    <row r="1548" spans="1:9" x14ac:dyDescent="0.2">
      <c r="A1548" t="s">
        <v>3755</v>
      </c>
      <c r="B1548" t="s">
        <v>3756</v>
      </c>
    </row>
    <row r="1549" spans="1:9" x14ac:dyDescent="0.2">
      <c r="A1549" t="s">
        <v>3757</v>
      </c>
    </row>
    <row r="1550" spans="1:9" x14ac:dyDescent="0.2">
      <c r="A1550" t="s">
        <v>3758</v>
      </c>
    </row>
    <row r="1551" spans="1:9" x14ac:dyDescent="0.2">
      <c r="A1551" t="s">
        <v>3759</v>
      </c>
    </row>
    <row r="1552" spans="1:9" x14ac:dyDescent="0.2">
      <c r="A1552" t="s">
        <v>3760</v>
      </c>
    </row>
    <row r="1554" spans="1:2" x14ac:dyDescent="0.2">
      <c r="A1554" t="s">
        <v>1871</v>
      </c>
    </row>
    <row r="1555" spans="1:2" x14ac:dyDescent="0.2">
      <c r="A1555" t="s">
        <v>1872</v>
      </c>
    </row>
    <row r="1556" spans="1:2" x14ac:dyDescent="0.2">
      <c r="A1556" t="s">
        <v>1873</v>
      </c>
    </row>
    <row r="1557" spans="1:2" x14ac:dyDescent="0.2">
      <c r="A1557" t="s">
        <v>3761</v>
      </c>
    </row>
    <row r="1558" spans="1:2" x14ac:dyDescent="0.2">
      <c r="A1558" t="s">
        <v>1875</v>
      </c>
    </row>
    <row r="1559" spans="1:2" x14ac:dyDescent="0.2">
      <c r="A1559" t="s">
        <v>1876</v>
      </c>
    </row>
    <row r="1560" spans="1:2" x14ac:dyDescent="0.2">
      <c r="A1560" t="s">
        <v>3762</v>
      </c>
    </row>
    <row r="1561" spans="1:2" x14ac:dyDescent="0.2">
      <c r="A1561" t="s">
        <v>3763</v>
      </c>
    </row>
    <row r="1562" spans="1:2" x14ac:dyDescent="0.2">
      <c r="A1562" t="s">
        <v>3643</v>
      </c>
    </row>
    <row r="1563" spans="1:2" x14ac:dyDescent="0.2">
      <c r="A1563" t="s">
        <v>3764</v>
      </c>
    </row>
    <row r="1564" spans="1:2" x14ac:dyDescent="0.2">
      <c r="A1564" t="s">
        <v>3765</v>
      </c>
    </row>
    <row r="1565" spans="1:2" x14ac:dyDescent="0.2">
      <c r="A1565" t="s">
        <v>3766</v>
      </c>
      <c r="B1565" t="s">
        <v>3767</v>
      </c>
    </row>
    <row r="1566" spans="1:2" x14ac:dyDescent="0.2">
      <c r="A1566" t="s">
        <v>3768</v>
      </c>
    </row>
    <row r="1568" spans="1:2" x14ac:dyDescent="0.2">
      <c r="A1568" t="s">
        <v>3769</v>
      </c>
    </row>
    <row r="1569" spans="1:1" x14ac:dyDescent="0.2">
      <c r="A1569" t="s">
        <v>2572</v>
      </c>
    </row>
    <row r="1570" spans="1:1" x14ac:dyDescent="0.2">
      <c r="A1570" t="s">
        <v>2573</v>
      </c>
    </row>
    <row r="1571" spans="1:1" x14ac:dyDescent="0.2">
      <c r="A1571" t="s">
        <v>2574</v>
      </c>
    </row>
    <row r="1572" spans="1:1" x14ac:dyDescent="0.2">
      <c r="A1572" t="s">
        <v>3770</v>
      </c>
    </row>
    <row r="1573" spans="1:1" x14ac:dyDescent="0.2">
      <c r="A1573" t="s">
        <v>3771</v>
      </c>
    </row>
    <row r="1574" spans="1:1" x14ac:dyDescent="0.2">
      <c r="A1574" t="s">
        <v>3772</v>
      </c>
    </row>
    <row r="1575" spans="1:1" x14ac:dyDescent="0.2">
      <c r="A1575" t="s">
        <v>3773</v>
      </c>
    </row>
    <row r="1577" spans="1:1" x14ac:dyDescent="0.2">
      <c r="A1577" t="s">
        <v>3774</v>
      </c>
    </row>
    <row r="1578" spans="1:1" x14ac:dyDescent="0.2">
      <c r="A1578" t="s">
        <v>3775</v>
      </c>
    </row>
    <row r="1580" spans="1:1" x14ac:dyDescent="0.2">
      <c r="A1580" t="s">
        <v>3776</v>
      </c>
    </row>
    <row r="1581" spans="1:1" x14ac:dyDescent="0.2">
      <c r="A1581" t="s">
        <v>3777</v>
      </c>
    </row>
    <row r="1582" spans="1:1" x14ac:dyDescent="0.2">
      <c r="A1582" t="s">
        <v>3778</v>
      </c>
    </row>
    <row r="1583" spans="1:1" x14ac:dyDescent="0.2">
      <c r="A1583" t="s">
        <v>3779</v>
      </c>
    </row>
    <row r="1584" spans="1:1" x14ac:dyDescent="0.2">
      <c r="A1584" t="s">
        <v>3780</v>
      </c>
    </row>
    <row r="1585" spans="1:9" x14ac:dyDescent="0.2">
      <c r="A1585" t="s">
        <v>3781</v>
      </c>
    </row>
    <row r="1586" spans="1:9" x14ac:dyDescent="0.2">
      <c r="A1586" t="s">
        <v>3782</v>
      </c>
    </row>
    <row r="1587" spans="1:9" x14ac:dyDescent="0.2">
      <c r="A1587" t="s">
        <v>3783</v>
      </c>
      <c r="B1587" t="s">
        <v>3784</v>
      </c>
      <c r="C1587" t="s">
        <v>3785</v>
      </c>
      <c r="D1587" t="s">
        <v>3786</v>
      </c>
      <c r="E1587" t="s">
        <v>3787</v>
      </c>
      <c r="F1587" t="s">
        <v>3788</v>
      </c>
      <c r="G1587" t="s">
        <v>3789</v>
      </c>
      <c r="H1587" t="s">
        <v>3790</v>
      </c>
      <c r="I1587" t="s">
        <v>3791</v>
      </c>
    </row>
    <row r="1588" spans="1:9" x14ac:dyDescent="0.2">
      <c r="A1588" t="s">
        <v>3792</v>
      </c>
    </row>
    <row r="1589" spans="1:9" x14ac:dyDescent="0.2">
      <c r="A1589" t="s">
        <v>3793</v>
      </c>
    </row>
    <row r="1591" spans="1:9" x14ac:dyDescent="0.2">
      <c r="A1591" t="s">
        <v>3666</v>
      </c>
    </row>
    <row r="1592" spans="1:9" x14ac:dyDescent="0.2">
      <c r="A1592" t="s">
        <v>3667</v>
      </c>
    </row>
    <row r="1593" spans="1:9" x14ac:dyDescent="0.2">
      <c r="A1593" t="s">
        <v>3668</v>
      </c>
    </row>
    <row r="1594" spans="1:9" x14ac:dyDescent="0.2">
      <c r="A1594" t="s">
        <v>3669</v>
      </c>
    </row>
    <row r="1595" spans="1:9" x14ac:dyDescent="0.2">
      <c r="A1595" t="s">
        <v>3670</v>
      </c>
    </row>
    <row r="1596" spans="1:9" x14ac:dyDescent="0.2">
      <c r="A1596" t="s">
        <v>3794</v>
      </c>
    </row>
    <row r="1597" spans="1:9" x14ac:dyDescent="0.2">
      <c r="A1597" t="s">
        <v>3795</v>
      </c>
    </row>
    <row r="1598" spans="1:9" x14ac:dyDescent="0.2">
      <c r="A1598" t="s">
        <v>3796</v>
      </c>
    </row>
    <row r="1599" spans="1:9" x14ac:dyDescent="0.2">
      <c r="A1599" t="s">
        <v>3797</v>
      </c>
    </row>
    <row r="1601" spans="1:9" x14ac:dyDescent="0.2">
      <c r="A1601" t="s">
        <v>3798</v>
      </c>
    </row>
    <row r="1602" spans="1:9" x14ac:dyDescent="0.2">
      <c r="A1602" t="s">
        <v>3799</v>
      </c>
    </row>
    <row r="1603" spans="1:9" x14ac:dyDescent="0.2">
      <c r="A1603" t="s">
        <v>3800</v>
      </c>
    </row>
    <row r="1604" spans="1:9" x14ac:dyDescent="0.2">
      <c r="A1604" t="s">
        <v>3801</v>
      </c>
    </row>
    <row r="1605" spans="1:9" x14ac:dyDescent="0.2">
      <c r="A1605" t="s">
        <v>3802</v>
      </c>
      <c r="B1605" t="s">
        <v>3803</v>
      </c>
      <c r="C1605" t="s">
        <v>3804</v>
      </c>
      <c r="D1605" t="s">
        <v>3805</v>
      </c>
      <c r="E1605" t="s">
        <v>3806</v>
      </c>
      <c r="F1605" t="s">
        <v>3807</v>
      </c>
      <c r="G1605" t="s">
        <v>3808</v>
      </c>
      <c r="H1605" t="s">
        <v>3809</v>
      </c>
      <c r="I1605" t="s">
        <v>3810</v>
      </c>
    </row>
    <row r="1607" spans="1:9" x14ac:dyDescent="0.2">
      <c r="A1607" t="s">
        <v>3811</v>
      </c>
    </row>
    <row r="1608" spans="1:9" x14ac:dyDescent="0.2">
      <c r="A1608" t="s">
        <v>3812</v>
      </c>
      <c r="B1608" t="s">
        <v>3813</v>
      </c>
      <c r="C1608" t="s">
        <v>3814</v>
      </c>
      <c r="D1608" t="s">
        <v>3815</v>
      </c>
      <c r="E1608" t="s">
        <v>1751</v>
      </c>
      <c r="F1608" t="s">
        <v>2362</v>
      </c>
      <c r="G1608" t="s">
        <v>2363</v>
      </c>
      <c r="H1608" t="s">
        <v>2364</v>
      </c>
      <c r="I1608" t="s">
        <v>3816</v>
      </c>
    </row>
    <row r="1609" spans="1:9" x14ac:dyDescent="0.2">
      <c r="A1609" t="s">
        <v>3817</v>
      </c>
    </row>
    <row r="1610" spans="1:9" x14ac:dyDescent="0.2">
      <c r="A1610" t="s">
        <v>3818</v>
      </c>
    </row>
    <row r="1611" spans="1:9" x14ac:dyDescent="0.2">
      <c r="A1611" t="s">
        <v>3819</v>
      </c>
    </row>
    <row r="1612" spans="1:9" x14ac:dyDescent="0.2">
      <c r="A1612" t="s">
        <v>3820</v>
      </c>
      <c r="B1612" t="s">
        <v>3821</v>
      </c>
      <c r="C1612" t="s">
        <v>3822</v>
      </c>
      <c r="D1612" t="s">
        <v>3823</v>
      </c>
      <c r="E1612" t="s">
        <v>3824</v>
      </c>
      <c r="F1612" t="s">
        <v>3825</v>
      </c>
      <c r="G1612" t="s">
        <v>3826</v>
      </c>
      <c r="H1612" t="s">
        <v>3827</v>
      </c>
      <c r="I1612" t="s">
        <v>3828</v>
      </c>
    </row>
    <row r="1613" spans="1:9" x14ac:dyDescent="0.2">
      <c r="A1613" t="s">
        <v>3829</v>
      </c>
    </row>
    <row r="1615" spans="1:9" x14ac:dyDescent="0.2">
      <c r="A1615" t="s">
        <v>3830</v>
      </c>
    </row>
    <row r="1616" spans="1:9" x14ac:dyDescent="0.2">
      <c r="A1616" t="s">
        <v>3831</v>
      </c>
    </row>
    <row r="1617" spans="1:9" x14ac:dyDescent="0.2">
      <c r="A1617" t="s">
        <v>3832</v>
      </c>
      <c r="B1617" t="s">
        <v>3833</v>
      </c>
      <c r="C1617" t="s">
        <v>3834</v>
      </c>
      <c r="D1617" t="s">
        <v>3835</v>
      </c>
      <c r="E1617" t="s">
        <v>3278</v>
      </c>
    </row>
    <row r="1618" spans="1:9" x14ac:dyDescent="0.2">
      <c r="A1618" t="s">
        <v>3836</v>
      </c>
    </row>
    <row r="1619" spans="1:9" x14ac:dyDescent="0.2">
      <c r="A1619" t="s">
        <v>3837</v>
      </c>
    </row>
    <row r="1620" spans="1:9" x14ac:dyDescent="0.2">
      <c r="A1620" t="s">
        <v>3838</v>
      </c>
      <c r="B1620" t="s">
        <v>3839</v>
      </c>
      <c r="C1620" t="s">
        <v>3840</v>
      </c>
      <c r="D1620" t="s">
        <v>3841</v>
      </c>
      <c r="E1620" t="s">
        <v>1666</v>
      </c>
      <c r="F1620" t="s">
        <v>2328</v>
      </c>
      <c r="G1620" t="s">
        <v>3842</v>
      </c>
      <c r="H1620" t="s">
        <v>3843</v>
      </c>
      <c r="I1620" t="s">
        <v>3844</v>
      </c>
    </row>
    <row r="1621" spans="1:9" x14ac:dyDescent="0.2">
      <c r="A1621" t="s">
        <v>3845</v>
      </c>
    </row>
    <row r="1622" spans="1:9" x14ac:dyDescent="0.2">
      <c r="A1622" t="s">
        <v>3846</v>
      </c>
      <c r="B1622" t="s">
        <v>3847</v>
      </c>
    </row>
    <row r="1623" spans="1:9" x14ac:dyDescent="0.2">
      <c r="A1623" t="s">
        <v>3848</v>
      </c>
      <c r="B1623" t="s">
        <v>3849</v>
      </c>
      <c r="C1623" t="s">
        <v>3850</v>
      </c>
      <c r="D1623" t="s">
        <v>2231</v>
      </c>
      <c r="E1623" t="s">
        <v>3851</v>
      </c>
      <c r="F1623" t="s">
        <v>3584</v>
      </c>
      <c r="G1623" t="s">
        <v>3532</v>
      </c>
      <c r="H1623" t="s">
        <v>3852</v>
      </c>
      <c r="I1623" t="s">
        <v>3853</v>
      </c>
    </row>
    <row r="1625" spans="1:9" x14ac:dyDescent="0.2">
      <c r="A1625" t="s">
        <v>3854</v>
      </c>
    </row>
    <row r="1626" spans="1:9" x14ac:dyDescent="0.2">
      <c r="A1626" t="s">
        <v>3855</v>
      </c>
    </row>
    <row r="1627" spans="1:9" x14ac:dyDescent="0.2">
      <c r="A1627" t="s">
        <v>3856</v>
      </c>
    </row>
    <row r="1628" spans="1:9" x14ac:dyDescent="0.2">
      <c r="A1628" t="s">
        <v>3857</v>
      </c>
      <c r="B1628" t="s">
        <v>3858</v>
      </c>
      <c r="C1628" t="s">
        <v>2456</v>
      </c>
      <c r="D1628" t="s">
        <v>2370</v>
      </c>
      <c r="E1628" t="s">
        <v>1585</v>
      </c>
      <c r="F1628" t="s">
        <v>1554</v>
      </c>
      <c r="G1628" t="s">
        <v>2457</v>
      </c>
      <c r="H1628" t="s">
        <v>2458</v>
      </c>
      <c r="I1628" t="s">
        <v>3859</v>
      </c>
    </row>
    <row r="1629" spans="1:9" x14ac:dyDescent="0.2">
      <c r="A1629" t="s">
        <v>3860</v>
      </c>
    </row>
    <row r="1630" spans="1:9" x14ac:dyDescent="0.2">
      <c r="A1630" t="s">
        <v>3861</v>
      </c>
    </row>
    <row r="1631" spans="1:9" x14ac:dyDescent="0.2">
      <c r="A1631" t="s">
        <v>3862</v>
      </c>
      <c r="B1631" t="s">
        <v>3863</v>
      </c>
      <c r="C1631" t="s">
        <v>3864</v>
      </c>
      <c r="D1631" t="s">
        <v>3865</v>
      </c>
      <c r="E1631" t="s">
        <v>1585</v>
      </c>
      <c r="F1631" t="s">
        <v>1667</v>
      </c>
      <c r="G1631" t="s">
        <v>2389</v>
      </c>
      <c r="H1631" t="s">
        <v>3007</v>
      </c>
      <c r="I1631" t="s">
        <v>3866</v>
      </c>
    </row>
    <row r="1632" spans="1:9" x14ac:dyDescent="0.2">
      <c r="A1632" t="s">
        <v>3867</v>
      </c>
      <c r="B1632" t="s">
        <v>3868</v>
      </c>
    </row>
    <row r="1633" spans="1:1" x14ac:dyDescent="0.2">
      <c r="A1633" t="s">
        <v>3869</v>
      </c>
    </row>
    <row r="1634" spans="1:1" x14ac:dyDescent="0.2">
      <c r="A1634" t="s">
        <v>3870</v>
      </c>
    </row>
    <row r="1635" spans="1:1" x14ac:dyDescent="0.2">
      <c r="A1635" t="s">
        <v>3871</v>
      </c>
    </row>
    <row r="1637" spans="1:1" x14ac:dyDescent="0.2">
      <c r="A1637" t="s">
        <v>3872</v>
      </c>
    </row>
    <row r="1638" spans="1:1" x14ac:dyDescent="0.2">
      <c r="A1638" t="s">
        <v>3596</v>
      </c>
    </row>
    <row r="1639" spans="1:1" x14ac:dyDescent="0.2">
      <c r="A1639" t="s">
        <v>3597</v>
      </c>
    </row>
    <row r="1640" spans="1:1" x14ac:dyDescent="0.2">
      <c r="A1640" t="s">
        <v>3598</v>
      </c>
    </row>
    <row r="1641" spans="1:1" x14ac:dyDescent="0.2">
      <c r="A1641" t="s">
        <v>3599</v>
      </c>
    </row>
    <row r="1642" spans="1:1" x14ac:dyDescent="0.2">
      <c r="A1642" t="s">
        <v>3600</v>
      </c>
    </row>
    <row r="1643" spans="1:1" x14ac:dyDescent="0.2">
      <c r="A1643" t="s">
        <v>3601</v>
      </c>
    </row>
    <row r="1644" spans="1:1" x14ac:dyDescent="0.2">
      <c r="A1644" t="s">
        <v>3602</v>
      </c>
    </row>
    <row r="1645" spans="1:1" x14ac:dyDescent="0.2">
      <c r="A1645" t="s">
        <v>3603</v>
      </c>
    </row>
    <row r="1646" spans="1:1" x14ac:dyDescent="0.2">
      <c r="A1646" t="s">
        <v>3604</v>
      </c>
    </row>
    <row r="1647" spans="1:1" x14ac:dyDescent="0.2">
      <c r="A1647" t="s">
        <v>3605</v>
      </c>
    </row>
    <row r="1648" spans="1:1" x14ac:dyDescent="0.2">
      <c r="A1648" t="s">
        <v>3606</v>
      </c>
    </row>
    <row r="1649" spans="1:1" x14ac:dyDescent="0.2">
      <c r="A1649" t="s">
        <v>3607</v>
      </c>
    </row>
    <row r="1650" spans="1:1" x14ac:dyDescent="0.2">
      <c r="A1650" t="s">
        <v>3608</v>
      </c>
    </row>
    <row r="1651" spans="1:1" x14ac:dyDescent="0.2">
      <c r="A1651" t="s">
        <v>3609</v>
      </c>
    </row>
    <row r="1652" spans="1:1" x14ac:dyDescent="0.2">
      <c r="A1652" t="s">
        <v>3610</v>
      </c>
    </row>
    <row r="1653" spans="1:1" x14ac:dyDescent="0.2">
      <c r="A1653" t="s">
        <v>3611</v>
      </c>
    </row>
    <row r="1654" spans="1:1" x14ac:dyDescent="0.2">
      <c r="A1654" t="s">
        <v>3612</v>
      </c>
    </row>
    <row r="1655" spans="1:1" x14ac:dyDescent="0.2">
      <c r="A1655" t="s">
        <v>3613</v>
      </c>
    </row>
    <row r="1656" spans="1:1" x14ac:dyDescent="0.2">
      <c r="A1656" t="s">
        <v>3614</v>
      </c>
    </row>
    <row r="1657" spans="1:1" x14ac:dyDescent="0.2">
      <c r="A1657" t="s">
        <v>3615</v>
      </c>
    </row>
    <row r="1658" spans="1:1" x14ac:dyDescent="0.2">
      <c r="A1658" t="s">
        <v>3873</v>
      </c>
    </row>
    <row r="1659" spans="1:1" x14ac:dyDescent="0.2">
      <c r="A1659" t="s">
        <v>3874</v>
      </c>
    </row>
    <row r="1661" spans="1:1" x14ac:dyDescent="0.2">
      <c r="A1661" t="s">
        <v>3875</v>
      </c>
    </row>
    <row r="1662" spans="1:1" x14ac:dyDescent="0.2">
      <c r="A1662" t="s">
        <v>3617</v>
      </c>
    </row>
    <row r="1663" spans="1:1" x14ac:dyDescent="0.2">
      <c r="A1663" t="s">
        <v>3618</v>
      </c>
    </row>
    <row r="1664" spans="1:1" x14ac:dyDescent="0.2">
      <c r="A1664" t="s">
        <v>3619</v>
      </c>
    </row>
    <row r="1666" spans="1:9" x14ac:dyDescent="0.2">
      <c r="A1666" t="s">
        <v>3876</v>
      </c>
    </row>
    <row r="1667" spans="1:9" x14ac:dyDescent="0.2">
      <c r="A1667" t="s">
        <v>3877</v>
      </c>
    </row>
    <row r="1668" spans="1:9" x14ac:dyDescent="0.2">
      <c r="A1668" t="s">
        <v>3878</v>
      </c>
    </row>
    <row r="1669" spans="1:9" x14ac:dyDescent="0.2">
      <c r="A1669" t="s">
        <v>3741</v>
      </c>
    </row>
    <row r="1670" spans="1:9" x14ac:dyDescent="0.2">
      <c r="A1670" t="s">
        <v>3879</v>
      </c>
    </row>
    <row r="1671" spans="1:9" x14ac:dyDescent="0.2">
      <c r="A1671" t="s">
        <v>3880</v>
      </c>
    </row>
    <row r="1672" spans="1:9" x14ac:dyDescent="0.2">
      <c r="A1672" t="s">
        <v>3881</v>
      </c>
    </row>
    <row r="1673" spans="1:9" x14ac:dyDescent="0.2">
      <c r="A1673" t="s">
        <v>3882</v>
      </c>
      <c r="B1673" t="s">
        <v>3883</v>
      </c>
      <c r="C1673" t="s">
        <v>3884</v>
      </c>
      <c r="D1673" t="s">
        <v>3310</v>
      </c>
      <c r="E1673" t="s">
        <v>3885</v>
      </c>
      <c r="F1673" t="s">
        <v>1658</v>
      </c>
      <c r="G1673" t="s">
        <v>3886</v>
      </c>
      <c r="H1673" t="s">
        <v>2803</v>
      </c>
      <c r="I1673" t="s">
        <v>3887</v>
      </c>
    </row>
    <row r="1674" spans="1:9" x14ac:dyDescent="0.2">
      <c r="A1674" t="s">
        <v>3888</v>
      </c>
    </row>
    <row r="1675" spans="1:9" x14ac:dyDescent="0.2">
      <c r="A1675" t="s">
        <v>3889</v>
      </c>
      <c r="B1675" t="s">
        <v>3890</v>
      </c>
      <c r="C1675" t="s">
        <v>3891</v>
      </c>
      <c r="D1675" t="s">
        <v>1554</v>
      </c>
      <c r="E1675" t="s">
        <v>2369</v>
      </c>
      <c r="F1675" t="s">
        <v>2714</v>
      </c>
      <c r="G1675" t="s">
        <v>3436</v>
      </c>
      <c r="H1675" t="s">
        <v>3892</v>
      </c>
      <c r="I1675" t="s">
        <v>3893</v>
      </c>
    </row>
    <row r="1676" spans="1:9" x14ac:dyDescent="0.2">
      <c r="A1676" t="s">
        <v>3894</v>
      </c>
    </row>
    <row r="1677" spans="1:9" x14ac:dyDescent="0.2">
      <c r="A1677" t="s">
        <v>3895</v>
      </c>
    </row>
    <row r="1678" spans="1:9" x14ac:dyDescent="0.2">
      <c r="A1678" t="s">
        <v>3896</v>
      </c>
    </row>
    <row r="1679" spans="1:9" x14ac:dyDescent="0.2">
      <c r="A1679" t="s">
        <v>3897</v>
      </c>
    </row>
    <row r="1680" spans="1:9" x14ac:dyDescent="0.2">
      <c r="A1680" t="s">
        <v>3898</v>
      </c>
    </row>
    <row r="1681" spans="1:1" x14ac:dyDescent="0.2">
      <c r="A1681" t="s">
        <v>3899</v>
      </c>
    </row>
    <row r="1682" spans="1:1" x14ac:dyDescent="0.2">
      <c r="A1682" t="s">
        <v>3900</v>
      </c>
    </row>
    <row r="1683" spans="1:1" x14ac:dyDescent="0.2">
      <c r="A1683" t="s">
        <v>3901</v>
      </c>
    </row>
    <row r="1684" spans="1:1" x14ac:dyDescent="0.2">
      <c r="A1684" t="s">
        <v>3902</v>
      </c>
    </row>
    <row r="1685" spans="1:1" x14ac:dyDescent="0.2">
      <c r="A1685" t="s">
        <v>3903</v>
      </c>
    </row>
    <row r="1686" spans="1:1" x14ac:dyDescent="0.2">
      <c r="A1686" t="s">
        <v>3904</v>
      </c>
    </row>
    <row r="1688" spans="1:1" x14ac:dyDescent="0.2">
      <c r="A1688" t="s">
        <v>3905</v>
      </c>
    </row>
    <row r="1689" spans="1:1" x14ac:dyDescent="0.2">
      <c r="A1689" t="s">
        <v>3906</v>
      </c>
    </row>
    <row r="1690" spans="1:1" x14ac:dyDescent="0.2">
      <c r="A1690" t="s">
        <v>3907</v>
      </c>
    </row>
    <row r="1691" spans="1:1" x14ac:dyDescent="0.2">
      <c r="A1691" t="s">
        <v>3908</v>
      </c>
    </row>
    <row r="1693" spans="1:1" x14ac:dyDescent="0.2">
      <c r="A1693" t="s">
        <v>3905</v>
      </c>
    </row>
    <row r="1694" spans="1:1" x14ac:dyDescent="0.2">
      <c r="A1694" t="s">
        <v>2572</v>
      </c>
    </row>
    <row r="1695" spans="1:1" x14ac:dyDescent="0.2">
      <c r="A1695" t="s">
        <v>2573</v>
      </c>
    </row>
    <row r="1696" spans="1:1" x14ac:dyDescent="0.2">
      <c r="A1696" t="s">
        <v>2574</v>
      </c>
    </row>
    <row r="1697" spans="1:9" x14ac:dyDescent="0.2">
      <c r="A1697" t="s">
        <v>3909</v>
      </c>
    </row>
    <row r="1698" spans="1:9" x14ac:dyDescent="0.2">
      <c r="A1698" t="s">
        <v>3910</v>
      </c>
    </row>
    <row r="1699" spans="1:9" x14ac:dyDescent="0.2">
      <c r="A1699" t="s">
        <v>3911</v>
      </c>
    </row>
    <row r="1700" spans="1:9" x14ac:dyDescent="0.2">
      <c r="A1700" t="s">
        <v>3912</v>
      </c>
    </row>
    <row r="1702" spans="1:9" x14ac:dyDescent="0.2">
      <c r="A1702" t="s">
        <v>3913</v>
      </c>
    </row>
    <row r="1703" spans="1:9" x14ac:dyDescent="0.2">
      <c r="A1703" t="s">
        <v>3914</v>
      </c>
      <c r="B1703" t="s">
        <v>3915</v>
      </c>
      <c r="C1703" t="s">
        <v>3916</v>
      </c>
      <c r="D1703" t="s">
        <v>2999</v>
      </c>
      <c r="E1703" t="s">
        <v>1587</v>
      </c>
      <c r="F1703" t="s">
        <v>2158</v>
      </c>
      <c r="G1703" t="s">
        <v>3917</v>
      </c>
      <c r="H1703" t="s">
        <v>3918</v>
      </c>
      <c r="I1703" t="s">
        <v>3919</v>
      </c>
    </row>
    <row r="1705" spans="1:9" x14ac:dyDescent="0.2">
      <c r="A1705" t="s">
        <v>3920</v>
      </c>
    </row>
    <row r="1706" spans="1:9" x14ac:dyDescent="0.2">
      <c r="A1706" t="s">
        <v>3921</v>
      </c>
    </row>
    <row r="1708" spans="1:9" x14ac:dyDescent="0.2">
      <c r="A1708" t="s">
        <v>3922</v>
      </c>
    </row>
    <row r="1709" spans="1:9" x14ac:dyDescent="0.2">
      <c r="A1709" t="s">
        <v>3923</v>
      </c>
    </row>
    <row r="1710" spans="1:9" x14ac:dyDescent="0.2">
      <c r="A1710" t="s">
        <v>3924</v>
      </c>
    </row>
    <row r="1711" spans="1:9" x14ac:dyDescent="0.2">
      <c r="A1711" t="s">
        <v>3925</v>
      </c>
    </row>
    <row r="1713" spans="1:7" x14ac:dyDescent="0.2">
      <c r="A1713" t="s">
        <v>3926</v>
      </c>
    </row>
    <row r="1714" spans="1:7" x14ac:dyDescent="0.2">
      <c r="A1714" t="s">
        <v>3927</v>
      </c>
    </row>
    <row r="1715" spans="1:7" x14ac:dyDescent="0.2">
      <c r="A1715" t="s">
        <v>3781</v>
      </c>
    </row>
    <row r="1716" spans="1:7" x14ac:dyDescent="0.2">
      <c r="A1716" t="s">
        <v>3928</v>
      </c>
    </row>
    <row r="1717" spans="1:7" x14ac:dyDescent="0.2">
      <c r="A1717" t="s">
        <v>3929</v>
      </c>
      <c r="B1717" t="s">
        <v>3930</v>
      </c>
      <c r="C1717" t="s">
        <v>3931</v>
      </c>
      <c r="D1717" t="s">
        <v>2874</v>
      </c>
      <c r="E1717" t="s">
        <v>2875</v>
      </c>
      <c r="F1717" t="s">
        <v>2317</v>
      </c>
      <c r="G1717" t="s">
        <v>2039</v>
      </c>
    </row>
    <row r="1718" spans="1:7" x14ac:dyDescent="0.2">
      <c r="A1718" t="s">
        <v>3932</v>
      </c>
    </row>
    <row r="1719" spans="1:7" x14ac:dyDescent="0.2">
      <c r="A1719" t="s">
        <v>3933</v>
      </c>
    </row>
    <row r="1721" spans="1:7" x14ac:dyDescent="0.2">
      <c r="A1721" t="s">
        <v>3934</v>
      </c>
    </row>
    <row r="1722" spans="1:7" x14ac:dyDescent="0.2">
      <c r="A1722" t="s">
        <v>3666</v>
      </c>
    </row>
    <row r="1723" spans="1:7" x14ac:dyDescent="0.2">
      <c r="A1723" t="s">
        <v>3667</v>
      </c>
    </row>
    <row r="1724" spans="1:7" x14ac:dyDescent="0.2">
      <c r="A1724" t="s">
        <v>3668</v>
      </c>
    </row>
    <row r="1725" spans="1:7" x14ac:dyDescent="0.2">
      <c r="A1725" t="s">
        <v>3669</v>
      </c>
    </row>
    <row r="1726" spans="1:7" x14ac:dyDescent="0.2">
      <c r="A1726" t="s">
        <v>3670</v>
      </c>
    </row>
    <row r="1727" spans="1:7" x14ac:dyDescent="0.2">
      <c r="A1727" t="s">
        <v>3794</v>
      </c>
    </row>
    <row r="1728" spans="1:7" x14ac:dyDescent="0.2">
      <c r="A1728" t="s">
        <v>3795</v>
      </c>
    </row>
    <row r="1729" spans="1:1" x14ac:dyDescent="0.2">
      <c r="A1729" t="s">
        <v>3935</v>
      </c>
    </row>
    <row r="1730" spans="1:1" x14ac:dyDescent="0.2">
      <c r="A1730" t="s">
        <v>3936</v>
      </c>
    </row>
    <row r="1731" spans="1:1" x14ac:dyDescent="0.2">
      <c r="A1731" t="s">
        <v>2186</v>
      </c>
    </row>
    <row r="1732" spans="1:1" x14ac:dyDescent="0.2">
      <c r="A1732" t="s">
        <v>2187</v>
      </c>
    </row>
    <row r="1733" spans="1:1" x14ac:dyDescent="0.2">
      <c r="A1733" t="s">
        <v>2188</v>
      </c>
    </row>
    <row r="1734" spans="1:1" x14ac:dyDescent="0.2">
      <c r="A1734" t="s">
        <v>2189</v>
      </c>
    </row>
    <row r="1735" spans="1:1" x14ac:dyDescent="0.2">
      <c r="A1735" t="s">
        <v>3937</v>
      </c>
    </row>
    <row r="1736" spans="1:1" x14ac:dyDescent="0.2">
      <c r="A1736" t="s">
        <v>3938</v>
      </c>
    </row>
    <row r="1737" spans="1:1" x14ac:dyDescent="0.2">
      <c r="A1737" t="s">
        <v>3939</v>
      </c>
    </row>
    <row r="1738" spans="1:1" x14ac:dyDescent="0.2">
      <c r="A1738" t="s">
        <v>3940</v>
      </c>
    </row>
    <row r="1739" spans="1:1" x14ac:dyDescent="0.2">
      <c r="A1739" t="s">
        <v>3941</v>
      </c>
    </row>
    <row r="1740" spans="1:1" x14ac:dyDescent="0.2">
      <c r="A1740" t="s">
        <v>3942</v>
      </c>
    </row>
    <row r="1741" spans="1:1" x14ac:dyDescent="0.2">
      <c r="A1741" t="s">
        <v>3943</v>
      </c>
    </row>
    <row r="1742" spans="1:1" x14ac:dyDescent="0.2">
      <c r="A1742" t="s">
        <v>3944</v>
      </c>
    </row>
    <row r="1743" spans="1:1" x14ac:dyDescent="0.2">
      <c r="A1743" t="s">
        <v>3945</v>
      </c>
    </row>
    <row r="1745" spans="1:9" x14ac:dyDescent="0.2">
      <c r="A1745" t="s">
        <v>3946</v>
      </c>
    </row>
    <row r="1746" spans="1:9" x14ac:dyDescent="0.2">
      <c r="A1746" t="s">
        <v>3947</v>
      </c>
    </row>
    <row r="1747" spans="1:9" x14ac:dyDescent="0.2">
      <c r="A1747" t="s">
        <v>3948</v>
      </c>
    </row>
    <row r="1748" spans="1:9" x14ac:dyDescent="0.2">
      <c r="A1748" t="s">
        <v>3949</v>
      </c>
    </row>
    <row r="1749" spans="1:9" x14ac:dyDescent="0.2">
      <c r="A1749" t="s">
        <v>3950</v>
      </c>
    </row>
    <row r="1750" spans="1:9" x14ac:dyDescent="0.2">
      <c r="A1750" t="s">
        <v>3951</v>
      </c>
    </row>
    <row r="1751" spans="1:9" x14ac:dyDescent="0.2">
      <c r="A1751" t="s">
        <v>3952</v>
      </c>
    </row>
    <row r="1752" spans="1:9" x14ac:dyDescent="0.2">
      <c r="A1752" t="s">
        <v>3953</v>
      </c>
      <c r="B1752" t="s">
        <v>3954</v>
      </c>
      <c r="C1752" t="s">
        <v>3955</v>
      </c>
      <c r="D1752" t="s">
        <v>3956</v>
      </c>
      <c r="E1752" t="s">
        <v>3957</v>
      </c>
      <c r="F1752" t="s">
        <v>3958</v>
      </c>
      <c r="G1752" t="s">
        <v>3959</v>
      </c>
      <c r="H1752" t="s">
        <v>3827</v>
      </c>
      <c r="I1752" t="s">
        <v>3960</v>
      </c>
    </row>
    <row r="1753" spans="1:9" x14ac:dyDescent="0.2">
      <c r="A1753" t="s">
        <v>3961</v>
      </c>
      <c r="B1753" t="s">
        <v>3962</v>
      </c>
      <c r="C1753" t="s">
        <v>3963</v>
      </c>
      <c r="D1753" t="s">
        <v>3964</v>
      </c>
      <c r="E1753" t="s">
        <v>1554</v>
      </c>
      <c r="F1753" t="s">
        <v>1555</v>
      </c>
      <c r="G1753" t="s">
        <v>3965</v>
      </c>
      <c r="H1753" t="s">
        <v>3966</v>
      </c>
      <c r="I1753" t="s">
        <v>3967</v>
      </c>
    </row>
    <row r="1754" spans="1:9" x14ac:dyDescent="0.2">
      <c r="A1754" t="s">
        <v>3968</v>
      </c>
    </row>
    <row r="1755" spans="1:9" x14ac:dyDescent="0.2">
      <c r="A1755" t="s">
        <v>3690</v>
      </c>
    </row>
    <row r="1756" spans="1:9" x14ac:dyDescent="0.2">
      <c r="A1756" t="s">
        <v>3969</v>
      </c>
    </row>
    <row r="1757" spans="1:9" x14ac:dyDescent="0.2">
      <c r="A1757" t="s">
        <v>3970</v>
      </c>
    </row>
    <row r="1758" spans="1:9" x14ac:dyDescent="0.2">
      <c r="A1758" t="s">
        <v>3971</v>
      </c>
    </row>
    <row r="1759" spans="1:9" x14ac:dyDescent="0.2">
      <c r="A1759" t="s">
        <v>3972</v>
      </c>
    </row>
    <row r="1761" spans="1:1" x14ac:dyDescent="0.2">
      <c r="A1761" t="s">
        <v>3973</v>
      </c>
    </row>
    <row r="1762" spans="1:1" x14ac:dyDescent="0.2">
      <c r="A1762" t="s">
        <v>3974</v>
      </c>
    </row>
    <row r="1763" spans="1:1" x14ac:dyDescent="0.2">
      <c r="A1763" t="s">
        <v>3975</v>
      </c>
    </row>
    <row r="1764" spans="1:1" x14ac:dyDescent="0.2">
      <c r="A1764" t="s">
        <v>3976</v>
      </c>
    </row>
    <row r="1765" spans="1:1" x14ac:dyDescent="0.2">
      <c r="A1765" t="s">
        <v>3977</v>
      </c>
    </row>
    <row r="1766" spans="1:1" x14ac:dyDescent="0.2">
      <c r="A1766" t="s">
        <v>3978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96C78-78B4-6949-B270-9D3D0B5A225E}">
  <dimension ref="A1:K61"/>
  <sheetViews>
    <sheetView tabSelected="1" zoomScale="120" zoomScaleNormal="120" workbookViewId="0">
      <pane ySplit="1" topLeftCell="A28" activePane="bottomLeft" state="frozen"/>
      <selection pane="bottomLeft" activeCell="E46" sqref="E46"/>
    </sheetView>
  </sheetViews>
  <sheetFormatPr baseColWidth="10" defaultColWidth="8.83203125" defaultRowHeight="15" x14ac:dyDescent="0.2"/>
  <cols>
    <col min="1" max="1" width="5" customWidth="1"/>
    <col min="2" max="2" width="12" customWidth="1"/>
    <col min="3" max="3" width="14" customWidth="1"/>
    <col min="4" max="4" width="55" customWidth="1"/>
    <col min="5" max="6" width="29.33203125" style="122" customWidth="1"/>
    <col min="7" max="7" width="11.83203125" style="122" customWidth="1"/>
    <col min="8" max="8" width="30.33203125" style="122" customWidth="1"/>
    <col min="9" max="9" width="10" style="122" customWidth="1"/>
    <col min="10" max="10" width="29.1640625" style="122" customWidth="1"/>
  </cols>
  <sheetData>
    <row r="1" spans="1:11" ht="30" x14ac:dyDescent="0.2">
      <c r="A1" s="78" t="s">
        <v>1415</v>
      </c>
      <c r="B1" s="78" t="s">
        <v>1416</v>
      </c>
      <c r="C1" s="78" t="s">
        <v>1417</v>
      </c>
      <c r="D1" s="78" t="s">
        <v>1414</v>
      </c>
      <c r="E1" s="121" t="s">
        <v>1418</v>
      </c>
      <c r="F1" s="121" t="s">
        <v>1472</v>
      </c>
      <c r="G1" s="121" t="s">
        <v>1419</v>
      </c>
      <c r="H1" s="121" t="s">
        <v>1522</v>
      </c>
      <c r="I1" s="121" t="s">
        <v>1419</v>
      </c>
      <c r="J1" s="121" t="s">
        <v>1523</v>
      </c>
      <c r="K1" s="78" t="s">
        <v>1419</v>
      </c>
    </row>
    <row r="2" spans="1:11" ht="30" x14ac:dyDescent="0.2">
      <c r="A2" s="67">
        <v>1</v>
      </c>
      <c r="B2" s="79" t="s">
        <v>1420</v>
      </c>
      <c r="C2" s="67" t="s">
        <v>1421</v>
      </c>
      <c r="D2" s="67" t="s">
        <v>1422</v>
      </c>
      <c r="E2" s="67" t="s">
        <v>1423</v>
      </c>
      <c r="F2" s="67" t="s">
        <v>1423</v>
      </c>
      <c r="G2" s="86">
        <v>1</v>
      </c>
      <c r="H2" s="122" t="s">
        <v>1424</v>
      </c>
      <c r="I2" s="67">
        <v>1</v>
      </c>
      <c r="J2" s="67" t="s">
        <v>1482</v>
      </c>
      <c r="K2">
        <v>1</v>
      </c>
    </row>
    <row r="3" spans="1:11" ht="37" customHeight="1" x14ac:dyDescent="0.2">
      <c r="A3" s="67">
        <v>2</v>
      </c>
      <c r="B3" s="79" t="s">
        <v>1420</v>
      </c>
      <c r="C3" s="67" t="s">
        <v>1421</v>
      </c>
      <c r="D3" s="67" t="s">
        <v>1425</v>
      </c>
      <c r="E3" s="223">
        <v>8</v>
      </c>
      <c r="F3" s="67" t="s">
        <v>1426</v>
      </c>
      <c r="G3" s="67">
        <v>0</v>
      </c>
      <c r="H3" s="67">
        <v>12</v>
      </c>
      <c r="I3" s="67">
        <v>0</v>
      </c>
      <c r="J3" s="67">
        <v>2</v>
      </c>
      <c r="K3" s="82">
        <v>0</v>
      </c>
    </row>
    <row r="4" spans="1:11" ht="120" x14ac:dyDescent="0.2">
      <c r="A4" s="67">
        <v>3</v>
      </c>
      <c r="B4" s="79" t="s">
        <v>1420</v>
      </c>
      <c r="C4" s="67" t="s">
        <v>1421</v>
      </c>
      <c r="D4" s="67" t="s">
        <v>1427</v>
      </c>
      <c r="E4" s="67" t="s">
        <v>1428</v>
      </c>
      <c r="F4" s="67" t="s">
        <v>1428</v>
      </c>
      <c r="G4" s="67">
        <v>1</v>
      </c>
      <c r="H4" s="67" t="s">
        <v>1474</v>
      </c>
      <c r="I4" s="67">
        <v>0</v>
      </c>
      <c r="J4" s="67" t="s">
        <v>1484</v>
      </c>
      <c r="K4">
        <v>1</v>
      </c>
    </row>
    <row r="5" spans="1:11" ht="30" x14ac:dyDescent="0.2">
      <c r="A5" s="67">
        <v>4</v>
      </c>
      <c r="B5" s="79" t="s">
        <v>1420</v>
      </c>
      <c r="C5" s="67" t="s">
        <v>1429</v>
      </c>
      <c r="D5" s="67" t="s">
        <v>1430</v>
      </c>
      <c r="E5" s="67">
        <v>60</v>
      </c>
      <c r="F5" s="67" t="s">
        <v>44</v>
      </c>
      <c r="G5" s="67">
        <v>0</v>
      </c>
      <c r="H5" s="67">
        <v>29</v>
      </c>
      <c r="I5" s="67">
        <v>0</v>
      </c>
      <c r="J5" s="67" t="s">
        <v>1485</v>
      </c>
      <c r="K5" s="82">
        <v>0</v>
      </c>
    </row>
    <row r="6" spans="1:11" ht="30" x14ac:dyDescent="0.2">
      <c r="A6" s="67">
        <v>5</v>
      </c>
      <c r="B6" s="79" t="s">
        <v>1420</v>
      </c>
      <c r="C6" s="67" t="s">
        <v>1421</v>
      </c>
      <c r="D6" s="67" t="s">
        <v>1431</v>
      </c>
      <c r="E6" s="67" t="s">
        <v>1432</v>
      </c>
      <c r="F6" s="67" t="s">
        <v>1432</v>
      </c>
      <c r="G6" s="67">
        <v>1</v>
      </c>
      <c r="H6" s="67" t="s">
        <v>1473</v>
      </c>
      <c r="I6" s="67">
        <v>1</v>
      </c>
      <c r="J6" s="67" t="s">
        <v>1486</v>
      </c>
      <c r="K6">
        <v>1</v>
      </c>
    </row>
    <row r="7" spans="1:11" ht="30" x14ac:dyDescent="0.2">
      <c r="A7" s="67">
        <v>6</v>
      </c>
      <c r="B7" s="80" t="s">
        <v>1433</v>
      </c>
      <c r="C7" s="67" t="s">
        <v>1434</v>
      </c>
      <c r="D7" s="67" t="s">
        <v>1435</v>
      </c>
      <c r="E7" s="67" t="s">
        <v>1436</v>
      </c>
      <c r="F7" s="67" t="s">
        <v>1471</v>
      </c>
      <c r="G7" s="67">
        <v>0</v>
      </c>
      <c r="H7" s="67" t="s">
        <v>1437</v>
      </c>
      <c r="I7" s="67">
        <v>0</v>
      </c>
      <c r="J7" s="67" t="s">
        <v>1498</v>
      </c>
      <c r="K7" s="160">
        <v>1</v>
      </c>
    </row>
    <row r="8" spans="1:11" ht="105" x14ac:dyDescent="0.2">
      <c r="A8" s="67">
        <v>7</v>
      </c>
      <c r="B8" s="80" t="s">
        <v>1433</v>
      </c>
      <c r="C8" s="67" t="s">
        <v>1434</v>
      </c>
      <c r="D8" s="67" t="s">
        <v>1438</v>
      </c>
      <c r="E8" s="67" t="s">
        <v>5882</v>
      </c>
      <c r="F8" s="67" t="s">
        <v>1439</v>
      </c>
      <c r="G8" s="67">
        <v>0</v>
      </c>
      <c r="H8" s="67" t="s">
        <v>1476</v>
      </c>
      <c r="I8" s="67">
        <v>0</v>
      </c>
      <c r="J8" s="67" t="s">
        <v>1495</v>
      </c>
      <c r="K8">
        <v>0</v>
      </c>
    </row>
    <row r="9" spans="1:11" ht="150" x14ac:dyDescent="0.2">
      <c r="A9" s="67">
        <v>8</v>
      </c>
      <c r="B9" s="80" t="s">
        <v>1433</v>
      </c>
      <c r="C9" s="67" t="s">
        <v>1440</v>
      </c>
      <c r="D9" s="67" t="s">
        <v>1441</v>
      </c>
      <c r="E9" s="67" t="s">
        <v>1470</v>
      </c>
      <c r="F9" s="67" t="s">
        <v>1442</v>
      </c>
      <c r="G9" s="67">
        <v>0</v>
      </c>
      <c r="H9" s="67" t="s">
        <v>1475</v>
      </c>
      <c r="I9" s="67">
        <v>0</v>
      </c>
      <c r="J9" s="67" t="s">
        <v>1501</v>
      </c>
      <c r="K9" s="160">
        <v>1</v>
      </c>
    </row>
    <row r="10" spans="1:11" ht="120" x14ac:dyDescent="0.2">
      <c r="A10" s="67">
        <v>9</v>
      </c>
      <c r="B10" s="80" t="s">
        <v>1433</v>
      </c>
      <c r="C10" s="67" t="s">
        <v>1440</v>
      </c>
      <c r="D10" s="67" t="s">
        <v>1443</v>
      </c>
      <c r="E10" s="67" t="s">
        <v>1477</v>
      </c>
      <c r="F10" s="67" t="s">
        <v>1444</v>
      </c>
      <c r="G10" s="67">
        <v>0</v>
      </c>
      <c r="H10" s="67" t="s">
        <v>1479</v>
      </c>
      <c r="I10" s="67">
        <v>0</v>
      </c>
      <c r="J10" s="67" t="s">
        <v>1480</v>
      </c>
      <c r="K10">
        <v>0</v>
      </c>
    </row>
    <row r="11" spans="1:11" ht="75" x14ac:dyDescent="0.2">
      <c r="A11" s="67">
        <v>10</v>
      </c>
      <c r="B11" s="80" t="s">
        <v>1433</v>
      </c>
      <c r="C11" s="67" t="s">
        <v>1421</v>
      </c>
      <c r="D11" s="67" t="s">
        <v>1445</v>
      </c>
      <c r="E11" s="67" t="s">
        <v>1446</v>
      </c>
      <c r="F11" s="67" t="s">
        <v>1446</v>
      </c>
      <c r="G11" s="67">
        <v>1</v>
      </c>
      <c r="H11" s="67" t="s">
        <v>1478</v>
      </c>
      <c r="I11" s="67">
        <v>0</v>
      </c>
      <c r="J11" s="67" t="s">
        <v>1506</v>
      </c>
      <c r="K11" s="160">
        <v>1</v>
      </c>
    </row>
    <row r="12" spans="1:11" ht="48" customHeight="1" x14ac:dyDescent="0.2">
      <c r="A12" s="67">
        <v>11</v>
      </c>
      <c r="B12" s="80" t="s">
        <v>1433</v>
      </c>
      <c r="C12" s="67" t="s">
        <v>1447</v>
      </c>
      <c r="D12" s="67" t="s">
        <v>1448</v>
      </c>
      <c r="E12" s="67" t="s">
        <v>1505</v>
      </c>
      <c r="F12" s="67" t="s">
        <v>1449</v>
      </c>
      <c r="G12" s="67">
        <v>1</v>
      </c>
      <c r="H12" s="67" t="s">
        <v>1481</v>
      </c>
      <c r="I12" s="67">
        <v>1</v>
      </c>
      <c r="J12" s="67" t="s">
        <v>1507</v>
      </c>
      <c r="K12">
        <v>1</v>
      </c>
    </row>
    <row r="13" spans="1:11" ht="75" x14ac:dyDescent="0.2">
      <c r="A13" s="67">
        <v>12</v>
      </c>
      <c r="B13" s="80" t="s">
        <v>1433</v>
      </c>
      <c r="C13" s="67" t="s">
        <v>1434</v>
      </c>
      <c r="D13" s="67" t="s">
        <v>1450</v>
      </c>
      <c r="E13" s="120">
        <v>16881928.100000001</v>
      </c>
      <c r="F13" s="67" t="s">
        <v>1451</v>
      </c>
      <c r="G13" s="67">
        <v>0</v>
      </c>
      <c r="H13" s="67" t="s">
        <v>1483</v>
      </c>
      <c r="I13" s="67">
        <v>0</v>
      </c>
      <c r="J13" s="67" t="s">
        <v>1509</v>
      </c>
      <c r="K13" s="160">
        <v>1</v>
      </c>
    </row>
    <row r="14" spans="1:11" ht="37" customHeight="1" x14ac:dyDescent="0.2">
      <c r="A14" s="67">
        <v>13</v>
      </c>
      <c r="B14" s="81" t="s">
        <v>1452</v>
      </c>
      <c r="C14" s="67" t="s">
        <v>1453</v>
      </c>
      <c r="D14" s="67" t="s">
        <v>1454</v>
      </c>
      <c r="E14" s="67">
        <v>22</v>
      </c>
      <c r="F14" s="67" t="s">
        <v>302</v>
      </c>
      <c r="G14" s="67">
        <v>0</v>
      </c>
      <c r="H14" s="67">
        <v>4</v>
      </c>
      <c r="I14" s="67">
        <v>0</v>
      </c>
      <c r="J14" s="67">
        <v>18</v>
      </c>
      <c r="K14">
        <v>0</v>
      </c>
    </row>
    <row r="15" spans="1:11" ht="45" x14ac:dyDescent="0.2">
      <c r="A15" s="67">
        <v>14</v>
      </c>
      <c r="B15" s="81" t="s">
        <v>1452</v>
      </c>
      <c r="C15" s="67" t="s">
        <v>1453</v>
      </c>
      <c r="D15" s="67" t="s">
        <v>1455</v>
      </c>
      <c r="E15" s="67">
        <v>9</v>
      </c>
      <c r="F15" s="67" t="s">
        <v>1456</v>
      </c>
      <c r="G15" s="67">
        <v>0</v>
      </c>
      <c r="H15" s="67" t="s">
        <v>1510</v>
      </c>
      <c r="I15" s="67">
        <v>0</v>
      </c>
      <c r="J15" s="67" t="s">
        <v>1512</v>
      </c>
      <c r="K15" s="160">
        <v>0</v>
      </c>
    </row>
    <row r="16" spans="1:11" ht="90" x14ac:dyDescent="0.2">
      <c r="A16" s="67">
        <v>15</v>
      </c>
      <c r="B16" s="81" t="s">
        <v>1452</v>
      </c>
      <c r="C16" s="67" t="s">
        <v>1447</v>
      </c>
      <c r="D16" s="67" t="s">
        <v>1457</v>
      </c>
      <c r="E16" s="67">
        <v>57</v>
      </c>
      <c r="F16" s="67" t="s">
        <v>456</v>
      </c>
      <c r="G16" s="67">
        <v>0</v>
      </c>
      <c r="H16" s="67" t="s">
        <v>1508</v>
      </c>
      <c r="I16" s="67">
        <v>0</v>
      </c>
      <c r="J16" s="67" t="s">
        <v>1514</v>
      </c>
      <c r="K16">
        <v>0</v>
      </c>
    </row>
    <row r="17" spans="1:11" ht="105" x14ac:dyDescent="0.2">
      <c r="A17" s="67">
        <v>16</v>
      </c>
      <c r="B17" s="81" t="s">
        <v>1452</v>
      </c>
      <c r="C17" s="67" t="s">
        <v>1434</v>
      </c>
      <c r="D17" s="67" t="s">
        <v>1458</v>
      </c>
      <c r="E17" s="67" t="s">
        <v>1497</v>
      </c>
      <c r="F17" s="67" t="s">
        <v>1459</v>
      </c>
      <c r="G17" s="67">
        <v>0</v>
      </c>
      <c r="H17" s="67" t="s">
        <v>1511</v>
      </c>
      <c r="I17" s="67">
        <v>0</v>
      </c>
      <c r="J17" s="67" t="s">
        <v>1516</v>
      </c>
      <c r="K17" s="160">
        <v>0</v>
      </c>
    </row>
    <row r="18" spans="1:11" ht="90" x14ac:dyDescent="0.2">
      <c r="A18" s="67">
        <v>17</v>
      </c>
      <c r="B18" s="81" t="s">
        <v>1452</v>
      </c>
      <c r="C18" s="67" t="s">
        <v>1421</v>
      </c>
      <c r="D18" s="67" t="s">
        <v>1460</v>
      </c>
      <c r="E18" s="67" t="s">
        <v>1500</v>
      </c>
      <c r="F18" s="67" t="s">
        <v>1461</v>
      </c>
      <c r="G18" s="67">
        <v>1</v>
      </c>
      <c r="H18" s="67" t="s">
        <v>1515</v>
      </c>
      <c r="I18" s="67">
        <v>0</v>
      </c>
      <c r="J18" s="67" t="s">
        <v>1517</v>
      </c>
      <c r="K18">
        <v>1</v>
      </c>
    </row>
    <row r="19" spans="1:11" ht="105" x14ac:dyDescent="0.2">
      <c r="A19" s="67">
        <v>18</v>
      </c>
      <c r="B19" s="81" t="s">
        <v>1452</v>
      </c>
      <c r="C19" s="67" t="s">
        <v>1440</v>
      </c>
      <c r="D19" s="67" t="s">
        <v>1462</v>
      </c>
      <c r="E19" s="67" t="s">
        <v>1502</v>
      </c>
      <c r="F19" s="67" t="s">
        <v>1463</v>
      </c>
      <c r="G19" s="67">
        <v>1</v>
      </c>
      <c r="H19" s="67" t="s">
        <v>1518</v>
      </c>
      <c r="I19" s="67">
        <v>1</v>
      </c>
      <c r="J19" s="67" t="s">
        <v>1519</v>
      </c>
      <c r="K19" s="160">
        <v>0</v>
      </c>
    </row>
    <row r="20" spans="1:11" ht="75" x14ac:dyDescent="0.2">
      <c r="A20" s="67">
        <v>19</v>
      </c>
      <c r="B20" s="81" t="s">
        <v>1452</v>
      </c>
      <c r="C20" s="67" t="s">
        <v>1464</v>
      </c>
      <c r="D20" s="67" t="s">
        <v>1465</v>
      </c>
      <c r="E20" s="67" t="s">
        <v>5885</v>
      </c>
      <c r="F20" s="67" t="s">
        <v>1466</v>
      </c>
      <c r="G20" s="67">
        <v>0</v>
      </c>
      <c r="H20" s="67" t="s">
        <v>1521</v>
      </c>
      <c r="I20" s="67">
        <v>0</v>
      </c>
      <c r="J20" s="67" t="s">
        <v>1520</v>
      </c>
      <c r="K20">
        <v>0</v>
      </c>
    </row>
    <row r="21" spans="1:11" ht="180" x14ac:dyDescent="0.2">
      <c r="A21" s="67">
        <v>20</v>
      </c>
      <c r="B21" s="81" t="s">
        <v>1452</v>
      </c>
      <c r="C21" s="67" t="s">
        <v>1464</v>
      </c>
      <c r="D21" s="67" t="s">
        <v>1467</v>
      </c>
      <c r="E21" s="67" t="s">
        <v>5884</v>
      </c>
      <c r="F21" s="67" t="s">
        <v>1468</v>
      </c>
      <c r="G21" s="67">
        <v>0</v>
      </c>
      <c r="H21" s="67" t="s">
        <v>1525</v>
      </c>
      <c r="I21" s="67">
        <v>0</v>
      </c>
      <c r="J21" s="67" t="s">
        <v>1524</v>
      </c>
      <c r="K21" s="86">
        <v>0</v>
      </c>
    </row>
    <row r="23" spans="1:11" x14ac:dyDescent="0.2">
      <c r="E23" s="174" t="s">
        <v>112</v>
      </c>
      <c r="F23" s="175"/>
      <c r="G23" s="176"/>
      <c r="H23" s="176"/>
      <c r="I23" s="177"/>
      <c r="J23" s="178">
        <v>332149236.14999998</v>
      </c>
    </row>
    <row r="25" spans="1:11" x14ac:dyDescent="0.2">
      <c r="J25" s="196">
        <v>593028014.79999995</v>
      </c>
      <c r="K25">
        <f>J23/J25</f>
        <v>0.56009029567012625</v>
      </c>
    </row>
    <row r="26" spans="1:11" x14ac:dyDescent="0.2">
      <c r="B26" s="193" t="s">
        <v>1526</v>
      </c>
      <c r="C26" s="193" t="s">
        <v>1529</v>
      </c>
      <c r="F26" s="124" t="s">
        <v>420</v>
      </c>
    </row>
    <row r="27" spans="1:11" x14ac:dyDescent="0.2">
      <c r="B27" s="193" t="s">
        <v>1527</v>
      </c>
      <c r="F27" s="124" t="s">
        <v>931</v>
      </c>
    </row>
    <row r="28" spans="1:11" x14ac:dyDescent="0.2">
      <c r="B28" s="193" t="s">
        <v>1528</v>
      </c>
      <c r="F28" s="126" t="s">
        <v>385</v>
      </c>
    </row>
    <row r="29" spans="1:11" x14ac:dyDescent="0.2">
      <c r="B29" s="193" t="s">
        <v>1530</v>
      </c>
    </row>
    <row r="32" spans="1:11" x14ac:dyDescent="0.2">
      <c r="B32" s="193" t="s">
        <v>1531</v>
      </c>
    </row>
    <row r="33" spans="2:4" x14ac:dyDescent="0.2">
      <c r="B33" s="193" t="s">
        <v>1532</v>
      </c>
    </row>
    <row r="34" spans="2:4" x14ac:dyDescent="0.2">
      <c r="B34" s="193" t="s">
        <v>1533</v>
      </c>
    </row>
    <row r="35" spans="2:4" x14ac:dyDescent="0.2">
      <c r="B35" s="193" t="s">
        <v>1534</v>
      </c>
      <c r="C35" s="193" t="s">
        <v>1535</v>
      </c>
      <c r="D35" s="193" t="s">
        <v>1536</v>
      </c>
    </row>
    <row r="36" spans="2:4" x14ac:dyDescent="0.2">
      <c r="D36" s="193" t="s">
        <v>1537</v>
      </c>
    </row>
    <row r="38" spans="2:4" x14ac:dyDescent="0.2">
      <c r="B38" s="193" t="s">
        <v>1539</v>
      </c>
    </row>
    <row r="39" spans="2:4" x14ac:dyDescent="0.2">
      <c r="B39" s="193" t="s">
        <v>1538</v>
      </c>
    </row>
    <row r="42" spans="2:4" x14ac:dyDescent="0.2">
      <c r="B42" s="193" t="s">
        <v>1540</v>
      </c>
    </row>
    <row r="43" spans="2:4" x14ac:dyDescent="0.2">
      <c r="B43" s="193" t="s">
        <v>1541</v>
      </c>
    </row>
    <row r="44" spans="2:4" x14ac:dyDescent="0.2">
      <c r="B44" s="193" t="s">
        <v>5871</v>
      </c>
    </row>
    <row r="45" spans="2:4" x14ac:dyDescent="0.2">
      <c r="B45" s="193" t="s">
        <v>5872</v>
      </c>
    </row>
    <row r="46" spans="2:4" x14ac:dyDescent="0.2">
      <c r="B46" s="193" t="s">
        <v>5873</v>
      </c>
    </row>
    <row r="48" spans="2:4" x14ac:dyDescent="0.2">
      <c r="B48" s="193" t="s">
        <v>5874</v>
      </c>
    </row>
    <row r="49" spans="2:2" x14ac:dyDescent="0.2">
      <c r="B49" s="193" t="s">
        <v>5875</v>
      </c>
    </row>
    <row r="50" spans="2:2" x14ac:dyDescent="0.2">
      <c r="B50" s="193" t="s">
        <v>5876</v>
      </c>
    </row>
    <row r="51" spans="2:2" x14ac:dyDescent="0.2">
      <c r="B51" s="193" t="s">
        <v>5877</v>
      </c>
    </row>
    <row r="52" spans="2:2" x14ac:dyDescent="0.2">
      <c r="B52" s="193" t="s">
        <v>5881</v>
      </c>
    </row>
    <row r="54" spans="2:2" x14ac:dyDescent="0.2">
      <c r="B54" s="193" t="s">
        <v>5878</v>
      </c>
    </row>
    <row r="55" spans="2:2" x14ac:dyDescent="0.2">
      <c r="B55" s="193" t="s">
        <v>5879</v>
      </c>
    </row>
    <row r="56" spans="2:2" x14ac:dyDescent="0.2">
      <c r="B56" s="193" t="s">
        <v>5880</v>
      </c>
    </row>
    <row r="59" spans="2:2" x14ac:dyDescent="0.2">
      <c r="B59" s="193" t="s">
        <v>5886</v>
      </c>
    </row>
    <row r="60" spans="2:2" x14ac:dyDescent="0.2">
      <c r="B60" s="193" t="s">
        <v>5887</v>
      </c>
    </row>
    <row r="61" spans="2:2" x14ac:dyDescent="0.2">
      <c r="B61" s="193" t="s">
        <v>5888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Annotations</vt:lpstr>
      <vt:lpstr>prilojenie_11_4</vt:lpstr>
      <vt:lpstr>Working table</vt:lpstr>
      <vt:lpstr>Sheet6</vt:lpstr>
      <vt:lpstr>Sheet4</vt:lpstr>
      <vt:lpstr>Sheet3</vt:lpstr>
      <vt:lpstr>Sheet2</vt:lpstr>
      <vt:lpstr>Sheet1</vt:lpstr>
      <vt:lpstr>QA pairs</vt:lpstr>
      <vt:lpstr>Sheet1!evaluated_results_v1</vt:lpstr>
      <vt:lpstr>Sheet2!evaluated_results_v1_1</vt:lpstr>
      <vt:lpstr>prilojenie_11_4!Print_Area</vt:lpstr>
      <vt:lpstr>'Working table'!Print_Area</vt:lpstr>
      <vt:lpstr>prilojenie_11_4!Print_Titles</vt:lpstr>
      <vt:lpstr>'Working table'!Print_Titles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Канат Бегалиев</dc:creator>
  <cp:lastModifiedBy>Li, Natalia</cp:lastModifiedBy>
  <cp:lastPrinted>2026-01-23T06:59:09Z</cp:lastPrinted>
  <dcterms:created xsi:type="dcterms:W3CDTF">2025-12-27T13:12:38Z</dcterms:created>
  <dcterms:modified xsi:type="dcterms:W3CDTF">2026-05-12T09:24:48Z</dcterms:modified>
</cp:coreProperties>
</file>